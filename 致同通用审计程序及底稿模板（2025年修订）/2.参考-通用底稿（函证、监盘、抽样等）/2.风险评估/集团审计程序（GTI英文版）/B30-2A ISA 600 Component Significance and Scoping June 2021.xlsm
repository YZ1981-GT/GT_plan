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05" codeName="{00000000-0000-0000-0000-000000000000}"/>
  <workbookPr codeName="ThisWorkbook"/>
  <mc:AlternateContent xmlns:mc="http://schemas.openxmlformats.org/markup-compatibility/2006">
    <mc:Choice Requires="x15">
      <x15ac:absPath xmlns:x15ac="http://schemas.microsoft.com/office/spreadsheetml/2010/11/ac" url="https://gtinetorg-my.sharepoint.com/personal/mariela_melendez_gti_gt_com/Documents/ISa 315 revised/POsting/Group audit templates/"/>
    </mc:Choice>
  </mc:AlternateContent>
  <xr:revisionPtr revIDLastSave="12" documentId="13_ncr:1_{7E04F3DF-AFFF-470B-B53C-8EC75D2743B7}" xr6:coauthVersionLast="47" xr6:coauthVersionMax="47" xr10:uidLastSave="{A0C2CCAC-7E27-4D66-99E2-05624ECD0C33}"/>
  <bookViews>
    <workbookView xWindow="-110" yWindow="-110" windowWidth="19420" windowHeight="10420" xr2:uid="{00000000-000D-0000-FFFF-FFFF00000000}"/>
  </bookViews>
  <sheets>
    <sheet name="START" sheetId="8" r:id="rId1"/>
    <sheet name="Instructions" sheetId="7" state="veryHidden" r:id="rId2"/>
    <sheet name="Data input" sheetId="2" state="veryHidden" r:id="rId3"/>
    <sheet name="Scoping input" sheetId="4" state="veryHidden" r:id="rId4"/>
    <sheet name="Summary by type of work report" sheetId="6" state="veryHidden" r:id="rId5"/>
    <sheet name="Translation" sheetId="9" state="veryHidden" r:id="rId6"/>
    <sheet name="Lists" sheetId="3" state="veryHidden" r:id="rId7"/>
  </sheets>
  <definedNames>
    <definedName name="_sheetContentTranslation_A_10" hidden="1">Translation!$A$10</definedName>
    <definedName name="_sheetContentTranslation_A_100" hidden="1">Translation!$A$100</definedName>
    <definedName name="_sheetContentTranslation_A_101" hidden="1">Translation!$A$101</definedName>
    <definedName name="_sheetContentTranslation_A_102" hidden="1">Translation!$A$102</definedName>
    <definedName name="_sheetContentTranslation_A_103" hidden="1">Translation!$A$103</definedName>
    <definedName name="_sheetContentTranslation_A_104" hidden="1">Translation!$A$104</definedName>
    <definedName name="_sheetContentTranslation_A_105" hidden="1">Translation!$A$105</definedName>
    <definedName name="_sheetContentTranslation_A_106" hidden="1">Translation!$A$106</definedName>
    <definedName name="_sheetContentTranslation_A_107" hidden="1">Translation!$A$107</definedName>
    <definedName name="_sheetContentTranslation_A_108" hidden="1">Translation!$A$108</definedName>
    <definedName name="_sheetContentTranslation_A_109" hidden="1">Translation!$A$109</definedName>
    <definedName name="_sheetContentTranslation_A_11" hidden="1">Translation!$A$11</definedName>
    <definedName name="_sheetContentTranslation_A_110" hidden="1">Translation!$A$110</definedName>
    <definedName name="_sheetContentTranslation_A_111" hidden="1">Translation!$A$111</definedName>
    <definedName name="_sheetContentTranslation_A_112" hidden="1">Translation!$A$112</definedName>
    <definedName name="_sheetContentTranslation_A_113" hidden="1">Translation!$A$113</definedName>
    <definedName name="_sheetContentTranslation_A_114" hidden="1">Translation!$A$114</definedName>
    <definedName name="_sheetContentTranslation_A_115" hidden="1">Translation!$A$115</definedName>
    <definedName name="_sheetContentTranslation_A_116" hidden="1">Translation!$A$116</definedName>
    <definedName name="_sheetContentTranslation_A_117" hidden="1">Translation!$A$117</definedName>
    <definedName name="_sheetContentTranslation_A_118" hidden="1">Translation!$A$118</definedName>
    <definedName name="_sheetContentTranslation_A_119" hidden="1">Translation!$A$119</definedName>
    <definedName name="_sheetContentTranslation_A_12" hidden="1">Translation!$A$12</definedName>
    <definedName name="_sheetContentTranslation_A_120" hidden="1">Translation!$A$120</definedName>
    <definedName name="_sheetContentTranslation_A_121" hidden="1">Translation!$A$121</definedName>
    <definedName name="_sheetContentTranslation_A_122" hidden="1">Translation!$A$122</definedName>
    <definedName name="_sheetContentTranslation_A_123" hidden="1">Translation!$A$123</definedName>
    <definedName name="_sheetContentTranslation_A_124" hidden="1">Translation!$A$124</definedName>
    <definedName name="_sheetContentTranslation_A_125" hidden="1">Translation!$A$125</definedName>
    <definedName name="_sheetContentTranslation_A_126" hidden="1">Translation!$A$126</definedName>
    <definedName name="_sheetContentTranslation_A_127" hidden="1">Translation!$A$127</definedName>
    <definedName name="_sheetContentTranslation_A_128" hidden="1">Translation!$A$128</definedName>
    <definedName name="_sheetContentTranslation_A_129" hidden="1">Translation!$A$129</definedName>
    <definedName name="_sheetContentTranslation_A_13" hidden="1">Translation!$A$13</definedName>
    <definedName name="_sheetContentTranslation_A_130" hidden="1">Translation!$A$130</definedName>
    <definedName name="_sheetContentTranslation_A_131" hidden="1">Translation!$A$131</definedName>
    <definedName name="_sheetContentTranslation_A_132" hidden="1">Translation!$A$132</definedName>
    <definedName name="_sheetContentTranslation_A_133" hidden="1">Translation!$A$133</definedName>
    <definedName name="_sheetContentTranslation_A_134" hidden="1">Translation!$A$134</definedName>
    <definedName name="_sheetContentTranslation_A_135" hidden="1">Translation!$A$135</definedName>
    <definedName name="_sheetContentTranslation_A_136" hidden="1">Translation!$A$136</definedName>
    <definedName name="_sheetContentTranslation_A_137" hidden="1">Translation!$A$137</definedName>
    <definedName name="_sheetContentTranslation_A_138" hidden="1">Translation!$A$138</definedName>
    <definedName name="_sheetContentTranslation_A_139" hidden="1">Translation!$A$139</definedName>
    <definedName name="_sheetContentTranslation_A_14" hidden="1">Translation!$A$14</definedName>
    <definedName name="_sheetContentTranslation_A_140" hidden="1">Translation!$A$140</definedName>
    <definedName name="_sheetContentTranslation_A_141" hidden="1">Translation!$A$141</definedName>
    <definedName name="_sheetContentTranslation_A_142" hidden="1">Translation!$A$142</definedName>
    <definedName name="_sheetContentTranslation_A_143" hidden="1">Translation!$A$143</definedName>
    <definedName name="_sheetContentTranslation_A_144" hidden="1">Translation!$A$144</definedName>
    <definedName name="_sheetContentTranslation_A_145" hidden="1">Translation!$A$145</definedName>
    <definedName name="_sheetContentTranslation_A_146" hidden="1">Translation!$A$146</definedName>
    <definedName name="_sheetContentTranslation_A_147" hidden="1">Translation!$A$147</definedName>
    <definedName name="_sheetContentTranslation_A_148" hidden="1">Translation!$A$148</definedName>
    <definedName name="_sheetContentTranslation_A_149" hidden="1">Translation!$A$149</definedName>
    <definedName name="_sheetContentTranslation_A_15" hidden="1">Translation!$A$15</definedName>
    <definedName name="_sheetContentTranslation_A_150" hidden="1">Translation!$A$150</definedName>
    <definedName name="_sheetContentTranslation_A_151" hidden="1">Translation!$A$151</definedName>
    <definedName name="_sheetContentTranslation_A_152" hidden="1">Translation!$A$152</definedName>
    <definedName name="_sheetContentTranslation_A_153" hidden="1">Translation!$A$153</definedName>
    <definedName name="_sheetContentTranslation_A_154" hidden="1">Translation!$A$154</definedName>
    <definedName name="_sheetContentTranslation_A_155" hidden="1">Translation!$A$155</definedName>
    <definedName name="_sheetContentTranslation_A_156" hidden="1">Translation!$A$156</definedName>
    <definedName name="_sheetContentTranslation_A_157" hidden="1">Translation!$A$157</definedName>
    <definedName name="_sheetContentTranslation_A_158" hidden="1">Translation!$A$158</definedName>
    <definedName name="_sheetContentTranslation_A_159" hidden="1">Translation!$A$159</definedName>
    <definedName name="_sheetContentTranslation_A_16" hidden="1">Translation!$A$16</definedName>
    <definedName name="_sheetContentTranslation_A_160" hidden="1">Translation!$A$160</definedName>
    <definedName name="_sheetContentTranslation_A_161" hidden="1">Translation!$A$161</definedName>
    <definedName name="_sheetContentTranslation_A_162" hidden="1">Translation!$A$162</definedName>
    <definedName name="_sheetContentTranslation_A_163" hidden="1">Translation!$A$163</definedName>
    <definedName name="_sheetContentTranslation_A_164" hidden="1">Translation!$A$164</definedName>
    <definedName name="_sheetContentTranslation_A_165" hidden="1">Translation!$A$165</definedName>
    <definedName name="_sheetContentTranslation_A_166" hidden="1">Translation!$A$166</definedName>
    <definedName name="_sheetContentTranslation_A_167" hidden="1">Translation!$A$167</definedName>
    <definedName name="_sheetContentTranslation_A_168" hidden="1">Translation!$A$168</definedName>
    <definedName name="_sheetContentTranslation_A_169" hidden="1">Translation!$A$169</definedName>
    <definedName name="_sheetContentTranslation_A_17" hidden="1">Translation!$A$17</definedName>
    <definedName name="_sheetContentTranslation_A_170" hidden="1">Translation!$A$170</definedName>
    <definedName name="_sheetContentTranslation_A_171" hidden="1">Translation!$A$171</definedName>
    <definedName name="_sheetContentTranslation_A_172" hidden="1">Translation!$A$172</definedName>
    <definedName name="_sheetContentTranslation_A_173" hidden="1">Translation!$A$173</definedName>
    <definedName name="_sheetContentTranslation_A_174" hidden="1">Translation!$A$174</definedName>
    <definedName name="_sheetContentTranslation_A_175" hidden="1">Translation!$A$175</definedName>
    <definedName name="_sheetContentTranslation_A_176" hidden="1">Translation!$A$176</definedName>
    <definedName name="_sheetContentTranslation_A_177" hidden="1">Translation!$A$177</definedName>
    <definedName name="_sheetContentTranslation_A_178" hidden="1">Translation!$A$178</definedName>
    <definedName name="_sheetContentTranslation_A_179" hidden="1">Translation!$A$179</definedName>
    <definedName name="_sheetContentTranslation_A_18" hidden="1">Translation!$A$18</definedName>
    <definedName name="_sheetContentTranslation_A_180" hidden="1">Translation!$A$180</definedName>
    <definedName name="_sheetContentTranslation_A_181" hidden="1">Translation!$A$181</definedName>
    <definedName name="_sheetContentTranslation_A_182" hidden="1">Translation!$A$182</definedName>
    <definedName name="_sheetContentTranslation_A_183" hidden="1">Translation!$A$183</definedName>
    <definedName name="_sheetContentTranslation_A_184" hidden="1">Translation!$A$184</definedName>
    <definedName name="_sheetContentTranslation_A_185" hidden="1">Translation!$A$185</definedName>
    <definedName name="_sheetContentTranslation_A_186" hidden="1">Translation!$A$186</definedName>
    <definedName name="_sheetContentTranslation_A_19" hidden="1">Translation!$A$19</definedName>
    <definedName name="_sheetContentTranslation_A_199" hidden="1">Translation!$A$199</definedName>
    <definedName name="_sheetContentTranslation_A_20" hidden="1">Translation!$A$20</definedName>
    <definedName name="_sheetContentTranslation_A_200" hidden="1">Translation!#REF!</definedName>
    <definedName name="_sheetContentTranslation_A_201" hidden="1">Translation!#REF!</definedName>
    <definedName name="_sheetContentTranslation_A_202" hidden="1">Translation!#REF!</definedName>
    <definedName name="_sheetContentTranslation_A_203" hidden="1">Translation!#REF!</definedName>
    <definedName name="_sheetContentTranslation_A_204" hidden="1">Translation!#REF!</definedName>
    <definedName name="_sheetContentTranslation_A_205" hidden="1">Translation!#REF!</definedName>
    <definedName name="_sheetContentTranslation_A_206" hidden="1">Translation!#REF!</definedName>
    <definedName name="_sheetContentTranslation_A_207" hidden="1">Translation!#REF!</definedName>
    <definedName name="_sheetContentTranslation_A_208" hidden="1">Translation!#REF!</definedName>
    <definedName name="_sheetContentTranslation_A_209" hidden="1">Translation!#REF!</definedName>
    <definedName name="_sheetContentTranslation_A_21" hidden="1">Translation!$A$21</definedName>
    <definedName name="_sheetContentTranslation_A_210" hidden="1">Translation!#REF!</definedName>
    <definedName name="_sheetContentTranslation_A_211" hidden="1">Translation!#REF!</definedName>
    <definedName name="_sheetContentTranslation_A_212" hidden="1">Translation!#REF!</definedName>
    <definedName name="_sheetContentTranslation_A_213" hidden="1">Translation!#REF!</definedName>
    <definedName name="_sheetContentTranslation_A_214" hidden="1">Translation!#REF!</definedName>
    <definedName name="_sheetContentTranslation_A_215" hidden="1">Translation!#REF!</definedName>
    <definedName name="_sheetContentTranslation_A_216" hidden="1">Translation!#REF!</definedName>
    <definedName name="_sheetContentTranslation_A_217" hidden="1">Translation!#REF!</definedName>
    <definedName name="_sheetContentTranslation_A_218" hidden="1">Translation!#REF!</definedName>
    <definedName name="_sheetContentTranslation_A_219" hidden="1">Translation!#REF!</definedName>
    <definedName name="_sheetContentTranslation_A_22" hidden="1">Translation!$A$22</definedName>
    <definedName name="_sheetContentTranslation_A_220" hidden="1">Translation!#REF!</definedName>
    <definedName name="_sheetContentTranslation_A_221" hidden="1">Translation!#REF!</definedName>
    <definedName name="_sheetContentTranslation_A_222" hidden="1">Translation!#REF!</definedName>
    <definedName name="_sheetContentTranslation_A_223" hidden="1">Translation!#REF!</definedName>
    <definedName name="_sheetContentTranslation_A_224" hidden="1">Translation!#REF!</definedName>
    <definedName name="_sheetContentTranslation_A_225" hidden="1">Translation!#REF!</definedName>
    <definedName name="_sheetContentTranslation_A_226" hidden="1">Translation!#REF!</definedName>
    <definedName name="_sheetContentTranslation_A_227" hidden="1">Translation!#REF!</definedName>
    <definedName name="_sheetContentTranslation_A_228" hidden="1">Translation!#REF!</definedName>
    <definedName name="_sheetContentTranslation_A_229" hidden="1">Translation!#REF!</definedName>
    <definedName name="_sheetContentTranslation_A_23" hidden="1">Translation!$A$23</definedName>
    <definedName name="_sheetContentTranslation_A_230" hidden="1">Translation!#REF!</definedName>
    <definedName name="_sheetContentTranslation_A_231" hidden="1">Translation!#REF!</definedName>
    <definedName name="_sheetContentTranslation_A_232" hidden="1">Translation!#REF!</definedName>
    <definedName name="_sheetContentTranslation_A_233" hidden="1">Translation!$A$200</definedName>
    <definedName name="_sheetContentTranslation_A_234" hidden="1">Translation!$A$201</definedName>
    <definedName name="_sheetContentTranslation_A_235" hidden="1">Translation!$A$202</definedName>
    <definedName name="_sheetContentTranslation_A_236" hidden="1">Translation!$A$203</definedName>
    <definedName name="_sheetContentTranslation_A_237" hidden="1">Translation!$A$204</definedName>
    <definedName name="_sheetContentTranslation_A_238" hidden="1">Translation!$A$206</definedName>
    <definedName name="_sheetContentTranslation_A_239" hidden="1">Translation!$A$207</definedName>
    <definedName name="_sheetContentTranslation_A_24" hidden="1">Translation!$A$24</definedName>
    <definedName name="_sheetContentTranslation_A_240" hidden="1">Translation!$A$208</definedName>
    <definedName name="_sheetContentTranslation_A_25" hidden="1">Translation!$A$25</definedName>
    <definedName name="_sheetContentTranslation_A_26" hidden="1">Translation!$A$26</definedName>
    <definedName name="_sheetContentTranslation_A_27" hidden="1">Translation!$A$27</definedName>
    <definedName name="_sheetContentTranslation_A_28" hidden="1">Translation!$A$28</definedName>
    <definedName name="_sheetContentTranslation_A_29" hidden="1">Translation!$A$29</definedName>
    <definedName name="_sheetContentTranslation_A_3" hidden="1">Translation!$A$3</definedName>
    <definedName name="_sheetContentTranslation_A_30" hidden="1">Translation!$A$30</definedName>
    <definedName name="_sheetContentTranslation_A_31" hidden="1">Translation!$A$31</definedName>
    <definedName name="_sheetContentTranslation_A_32" hidden="1">Translation!$A$32</definedName>
    <definedName name="_sheetContentTranslation_A_33" hidden="1">Translation!$A$33</definedName>
    <definedName name="_sheetContentTranslation_A_34" hidden="1">Translation!$A$34</definedName>
    <definedName name="_sheetContentTranslation_A_35" hidden="1">Translation!$A$35</definedName>
    <definedName name="_sheetContentTranslation_A_36" hidden="1">Translation!$A$36</definedName>
    <definedName name="_sheetContentTranslation_A_37" hidden="1">Translation!$A$37</definedName>
    <definedName name="_sheetContentTranslation_A_38" hidden="1">Translation!$A$38</definedName>
    <definedName name="_sheetContentTranslation_A_39" hidden="1">Translation!$A$39</definedName>
    <definedName name="_sheetContentTranslation_A_4" hidden="1">Translation!$A$4</definedName>
    <definedName name="_sheetContentTranslation_A_40" hidden="1">Translation!$A$40</definedName>
    <definedName name="_sheetContentTranslation_A_41" hidden="1">Translation!$A$41</definedName>
    <definedName name="_sheetContentTranslation_A_42" hidden="1">Translation!$A$42</definedName>
    <definedName name="_sheetContentTranslation_A_43" hidden="1">Translation!$A$43</definedName>
    <definedName name="_sheetContentTranslation_A_44" hidden="1">Translation!$A$44</definedName>
    <definedName name="_sheetContentTranslation_A_45" hidden="1">Translation!$A$45</definedName>
    <definedName name="_sheetContentTranslation_A_46" hidden="1">Translation!$A$46</definedName>
    <definedName name="_sheetContentTranslation_A_47" hidden="1">Translation!$A$47</definedName>
    <definedName name="_sheetContentTranslation_A_48" hidden="1">Translation!$A$48</definedName>
    <definedName name="_sheetContentTranslation_A_49" hidden="1">Translation!$A$49</definedName>
    <definedName name="_sheetContentTranslation_A_5" hidden="1">Translation!$A$5</definedName>
    <definedName name="_sheetContentTranslation_A_50" hidden="1">Translation!$A$50</definedName>
    <definedName name="_sheetContentTranslation_A_51" hidden="1">Translation!$A$51</definedName>
    <definedName name="_sheetContentTranslation_A_52" hidden="1">Translation!$A$52</definedName>
    <definedName name="_sheetContentTranslation_A_53" hidden="1">Translation!$A$53</definedName>
    <definedName name="_sheetContentTranslation_A_54" hidden="1">Translation!$A$54</definedName>
    <definedName name="_sheetContentTranslation_A_55" hidden="1">Translation!$A$55</definedName>
    <definedName name="_sheetContentTranslation_A_56" hidden="1">Translation!$A$56</definedName>
    <definedName name="_sheetContentTranslation_A_57" hidden="1">Translation!$A$57</definedName>
    <definedName name="_sheetContentTranslation_A_58" hidden="1">Translation!$A$58</definedName>
    <definedName name="_sheetContentTranslation_A_59" hidden="1">Translation!$A$59</definedName>
    <definedName name="_sheetContentTranslation_A_6" hidden="1">Translation!$A$6</definedName>
    <definedName name="_sheetContentTranslation_A_60" hidden="1">Translation!$A$60</definedName>
    <definedName name="_sheetContentTranslation_A_61" hidden="1">Translation!$A$61</definedName>
    <definedName name="_sheetContentTranslation_A_62" hidden="1">Translation!$A$62</definedName>
    <definedName name="_sheetContentTranslation_A_63" hidden="1">Translation!$A$63</definedName>
    <definedName name="_sheetContentTranslation_A_64" hidden="1">Translation!$A$64</definedName>
    <definedName name="_sheetContentTranslation_A_65" hidden="1">Translation!$A$65</definedName>
    <definedName name="_sheetContentTranslation_A_66" hidden="1">Translation!$A$66</definedName>
    <definedName name="_sheetContentTranslation_A_67" hidden="1">Translation!$A$67</definedName>
    <definedName name="_sheetContentTranslation_A_68" hidden="1">Translation!$A$68</definedName>
    <definedName name="_sheetContentTranslation_A_69" hidden="1">Translation!$A$69</definedName>
    <definedName name="_sheetContentTranslation_A_7" hidden="1">Translation!$A$7</definedName>
    <definedName name="_sheetContentTranslation_A_70" hidden="1">Translation!$A$70</definedName>
    <definedName name="_sheetContentTranslation_A_71" hidden="1">Translation!$A$71</definedName>
    <definedName name="_sheetContentTranslation_A_72" hidden="1">Translation!$A$72</definedName>
    <definedName name="_sheetContentTranslation_A_73" hidden="1">Translation!$A$73</definedName>
    <definedName name="_sheetContentTranslation_A_74" hidden="1">Translation!$A$74</definedName>
    <definedName name="_sheetContentTranslation_A_75" hidden="1">Translation!$A$75</definedName>
    <definedName name="_sheetContentTranslation_A_76" hidden="1">Translation!$A$76</definedName>
    <definedName name="_sheetContentTranslation_A_77" hidden="1">Translation!$A$77</definedName>
    <definedName name="_sheetContentTranslation_A_78" hidden="1">Translation!$A$78</definedName>
    <definedName name="_sheetContentTranslation_A_79" hidden="1">Translation!$A$79</definedName>
    <definedName name="_sheetContentTranslation_A_8" hidden="1">Translation!$A$8</definedName>
    <definedName name="_sheetContentTranslation_A_80" hidden="1">Translation!$A$80</definedName>
    <definedName name="_sheetContentTranslation_A_81" hidden="1">Translation!$A$81</definedName>
    <definedName name="_sheetContentTranslation_A_82" hidden="1">Translation!$A$82</definedName>
    <definedName name="_sheetContentTranslation_A_83" hidden="1">Translation!$A$83</definedName>
    <definedName name="_sheetContentTranslation_A_84" hidden="1">Translation!$A$84</definedName>
    <definedName name="_sheetContentTranslation_A_85" hidden="1">Translation!$A$85</definedName>
    <definedName name="_sheetContentTranslation_A_86" hidden="1">Translation!$A$86</definedName>
    <definedName name="_sheetContentTranslation_A_87" hidden="1">Translation!$A$87</definedName>
    <definedName name="_sheetContentTranslation_A_88" hidden="1">Translation!$A$88</definedName>
    <definedName name="_sheetContentTranslation_A_89" hidden="1">Translation!$A$89</definedName>
    <definedName name="_sheetContentTranslation_A_9" hidden="1">Translation!$A$9</definedName>
    <definedName name="_sheetContentTranslation_A_90" hidden="1">Translation!$A$90</definedName>
    <definedName name="_sheetContentTranslation_A_91" hidden="1">Translation!$A$91</definedName>
    <definedName name="_sheetContentTranslation_A_92" hidden="1">Translation!$A$92</definedName>
    <definedName name="_sheetContentTranslation_A_93" hidden="1">Translation!$A$93</definedName>
    <definedName name="_sheetContentTranslation_A_94" hidden="1">Translation!$A$94</definedName>
    <definedName name="_sheetContentTranslation_A_95" hidden="1">Translation!$A$95</definedName>
    <definedName name="_sheetContentTranslation_A_96" hidden="1">Translation!$A$96</definedName>
    <definedName name="_sheetContentTranslation_A_97" hidden="1">Translation!$A$97</definedName>
    <definedName name="_sheetContentTranslation_A_98" hidden="1">Translation!$A$98</definedName>
    <definedName name="_sheetContentTranslation_A_99" hidden="1">Translation!$A$99</definedName>
    <definedName name="Analytical_procedures_at_group_level">Lists!$E$2</definedName>
    <definedName name="Audit_of_financial_information___assume_responsibility">Lists!$E$3</definedName>
    <definedName name="Audit_of_financial_information___make_reference">Lists!$C$3</definedName>
    <definedName name="Audit_of_one_or_more_classes_of_transactions__account_balances__or_disclosures">Lists!$D$4</definedName>
    <definedName name="Component_base">'Data input'!$O:$O</definedName>
    <definedName name="Component_end">'Data input'!$I:$I</definedName>
    <definedName name="Component_materiality">'Scoping input'!$S$11</definedName>
    <definedName name="Component_performance_materiality">'Scoping input'!$T$11</definedName>
    <definedName name="Component_Reference_SI">'Scoping input'!$B$11:$B$17</definedName>
    <definedName name="Component_Risk">Lists!$F$1:$F$5</definedName>
    <definedName name="Component_significance">Lists!$B$2:$B$4</definedName>
    <definedName name="Component_significance_header">'Scoping input'!$P$11</definedName>
    <definedName name="Component_Type">Lists!$A$2:$A$5</definedName>
    <definedName name="ComponentFirm">Lists!$G$1:$G$3</definedName>
    <definedName name="Confirm_Delete_Msg">Translation!$A$188</definedName>
    <definedName name="Confirm_Delete_Title">Translation!$A$189</definedName>
    <definedName name="Data_CompType_Row">'Data input'!$C$10</definedName>
    <definedName name="Data_End">'Data input'!$139:$139</definedName>
    <definedName name="Data_Engagement_Name">'Data input'!$D$4</definedName>
    <definedName name="Data_FS_Base">'Data input'!$140:$140</definedName>
    <definedName name="Data_FS_Header">'Data input'!$C$12</definedName>
    <definedName name="Data_Period_End">'Data input'!$D$5</definedName>
    <definedName name="Data_Start">'Data input'!$B$1:$B$12</definedName>
    <definedName name="Delete_Benchmark_Msg">Translation!$A$190</definedName>
    <definedName name="Delete_Benchmark_Title">Translation!$A$191</definedName>
    <definedName name="Delete_FS_Caption">Translation!$A$210</definedName>
    <definedName name="Delete_FSCaptionMsg">Translation!$A$197</definedName>
    <definedName name="Equity_method_investment">Lists!$A$4</definedName>
    <definedName name="FSCaptionMsg">Translation!$A$196</definedName>
    <definedName name="Individually_financially_significant">Lists!$C$2:$C$3</definedName>
    <definedName name="IndividuallyFinanciallySignificant">Lists!$B$2</definedName>
    <definedName name="Likely_to_include_significant_risks">Lists!$D$2:$D$5</definedName>
    <definedName name="LikelyToIncludeSignificantRisks">Lists!$B$3</definedName>
    <definedName name="Materiality_msg">Translation!$A$192</definedName>
    <definedName name="Materiality_msg1">Translation!$A$193</definedName>
    <definedName name="Materiality_msg2">Translation!$A$194</definedName>
    <definedName name="Materiality_msg3">Translation!$A$195</definedName>
    <definedName name="N_A___analytical_procedures_at_group_level">Lists!$F$4</definedName>
    <definedName name="N_A___significant_component">Lists!$F$5</definedName>
    <definedName name="Not_significant">Lists!$E$2:$E$7</definedName>
    <definedName name="NotApplicable">Translation!$A$158</definedName>
    <definedName name="NotSignificant">Lists!$B$4</definedName>
    <definedName name="Other_relevant_start" localSheetId="2">'Data input'!$A$132</definedName>
    <definedName name="Other_Risk_Error">Translation!$A$187</definedName>
    <definedName name="Other_risk_of_material_misstatement_of_the_group">Lists!$F$1</definedName>
    <definedName name="Our_firm">Lists!$G$1</definedName>
    <definedName name="Purpose_Header">'Scoping input'!$R$11</definedName>
    <definedName name="Review_of_financial_information">Lists!$E$7</definedName>
    <definedName name="Scoping_Address_Col">'Scoping input'!$AD$1</definedName>
    <definedName name="Scoping_Component_Header">'Scoping input'!$C$11</definedName>
    <definedName name="Scoping_Component_Reference_Header">'Scoping input'!$B$11</definedName>
    <definedName name="Scoping_component_type">'Scoping input'!$D$11</definedName>
    <definedName name="Scoping_Component_Type_Header">'Scoping input'!$V$11</definedName>
    <definedName name="Scoping_Equity_FinPosition_Header">'Scoping input'!$M$11</definedName>
    <definedName name="Scoping_Equity_Ownership_Header">'Scoping input'!$O$11</definedName>
    <definedName name="Scoping_Equity_PL_Header">'Scoping input'!$N$11</definedName>
    <definedName name="Scoping_Firm_Name_Header">'Scoping input'!$U$11</definedName>
    <definedName name="Scoping_Group_Benchmark">'Scoping input'!#REF!</definedName>
    <definedName name="Scoping_Group_Materiality">'Scoping input'!$D$6</definedName>
    <definedName name="Scoping_Group_PM">'Scoping input'!$D$7</definedName>
    <definedName name="Scoping_Start">'Scoping input'!$A$1:$A$11</definedName>
    <definedName name="Scoping_Statutory_Header">'Scoping input'!$W$11</definedName>
    <definedName name="Scoping_Ticker">'Scoping input'!$AE$11</definedName>
    <definedName name="Scoping_Type_Hardcode_Col">'Scoping input'!$AC$1</definedName>
    <definedName name="Scoping_Type_Header">'Scoping input'!$Q$11</definedName>
    <definedName name="sh_Home" localSheetId="2">'Data input'!$A$1</definedName>
    <definedName name="sh_Home" localSheetId="3">'Scoping input'!$A$1</definedName>
    <definedName name="SI_benchmark_base">'Scoping input'!$Z:$AA</definedName>
    <definedName name="SI_benchmark_end">'Scoping input'!$M:$M</definedName>
    <definedName name="SI_component_base">'Scoping input'!$18:$18</definedName>
    <definedName name="SI_component_end">'Scoping input'!$17:$17</definedName>
    <definedName name="Specified_audit_procedures">Lists!$D$5</definedName>
    <definedName name="SpellCheckComplete">Translation!$A$209</definedName>
    <definedName name="Summary_Start">'Summary by type of work report'!$A$1:$A$9</definedName>
    <definedName name="Type_Classes_Header">'Summary by type of work report'!$I$9</definedName>
    <definedName name="Type_Component_Base">'Summary by type of work report'!$Y:$Y</definedName>
    <definedName name="Type_Component_name">'Summary by type of work report'!$Y$9</definedName>
    <definedName name="Type_FS_Base">'Summary by type of work report'!$128:$128</definedName>
    <definedName name="Type_FS_Header">'Summary by type of work report'!$B$9</definedName>
    <definedName name="Type_Headers">'Summary by type of work report'!$9:$9</definedName>
    <definedName name="Type_Review_Header">'Summary by type of work report'!$K$9</definedName>
    <definedName name="Type_Specified_Header">'Summary by type of work report'!$J$9</definedName>
    <definedName name="YesNo">Lists!$H$1:$H$2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7" l="1"/>
  <c r="K10" i="4" l="1"/>
  <c r="K9" i="4"/>
  <c r="I10" i="4" l="1"/>
  <c r="I9" i="4"/>
  <c r="A6" i="7"/>
  <c r="F4" i="3"/>
  <c r="G3" i="3"/>
  <c r="F3" i="3"/>
  <c r="G2" i="3"/>
  <c r="F2" i="3"/>
  <c r="G1" i="3"/>
  <c r="F1" i="3"/>
  <c r="F5" i="3"/>
  <c r="E7" i="3"/>
  <c r="E6" i="3"/>
  <c r="E5" i="3"/>
  <c r="D5" i="3"/>
  <c r="A5" i="3"/>
  <c r="E4" i="3"/>
  <c r="D4" i="3"/>
  <c r="B4" i="3"/>
  <c r="A4" i="3"/>
  <c r="E3" i="3"/>
  <c r="D3" i="3"/>
  <c r="C3" i="3"/>
  <c r="B3" i="3"/>
  <c r="A3" i="3"/>
  <c r="E2" i="3"/>
  <c r="D2" i="3"/>
  <c r="C2" i="3"/>
  <c r="B2" i="3"/>
  <c r="A2" i="3"/>
  <c r="E1" i="3"/>
  <c r="D1" i="3"/>
  <c r="C1" i="3"/>
  <c r="B1" i="3"/>
  <c r="A1" i="3"/>
  <c r="W9" i="6"/>
  <c r="V9" i="6"/>
  <c r="U9" i="6"/>
  <c r="S9" i="6"/>
  <c r="R9" i="6"/>
  <c r="Q9" i="6"/>
  <c r="P9" i="6"/>
  <c r="O9" i="6"/>
  <c r="N9" i="6"/>
  <c r="L9" i="6"/>
  <c r="K9" i="6"/>
  <c r="J9" i="6"/>
  <c r="I9" i="6"/>
  <c r="H9" i="6"/>
  <c r="G9" i="6"/>
  <c r="E9" i="6"/>
  <c r="D9" i="6"/>
  <c r="C9" i="6"/>
  <c r="U8" i="6"/>
  <c r="J8" i="6"/>
  <c r="I8" i="6"/>
  <c r="W7" i="6"/>
  <c r="R5" i="6"/>
  <c r="P5" i="6"/>
  <c r="N5" i="6"/>
  <c r="B5" i="6"/>
  <c r="B4" i="6"/>
  <c r="B2" i="6"/>
  <c r="B21" i="4"/>
  <c r="B20" i="4"/>
  <c r="B19" i="4"/>
  <c r="Y18" i="4"/>
  <c r="T18" i="4"/>
  <c r="S18" i="4"/>
  <c r="R18" i="4"/>
  <c r="O18" i="4"/>
  <c r="N18" i="4"/>
  <c r="M18" i="4"/>
  <c r="Y16" i="4"/>
  <c r="T16" i="4"/>
  <c r="S16" i="4"/>
  <c r="R16" i="4"/>
  <c r="O16" i="4"/>
  <c r="N16" i="4"/>
  <c r="M16" i="4"/>
  <c r="Y15" i="4"/>
  <c r="T15" i="4"/>
  <c r="S15" i="4"/>
  <c r="R15" i="4"/>
  <c r="O15" i="4"/>
  <c r="N15" i="4"/>
  <c r="M15" i="4"/>
  <c r="Y14" i="4"/>
  <c r="T14" i="4"/>
  <c r="S14" i="4"/>
  <c r="R14" i="4"/>
  <c r="O14" i="4"/>
  <c r="N14" i="4"/>
  <c r="M14" i="4"/>
  <c r="Y13" i="4"/>
  <c r="T13" i="4"/>
  <c r="S13" i="4"/>
  <c r="R13" i="4"/>
  <c r="O13" i="4"/>
  <c r="N13" i="4"/>
  <c r="M13" i="4"/>
  <c r="Y12" i="4"/>
  <c r="O12" i="4"/>
  <c r="N12" i="4"/>
  <c r="M12" i="4"/>
  <c r="X11" i="4"/>
  <c r="W11" i="4"/>
  <c r="V11" i="4"/>
  <c r="U11" i="4"/>
  <c r="T11" i="4"/>
  <c r="S11" i="4"/>
  <c r="R11" i="4"/>
  <c r="Q11" i="4"/>
  <c r="P11" i="4"/>
  <c r="O11" i="4"/>
  <c r="N11" i="4"/>
  <c r="M11" i="4"/>
  <c r="D11" i="4"/>
  <c r="C11" i="4"/>
  <c r="B11" i="4"/>
  <c r="Z10" i="4"/>
  <c r="X10" i="4"/>
  <c r="W10" i="4"/>
  <c r="M10" i="4"/>
  <c r="G10" i="4"/>
  <c r="E10" i="4"/>
  <c r="D10" i="4"/>
  <c r="Z9" i="4"/>
  <c r="G9" i="4"/>
  <c r="B7" i="4"/>
  <c r="B6" i="4"/>
  <c r="B5" i="4"/>
  <c r="B4" i="4"/>
  <c r="B2" i="4"/>
  <c r="AE1" i="4"/>
  <c r="AD1" i="4"/>
  <c r="AC1" i="4"/>
  <c r="B140" i="2"/>
  <c r="A140" i="2"/>
  <c r="B138" i="2"/>
  <c r="A138" i="2"/>
  <c r="B137" i="2"/>
  <c r="A137" i="2"/>
  <c r="B136" i="2"/>
  <c r="A136" i="2"/>
  <c r="B135" i="2"/>
  <c r="A135" i="2"/>
  <c r="B134" i="2"/>
  <c r="A134" i="2"/>
  <c r="B133" i="2"/>
  <c r="A133" i="2"/>
  <c r="C132" i="2"/>
  <c r="C129" i="2"/>
  <c r="B129" i="2"/>
  <c r="A129" i="2"/>
  <c r="C128" i="2"/>
  <c r="B128" i="2"/>
  <c r="C127" i="2"/>
  <c r="B127" i="2"/>
  <c r="A127" i="2"/>
  <c r="B126" i="2"/>
  <c r="A126" i="2"/>
  <c r="C125" i="2"/>
  <c r="B125" i="2"/>
  <c r="A125" i="2"/>
  <c r="C124" i="2"/>
  <c r="B124" i="2"/>
  <c r="C123" i="2"/>
  <c r="B123" i="2"/>
  <c r="A123" i="2"/>
  <c r="B122" i="2"/>
  <c r="A122" i="2"/>
  <c r="C121" i="2"/>
  <c r="B121" i="2"/>
  <c r="A121" i="2"/>
  <c r="C120" i="2"/>
  <c r="B120" i="2"/>
  <c r="C119" i="2"/>
  <c r="B119" i="2"/>
  <c r="A119" i="2"/>
  <c r="B118" i="2"/>
  <c r="A118" i="2"/>
  <c r="C117" i="2"/>
  <c r="B117" i="2"/>
  <c r="A117" i="2"/>
  <c r="C116" i="2"/>
  <c r="B116" i="2"/>
  <c r="C115" i="2"/>
  <c r="B115" i="2"/>
  <c r="A115" i="2"/>
  <c r="C114" i="2"/>
  <c r="B114" i="2"/>
  <c r="A114" i="2"/>
  <c r="B113" i="2"/>
  <c r="A113" i="2"/>
  <c r="C112" i="2"/>
  <c r="B112" i="2"/>
  <c r="A112" i="2"/>
  <c r="C111" i="2"/>
  <c r="B111" i="2"/>
  <c r="C110" i="2"/>
  <c r="B110" i="2"/>
  <c r="A110" i="2"/>
  <c r="C109" i="2"/>
  <c r="B109" i="2"/>
  <c r="A109" i="2"/>
  <c r="B108" i="2"/>
  <c r="A108" i="2"/>
  <c r="C107" i="2"/>
  <c r="B107" i="2"/>
  <c r="A107" i="2"/>
  <c r="C106" i="2"/>
  <c r="B106" i="2"/>
  <c r="C105" i="2"/>
  <c r="B105" i="2"/>
  <c r="A105" i="2"/>
  <c r="C104" i="2"/>
  <c r="B104" i="2"/>
  <c r="A104" i="2"/>
  <c r="C103" i="2"/>
  <c r="B103" i="2"/>
  <c r="A103" i="2"/>
  <c r="C102" i="2"/>
  <c r="B102" i="2"/>
  <c r="A102" i="2"/>
  <c r="C101" i="2"/>
  <c r="B101" i="2"/>
  <c r="A101" i="2"/>
  <c r="C100" i="2"/>
  <c r="B100" i="2"/>
  <c r="A100" i="2"/>
  <c r="C99" i="2"/>
  <c r="B99" i="2"/>
  <c r="A99" i="2"/>
  <c r="B98" i="2"/>
  <c r="A98" i="2"/>
  <c r="C97" i="2"/>
  <c r="B97" i="2"/>
  <c r="A97" i="2"/>
  <c r="C96" i="2"/>
  <c r="B96" i="2"/>
  <c r="C95" i="2"/>
  <c r="B95" i="2"/>
  <c r="A95" i="2"/>
  <c r="B94" i="2"/>
  <c r="A94" i="2"/>
  <c r="C93" i="2"/>
  <c r="B93" i="2"/>
  <c r="A93" i="2"/>
  <c r="C92" i="2"/>
  <c r="B92" i="2"/>
  <c r="C91" i="2"/>
  <c r="B91" i="2"/>
  <c r="A91" i="2"/>
  <c r="C90" i="2"/>
  <c r="B90" i="2"/>
  <c r="A90" i="2"/>
  <c r="B89" i="2"/>
  <c r="A89" i="2"/>
  <c r="C88" i="2"/>
  <c r="B88" i="2"/>
  <c r="A88" i="2"/>
  <c r="B87" i="2"/>
  <c r="A87" i="2"/>
  <c r="C86" i="2"/>
  <c r="B86" i="2"/>
  <c r="A86" i="2"/>
  <c r="C85" i="2"/>
  <c r="B85" i="2"/>
  <c r="A85" i="2"/>
  <c r="B84" i="2"/>
  <c r="A84" i="2"/>
  <c r="C83" i="2"/>
  <c r="B83" i="2"/>
  <c r="A83" i="2"/>
  <c r="C82" i="2"/>
  <c r="B82" i="2"/>
  <c r="C81" i="2"/>
  <c r="B81" i="2"/>
  <c r="A81" i="2"/>
  <c r="B80" i="2"/>
  <c r="A80" i="2"/>
  <c r="C79" i="2"/>
  <c r="B79" i="2"/>
  <c r="A79" i="2"/>
  <c r="C78" i="2"/>
  <c r="B78" i="2"/>
  <c r="C77" i="2"/>
  <c r="B77" i="2"/>
  <c r="A77" i="2"/>
  <c r="C76" i="2"/>
  <c r="B76" i="2"/>
  <c r="A76" i="2"/>
  <c r="C75" i="2"/>
  <c r="B75" i="2"/>
  <c r="A75" i="2"/>
  <c r="C74" i="2"/>
  <c r="B74" i="2"/>
  <c r="A74" i="2"/>
  <c r="C73" i="2"/>
  <c r="B73" i="2"/>
  <c r="A73" i="2"/>
  <c r="C72" i="2"/>
  <c r="B72" i="2"/>
  <c r="A72" i="2"/>
  <c r="C71" i="2"/>
  <c r="B71" i="2"/>
  <c r="A71" i="2"/>
  <c r="B70" i="2"/>
  <c r="A70" i="2"/>
  <c r="C69" i="2"/>
  <c r="B69" i="2"/>
  <c r="A69" i="2"/>
  <c r="C68" i="2"/>
  <c r="B68" i="2"/>
  <c r="C67" i="2"/>
  <c r="B67" i="2"/>
  <c r="A67" i="2"/>
  <c r="C66" i="2"/>
  <c r="B66" i="2"/>
  <c r="A66" i="2"/>
  <c r="C65" i="2"/>
  <c r="B65" i="2"/>
  <c r="A65" i="2"/>
  <c r="C64" i="2"/>
  <c r="B64" i="2"/>
  <c r="A64" i="2"/>
  <c r="C63" i="2"/>
  <c r="B63" i="2"/>
  <c r="A63" i="2"/>
  <c r="C62" i="2"/>
  <c r="B62" i="2"/>
  <c r="A62" i="2"/>
  <c r="C61" i="2"/>
  <c r="B61" i="2"/>
  <c r="A61" i="2"/>
  <c r="C60" i="2"/>
  <c r="B60" i="2"/>
  <c r="A60" i="2"/>
  <c r="C59" i="2"/>
  <c r="B59" i="2"/>
  <c r="A59" i="2"/>
  <c r="B58" i="2"/>
  <c r="A58" i="2"/>
  <c r="C57" i="2"/>
  <c r="B57" i="2"/>
  <c r="A57" i="2"/>
  <c r="C56" i="2"/>
  <c r="B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B42" i="2"/>
  <c r="A42" i="2"/>
  <c r="C41" i="2"/>
  <c r="B41" i="2"/>
  <c r="A41" i="2"/>
  <c r="C40" i="2"/>
  <c r="B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B27" i="2"/>
  <c r="A27" i="2"/>
  <c r="C26" i="2"/>
  <c r="B26" i="2"/>
  <c r="A26" i="2"/>
  <c r="C25" i="2"/>
  <c r="B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3" i="2"/>
  <c r="C12" i="2"/>
  <c r="C11" i="2"/>
  <c r="C10" i="2"/>
  <c r="C9" i="2"/>
  <c r="M8" i="2"/>
  <c r="L8" i="2"/>
  <c r="K8" i="2"/>
  <c r="J8" i="2"/>
  <c r="C8" i="2"/>
  <c r="O7" i="2"/>
  <c r="H7" i="2"/>
  <c r="G7" i="2"/>
  <c r="F7" i="2"/>
  <c r="E7" i="2"/>
  <c r="O6" i="2"/>
  <c r="H6" i="2"/>
  <c r="G6" i="2"/>
  <c r="F6" i="2"/>
  <c r="E6" i="2"/>
  <c r="D6" i="2"/>
  <c r="C5" i="2"/>
  <c r="C4" i="2"/>
  <c r="C2" i="2"/>
  <c r="B28" i="7"/>
  <c r="B27" i="7"/>
  <c r="A27" i="7"/>
  <c r="B26" i="7"/>
  <c r="B25" i="7"/>
  <c r="B24" i="7"/>
  <c r="B23" i="7"/>
  <c r="B22" i="7"/>
  <c r="B21" i="7"/>
  <c r="A20" i="7"/>
  <c r="B19" i="7"/>
  <c r="B18" i="7"/>
  <c r="A18" i="7"/>
  <c r="B17" i="7"/>
  <c r="B16" i="7"/>
  <c r="B15" i="7"/>
  <c r="B14" i="7"/>
  <c r="A14" i="7"/>
  <c r="A12" i="7"/>
  <c r="B10" i="7"/>
  <c r="A10" i="7"/>
  <c r="A9" i="7"/>
  <c r="A7" i="7"/>
  <c r="A4" i="7"/>
  <c r="A1" i="7"/>
  <c r="B7" i="8"/>
  <c r="B5" i="8"/>
  <c r="AD18" i="4"/>
  <c r="AD16" i="4"/>
  <c r="AD15" i="4"/>
  <c r="AD14" i="4"/>
  <c r="AD13" i="4"/>
  <c r="AD12" i="4"/>
  <c r="I23" i="6"/>
  <c r="K12" i="4" l="1"/>
  <c r="I12" i="4"/>
  <c r="D12" i="2"/>
  <c r="D11" i="2"/>
  <c r="I97" i="2"/>
  <c r="I107" i="2" s="1"/>
  <c r="I112" i="2" s="1"/>
  <c r="I117" i="2" s="1"/>
  <c r="I121" i="2" s="1"/>
  <c r="I125" i="2" s="1"/>
  <c r="I129" i="2" s="1"/>
  <c r="J136" i="2" l="1"/>
  <c r="M136" i="2" s="1"/>
  <c r="J135" i="2"/>
  <c r="M135" i="2" s="1"/>
  <c r="R79" i="6" l="1"/>
  <c r="H93" i="2" l="1"/>
  <c r="H97" i="2" s="1"/>
  <c r="H107" i="2" s="1"/>
  <c r="H112" i="2" s="1"/>
  <c r="H117" i="2" s="1"/>
  <c r="H121" i="2" s="1"/>
  <c r="H125" i="2" s="1"/>
  <c r="H129" i="2" s="1"/>
  <c r="H79" i="2"/>
  <c r="H83" i="2" s="1"/>
  <c r="H57" i="2"/>
  <c r="H69" i="2" s="1"/>
  <c r="H26" i="2"/>
  <c r="H41" i="2" s="1"/>
  <c r="H85" i="2" l="1"/>
  <c r="H86" i="2" s="1"/>
  <c r="G12" i="4" l="1"/>
  <c r="B62" i="6" l="1"/>
  <c r="J65" i="2"/>
  <c r="M65" i="2" s="1"/>
  <c r="B32" i="6"/>
  <c r="J35" i="2"/>
  <c r="M35" i="2" s="1"/>
  <c r="Y32" i="6" l="1"/>
  <c r="Y62" i="6"/>
  <c r="J133" i="2"/>
  <c r="M133" i="2" s="1"/>
  <c r="G93" i="2" l="1"/>
  <c r="G97" i="2" s="1"/>
  <c r="G107" i="2" s="1"/>
  <c r="G112" i="2" s="1"/>
  <c r="G117" i="2" s="1"/>
  <c r="G121" i="2" s="1"/>
  <c r="G125" i="2" s="1"/>
  <c r="G129" i="2" s="1"/>
  <c r="G79" i="2"/>
  <c r="G83" i="2" s="1"/>
  <c r="G57" i="2"/>
  <c r="G69" i="2" s="1"/>
  <c r="G85" i="2" s="1"/>
  <c r="G26" i="2"/>
  <c r="G41" i="2" s="1"/>
  <c r="G86" i="2" l="1"/>
  <c r="B13" i="4"/>
  <c r="E8" i="2"/>
  <c r="K13" i="4" l="1"/>
  <c r="I13" i="4"/>
  <c r="E11" i="2"/>
  <c r="E12" i="2"/>
  <c r="B14" i="4"/>
  <c r="F8" i="2"/>
  <c r="G13" i="4"/>
  <c r="B125" i="6"/>
  <c r="K14" i="4" l="1"/>
  <c r="I14" i="4"/>
  <c r="F11" i="2"/>
  <c r="F12" i="2"/>
  <c r="G8" i="2"/>
  <c r="B15" i="4"/>
  <c r="Y125" i="6"/>
  <c r="B105" i="6"/>
  <c r="B104" i="6"/>
  <c r="B103" i="6"/>
  <c r="F93" i="2"/>
  <c r="F97" i="2" s="1"/>
  <c r="F107" i="2" s="1"/>
  <c r="F112" i="2" s="1"/>
  <c r="F117" i="2" s="1"/>
  <c r="F121" i="2" s="1"/>
  <c r="F125" i="2" s="1"/>
  <c r="F129" i="2" s="1"/>
  <c r="L93" i="2"/>
  <c r="L97" i="2" s="1"/>
  <c r="L107" i="2" s="1"/>
  <c r="L112" i="2" s="1"/>
  <c r="L117" i="2" s="1"/>
  <c r="L121" i="2" s="1"/>
  <c r="L125" i="2" s="1"/>
  <c r="L129" i="2" s="1"/>
  <c r="K93" i="2"/>
  <c r="K97" i="2" s="1"/>
  <c r="K107" i="2" s="1"/>
  <c r="K112" i="2" s="1"/>
  <c r="K117" i="2" s="1"/>
  <c r="K121" i="2" s="1"/>
  <c r="K125" i="2" s="1"/>
  <c r="K129" i="2" s="1"/>
  <c r="E93" i="2"/>
  <c r="E97" i="2" s="1"/>
  <c r="E107" i="2" s="1"/>
  <c r="E112" i="2" s="1"/>
  <c r="E117" i="2" s="1"/>
  <c r="E121" i="2" s="1"/>
  <c r="E125" i="2" s="1"/>
  <c r="E129" i="2" s="1"/>
  <c r="D93" i="2"/>
  <c r="D97" i="2" s="1"/>
  <c r="D107" i="2" s="1"/>
  <c r="D112" i="2" s="1"/>
  <c r="D117" i="2" s="1"/>
  <c r="D121" i="2" s="1"/>
  <c r="D125" i="2" s="1"/>
  <c r="D129" i="2" s="1"/>
  <c r="O93" i="2"/>
  <c r="O97" i="2" s="1"/>
  <c r="O107" i="2" s="1"/>
  <c r="O112" i="2" s="1"/>
  <c r="O117" i="2" s="1"/>
  <c r="O121" i="2" s="1"/>
  <c r="O125" i="2" s="1"/>
  <c r="O129" i="2" s="1"/>
  <c r="J90" i="6"/>
  <c r="J94" i="6" s="1"/>
  <c r="J104" i="6" s="1"/>
  <c r="J109" i="6" s="1"/>
  <c r="J114" i="6" s="1"/>
  <c r="J118" i="6" s="1"/>
  <c r="J122" i="6" s="1"/>
  <c r="J126" i="6" s="1"/>
  <c r="I90" i="6"/>
  <c r="I94" i="6" s="1"/>
  <c r="I104" i="6" s="1"/>
  <c r="I109" i="6" s="1"/>
  <c r="I114" i="6" s="1"/>
  <c r="I118" i="6" s="1"/>
  <c r="I122" i="6" s="1"/>
  <c r="I126" i="6" s="1"/>
  <c r="B89" i="6"/>
  <c r="B90" i="6"/>
  <c r="B88" i="6"/>
  <c r="J91" i="2"/>
  <c r="M91" i="2" s="1"/>
  <c r="J140" i="2"/>
  <c r="M140" i="2" s="1"/>
  <c r="J138" i="2"/>
  <c r="M138" i="2" s="1"/>
  <c r="J137" i="2"/>
  <c r="M137" i="2" s="1"/>
  <c r="J134" i="2"/>
  <c r="M134" i="2" s="1"/>
  <c r="J127" i="2"/>
  <c r="M127" i="2" s="1"/>
  <c r="J123" i="2"/>
  <c r="M123" i="2" s="1"/>
  <c r="J119" i="2"/>
  <c r="M119" i="2" s="1"/>
  <c r="J115" i="2"/>
  <c r="M115" i="2" s="1"/>
  <c r="J114" i="2"/>
  <c r="M114" i="2" s="1"/>
  <c r="J110" i="2"/>
  <c r="M110" i="2" s="1"/>
  <c r="J109" i="2"/>
  <c r="M109" i="2" s="1"/>
  <c r="J105" i="2"/>
  <c r="M105" i="2" s="1"/>
  <c r="J104" i="2"/>
  <c r="M104" i="2" s="1"/>
  <c r="J103" i="2"/>
  <c r="M103" i="2" s="1"/>
  <c r="J102" i="2"/>
  <c r="M102" i="2" s="1"/>
  <c r="J101" i="2"/>
  <c r="M101" i="2" s="1"/>
  <c r="J100" i="2"/>
  <c r="M100" i="2" s="1"/>
  <c r="J99" i="2"/>
  <c r="M99" i="2" s="1"/>
  <c r="J95" i="2"/>
  <c r="M95" i="2" s="1"/>
  <c r="J90" i="2"/>
  <c r="M90" i="2" s="1"/>
  <c r="J81" i="2"/>
  <c r="M81" i="2" s="1"/>
  <c r="J77" i="2"/>
  <c r="M77" i="2" s="1"/>
  <c r="J76" i="2"/>
  <c r="M76" i="2" s="1"/>
  <c r="J75" i="2"/>
  <c r="M75" i="2" s="1"/>
  <c r="J74" i="2"/>
  <c r="M74" i="2" s="1"/>
  <c r="J73" i="2"/>
  <c r="M73" i="2" s="1"/>
  <c r="J72" i="2"/>
  <c r="M72" i="2" s="1"/>
  <c r="J67" i="2"/>
  <c r="M67" i="2" s="1"/>
  <c r="J66" i="2"/>
  <c r="M66" i="2" s="1"/>
  <c r="J64" i="2"/>
  <c r="M64" i="2" s="1"/>
  <c r="J63" i="2"/>
  <c r="M63" i="2" s="1"/>
  <c r="J62" i="2"/>
  <c r="M62" i="2" s="1"/>
  <c r="J61" i="2"/>
  <c r="M61" i="2" s="1"/>
  <c r="J60" i="2"/>
  <c r="M60" i="2" s="1"/>
  <c r="J59" i="2"/>
  <c r="M59" i="2" s="1"/>
  <c r="J55" i="2"/>
  <c r="M55" i="2" s="1"/>
  <c r="J54" i="2"/>
  <c r="M54" i="2" s="1"/>
  <c r="J53" i="2"/>
  <c r="M53" i="2" s="1"/>
  <c r="J52" i="2"/>
  <c r="M52" i="2" s="1"/>
  <c r="J51" i="2"/>
  <c r="M51" i="2" s="1"/>
  <c r="J50" i="2"/>
  <c r="M50" i="2" s="1"/>
  <c r="J49" i="2"/>
  <c r="M49" i="2" s="1"/>
  <c r="J48" i="2"/>
  <c r="M48" i="2" s="1"/>
  <c r="J47" i="2"/>
  <c r="M47" i="2" s="1"/>
  <c r="J46" i="2"/>
  <c r="M46" i="2" s="1"/>
  <c r="J39" i="2"/>
  <c r="M39" i="2" s="1"/>
  <c r="J38" i="2"/>
  <c r="M38" i="2" s="1"/>
  <c r="J37" i="2"/>
  <c r="M37" i="2" s="1"/>
  <c r="J36" i="2"/>
  <c r="M36" i="2" s="1"/>
  <c r="J34" i="2"/>
  <c r="M34" i="2" s="1"/>
  <c r="J33" i="2"/>
  <c r="M33" i="2" s="1"/>
  <c r="J32" i="2"/>
  <c r="M32" i="2" s="1"/>
  <c r="J31" i="2"/>
  <c r="M31" i="2" s="1"/>
  <c r="J30" i="2"/>
  <c r="M30" i="2" s="1"/>
  <c r="J29" i="2"/>
  <c r="M29" i="2" s="1"/>
  <c r="J28" i="2"/>
  <c r="M28" i="2" s="1"/>
  <c r="J24" i="2"/>
  <c r="M24" i="2" s="1"/>
  <c r="J23" i="2"/>
  <c r="M23" i="2" s="1"/>
  <c r="J22" i="2"/>
  <c r="M22" i="2" s="1"/>
  <c r="J21" i="2"/>
  <c r="M21" i="2" s="1"/>
  <c r="J20" i="2"/>
  <c r="M20" i="2" s="1"/>
  <c r="J19" i="2"/>
  <c r="M19" i="2" s="1"/>
  <c r="J18" i="2"/>
  <c r="M18" i="2" s="1"/>
  <c r="J17" i="2"/>
  <c r="M17" i="2" s="1"/>
  <c r="J16" i="2"/>
  <c r="M16" i="2" s="1"/>
  <c r="K15" i="4" l="1"/>
  <c r="I15" i="4"/>
  <c r="G11" i="2"/>
  <c r="G12" i="2"/>
  <c r="B16" i="4"/>
  <c r="B17" i="4" s="1"/>
  <c r="H8" i="2"/>
  <c r="I8" i="2" s="1"/>
  <c r="Y89" i="6"/>
  <c r="Y103" i="6"/>
  <c r="Y88" i="6"/>
  <c r="Y90" i="6"/>
  <c r="Y104" i="6"/>
  <c r="J93" i="2"/>
  <c r="J97" i="2" s="1"/>
  <c r="J107" i="2" s="1"/>
  <c r="J112" i="2" s="1"/>
  <c r="J117" i="2" s="1"/>
  <c r="J121" i="2" s="1"/>
  <c r="J125" i="2" s="1"/>
  <c r="J129" i="2" s="1"/>
  <c r="M93" i="2"/>
  <c r="M97" i="2" s="1"/>
  <c r="M107" i="2" s="1"/>
  <c r="M112" i="2" s="1"/>
  <c r="M117" i="2" s="1"/>
  <c r="M121" i="2" s="1"/>
  <c r="M125" i="2" s="1"/>
  <c r="M129" i="2" s="1"/>
  <c r="B99" i="6"/>
  <c r="I19" i="4" l="1"/>
  <c r="K18" i="4"/>
  <c r="I16" i="4"/>
  <c r="K16" i="4"/>
  <c r="H11" i="2"/>
  <c r="H12" i="2"/>
  <c r="D16" i="4"/>
  <c r="C16" i="4"/>
  <c r="G16" i="4"/>
  <c r="Z16" i="4"/>
  <c r="E16" i="4"/>
  <c r="Y99" i="6"/>
  <c r="B63" i="6"/>
  <c r="B44" i="6"/>
  <c r="C44" i="6" s="1"/>
  <c r="B33" i="6"/>
  <c r="B35" i="6"/>
  <c r="B34" i="6"/>
  <c r="O12" i="2" l="1"/>
  <c r="I18" i="4"/>
  <c r="I20" i="4"/>
  <c r="K19" i="4"/>
  <c r="K20" i="4"/>
  <c r="O11" i="2"/>
  <c r="E15" i="4"/>
  <c r="D15" i="4"/>
  <c r="C15" i="4"/>
  <c r="G15" i="4"/>
  <c r="G14" i="4"/>
  <c r="Z15" i="4"/>
  <c r="Y44" i="6"/>
  <c r="Y33" i="6"/>
  <c r="Y34" i="6"/>
  <c r="Y35" i="6"/>
  <c r="Y63" i="6"/>
  <c r="K21" i="4" l="1"/>
  <c r="L14" i="4" s="1"/>
  <c r="I21" i="4"/>
  <c r="J13" i="4" s="1"/>
  <c r="L20" i="4"/>
  <c r="O79" i="2"/>
  <c r="L79" i="2"/>
  <c r="K79" i="2"/>
  <c r="F79" i="2"/>
  <c r="E79" i="2"/>
  <c r="D79" i="2"/>
  <c r="O57" i="2"/>
  <c r="L57" i="2"/>
  <c r="K57" i="2"/>
  <c r="F57" i="2"/>
  <c r="E57" i="2"/>
  <c r="D57" i="2"/>
  <c r="D69" i="2" s="1"/>
  <c r="O26" i="2"/>
  <c r="L26" i="2"/>
  <c r="K26" i="2"/>
  <c r="F26" i="2"/>
  <c r="E26" i="2"/>
  <c r="D26" i="2"/>
  <c r="L15" i="4" l="1"/>
  <c r="L13" i="4"/>
  <c r="L19" i="4"/>
  <c r="L21" i="4"/>
  <c r="L18" i="4"/>
  <c r="L12" i="4"/>
  <c r="J16" i="4"/>
  <c r="L16" i="4"/>
  <c r="J19" i="4"/>
  <c r="J12" i="4"/>
  <c r="J15" i="4"/>
  <c r="J21" i="4"/>
  <c r="J14" i="4"/>
  <c r="J20" i="4"/>
  <c r="J18" i="4"/>
  <c r="G19" i="4"/>
  <c r="E62" i="6"/>
  <c r="D99" i="6"/>
  <c r="C90" i="6"/>
  <c r="D89" i="6"/>
  <c r="C35" i="6"/>
  <c r="D104" i="6"/>
  <c r="D103" i="6"/>
  <c r="D88" i="6"/>
  <c r="E33" i="6"/>
  <c r="E44" i="6"/>
  <c r="D35" i="6"/>
  <c r="E32" i="6"/>
  <c r="C103" i="6"/>
  <c r="C99" i="6"/>
  <c r="D125" i="6"/>
  <c r="C33" i="6"/>
  <c r="D32" i="6"/>
  <c r="E63" i="6"/>
  <c r="C62" i="6"/>
  <c r="C88" i="6"/>
  <c r="D44" i="6"/>
  <c r="G18" i="4"/>
  <c r="E125" i="6"/>
  <c r="E88" i="6"/>
  <c r="D33" i="6"/>
  <c r="E34" i="6"/>
  <c r="C104" i="6"/>
  <c r="C125" i="6"/>
  <c r="D63" i="6"/>
  <c r="E90" i="6"/>
  <c r="C63" i="6"/>
  <c r="D90" i="6"/>
  <c r="E104" i="6"/>
  <c r="E99" i="6"/>
  <c r="C89" i="6"/>
  <c r="C34" i="6"/>
  <c r="E35" i="6"/>
  <c r="C32" i="6"/>
  <c r="D34" i="6"/>
  <c r="E103" i="6"/>
  <c r="E89" i="6"/>
  <c r="F83" i="2"/>
  <c r="F69" i="2"/>
  <c r="F41" i="2"/>
  <c r="D62" i="6" l="1"/>
  <c r="G20" i="4"/>
  <c r="G21" i="4" s="1"/>
  <c r="F85" i="2"/>
  <c r="F86" i="2" s="1"/>
  <c r="E83" i="2"/>
  <c r="E69" i="2"/>
  <c r="E41" i="2"/>
  <c r="D5" i="4"/>
  <c r="D4" i="4"/>
  <c r="C5" i="6"/>
  <c r="C4" i="6"/>
  <c r="H12" i="4" l="1"/>
  <c r="H21" i="4"/>
  <c r="H16" i="4"/>
  <c r="H19" i="4"/>
  <c r="H20" i="4"/>
  <c r="H13" i="4"/>
  <c r="H18" i="4"/>
  <c r="H15" i="4"/>
  <c r="H14" i="4"/>
  <c r="E85" i="2"/>
  <c r="E86" i="2" s="1"/>
  <c r="K83" i="2" l="1"/>
  <c r="K69" i="2"/>
  <c r="K41" i="2"/>
  <c r="K85" i="2" l="1"/>
  <c r="K86" i="2" s="1"/>
  <c r="J76" i="6" l="1"/>
  <c r="J80" i="6" s="1"/>
  <c r="J54" i="6"/>
  <c r="J66" i="6" s="1"/>
  <c r="I76" i="6"/>
  <c r="I54" i="6"/>
  <c r="I80" i="6" l="1"/>
  <c r="I66" i="6"/>
  <c r="J82" i="6"/>
  <c r="B128" i="6"/>
  <c r="O83" i="2"/>
  <c r="O69" i="2"/>
  <c r="O41" i="2"/>
  <c r="B93" i="6"/>
  <c r="L83" i="2"/>
  <c r="L69" i="2"/>
  <c r="I82" i="6" l="1"/>
  <c r="Y128" i="6"/>
  <c r="Y93" i="6"/>
  <c r="C128" i="6"/>
  <c r="E128" i="6"/>
  <c r="D128" i="6"/>
  <c r="C93" i="6"/>
  <c r="E93" i="6"/>
  <c r="D93" i="6"/>
  <c r="L85" i="2"/>
  <c r="D83" i="2"/>
  <c r="D85" i="2" s="1"/>
  <c r="O85" i="2"/>
  <c r="O86" i="2" s="1"/>
  <c r="D41" i="2"/>
  <c r="B126" i="6"/>
  <c r="B124" i="6"/>
  <c r="B123" i="6"/>
  <c r="B122" i="6"/>
  <c r="B121" i="6"/>
  <c r="B120" i="6"/>
  <c r="B119" i="6"/>
  <c r="B118" i="6"/>
  <c r="B117" i="6"/>
  <c r="B116" i="6"/>
  <c r="B115" i="6"/>
  <c r="B114" i="6"/>
  <c r="B113" i="6"/>
  <c r="B112" i="6"/>
  <c r="B111" i="6"/>
  <c r="B110" i="6"/>
  <c r="B109" i="6"/>
  <c r="B108" i="6"/>
  <c r="B107" i="6"/>
  <c r="B106" i="6"/>
  <c r="B102" i="6"/>
  <c r="B101" i="6"/>
  <c r="B100" i="6"/>
  <c r="B98" i="6"/>
  <c r="B97" i="6"/>
  <c r="B96" i="6"/>
  <c r="B95" i="6"/>
  <c r="B94" i="6"/>
  <c r="B92" i="6"/>
  <c r="B87" i="6"/>
  <c r="B86" i="6"/>
  <c r="B85" i="6"/>
  <c r="B84" i="6"/>
  <c r="B82" i="6"/>
  <c r="B81" i="6"/>
  <c r="B80" i="6"/>
  <c r="B79" i="6"/>
  <c r="B78" i="6"/>
  <c r="B77" i="6"/>
  <c r="B76" i="6"/>
  <c r="B75" i="6"/>
  <c r="B74" i="6"/>
  <c r="B73" i="6"/>
  <c r="B72" i="6"/>
  <c r="B71" i="6"/>
  <c r="B70" i="6"/>
  <c r="B69" i="6"/>
  <c r="B68" i="6"/>
  <c r="B67" i="6"/>
  <c r="B66" i="6"/>
  <c r="B65" i="6"/>
  <c r="B64" i="6"/>
  <c r="B61" i="6"/>
  <c r="B60" i="6"/>
  <c r="B59" i="6"/>
  <c r="B58" i="6"/>
  <c r="B57" i="6"/>
  <c r="B56" i="6"/>
  <c r="B55" i="6"/>
  <c r="B54" i="6"/>
  <c r="B53" i="6"/>
  <c r="B52" i="6"/>
  <c r="B51" i="6"/>
  <c r="B50" i="6"/>
  <c r="B49" i="6"/>
  <c r="B48" i="6"/>
  <c r="B47" i="6"/>
  <c r="B46" i="6"/>
  <c r="B45" i="6"/>
  <c r="B43" i="6"/>
  <c r="B42" i="6"/>
  <c r="B41" i="6"/>
  <c r="B40" i="6"/>
  <c r="B39" i="6"/>
  <c r="B38" i="6"/>
  <c r="B37" i="6"/>
  <c r="B36" i="6"/>
  <c r="B31" i="6"/>
  <c r="B30" i="6"/>
  <c r="B29" i="6"/>
  <c r="B28" i="6"/>
  <c r="B27" i="6"/>
  <c r="B26" i="6"/>
  <c r="B25" i="6"/>
  <c r="B24" i="6"/>
  <c r="B23" i="6"/>
  <c r="B22" i="6"/>
  <c r="B21" i="6"/>
  <c r="B20" i="6"/>
  <c r="B19" i="6"/>
  <c r="B18" i="6"/>
  <c r="B17" i="6"/>
  <c r="B16" i="6"/>
  <c r="B15" i="6"/>
  <c r="B14" i="6"/>
  <c r="B13" i="6"/>
  <c r="B12" i="6"/>
  <c r="B11" i="6"/>
  <c r="B10" i="6"/>
  <c r="D86" i="2" l="1"/>
  <c r="E82" i="6"/>
  <c r="D82" i="6"/>
  <c r="Y16" i="6"/>
  <c r="Y36" i="6"/>
  <c r="Y13" i="6"/>
  <c r="Y21" i="6"/>
  <c r="Y14" i="6"/>
  <c r="Y18" i="6"/>
  <c r="Y26" i="6"/>
  <c r="Y30" i="6"/>
  <c r="Y38" i="6"/>
  <c r="Y47" i="6"/>
  <c r="Y51" i="6"/>
  <c r="Y59" i="6"/>
  <c r="Y65" i="6"/>
  <c r="Y69" i="6"/>
  <c r="Y73" i="6"/>
  <c r="Y100" i="6"/>
  <c r="Y107" i="6"/>
  <c r="Y111" i="6"/>
  <c r="Y15" i="6"/>
  <c r="Y19" i="6"/>
  <c r="Y27" i="6"/>
  <c r="Y31" i="6"/>
  <c r="Y43" i="6"/>
  <c r="Y48" i="6"/>
  <c r="Y52" i="6"/>
  <c r="Y56" i="6"/>
  <c r="Y60" i="6"/>
  <c r="Y66" i="6"/>
  <c r="Y70" i="6"/>
  <c r="Y74" i="6"/>
  <c r="Y78" i="6"/>
  <c r="Y82" i="6"/>
  <c r="Y87" i="6"/>
  <c r="Y96" i="6"/>
  <c r="Y101" i="6"/>
  <c r="Y108" i="6"/>
  <c r="Y112" i="6"/>
  <c r="Y116" i="6"/>
  <c r="Y120" i="6"/>
  <c r="Y124" i="6"/>
  <c r="Y28" i="6"/>
  <c r="Y49" i="6"/>
  <c r="Y53" i="6"/>
  <c r="Y57" i="6"/>
  <c r="Y61" i="6"/>
  <c r="Y71" i="6"/>
  <c r="Y75" i="6"/>
  <c r="Y79" i="6"/>
  <c r="Y92" i="6"/>
  <c r="Y97" i="6"/>
  <c r="Y102" i="6"/>
  <c r="Y109" i="6"/>
  <c r="Y113" i="6"/>
  <c r="Y117" i="6"/>
  <c r="Y121" i="6"/>
  <c r="Y126" i="6"/>
  <c r="Y20" i="6"/>
  <c r="Y45" i="6"/>
  <c r="Y17" i="6"/>
  <c r="Y25" i="6"/>
  <c r="Y29" i="6"/>
  <c r="Y46" i="6"/>
  <c r="Y50" i="6"/>
  <c r="Y54" i="6"/>
  <c r="Y58" i="6"/>
  <c r="Y64" i="6"/>
  <c r="Y72" i="6"/>
  <c r="Y76" i="6"/>
  <c r="Y80" i="6"/>
  <c r="Y94" i="6"/>
  <c r="Y98" i="6"/>
  <c r="Y106" i="6"/>
  <c r="Y114" i="6"/>
  <c r="Y118" i="6"/>
  <c r="Y122" i="6"/>
  <c r="E38" i="6"/>
  <c r="C20" i="6"/>
  <c r="E20" i="6"/>
  <c r="D20" i="6"/>
  <c r="E36" i="6"/>
  <c r="D36" i="6"/>
  <c r="C36" i="6"/>
  <c r="C17" i="6"/>
  <c r="E17" i="6"/>
  <c r="D17" i="6"/>
  <c r="D21" i="6"/>
  <c r="C21" i="6"/>
  <c r="E21" i="6"/>
  <c r="E25" i="6"/>
  <c r="D25" i="6"/>
  <c r="C25" i="6"/>
  <c r="E29" i="6"/>
  <c r="D29" i="6"/>
  <c r="C29" i="6"/>
  <c r="E37" i="6"/>
  <c r="D37" i="6"/>
  <c r="C37" i="6"/>
  <c r="E46" i="6"/>
  <c r="D46" i="6"/>
  <c r="C46" i="6"/>
  <c r="E50" i="6"/>
  <c r="D50" i="6"/>
  <c r="C50" i="6"/>
  <c r="E54" i="6"/>
  <c r="D54" i="6"/>
  <c r="E58" i="6"/>
  <c r="D58" i="6"/>
  <c r="C58" i="6"/>
  <c r="C64" i="6"/>
  <c r="E64" i="6"/>
  <c r="D64" i="6"/>
  <c r="E72" i="6"/>
  <c r="D72" i="6"/>
  <c r="C72" i="6"/>
  <c r="E76" i="6"/>
  <c r="D76" i="6"/>
  <c r="D80" i="6"/>
  <c r="E80" i="6"/>
  <c r="D94" i="6"/>
  <c r="C94" i="6"/>
  <c r="E94" i="6"/>
  <c r="C98" i="6"/>
  <c r="E98" i="6"/>
  <c r="D98" i="6"/>
  <c r="E106" i="6"/>
  <c r="D106" i="6"/>
  <c r="C106" i="6"/>
  <c r="E114" i="6"/>
  <c r="D114" i="6"/>
  <c r="D118" i="6"/>
  <c r="E118" i="6"/>
  <c r="E122" i="6"/>
  <c r="D122" i="6"/>
  <c r="E28" i="6"/>
  <c r="D28" i="6"/>
  <c r="C28" i="6"/>
  <c r="D13" i="6"/>
  <c r="E13" i="6"/>
  <c r="C13" i="6"/>
  <c r="D14" i="6"/>
  <c r="E14" i="6"/>
  <c r="C14" i="6"/>
  <c r="D18" i="6"/>
  <c r="E18" i="6"/>
  <c r="C18" i="6"/>
  <c r="E22" i="6"/>
  <c r="D22" i="6"/>
  <c r="C22" i="6"/>
  <c r="C26" i="6"/>
  <c r="E26" i="6"/>
  <c r="D26" i="6"/>
  <c r="C30" i="6"/>
  <c r="E30" i="6"/>
  <c r="D30" i="6"/>
  <c r="C47" i="6"/>
  <c r="E47" i="6"/>
  <c r="D47" i="6"/>
  <c r="C51" i="6"/>
  <c r="E51" i="6"/>
  <c r="D51" i="6"/>
  <c r="E59" i="6"/>
  <c r="D59" i="6"/>
  <c r="C59" i="6"/>
  <c r="D65" i="6"/>
  <c r="C65" i="6"/>
  <c r="E65" i="6"/>
  <c r="E69" i="6"/>
  <c r="D69" i="6"/>
  <c r="C69" i="6"/>
  <c r="E73" i="6"/>
  <c r="D73" i="6"/>
  <c r="C73" i="6"/>
  <c r="E100" i="6"/>
  <c r="D100" i="6"/>
  <c r="C100" i="6"/>
  <c r="C107" i="6"/>
  <c r="E107" i="6"/>
  <c r="D107" i="6"/>
  <c r="E111" i="6"/>
  <c r="D111" i="6"/>
  <c r="C111" i="6"/>
  <c r="E15" i="6"/>
  <c r="C15" i="6"/>
  <c r="D15" i="6"/>
  <c r="E19" i="6"/>
  <c r="D19" i="6"/>
  <c r="C19" i="6"/>
  <c r="D23" i="6"/>
  <c r="E23" i="6"/>
  <c r="D27" i="6"/>
  <c r="C27" i="6"/>
  <c r="E27" i="6"/>
  <c r="D31" i="6"/>
  <c r="C31" i="6"/>
  <c r="E31" i="6"/>
  <c r="C43" i="6"/>
  <c r="E43" i="6"/>
  <c r="D43" i="6"/>
  <c r="D48" i="6"/>
  <c r="C48" i="6"/>
  <c r="E48" i="6"/>
  <c r="D52" i="6"/>
  <c r="C52" i="6"/>
  <c r="E52" i="6"/>
  <c r="C56" i="6"/>
  <c r="E56" i="6"/>
  <c r="D56" i="6"/>
  <c r="C60" i="6"/>
  <c r="E60" i="6"/>
  <c r="D60" i="6"/>
  <c r="E66" i="6"/>
  <c r="D66" i="6"/>
  <c r="C70" i="6"/>
  <c r="E70" i="6"/>
  <c r="D70" i="6"/>
  <c r="C74" i="6"/>
  <c r="E74" i="6"/>
  <c r="D74" i="6"/>
  <c r="E78" i="6"/>
  <c r="D78" i="6"/>
  <c r="C78" i="6"/>
  <c r="E87" i="6"/>
  <c r="D87" i="6"/>
  <c r="C87" i="6"/>
  <c r="E96" i="6"/>
  <c r="D96" i="6"/>
  <c r="C96" i="6"/>
  <c r="E101" i="6"/>
  <c r="D101" i="6"/>
  <c r="C101" i="6"/>
  <c r="D108" i="6"/>
  <c r="C108" i="6"/>
  <c r="E108" i="6"/>
  <c r="C112" i="6"/>
  <c r="E112" i="6"/>
  <c r="D112" i="6"/>
  <c r="E116" i="6"/>
  <c r="D116" i="6"/>
  <c r="C116" i="6"/>
  <c r="E120" i="6"/>
  <c r="D120" i="6"/>
  <c r="C120" i="6"/>
  <c r="D124" i="6"/>
  <c r="C124" i="6"/>
  <c r="E124" i="6"/>
  <c r="E16" i="6"/>
  <c r="D16" i="6"/>
  <c r="C16" i="6"/>
  <c r="E45" i="6"/>
  <c r="D45" i="6"/>
  <c r="C45" i="6"/>
  <c r="E49" i="6"/>
  <c r="D49" i="6"/>
  <c r="C49" i="6"/>
  <c r="E53" i="6"/>
  <c r="D53" i="6"/>
  <c r="C53" i="6"/>
  <c r="D57" i="6"/>
  <c r="C57" i="6"/>
  <c r="E57" i="6"/>
  <c r="D61" i="6"/>
  <c r="C61" i="6"/>
  <c r="E61" i="6"/>
  <c r="D71" i="6"/>
  <c r="C71" i="6"/>
  <c r="E71" i="6"/>
  <c r="D75" i="6"/>
  <c r="C75" i="6"/>
  <c r="E75" i="6"/>
  <c r="C79" i="6"/>
  <c r="E79" i="6"/>
  <c r="D79" i="6"/>
  <c r="E92" i="6"/>
  <c r="D92" i="6"/>
  <c r="C92" i="6"/>
  <c r="E97" i="6"/>
  <c r="D97" i="6"/>
  <c r="C97" i="6"/>
  <c r="C102" i="6"/>
  <c r="E102" i="6"/>
  <c r="D102" i="6"/>
  <c r="E109" i="6"/>
  <c r="D109" i="6"/>
  <c r="C109" i="6"/>
  <c r="D113" i="6"/>
  <c r="C113" i="6"/>
  <c r="E113" i="6"/>
  <c r="C117" i="6"/>
  <c r="E117" i="6"/>
  <c r="D117" i="6"/>
  <c r="E121" i="6"/>
  <c r="D121" i="6"/>
  <c r="C121" i="6"/>
  <c r="E126" i="6"/>
  <c r="D126" i="6"/>
  <c r="L41" i="2"/>
  <c r="L86" i="2" s="1"/>
  <c r="S22" i="6" l="1"/>
  <c r="D38" i="6"/>
  <c r="Y23" i="6"/>
  <c r="Z12" i="4" l="1"/>
  <c r="E12" i="4"/>
  <c r="C12" i="4"/>
  <c r="D12" i="4"/>
  <c r="E13" i="4" l="1"/>
  <c r="Z13" i="4"/>
  <c r="D13" i="4"/>
  <c r="C13" i="4"/>
  <c r="M57" i="2" l="1"/>
  <c r="C54" i="6" s="1"/>
  <c r="M26" i="2"/>
  <c r="C23" i="6" s="1"/>
  <c r="M79" i="2"/>
  <c r="C76" i="6" s="1"/>
  <c r="M83" i="2" l="1"/>
  <c r="C80" i="6" s="1"/>
  <c r="M69" i="2"/>
  <c r="M41" i="2"/>
  <c r="C114" i="6"/>
  <c r="C38" i="6" l="1"/>
  <c r="M85" i="2"/>
  <c r="M86" i="2" s="1"/>
  <c r="C66" i="6"/>
  <c r="C118" i="6"/>
  <c r="C82" i="6" l="1"/>
  <c r="C122" i="6"/>
  <c r="C126" i="6" l="1"/>
  <c r="J26" i="2"/>
  <c r="J41" i="2" s="1"/>
  <c r="J57" i="2"/>
  <c r="J69" i="2" s="1"/>
  <c r="J79" i="2"/>
  <c r="J83" i="2" s="1"/>
  <c r="J85" i="2" l="1"/>
  <c r="J86" i="2" s="1"/>
  <c r="Z19" i="4" l="1"/>
  <c r="E18" i="4"/>
  <c r="Z18" i="4"/>
  <c r="Z14" i="4"/>
  <c r="E14" i="4"/>
  <c r="E19" i="4"/>
  <c r="Z20" i="4"/>
  <c r="E20" i="4"/>
  <c r="D14" i="4"/>
  <c r="D18" i="4"/>
  <c r="C18" i="4"/>
  <c r="C14" i="4"/>
  <c r="J23" i="6" l="1"/>
  <c r="J38" i="6" s="1"/>
  <c r="Q53" i="6"/>
  <c r="Q125" i="6"/>
  <c r="Q75" i="6"/>
  <c r="Q121" i="6"/>
  <c r="E21" i="4"/>
  <c r="Q37" i="6"/>
  <c r="Z21" i="4"/>
  <c r="Q22" i="6"/>
  <c r="Q93" i="6"/>
  <c r="Q65" i="6"/>
  <c r="Q117" i="6"/>
  <c r="Q108" i="6"/>
  <c r="H32" i="6"/>
  <c r="Q113" i="6"/>
  <c r="F16" i="4" l="1"/>
  <c r="AA16" i="4"/>
  <c r="H62" i="6"/>
  <c r="G62" i="6"/>
  <c r="K62" i="6"/>
  <c r="L62" i="6"/>
  <c r="G32" i="6"/>
  <c r="R32" i="6" s="1"/>
  <c r="S32" i="6" s="1"/>
  <c r="L32" i="6"/>
  <c r="K32" i="6"/>
  <c r="K61" i="6"/>
  <c r="F15" i="4"/>
  <c r="AA15" i="4"/>
  <c r="I38" i="6"/>
  <c r="F12" i="4"/>
  <c r="AA14" i="4"/>
  <c r="K99" i="6"/>
  <c r="K49" i="6"/>
  <c r="H103" i="6"/>
  <c r="K104" i="6"/>
  <c r="G93" i="6"/>
  <c r="K43" i="6"/>
  <c r="K125" i="6"/>
  <c r="AA12" i="4"/>
  <c r="AA13" i="4"/>
  <c r="AA20" i="4"/>
  <c r="F13" i="4"/>
  <c r="F20" i="4"/>
  <c r="F19" i="4"/>
  <c r="F21" i="4"/>
  <c r="F14" i="4"/>
  <c r="AA21" i="4"/>
  <c r="F18" i="4"/>
  <c r="L15" i="6"/>
  <c r="L54" i="6"/>
  <c r="L35" i="6"/>
  <c r="L93" i="6"/>
  <c r="K44" i="6"/>
  <c r="G64" i="6"/>
  <c r="L92" i="6"/>
  <c r="G122" i="6"/>
  <c r="L21" i="6"/>
  <c r="K73" i="6"/>
  <c r="K56" i="6"/>
  <c r="L51" i="6"/>
  <c r="K36" i="6"/>
  <c r="K100" i="6"/>
  <c r="H22" i="6"/>
  <c r="G37" i="6"/>
  <c r="H57" i="6"/>
  <c r="G34" i="6"/>
  <c r="G21" i="6"/>
  <c r="L126" i="6"/>
  <c r="G19" i="6"/>
  <c r="H100" i="6"/>
  <c r="K59" i="6"/>
  <c r="K71" i="6"/>
  <c r="G94" i="6"/>
  <c r="K25" i="6"/>
  <c r="K94" i="6"/>
  <c r="K90" i="6"/>
  <c r="K66" i="6"/>
  <c r="K64" i="6"/>
  <c r="K82" i="6"/>
  <c r="G106" i="6"/>
  <c r="L27" i="6"/>
  <c r="K78" i="6"/>
  <c r="L57" i="6"/>
  <c r="L38" i="6"/>
  <c r="L53" i="6"/>
  <c r="AA18" i="4"/>
  <c r="AA19" i="4"/>
  <c r="K101" i="6"/>
  <c r="K60" i="6"/>
  <c r="G60" i="6"/>
  <c r="K88" i="6"/>
  <c r="K51" i="6"/>
  <c r="L117" i="6"/>
  <c r="K102" i="6"/>
  <c r="L43" i="6"/>
  <c r="L63" i="6"/>
  <c r="H27" i="6"/>
  <c r="G107" i="6"/>
  <c r="G54" i="6"/>
  <c r="L20" i="6"/>
  <c r="H61" i="6"/>
  <c r="L80" i="6"/>
  <c r="K29" i="6"/>
  <c r="K31" i="6"/>
  <c r="G89" i="6"/>
  <c r="G73" i="6"/>
  <c r="H117" i="6"/>
  <c r="G20" i="6"/>
  <c r="H58" i="6"/>
  <c r="G71" i="6"/>
  <c r="L71" i="6"/>
  <c r="H82" i="6"/>
  <c r="K48" i="6"/>
  <c r="G17" i="6"/>
  <c r="H88" i="6"/>
  <c r="G45" i="6"/>
  <c r="G87" i="6"/>
  <c r="K72" i="6"/>
  <c r="H60" i="6"/>
  <c r="G23" i="6"/>
  <c r="L64" i="6"/>
  <c r="H101" i="6"/>
  <c r="H34" i="6"/>
  <c r="L74" i="6"/>
  <c r="K38" i="6"/>
  <c r="K33" i="6"/>
  <c r="L16" i="6"/>
  <c r="K54" i="6"/>
  <c r="K76" i="6"/>
  <c r="H59" i="6"/>
  <c r="H102" i="6"/>
  <c r="K118" i="6"/>
  <c r="K107" i="6"/>
  <c r="K122" i="6"/>
  <c r="K96" i="6"/>
  <c r="G26" i="6"/>
  <c r="G80" i="6"/>
  <c r="G97" i="6"/>
  <c r="G98" i="6"/>
  <c r="G66" i="6"/>
  <c r="G46" i="6"/>
  <c r="L33" i="6"/>
  <c r="H94" i="6"/>
  <c r="G56" i="6"/>
  <c r="L96" i="6"/>
  <c r="K114" i="6"/>
  <c r="K124" i="6"/>
  <c r="G35" i="6"/>
  <c r="H44" i="6"/>
  <c r="H111" i="6"/>
  <c r="G18" i="6"/>
  <c r="H113" i="6"/>
  <c r="G75" i="6"/>
  <c r="L29" i="6"/>
  <c r="K18" i="6"/>
  <c r="L56" i="6"/>
  <c r="G88" i="6"/>
  <c r="L113" i="6"/>
  <c r="L69" i="6"/>
  <c r="K92" i="6"/>
  <c r="G109" i="6"/>
  <c r="K75" i="6"/>
  <c r="H99" i="6"/>
  <c r="G43" i="6"/>
  <c r="K28" i="6"/>
  <c r="L104" i="6"/>
  <c r="G99" i="6"/>
  <c r="H125" i="6"/>
  <c r="G33" i="6"/>
  <c r="G27" i="6"/>
  <c r="L106" i="6"/>
  <c r="H97" i="6"/>
  <c r="G121" i="6"/>
  <c r="L97" i="6"/>
  <c r="H89" i="6"/>
  <c r="K22" i="6"/>
  <c r="L89" i="6"/>
  <c r="H53" i="6"/>
  <c r="G90" i="6"/>
  <c r="H48" i="6"/>
  <c r="G16" i="6"/>
  <c r="H74" i="6"/>
  <c r="L82" i="6"/>
  <c r="H65" i="6"/>
  <c r="K23" i="6"/>
  <c r="G117" i="6"/>
  <c r="L76" i="6"/>
  <c r="L59" i="6"/>
  <c r="H35" i="6"/>
  <c r="L122" i="6"/>
  <c r="H16" i="6"/>
  <c r="K128" i="6"/>
  <c r="H108" i="6"/>
  <c r="G69" i="6"/>
  <c r="H76" i="6"/>
  <c r="K52" i="6"/>
  <c r="H29" i="6"/>
  <c r="K69" i="6"/>
  <c r="K116" i="6"/>
  <c r="L121" i="6"/>
  <c r="K103" i="6"/>
  <c r="K47" i="6"/>
  <c r="G31" i="6"/>
  <c r="L37" i="6"/>
  <c r="L94" i="6"/>
  <c r="L19" i="6"/>
  <c r="H17" i="6"/>
  <c r="L61" i="6"/>
  <c r="H126" i="6"/>
  <c r="H71" i="6"/>
  <c r="G48" i="6"/>
  <c r="H64" i="6"/>
  <c r="H73" i="6"/>
  <c r="L48" i="6"/>
  <c r="G96" i="6"/>
  <c r="G102" i="6"/>
  <c r="G113" i="6"/>
  <c r="L28" i="6"/>
  <c r="G116" i="6"/>
  <c r="H15" i="6"/>
  <c r="K106" i="6"/>
  <c r="K34" i="6"/>
  <c r="H90" i="6"/>
  <c r="G38" i="6"/>
  <c r="G112" i="6"/>
  <c r="H80" i="6"/>
  <c r="H21" i="6"/>
  <c r="H37" i="6"/>
  <c r="H25" i="6"/>
  <c r="L25" i="6"/>
  <c r="G25" i="6"/>
  <c r="H63" i="6"/>
  <c r="L47" i="6"/>
  <c r="H30" i="6"/>
  <c r="H104" i="6"/>
  <c r="L36" i="6"/>
  <c r="L108" i="6"/>
  <c r="K111" i="6"/>
  <c r="G101" i="6"/>
  <c r="K126" i="6"/>
  <c r="K46" i="6"/>
  <c r="K63" i="6"/>
  <c r="K27" i="6"/>
  <c r="K16" i="6"/>
  <c r="G103" i="6"/>
  <c r="G118" i="6"/>
  <c r="L34" i="6"/>
  <c r="H128" i="6"/>
  <c r="H45" i="6"/>
  <c r="L116" i="6"/>
  <c r="L23" i="6"/>
  <c r="H112" i="6"/>
  <c r="H31" i="6"/>
  <c r="H70" i="6"/>
  <c r="L45" i="6"/>
  <c r="H96" i="6"/>
  <c r="G13" i="6"/>
  <c r="G15" i="6"/>
  <c r="G63" i="6"/>
  <c r="K17" i="6"/>
  <c r="H121" i="6"/>
  <c r="H38" i="6"/>
  <c r="K21" i="6"/>
  <c r="L101" i="6"/>
  <c r="K113" i="6"/>
  <c r="H98" i="6"/>
  <c r="L103" i="6"/>
  <c r="H33" i="6"/>
  <c r="G52" i="6"/>
  <c r="H28" i="6"/>
  <c r="H51" i="6"/>
  <c r="L99" i="6"/>
  <c r="L87" i="6"/>
  <c r="H43" i="6"/>
  <c r="H26" i="6"/>
  <c r="K121" i="6"/>
  <c r="G51" i="6"/>
  <c r="K65" i="6"/>
  <c r="L66" i="6"/>
  <c r="K30" i="6"/>
  <c r="L125" i="6"/>
  <c r="G47" i="6"/>
  <c r="K89" i="6"/>
  <c r="L65" i="6"/>
  <c r="G59" i="6"/>
  <c r="L17" i="6"/>
  <c r="G30" i="6"/>
  <c r="H66" i="6"/>
  <c r="G57" i="6"/>
  <c r="L75" i="6"/>
  <c r="G44" i="6"/>
  <c r="K108" i="6"/>
  <c r="G36" i="6"/>
  <c r="H18" i="6"/>
  <c r="G114" i="6"/>
  <c r="G72" i="6"/>
  <c r="L98" i="6"/>
  <c r="L22" i="6"/>
  <c r="L120" i="6"/>
  <c r="K50" i="6"/>
  <c r="K35" i="6"/>
  <c r="H78" i="6"/>
  <c r="L44" i="6"/>
  <c r="K20" i="6"/>
  <c r="G50" i="6"/>
  <c r="G14" i="6"/>
  <c r="L88" i="6"/>
  <c r="G92" i="6"/>
  <c r="L14" i="6"/>
  <c r="G126" i="6"/>
  <c r="G29" i="6"/>
  <c r="L118" i="6"/>
  <c r="H23" i="6"/>
  <c r="G58" i="6"/>
  <c r="K93" i="6"/>
  <c r="G124" i="6"/>
  <c r="G108" i="6"/>
  <c r="G104" i="6"/>
  <c r="L70" i="6"/>
  <c r="K120" i="6"/>
  <c r="K80" i="6"/>
  <c r="K57" i="6"/>
  <c r="K97" i="6"/>
  <c r="G82" i="6"/>
  <c r="H120" i="6"/>
  <c r="H72" i="6"/>
  <c r="H14" i="6"/>
  <c r="L52" i="6"/>
  <c r="G28" i="6"/>
  <c r="G125" i="6"/>
  <c r="G78" i="6"/>
  <c r="H118" i="6"/>
  <c r="L73" i="6"/>
  <c r="L102" i="6"/>
  <c r="L107" i="6"/>
  <c r="H107" i="6"/>
  <c r="G74" i="6"/>
  <c r="H87" i="6"/>
  <c r="L114" i="6"/>
  <c r="L50" i="6"/>
  <c r="L13" i="6"/>
  <c r="G65" i="6"/>
  <c r="G61" i="6"/>
  <c r="K70" i="6"/>
  <c r="K109" i="6"/>
  <c r="H122" i="6"/>
  <c r="H124" i="6"/>
  <c r="L111" i="6"/>
  <c r="H50" i="6"/>
  <c r="L26" i="6"/>
  <c r="G22" i="6"/>
  <c r="H109" i="6"/>
  <c r="H69" i="6"/>
  <c r="K53" i="6"/>
  <c r="H36" i="6"/>
  <c r="H46" i="6"/>
  <c r="H47" i="6"/>
  <c r="H54" i="6"/>
  <c r="H13" i="6"/>
  <c r="G76" i="6"/>
  <c r="H20" i="6"/>
  <c r="K37" i="6"/>
  <c r="K13" i="6"/>
  <c r="H19" i="6"/>
  <c r="G111" i="6"/>
  <c r="K98" i="6"/>
  <c r="L58" i="6"/>
  <c r="K117" i="6"/>
  <c r="L72" i="6"/>
  <c r="G49" i="6"/>
  <c r="L109" i="6"/>
  <c r="H116" i="6"/>
  <c r="L49" i="6"/>
  <c r="L100" i="6"/>
  <c r="H52" i="6"/>
  <c r="G120" i="6"/>
  <c r="H92" i="6"/>
  <c r="G100" i="6"/>
  <c r="L112" i="6"/>
  <c r="G70" i="6"/>
  <c r="K15" i="6"/>
  <c r="K58" i="6"/>
  <c r="H75" i="6"/>
  <c r="K26" i="6"/>
  <c r="L90" i="6"/>
  <c r="L78" i="6"/>
  <c r="L30" i="6"/>
  <c r="L128" i="6"/>
  <c r="L31" i="6"/>
  <c r="G128" i="6"/>
  <c r="L46" i="6"/>
  <c r="L18" i="6"/>
  <c r="H56" i="6"/>
  <c r="H106" i="6"/>
  <c r="L60" i="6"/>
  <c r="L124" i="6"/>
  <c r="G53" i="6"/>
  <c r="H114" i="6"/>
  <c r="H49" i="6"/>
  <c r="H93" i="6"/>
  <c r="K74" i="6"/>
  <c r="K87" i="6"/>
  <c r="K112" i="6"/>
  <c r="K19" i="6"/>
  <c r="K14" i="6"/>
  <c r="K45" i="6"/>
  <c r="P126" i="6" l="1"/>
  <c r="Q126" i="6" s="1"/>
  <c r="R100" i="6"/>
  <c r="S100" i="6" s="1"/>
  <c r="R53" i="6"/>
  <c r="S53" i="6" s="1"/>
  <c r="R44" i="6"/>
  <c r="S44" i="6" s="1"/>
  <c r="R65" i="6"/>
  <c r="S65" i="6" s="1"/>
  <c r="R59" i="6"/>
  <c r="S59" i="6" s="1"/>
  <c r="R58" i="6"/>
  <c r="S58" i="6" s="1"/>
  <c r="R61" i="6"/>
  <c r="S61" i="6" s="1"/>
  <c r="R128" i="6"/>
  <c r="S128" i="6" s="1"/>
  <c r="R101" i="6"/>
  <c r="S101" i="6" s="1"/>
  <c r="R125" i="6"/>
  <c r="S125" i="6" s="1"/>
  <c r="R57" i="6"/>
  <c r="S57" i="6" s="1"/>
  <c r="R82" i="6"/>
  <c r="S82" i="6" s="1"/>
  <c r="R70" i="6"/>
  <c r="S70" i="6" s="1"/>
  <c r="R103" i="6"/>
  <c r="S103" i="6" s="1"/>
  <c r="R74" i="6"/>
  <c r="S74" i="6" s="1"/>
  <c r="R111" i="6"/>
  <c r="S111" i="6" s="1"/>
  <c r="R126" i="6"/>
  <c r="R108" i="6"/>
  <c r="S108" i="6" s="1"/>
  <c r="R63" i="6"/>
  <c r="S63" i="6" s="1"/>
  <c r="R28" i="6"/>
  <c r="S28" i="6" s="1"/>
  <c r="R29" i="6"/>
  <c r="S29" i="6" s="1"/>
  <c r="R104" i="6"/>
  <c r="S104" i="6" s="1"/>
  <c r="R76" i="6"/>
  <c r="S76" i="6" s="1"/>
  <c r="R102" i="6"/>
  <c r="S102" i="6" s="1"/>
  <c r="R88" i="6"/>
  <c r="S88" i="6" s="1"/>
  <c r="R120" i="6"/>
  <c r="S120" i="6" s="1"/>
  <c r="R25" i="6"/>
  <c r="S25" i="6" s="1"/>
  <c r="R48" i="6"/>
  <c r="S48" i="6" s="1"/>
  <c r="R30" i="6"/>
  <c r="S30" i="6" s="1"/>
  <c r="R113" i="6"/>
  <c r="S113" i="6" s="1"/>
  <c r="R62" i="6"/>
  <c r="S62" i="6" s="1"/>
  <c r="R78" i="6"/>
  <c r="S78" i="6" s="1"/>
  <c r="P38" i="6"/>
  <c r="Q38" i="6" s="1"/>
  <c r="R16" i="6"/>
  <c r="S16" i="6" s="1"/>
  <c r="R49" i="6"/>
  <c r="S49" i="6" s="1"/>
  <c r="R117" i="6"/>
  <c r="S117" i="6" s="1"/>
  <c r="R33" i="6"/>
  <c r="S33" i="6" s="1"/>
  <c r="R118" i="6"/>
  <c r="S118" i="6" s="1"/>
  <c r="R96" i="6"/>
  <c r="S96" i="6" s="1"/>
  <c r="R99" i="6"/>
  <c r="S99" i="6" s="1"/>
  <c r="R72" i="6"/>
  <c r="S72" i="6" s="1"/>
  <c r="R112" i="6"/>
  <c r="S112" i="6" s="1"/>
  <c r="R69" i="6"/>
  <c r="S69" i="6" s="1"/>
  <c r="R27" i="6"/>
  <c r="S27" i="6" s="1"/>
  <c r="R97" i="6"/>
  <c r="S97" i="6" s="1"/>
  <c r="R73" i="6"/>
  <c r="S73" i="6" s="1"/>
  <c r="R107" i="6"/>
  <c r="S107" i="6" s="1"/>
  <c r="R60" i="6"/>
  <c r="S60" i="6" s="1"/>
  <c r="R114" i="6"/>
  <c r="S114" i="6" s="1"/>
  <c r="R109" i="6"/>
  <c r="S109" i="6" s="1"/>
  <c r="R75" i="6"/>
  <c r="S75" i="6" s="1"/>
  <c r="R80" i="6"/>
  <c r="S80" i="6" s="1"/>
  <c r="R89" i="6"/>
  <c r="S89" i="6" s="1"/>
  <c r="R34" i="6"/>
  <c r="S34" i="6" s="1"/>
  <c r="R56" i="6"/>
  <c r="S56" i="6" s="1"/>
  <c r="R26" i="6"/>
  <c r="S26" i="6" s="1"/>
  <c r="R94" i="6"/>
  <c r="S94" i="6" s="1"/>
  <c r="R36" i="6"/>
  <c r="S36" i="6" s="1"/>
  <c r="R51" i="6"/>
  <c r="S51" i="6" s="1"/>
  <c r="R52" i="6"/>
  <c r="S52" i="6" s="1"/>
  <c r="R106" i="6"/>
  <c r="S106" i="6" s="1"/>
  <c r="R37" i="6"/>
  <c r="S37" i="6" s="1"/>
  <c r="R122" i="6"/>
  <c r="S122" i="6" s="1"/>
  <c r="R124" i="6"/>
  <c r="S124" i="6" s="1"/>
  <c r="R92" i="6"/>
  <c r="S92" i="6" s="1"/>
  <c r="R71" i="6"/>
  <c r="S71" i="6" s="1"/>
  <c r="R121" i="6"/>
  <c r="S121" i="6" s="1"/>
  <c r="R46" i="6"/>
  <c r="S46" i="6" s="1"/>
  <c r="R87" i="6"/>
  <c r="S87" i="6" s="1"/>
  <c r="R64" i="6"/>
  <c r="S64" i="6" s="1"/>
  <c r="R47" i="6"/>
  <c r="S47" i="6" s="1"/>
  <c r="R43" i="6"/>
  <c r="S43" i="6" s="1"/>
  <c r="R35" i="6"/>
  <c r="S35" i="6" s="1"/>
  <c r="R66" i="6"/>
  <c r="S66" i="6" s="1"/>
  <c r="R45" i="6"/>
  <c r="S45" i="6" s="1"/>
  <c r="R50" i="6"/>
  <c r="S50" i="6" s="1"/>
  <c r="R13" i="6"/>
  <c r="S13" i="6" s="1"/>
  <c r="R116" i="6"/>
  <c r="S116" i="6" s="1"/>
  <c r="R31" i="6"/>
  <c r="S31" i="6" s="1"/>
  <c r="R90" i="6"/>
  <c r="S90" i="6" s="1"/>
  <c r="R98" i="6"/>
  <c r="S98" i="6" s="1"/>
  <c r="R54" i="6"/>
  <c r="S54" i="6" s="1"/>
  <c r="R93" i="6"/>
  <c r="S93" i="6" s="1"/>
  <c r="N38" i="6"/>
  <c r="R38" i="6"/>
  <c r="R17" i="6"/>
  <c r="S17" i="6" s="1"/>
  <c r="R21" i="6"/>
  <c r="S21" i="6" s="1"/>
  <c r="R18" i="6"/>
  <c r="S18" i="6" s="1"/>
  <c r="R14" i="6"/>
  <c r="S14" i="6" s="1"/>
  <c r="R15" i="6"/>
  <c r="S15" i="6" s="1"/>
  <c r="R20" i="6"/>
  <c r="S20" i="6" s="1"/>
  <c r="R19" i="6"/>
  <c r="S19" i="6" s="1"/>
  <c r="P32" i="6"/>
  <c r="Q32" i="6" s="1"/>
  <c r="N32" i="6"/>
  <c r="O32" i="6" s="1"/>
  <c r="P62" i="6"/>
  <c r="Q62" i="6" s="1"/>
  <c r="N128" i="6"/>
  <c r="O128" i="6" s="1"/>
  <c r="N62" i="6"/>
  <c r="O62" i="6" s="1"/>
  <c r="P128" i="6"/>
  <c r="Q128" i="6" s="1"/>
  <c r="P43" i="6"/>
  <c r="Q43" i="6" s="1"/>
  <c r="P92" i="6"/>
  <c r="Q92" i="6" s="1"/>
  <c r="P61" i="6"/>
  <c r="Q61" i="6" s="1"/>
  <c r="N15" i="6"/>
  <c r="P54" i="6"/>
  <c r="Q54" i="6" s="1"/>
  <c r="P90" i="6"/>
  <c r="Q90" i="6" s="1"/>
  <c r="P33" i="6"/>
  <c r="Q33" i="6" s="1"/>
  <c r="P57" i="6"/>
  <c r="Q57" i="6" s="1"/>
  <c r="P89" i="6"/>
  <c r="Q89" i="6" s="1"/>
  <c r="P66" i="6"/>
  <c r="Q66" i="6" s="1"/>
  <c r="P23" i="6"/>
  <c r="Q23" i="6" s="1"/>
  <c r="N20" i="6"/>
  <c r="P56" i="6"/>
  <c r="Q56" i="6" s="1"/>
  <c r="P100" i="6"/>
  <c r="Q100" i="6" s="1"/>
  <c r="P80" i="6"/>
  <c r="Q80" i="6" s="1"/>
  <c r="P49" i="6"/>
  <c r="Q49" i="6" s="1"/>
  <c r="P114" i="6"/>
  <c r="Q114" i="6" s="1"/>
  <c r="P107" i="6"/>
  <c r="Q107" i="6" s="1"/>
  <c r="P35" i="6"/>
  <c r="Q35" i="6" s="1"/>
  <c r="P78" i="6"/>
  <c r="Q78" i="6" s="1"/>
  <c r="P72" i="6"/>
  <c r="Q72" i="6" s="1"/>
  <c r="P102" i="6"/>
  <c r="Q102" i="6" s="1"/>
  <c r="N33" i="6"/>
  <c r="O33" i="6" s="1"/>
  <c r="P122" i="6"/>
  <c r="Q122" i="6" s="1"/>
  <c r="P71" i="6"/>
  <c r="Q71" i="6" s="1"/>
  <c r="N100" i="6"/>
  <c r="O100" i="6" s="1"/>
  <c r="P36" i="6"/>
  <c r="Q36" i="6" s="1"/>
  <c r="P48" i="6"/>
  <c r="Q48" i="6" s="1"/>
  <c r="N59" i="6"/>
  <c r="O59" i="6" s="1"/>
  <c r="P28" i="6"/>
  <c r="Q28" i="6" s="1"/>
  <c r="P82" i="6"/>
  <c r="Q82" i="6" s="1"/>
  <c r="P96" i="6"/>
  <c r="Q96" i="6" s="1"/>
  <c r="P104" i="6"/>
  <c r="Q104" i="6" s="1"/>
  <c r="N61" i="6"/>
  <c r="O61" i="6" s="1"/>
  <c r="N71" i="6"/>
  <c r="O71" i="6" s="1"/>
  <c r="P64" i="6"/>
  <c r="Q64" i="6" s="1"/>
  <c r="P87" i="6"/>
  <c r="Q87" i="6" s="1"/>
  <c r="P44" i="6"/>
  <c r="Q44" i="6" s="1"/>
  <c r="P21" i="6"/>
  <c r="Q21" i="6" s="1"/>
  <c r="P15" i="6"/>
  <c r="Q15" i="6" s="1"/>
  <c r="N107" i="6"/>
  <c r="O107" i="6" s="1"/>
  <c r="N43" i="6"/>
  <c r="O43" i="6" s="1"/>
  <c r="P25" i="6"/>
  <c r="Q25" i="6" s="1"/>
  <c r="P59" i="6"/>
  <c r="Q59" i="6" s="1"/>
  <c r="P20" i="6"/>
  <c r="Q20" i="6" s="1"/>
  <c r="N99" i="6"/>
  <c r="O99" i="6" s="1"/>
  <c r="P14" i="6"/>
  <c r="Q14" i="6" s="1"/>
  <c r="P73" i="6"/>
  <c r="Q73" i="6" s="1"/>
  <c r="N126" i="6"/>
  <c r="P27" i="6"/>
  <c r="Q27" i="6" s="1"/>
  <c r="N64" i="6"/>
  <c r="O64" i="6" s="1"/>
  <c r="P51" i="6"/>
  <c r="Q51" i="6" s="1"/>
  <c r="P101" i="6"/>
  <c r="Q101" i="6" s="1"/>
  <c r="N98" i="6"/>
  <c r="O98" i="6" s="1"/>
  <c r="P74" i="6"/>
  <c r="Q74" i="6" s="1"/>
  <c r="N56" i="6"/>
  <c r="O56" i="6" s="1"/>
  <c r="P31" i="6"/>
  <c r="Q31" i="6" s="1"/>
  <c r="N19" i="6"/>
  <c r="N69" i="6"/>
  <c r="O69" i="6" s="1"/>
  <c r="N28" i="6"/>
  <c r="O28" i="6" s="1"/>
  <c r="P63" i="6"/>
  <c r="Q63" i="6" s="1"/>
  <c r="P106" i="6"/>
  <c r="Q106" i="6" s="1"/>
  <c r="P69" i="6"/>
  <c r="Q69" i="6" s="1"/>
  <c r="P18" i="6"/>
  <c r="Q18" i="6" s="1"/>
  <c r="N76" i="6"/>
  <c r="O76" i="6" s="1"/>
  <c r="N82" i="6"/>
  <c r="O82" i="6" s="1"/>
  <c r="P118" i="6"/>
  <c r="Q118" i="6" s="1"/>
  <c r="N94" i="6"/>
  <c r="O94" i="6" s="1"/>
  <c r="N60" i="6"/>
  <c r="O60" i="6" s="1"/>
  <c r="P98" i="6"/>
  <c r="Q98" i="6" s="1"/>
  <c r="P97" i="6"/>
  <c r="Q97" i="6" s="1"/>
  <c r="P16" i="6"/>
  <c r="Q16" i="6" s="1"/>
  <c r="P76" i="6"/>
  <c r="Q76" i="6" s="1"/>
  <c r="P29" i="6"/>
  <c r="Q29" i="6" s="1"/>
  <c r="P124" i="6"/>
  <c r="Q124" i="6" s="1"/>
  <c r="N106" i="6"/>
  <c r="O106" i="6" s="1"/>
  <c r="N54" i="6"/>
  <c r="O54" i="6" s="1"/>
  <c r="N122" i="6"/>
  <c r="O122" i="6" s="1"/>
  <c r="P60" i="6"/>
  <c r="Q60" i="6" s="1"/>
  <c r="N104" i="6"/>
  <c r="O104" i="6" s="1"/>
  <c r="N58" i="6"/>
  <c r="O58" i="6" s="1"/>
  <c r="N88" i="6"/>
  <c r="O88" i="6" s="1"/>
  <c r="N114" i="6"/>
  <c r="O114" i="6" s="1"/>
  <c r="N30" i="6"/>
  <c r="O30" i="6" s="1"/>
  <c r="N63" i="6"/>
  <c r="O63" i="6" s="1"/>
  <c r="N17" i="6"/>
  <c r="P52" i="6"/>
  <c r="Q52" i="6" s="1"/>
  <c r="N45" i="6"/>
  <c r="O45" i="6" s="1"/>
  <c r="P47" i="6"/>
  <c r="Q47" i="6" s="1"/>
  <c r="P94" i="6"/>
  <c r="Q94" i="6" s="1"/>
  <c r="N18" i="6"/>
  <c r="P45" i="6"/>
  <c r="Q45" i="6" s="1"/>
  <c r="P58" i="6"/>
  <c r="Q58" i="6" s="1"/>
  <c r="N70" i="6"/>
  <c r="O70" i="6" s="1"/>
  <c r="N111" i="6"/>
  <c r="O111" i="6" s="1"/>
  <c r="N87" i="6"/>
  <c r="O87" i="6" s="1"/>
  <c r="N29" i="6"/>
  <c r="O29" i="6" s="1"/>
  <c r="P50" i="6"/>
  <c r="Q50" i="6" s="1"/>
  <c r="N66" i="6"/>
  <c r="O66" i="6" s="1"/>
  <c r="P17" i="6"/>
  <c r="Q17" i="6" s="1"/>
  <c r="P99" i="6"/>
  <c r="Q99" i="6" s="1"/>
  <c r="N73" i="6"/>
  <c r="O73" i="6" s="1"/>
  <c r="N35" i="6"/>
  <c r="O35" i="6" s="1"/>
  <c r="N26" i="6"/>
  <c r="O26" i="6" s="1"/>
  <c r="N34" i="6"/>
  <c r="O34" i="6" s="1"/>
  <c r="N97" i="6"/>
  <c r="O97" i="6" s="1"/>
  <c r="N120" i="6"/>
  <c r="O120" i="6" s="1"/>
  <c r="N92" i="6"/>
  <c r="O92" i="6" s="1"/>
  <c r="N72" i="6"/>
  <c r="O72" i="6" s="1"/>
  <c r="P30" i="6"/>
  <c r="Q30" i="6" s="1"/>
  <c r="N101" i="6"/>
  <c r="O101" i="6" s="1"/>
  <c r="N80" i="6"/>
  <c r="O80" i="6" s="1"/>
  <c r="P34" i="6"/>
  <c r="Q34" i="6" s="1"/>
  <c r="N116" i="6"/>
  <c r="O116" i="6" s="1"/>
  <c r="N96" i="6"/>
  <c r="O96" i="6" s="1"/>
  <c r="N48" i="6"/>
  <c r="O48" i="6" s="1"/>
  <c r="N31" i="6"/>
  <c r="O31" i="6" s="1"/>
  <c r="P116" i="6"/>
  <c r="Q116" i="6" s="1"/>
  <c r="N89" i="6"/>
  <c r="O89" i="6" s="1"/>
  <c r="N27" i="6"/>
  <c r="O27" i="6" s="1"/>
  <c r="P109" i="6"/>
  <c r="Q109" i="6" s="1"/>
  <c r="N44" i="6"/>
  <c r="O44" i="6" s="1"/>
  <c r="N112" i="6"/>
  <c r="O112" i="6" s="1"/>
  <c r="N23" i="6"/>
  <c r="P19" i="6"/>
  <c r="Q19" i="6" s="1"/>
  <c r="P26" i="6"/>
  <c r="Q26" i="6" s="1"/>
  <c r="P13" i="6"/>
  <c r="Q13" i="6" s="1"/>
  <c r="N46" i="6"/>
  <c r="O46" i="6" s="1"/>
  <c r="N109" i="6"/>
  <c r="O109" i="6" s="1"/>
  <c r="P70" i="6"/>
  <c r="Q70" i="6" s="1"/>
  <c r="N14" i="6"/>
  <c r="N47" i="6"/>
  <c r="O47" i="6" s="1"/>
  <c r="N118" i="6"/>
  <c r="O118" i="6" s="1"/>
  <c r="P46" i="6"/>
  <c r="Q46" i="6" s="1"/>
  <c r="P103" i="6"/>
  <c r="Q103" i="6" s="1"/>
  <c r="N74" i="6"/>
  <c r="O74" i="6" s="1"/>
  <c r="P112" i="6"/>
  <c r="Q112" i="6" s="1"/>
  <c r="N49" i="6"/>
  <c r="O49" i="6" s="1"/>
  <c r="N78" i="6"/>
  <c r="O78" i="6" s="1"/>
  <c r="P120" i="6"/>
  <c r="Q120" i="6" s="1"/>
  <c r="N124" i="6"/>
  <c r="O124" i="6" s="1"/>
  <c r="N50" i="6"/>
  <c r="O50" i="6" s="1"/>
  <c r="N36" i="6"/>
  <c r="O36" i="6" s="1"/>
  <c r="N57" i="6"/>
  <c r="O57" i="6" s="1"/>
  <c r="N51" i="6"/>
  <c r="O51" i="6" s="1"/>
  <c r="N52" i="6"/>
  <c r="O52" i="6" s="1"/>
  <c r="N13" i="6"/>
  <c r="N103" i="6"/>
  <c r="O103" i="6" s="1"/>
  <c r="P88" i="6"/>
  <c r="Q88" i="6" s="1"/>
  <c r="P111" i="6"/>
  <c r="Q111" i="6" s="1"/>
  <c r="N25" i="6"/>
  <c r="O25" i="6" s="1"/>
  <c r="N21" i="6"/>
  <c r="N90" i="6"/>
  <c r="O90" i="6" s="1"/>
  <c r="N102" i="6"/>
  <c r="O102" i="6" s="1"/>
  <c r="N16" i="6"/>
  <c r="R23" i="6" l="1"/>
  <c r="S23" i="6" s="1"/>
  <c r="O38" i="6"/>
  <c r="S38" i="6"/>
  <c r="O126" i="6"/>
  <c r="S126" i="6"/>
  <c r="O17" i="6"/>
  <c r="O16" i="6"/>
  <c r="O23" i="6"/>
  <c r="O13" i="6"/>
  <c r="O14" i="6"/>
  <c r="O18" i="6"/>
  <c r="O21" i="6"/>
  <c r="O19" i="6"/>
  <c r="O20" i="6"/>
  <c r="O15" i="6"/>
</calcChain>
</file>

<file path=xl/sharedStrings.xml><?xml version="1.0" encoding="utf-8"?>
<sst xmlns="http://schemas.openxmlformats.org/spreadsheetml/2006/main" count="412" uniqueCount="213">
  <si>
    <t>June 2021</t>
  </si>
  <si>
    <t>N/A - significant component</t>
  </si>
  <si>
    <t>N/A</t>
  </si>
  <si>
    <t>YOU MUST ENABLE MACROS TO USE THIS WORKBOOK</t>
  </si>
  <si>
    <t>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t>
  </si>
  <si>
    <t>Component significance and scoping</t>
  </si>
  <si>
    <t>Delete these instructions and do not include them in the audit file.</t>
  </si>
  <si>
    <t xml:space="preserve">This template is used to identify components, determine their significance, and determine the type of work to be performed on components, including the identification of component auditors. It also includes the determination of component materiality and component performance materiality, when applicable. </t>
  </si>
  <si>
    <t>When obtaining an understanding of components, the group engagement team may identify risk factors, which are then considered in identifying and assessing risks of material misstatement of the group financial statements. The group engagement team may also identify likely significant risks of the group financial statements. Such understanding assists in determining the significance of the component and the type of work to be performed. Refer to the group engagement team’s documentation in the Understanding Components documentation template.</t>
  </si>
  <si>
    <t>Resources</t>
  </si>
  <si>
    <t>Video</t>
  </si>
  <si>
    <t>How-to video - Component Significance and Scoping template</t>
  </si>
  <si>
    <t>Guidance related to use of this template</t>
  </si>
  <si>
    <t>Instructions</t>
  </si>
  <si>
    <t>This template contains cells with conditional formatting and data validation, including drop-down lists. Changing certain input cells will clear or change other cells in the workbook. For best results, complete the template top-to-bottom and left-to-right.</t>
  </si>
  <si>
    <t>Adding rows and columns
Certain areas of the template, such as the 'Data input' worksheet, allow for the addition of rows and columns. In those areas, add columns as needed by pressing the buttons denoted in purple font with a "+" sign or the "+Add benchmark" button on the 'Scoping input' worksheet. Rows and columns may also be added by pressing the purple "+" buttons, which will add a row underneath the icon or a column to the right of the icon.</t>
  </si>
  <si>
    <t>Deleting rows and columns
The ability to delete most rows and columns in this template has been disabled. Rows and columns that can be deleted have a red "x" icon to the left of the row or above the column. They can be deleted by selecting the red "x" icon to the left of the row or above the column and selecting "OK" in the message box that appears.</t>
  </si>
  <si>
    <t>In-line guidance (!)
Throughout the template, there is guidance input in the form of data validation input messages denoted by a grey exclamation point "!". Note that if you are unable to see the entirety of the guidance (it is cut-off), it is generally a result of the default scale setting in the display settings on the computer not being set to 100% (not the Excel zoom).</t>
  </si>
  <si>
    <t>Data input</t>
  </si>
  <si>
    <t>This worksheet is used to capture information about the components included in the group audit. Complete this worksheet by adding or removing components as necessary (refer to the instructions above) and entering the 'Component name' and 'Component type' fields for each component. Then enter financial statement information for each component, as well as other relevant financial information, by adding or removing financial statement captions and other relevant financial information as necessary (refer to the instructions above), as well as adjustments or eliminations, as necessary. This information is used on the other worksheets of this workbook. The engagement team is responsible for ensuring the completeness and accuracy of the subtotals on this worksheet, the addition and deletion of FS captions and subtotals may require the user to update dependent totals. For best results, enter amounts as positive (negative) as opposed to debit (credit).</t>
  </si>
  <si>
    <t>One or more worksheets containing component financial information may be added to this workbook to facilitate the completion of the 'Data input' worksheet using a SUMIFS formula or a VLOOKUP formula. When using such a formula to enter component information, the financial statement captions and component names must exactly match the name of the financial statement captions and components used in the additional worksheet in order for the formulas to work correctly. Avoid duplicative uses of financial statement caption names as it will cause formulas to function incorrectly. For example, if an entity's financial statements present derivatives as both assets and liabilities, label the financial statement captions "Derivatives (Assets)" and "Derivatives (Liabilities)." If completing the template using an external source, be sure to copy and paste using "values only." Otherwise, the information copied may not be able to be subsequently edited.</t>
  </si>
  <si>
    <t>Scoping input worksheet</t>
  </si>
  <si>
    <t>This worksheet is used to determine the significance of components as well as the type of work to be performed. It also includes the identification of component auditors, as applicable.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component significance and type of work to be performed. 
Certain jurisdictions allow group engagement teams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engagement team can select it and continue to document in the applicable fields and determine component materiality as necessary. 
Also complete the remaining fields.</t>
  </si>
  <si>
    <r>
      <rPr>
        <b/>
        <sz val="8"/>
        <color theme="1"/>
        <rFont val="arial"/>
        <family val="2"/>
      </rPr>
      <t xml:space="preserve">Significant components that are individually financially significant
</t>
    </r>
    <r>
      <rPr>
        <sz val="8"/>
        <color theme="1"/>
        <rFont val="arial"/>
        <family val="2"/>
      </rPr>
      <t>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r>
  </si>
  <si>
    <t>Significant components that are individually financially significant
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</si>
  <si>
    <r>
      <rPr>
        <b/>
        <sz val="8"/>
        <color theme="1"/>
        <rFont val="arial"/>
        <family val="2"/>
      </rPr>
      <t xml:space="preserve">Type of work to be performed for not significant components
</t>
    </r>
    <r>
      <rPr>
        <sz val="8"/>
        <color theme="1"/>
        <rFont val="arial"/>
        <family val="2"/>
      </rPr>
      <t>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r>
  </si>
  <si>
    <t>Type of work to be performed for not significant components
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</si>
  <si>
    <r>
      <rPr>
        <b/>
        <sz val="8"/>
        <color theme="1"/>
        <rFont val="arial"/>
        <family val="2"/>
      </rPr>
      <t xml:space="preserve">Audit of one or more classes of transactions, account balances, or disclosures versus specified audit procedures
</t>
    </r>
    <r>
      <rPr>
        <sz val="8"/>
        <color theme="1"/>
        <rFont val="arial"/>
        <family val="2"/>
      </rPr>
      <t>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r>
  </si>
  <si>
    <t>Audit of one or more classes of transactions, account balances, or disclosures versus specified audit procedures
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</si>
  <si>
    <r>
      <rPr>
        <b/>
        <sz val="8"/>
        <color theme="1"/>
        <rFont val="arial"/>
        <family val="2"/>
      </rPr>
      <t>Review of component financial information</t>
    </r>
    <r>
      <rPr>
        <sz val="8"/>
        <color theme="1"/>
        <rFont val="arial"/>
        <family val="2"/>
      </rPr>
      <t xml:space="preserve">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r>
  </si>
  <si>
    <t>Review of component financial information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</si>
  <si>
    <r>
      <rPr>
        <b/>
        <sz val="8"/>
        <color theme="1"/>
        <rFont val="arial"/>
        <family val="2"/>
      </rPr>
      <t>Determining component materiality</t>
    </r>
    <r>
      <rPr>
        <sz val="8"/>
        <color theme="1"/>
        <rFont val="arial"/>
        <family val="2"/>
      </rPr>
      <t xml:space="preserve">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r>
  </si>
  <si>
    <t>Determining component materiality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</si>
  <si>
    <r>
      <rPr>
        <b/>
        <sz val="8"/>
        <color theme="1"/>
        <rFont val="arial"/>
        <family val="2"/>
      </rPr>
      <t>Determining component materiality for equity method investments</t>
    </r>
    <r>
      <rPr>
        <sz val="8"/>
        <color theme="1"/>
        <rFont val="arial"/>
        <family val="2"/>
      </rPr>
      <t xml:space="preserve">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r>
  </si>
  <si>
    <t>Determining component materiality for equity method investments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</si>
  <si>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Summary by type of work report</t>
  </si>
  <si>
    <t>This report is included for reference and additional analysis purposes to assist the group engagement team in scoping the group audit. It details the type of work to be performed for the financial information, which may assist the group engagement team in determining whether to perform additional procedures, which may include selecting additional components that are not significant to perform work. This summary report allows the group engagement team to document notes about the balances that the group engagement team will audit.</t>
  </si>
  <si>
    <t>Based on the details entered on the preceding worksheets, the financial statement captions appear automatically along with the amounts for components summarized by the type of work to be performed. A column is added for each component where the type of work performed is either an audit of one or more classes of transactions, account balances, or disclosures or specified procedures. Document the amounts that are in-scope by financial statement caption by entering the amounts manually or by summing the appropriate columns to the right, as applicable.</t>
  </si>
  <si>
    <t>Name of group</t>
  </si>
  <si>
    <t>Group period-end date</t>
  </si>
  <si>
    <t>+</t>
  </si>
  <si>
    <t>x</t>
  </si>
  <si>
    <t>Component reference</t>
  </si>
  <si>
    <t>Consolidated total (prior to adjustments and eliminations)</t>
  </si>
  <si>
    <t>Adjustments</t>
  </si>
  <si>
    <t>Eliminations</t>
  </si>
  <si>
    <t>Consolidated total</t>
  </si>
  <si>
    <t>Component name</t>
  </si>
  <si>
    <t>Component type</t>
  </si>
  <si>
    <t>Component significance
(from Scoping input worksheet)</t>
  </si>
  <si>
    <t>Type of work to be performed
(from Scoping input worksheet)</t>
  </si>
  <si>
    <t>Balance sheet</t>
  </si>
  <si>
    <t>Current assets</t>
  </si>
  <si>
    <t>Cash and cash equivalents</t>
  </si>
  <si>
    <t>Restricted cash</t>
  </si>
  <si>
    <t>Marketable securities at fair value</t>
  </si>
  <si>
    <t>Accounts receivable, net</t>
  </si>
  <si>
    <t>Investment in leased property, net</t>
  </si>
  <si>
    <t>Inventories</t>
  </si>
  <si>
    <t>Prepaid expenses</t>
  </si>
  <si>
    <t>Contract assets</t>
  </si>
  <si>
    <t>Other current assets</t>
  </si>
  <si>
    <t>Intentionally hidden</t>
  </si>
  <si>
    <t>Total current assets</t>
  </si>
  <si>
    <t>Debt and equity securities</t>
  </si>
  <si>
    <t>Other investments</t>
  </si>
  <si>
    <t>Derivative assets</t>
  </si>
  <si>
    <t>Deferred income tax assets, noncurrent</t>
  </si>
  <si>
    <t>Property, plant and equipment, net</t>
  </si>
  <si>
    <t>Intangible assets, net</t>
  </si>
  <si>
    <t>Goodwill</t>
  </si>
  <si>
    <t>Assets of businesses held for sale</t>
  </si>
  <si>
    <t>Assets of discontinued operations</t>
  </si>
  <si>
    <t>Related party receivables, noncurrent</t>
  </si>
  <si>
    <t>Investments in subsidiaries</t>
  </si>
  <si>
    <t>Other assets</t>
  </si>
  <si>
    <t>Total assets</t>
  </si>
  <si>
    <t>Liabilities and stockholders' equity</t>
  </si>
  <si>
    <t>Liabilities</t>
  </si>
  <si>
    <t>Current liabilities</t>
  </si>
  <si>
    <t>Accounts payable</t>
  </si>
  <si>
    <t>Accrued expenses</t>
  </si>
  <si>
    <t>Current portion of long-term debt</t>
  </si>
  <si>
    <t>Capital lease obligations, current</t>
  </si>
  <si>
    <t>Income taxes payable</t>
  </si>
  <si>
    <t>Derivative liabilities</t>
  </si>
  <si>
    <t>Deferred credits, current</t>
  </si>
  <si>
    <t>Dividends payable</t>
  </si>
  <si>
    <t>Contract liabilities</t>
  </si>
  <si>
    <t>Other current liabilities</t>
  </si>
  <si>
    <t>Total current liabilities</t>
  </si>
  <si>
    <t>Long-term debt, net</t>
  </si>
  <si>
    <t>Capital lease obligations, noncurrent</t>
  </si>
  <si>
    <t>Due to related parties, noncurrent</t>
  </si>
  <si>
    <t>Employee benefit plan obligations</t>
  </si>
  <si>
    <t>Deferred credits, noncurrent</t>
  </si>
  <si>
    <t>Deferred tax liabilities, noncurrent</t>
  </si>
  <si>
    <t>Liabilities of businesses held for sale</t>
  </si>
  <si>
    <t>Liabilities of discontinued operations</t>
  </si>
  <si>
    <t>Other liabilities</t>
  </si>
  <si>
    <t>Total liabilities</t>
  </si>
  <si>
    <t>Stockholders' equity</t>
  </si>
  <si>
    <t>Preferred stock</t>
  </si>
  <si>
    <t>Common stock</t>
  </si>
  <si>
    <t>Treasury stock</t>
  </si>
  <si>
    <t>Additional paid-in capital</t>
  </si>
  <si>
    <t>Accumulated other comprehensive income (loss)</t>
  </si>
  <si>
    <t>Retained earnings</t>
  </si>
  <si>
    <t>Total stockholders' equity attributable to parent co stockholders</t>
  </si>
  <si>
    <t>Noncontrolling interests</t>
  </si>
  <si>
    <t>Total stockholders' equity</t>
  </si>
  <si>
    <t>Total liabilities and equity</t>
  </si>
  <si>
    <t>Check</t>
  </si>
  <si>
    <t>Statement of operations</t>
  </si>
  <si>
    <t>Net sales</t>
  </si>
  <si>
    <t>Other revenue</t>
  </si>
  <si>
    <t>Total revenue</t>
  </si>
  <si>
    <t>Cost of sales</t>
  </si>
  <si>
    <t>Gross profit</t>
  </si>
  <si>
    <t>Other operating expenses</t>
  </si>
  <si>
    <t>Selling, general, &amp; administrative expenses</t>
  </si>
  <si>
    <t>Depreciation expense</t>
  </si>
  <si>
    <t>Amortization expense</t>
  </si>
  <si>
    <t>Impairment loss</t>
  </si>
  <si>
    <t>Restructuring expense</t>
  </si>
  <si>
    <t>Other general expenses</t>
  </si>
  <si>
    <t>Income (loss) from operations</t>
  </si>
  <si>
    <t>Non-operating income (expense)</t>
  </si>
  <si>
    <t>Interest income (expense)</t>
  </si>
  <si>
    <t>Income (loss) before income tax expense</t>
  </si>
  <si>
    <t>Income tax benefit (expense)</t>
  </si>
  <si>
    <t>Equity in earnings (losses) of subsidiaries</t>
  </si>
  <si>
    <t>Income (loss) from continuing operations</t>
  </si>
  <si>
    <t>Income (loss) from discontinued operations</t>
  </si>
  <si>
    <t>Income (loss) before cumulative effects of changes in accounting principles</t>
  </si>
  <si>
    <t>Gain (loss) from cumulative effects of changes in accounting principles</t>
  </si>
  <si>
    <t>Net income (loss)</t>
  </si>
  <si>
    <t>Less: Net income (loss) attributable to noncontrolling interests</t>
  </si>
  <si>
    <t>Net income (loss) attributable to parent</t>
  </si>
  <si>
    <t>Other relevant financial information</t>
  </si>
  <si>
    <t>Type</t>
  </si>
  <si>
    <t>Address</t>
  </si>
  <si>
    <t>Ticker</t>
  </si>
  <si>
    <t>Scoping input</t>
  </si>
  <si>
    <t>Group materiality</t>
  </si>
  <si>
    <t>Group performance materiality</t>
  </si>
  <si>
    <t>+ Add benchmark</t>
  </si>
  <si>
    <t>Benchmark amount</t>
  </si>
  <si>
    <t>Equity method investments</t>
  </si>
  <si>
    <t>!</t>
  </si>
  <si>
    <t>Component Reference</t>
  </si>
  <si>
    <t>Amount of equity method investment (financial position)</t>
  </si>
  <si>
    <t>Amount of equity method investment (profit or loss)</t>
  </si>
  <si>
    <t>Ownership percentage</t>
  </si>
  <si>
    <t>Component significance</t>
  </si>
  <si>
    <t>Type of work to be performed</t>
  </si>
  <si>
    <t>Purpose of audit procedures for not significant components</t>
  </si>
  <si>
    <t>Component materiality</t>
  </si>
  <si>
    <t>Component performance materiality</t>
  </si>
  <si>
    <t>Component auditor firm name</t>
  </si>
  <si>
    <t>Component auditor type</t>
  </si>
  <si>
    <t>Component auditor performing a statutory audit?</t>
  </si>
  <si>
    <t>Significant professional judgments or other comments, if any</t>
  </si>
  <si>
    <t>Summary by type of work to be performed report</t>
  </si>
  <si>
    <t>Sum of amounts not included in the audit of one or more classes of transactions, account balances, or disclosures and specified audit procedures</t>
  </si>
  <si>
    <t>Sum of amounts included in review of financial information and analytical procedures at group level</t>
  </si>
  <si>
    <t>Sum of amounts included in an audit of financial information, audit of one or more classes of transactions, account balances, or disclosures and specified audit procedures</t>
  </si>
  <si>
    <t>Notes</t>
  </si>
  <si>
    <t>Audit of financial information - assume responsibility</t>
  </si>
  <si>
    <t>Audit of financial information - make reference</t>
  </si>
  <si>
    <t>Audit of one or more classes of transactions, account balances, or disclosures</t>
  </si>
  <si>
    <t>Specified audit procedures</t>
  </si>
  <si>
    <t>Review of financial information</t>
  </si>
  <si>
    <t>Analytical procedures at group level</t>
  </si>
  <si>
    <t>Amount</t>
  </si>
  <si>
    <t>Amount (%)</t>
  </si>
  <si>
    <t>Areas in which substantive procedures or tests of controls will be performed by group engagement team</t>
  </si>
  <si>
    <t>Nonsubstantive analytical procedures to be performed by group engagement team at component level</t>
  </si>
  <si>
    <t>ote disabled</t>
  </si>
  <si>
    <t>Component_Type</t>
  </si>
  <si>
    <t>Component_significance</t>
  </si>
  <si>
    <t>Individually financially significant</t>
  </si>
  <si>
    <t>Likely to include significant risks</t>
  </si>
  <si>
    <t>Not significant</t>
  </si>
  <si>
    <t>Parent</t>
  </si>
  <si>
    <t>Subsidiary</t>
  </si>
  <si>
    <t>Equity method investment</t>
  </si>
  <si>
    <t>Other</t>
  </si>
  <si>
    <t>Comp_</t>
  </si>
  <si>
    <t>A review of component financial information is not sufficient to address a risk of material misstatement of the group financial statements.</t>
  </si>
  <si>
    <t>Select 'OK' to delete this component from this tab and all subsequent worksheets</t>
  </si>
  <si>
    <t>Delete component</t>
  </si>
  <si>
    <t>Select 'OK' to delete this benchmark</t>
  </si>
  <si>
    <t>Delete benchmark</t>
  </si>
  <si>
    <t>Enter a component materiality amount greater than zero and less than group materiality.</t>
  </si>
  <si>
    <t>Enter a component performance materiality amount greater than zero, less than or equal to the determined component materiality and less than group performance materiality.</t>
  </si>
  <si>
    <t>Enter a component materiality amount greater than zero.</t>
  </si>
  <si>
    <t>Enter a component performance materiality amount greater than zero.</t>
  </si>
  <si>
    <t>Select a cell within the financial information area to add a financial statement caption or other relevant financial information.</t>
  </si>
  <si>
    <t>Select 'OK' to delete this financial statement caption</t>
  </si>
  <si>
    <t>Select 'OK' to delete this financial statement caption", vbOKCancel, "Delete FS caption</t>
  </si>
  <si>
    <t>We can only make reference to a member firm or non-member firm’s auditor’s report.</t>
  </si>
  <si>
    <t>Other risk of material misstatement of the group</t>
  </si>
  <si>
    <t>Our firm</t>
  </si>
  <si>
    <t>Sufficient appropriate audit evidence</t>
  </si>
  <si>
    <t>Another member firm</t>
  </si>
  <si>
    <t>Unpredictability</t>
  </si>
  <si>
    <t>N/A - analytical procedures at group level</t>
  </si>
  <si>
    <t>Non-member firm</t>
  </si>
  <si>
    <t>Spell check complete.</t>
  </si>
  <si>
    <t>Delete FS Caption</t>
  </si>
  <si>
    <t>Yes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</si>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</sst>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font>
      <sz val="8"/>
      <color theme="1"/>
      <name val="arial"/>
      <family val="2"/>
    </font>
    <font>
      <sz val="11"/>
      <color theme="1"/>
      <name val="Calibri"/>
      <family val="2"/>
      <scheme val="minor"/>
    </font>
    <font>
      <sz val="11"/>
      <color theme="1"/>
      <name val="Calibri"/>
      <family val="2"/>
      <scheme val="minor"/>
    </font>
    <font>
      <sz val="8"/>
      <color theme="0"/>
      <name val="arial"/>
      <family val="2"/>
    </font>
    <font>
      <b/>
      <sz val="12"/>
      <color rgb="FF7030A0"/>
      <name val="arial"/>
      <family val="2"/>
    </font>
    <font>
      <sz val="8"/>
      <color theme="1"/>
      <name val="arial"/>
      <family val="2"/>
    </font>
    <font>
      <sz val="12"/>
      <color theme="0"/>
      <name val="arial"/>
      <family val="2"/>
    </font>
    <font>
      <b/>
      <sz val="8"/>
      <name val="arial"/>
      <family val="2"/>
    </font>
    <font>
      <b/>
      <sz val="8"/>
      <color theme="1"/>
      <name val="arial"/>
      <family val="2"/>
    </font>
    <font>
      <b/>
      <sz val="10"/>
      <color theme="0"/>
      <name val="arial"/>
      <family val="2"/>
    </font>
    <font>
      <b/>
      <sz val="12"/>
      <color rgb="FF4F2D7F"/>
      <name val="arial"/>
      <family val="2"/>
    </font>
    <font>
      <i/>
      <sz val="8"/>
      <color theme="0" tint="-0.34998626667073579"/>
      <name val="arial"/>
      <family val="2"/>
    </font>
    <font>
      <sz val="8"/>
      <color theme="0" tint="-0.34998626667073579"/>
      <name val="arial"/>
      <family val="2"/>
    </font>
    <font>
      <sz val="11"/>
      <color theme="1"/>
      <name val="Calibri"/>
      <family val="2"/>
      <scheme val="minor"/>
    </font>
    <font>
      <b/>
      <sz val="10"/>
      <color rgb="FFFF0000"/>
      <name val="Arial"/>
      <family val="2"/>
    </font>
    <font>
      <sz val="10"/>
      <color rgb="FFFF0000"/>
      <name val="Arial"/>
      <family val="2"/>
    </font>
    <font>
      <b/>
      <sz val="10"/>
      <color theme="1"/>
      <name val="arial"/>
      <family val="2"/>
    </font>
    <font>
      <sz val="10"/>
      <name val="Arial"/>
      <family val="2"/>
    </font>
    <font>
      <b/>
      <sz val="10"/>
      <name val="Arial"/>
      <family val="2"/>
    </font>
    <font>
      <sz val="8"/>
      <color rgb="FFFF0000"/>
      <name val="arial"/>
      <family val="2"/>
    </font>
    <font>
      <u/>
      <sz val="8"/>
      <color theme="10"/>
      <name val="arial"/>
      <family val="2"/>
    </font>
    <font>
      <b/>
      <sz val="10"/>
      <color rgb="FF4F2D7F"/>
      <name val="arial"/>
      <family val="2"/>
    </font>
    <font>
      <b/>
      <sz val="10"/>
      <color theme="0" tint="-0.499984740745262"/>
      <name val="arial"/>
      <family val="2"/>
    </font>
    <font>
      <b/>
      <sz val="10"/>
      <color theme="0" tint="-0.34998626667073579"/>
      <name val="arial"/>
      <family val="2"/>
    </font>
    <font>
      <b/>
      <sz val="11"/>
      <color theme="0" tint="-0.34998626667073579"/>
      <name val="arial"/>
      <family val="2"/>
    </font>
    <font>
      <b/>
      <sz val="12"/>
      <color theme="1"/>
      <name val="Arial"/>
      <family val="2"/>
    </font>
    <font>
      <sz val="8"/>
      <name val="Calibri Light"/>
      <family val="2"/>
      <scheme val="major"/>
    </font>
    <font>
      <u/>
      <sz val="8"/>
      <color theme="10"/>
      <name val="Calibri Light"/>
      <family val="2"/>
      <scheme val="major"/>
    </font>
    <font>
      <u/>
      <sz val="10"/>
      <color theme="10"/>
      <name val="Arial"/>
      <family val="2"/>
    </font>
  </fonts>
  <fills count="5">
    <fill>
      <patternFill patternType="none"/>
    </fill>
    <fill>
      <patternFill patternType="gray125"/>
    </fill>
    <fill>
      <patternFill patternType="solid">
        <fgColor rgb="FF4F2D7F"/>
        <bgColor indexed="64"/>
      </patternFill>
    </fill>
    <fill>
      <patternFill patternType="solid">
        <fgColor theme="0" tint="-4.9989318521683403E-2"/>
        <bgColor indexed="64"/>
      </patternFill>
    </fill>
    <fill>
      <patternFill patternType="solid">
        <fgColor theme="0" tint="-0.14999847407452621"/>
        <bgColor indexed="64"/>
      </patternFill>
    </fill>
  </fills>
  <borders count="2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indexed="64"/>
      </top>
      <bottom style="double">
        <color indexed="64"/>
      </bottom>
      <diagonal/>
    </border>
    <border>
      <left style="thin">
        <color theme="0" tint="-0.14999847407452621"/>
      </left>
      <right/>
      <top style="thin">
        <color theme="0" tint="-0.14999847407452621"/>
      </top>
      <bottom style="medium">
        <color indexed="64"/>
      </bottom>
      <diagonal/>
    </border>
    <border>
      <left/>
      <right/>
      <top style="thin">
        <color theme="0" tint="-0.14999847407452621"/>
      </top>
      <bottom style="medium">
        <color indexed="64"/>
      </bottom>
      <diagonal/>
    </border>
    <border>
      <left/>
      <right style="thin">
        <color theme="0" tint="-0.14999847407452621"/>
      </right>
      <top style="thin">
        <color theme="0" tint="-0.14999847407452621"/>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7">
    <xf numFmtId="0" fontId="0" fillId="0" borderId="0"/>
    <xf numFmtId="43" fontId="5" fillId="0" borderId="0" applyFont="0" applyFill="0" applyBorder="0" applyAlignment="0" applyProtection="0"/>
    <xf numFmtId="9" fontId="5" fillId="0" borderId="0" applyFont="0" applyFill="0" applyBorder="0" applyAlignment="0" applyProtection="0"/>
    <xf numFmtId="0" fontId="13" fillId="0" borderId="0"/>
    <xf numFmtId="0" fontId="2" fillId="0" borderId="0"/>
    <xf numFmtId="0" fontId="20" fillId="0" borderId="0" applyNumberFormat="0" applyFill="0" applyBorder="0" applyAlignment="0" applyProtection="0"/>
    <xf numFmtId="0" fontId="1" fillId="0" borderId="0"/>
  </cellStyleXfs>
  <cellXfs count="188">
    <xf numFmtId="0" fontId="0" fillId="0" borderId="0" xfId="0"/>
    <xf numFmtId="0" fontId="4" fillId="0" borderId="0" xfId="0" applyFont="1"/>
    <xf numFmtId="0" fontId="0" fillId="3" borderId="1" xfId="0" applyFill="1" applyBorder="1" applyAlignment="1">
      <alignment horizontal="center" vertical="center" wrapText="1"/>
    </xf>
    <xf numFmtId="0" fontId="6" fillId="0" borderId="0" xfId="0" applyFont="1" applyAlignment="1">
      <alignment horizontal="center"/>
    </xf>
    <xf numFmtId="0" fontId="0" fillId="3" borderId="1" xfId="0" applyFill="1" applyBorder="1" applyAlignment="1">
      <alignment horizontal="left" vertical="center" wrapText="1"/>
    </xf>
    <xf numFmtId="37" fontId="0" fillId="3" borderId="1" xfId="0" applyNumberFormat="1" applyFill="1" applyBorder="1" applyAlignment="1">
      <alignment horizontal="center" vertical="center" wrapText="1"/>
    </xf>
    <xf numFmtId="0" fontId="0" fillId="0" borderId="0" xfId="0" applyAlignment="1">
      <alignment vertical="center" wrapText="1"/>
    </xf>
    <xf numFmtId="37" fontId="0" fillId="0" borderId="10" xfId="0" applyNumberFormat="1" applyBorder="1" applyAlignment="1">
      <alignment vertical="center" wrapText="1"/>
    </xf>
    <xf numFmtId="0" fontId="0" fillId="2" borderId="0" xfId="0" applyFill="1" applyAlignment="1">
      <alignment vertical="center" wrapText="1"/>
    </xf>
    <xf numFmtId="37" fontId="0" fillId="2" borderId="0" xfId="0" applyNumberFormat="1" applyFill="1" applyAlignment="1">
      <alignment vertical="center" wrapText="1"/>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11" fillId="0" borderId="10" xfId="0" applyFont="1" applyBorder="1" applyAlignment="1">
      <alignment vertical="center" wrapText="1"/>
    </xf>
    <xf numFmtId="0" fontId="10" fillId="3" borderId="14" xfId="0" applyFont="1" applyFill="1" applyBorder="1" applyAlignment="1">
      <alignment vertical="center"/>
    </xf>
    <xf numFmtId="0" fontId="0" fillId="3" borderId="7" xfId="0" applyFill="1" applyBorder="1" applyAlignment="1">
      <alignment vertical="center" wrapText="1"/>
    </xf>
    <xf numFmtId="0" fontId="8" fillId="3" borderId="1" xfId="0" applyFont="1" applyFill="1" applyBorder="1" applyAlignment="1">
      <alignment vertical="center" wrapText="1"/>
    </xf>
    <xf numFmtId="0" fontId="11" fillId="3" borderId="10" xfId="0" applyFont="1" applyFill="1" applyBorder="1" applyAlignment="1">
      <alignment vertical="center" wrapText="1"/>
    </xf>
    <xf numFmtId="0" fontId="8" fillId="3" borderId="11" xfId="0" applyFont="1" applyFill="1" applyBorder="1" applyAlignment="1">
      <alignment vertical="center" wrapText="1"/>
    </xf>
    <xf numFmtId="0" fontId="8" fillId="3" borderId="9" xfId="0" applyFont="1" applyFill="1" applyBorder="1" applyAlignment="1">
      <alignment vertical="center" wrapText="1"/>
    </xf>
    <xf numFmtId="0" fontId="0" fillId="3" borderId="12" xfId="0" applyFill="1" applyBorder="1" applyAlignment="1">
      <alignment vertical="center" wrapText="1"/>
    </xf>
    <xf numFmtId="0" fontId="8" fillId="3" borderId="13" xfId="0" applyFont="1" applyFill="1" applyBorder="1" applyAlignment="1">
      <alignment vertical="center" wrapText="1"/>
    </xf>
    <xf numFmtId="0" fontId="0" fillId="3" borderId="10" xfId="0" applyFill="1" applyBorder="1" applyAlignment="1">
      <alignment vertical="center" wrapText="1"/>
    </xf>
    <xf numFmtId="0" fontId="0" fillId="3" borderId="1" xfId="0" applyFill="1" applyBorder="1" applyAlignment="1">
      <alignment vertical="center" wrapText="1"/>
    </xf>
    <xf numFmtId="0" fontId="10" fillId="0" borderId="14" xfId="0" applyFont="1" applyBorder="1" applyAlignment="1" applyProtection="1">
      <alignment vertical="center"/>
      <protection locked="0"/>
    </xf>
    <xf numFmtId="0" fontId="10" fillId="0" borderId="15" xfId="0" applyFont="1" applyBorder="1" applyAlignment="1" applyProtection="1">
      <alignment vertical="center"/>
      <protection locked="0"/>
    </xf>
    <xf numFmtId="0" fontId="10" fillId="0" borderId="16" xfId="0" applyFont="1" applyBorder="1" applyAlignment="1" applyProtection="1">
      <alignment vertical="center"/>
      <protection locked="0"/>
    </xf>
    <xf numFmtId="0" fontId="0" fillId="0" borderId="0" xfId="0" applyAlignment="1" applyProtection="1">
      <alignment vertical="center" wrapText="1"/>
      <protection locked="0"/>
    </xf>
    <xf numFmtId="37" fontId="0" fillId="0" borderId="8" xfId="0" applyNumberFormat="1" applyBorder="1" applyAlignment="1" applyProtection="1">
      <alignment vertical="center" wrapText="1"/>
      <protection locked="0"/>
    </xf>
    <xf numFmtId="0" fontId="0" fillId="0" borderId="7" xfId="0" applyBorder="1" applyAlignment="1" applyProtection="1">
      <alignment vertical="center" wrapText="1"/>
      <protection locked="0"/>
    </xf>
    <xf numFmtId="37" fontId="0" fillId="0" borderId="7" xfId="0" applyNumberFormat="1" applyBorder="1" applyAlignment="1" applyProtection="1">
      <alignment vertical="center" wrapText="1"/>
      <protection locked="0"/>
    </xf>
    <xf numFmtId="0" fontId="8" fillId="0" borderId="1" xfId="0" applyFont="1" applyBorder="1" applyAlignment="1" applyProtection="1">
      <alignment vertical="center" wrapText="1"/>
      <protection locked="0"/>
    </xf>
    <xf numFmtId="37" fontId="0" fillId="0" borderId="1" xfId="1" applyNumberFormat="1" applyFont="1" applyBorder="1" applyAlignment="1" applyProtection="1">
      <alignment vertical="center" wrapText="1"/>
      <protection locked="0"/>
    </xf>
    <xf numFmtId="0" fontId="0" fillId="0" borderId="1" xfId="0" applyBorder="1" applyAlignment="1" applyProtection="1">
      <alignment vertical="center" wrapText="1"/>
      <protection locked="0"/>
    </xf>
    <xf numFmtId="37" fontId="0" fillId="0" borderId="1" xfId="0" applyNumberFormat="1" applyBorder="1" applyAlignment="1" applyProtection="1">
      <alignment vertical="center" wrapText="1"/>
      <protection locked="0"/>
    </xf>
    <xf numFmtId="0" fontId="8" fillId="0" borderId="11" xfId="0" applyFont="1" applyBorder="1" applyAlignment="1" applyProtection="1">
      <alignment vertical="center" wrapText="1"/>
      <protection locked="0"/>
    </xf>
    <xf numFmtId="37" fontId="8" fillId="0" borderId="11" xfId="0" applyNumberFormat="1" applyFont="1" applyBorder="1" applyAlignment="1" applyProtection="1">
      <alignment vertical="center" wrapText="1"/>
      <protection locked="0"/>
    </xf>
    <xf numFmtId="0" fontId="8" fillId="0" borderId="9" xfId="0" applyFont="1" applyBorder="1" applyAlignment="1" applyProtection="1">
      <alignment vertical="center" wrapText="1"/>
      <protection locked="0"/>
    </xf>
    <xf numFmtId="37" fontId="8" fillId="0" borderId="9" xfId="0" applyNumberFormat="1" applyFont="1" applyBorder="1" applyAlignment="1" applyProtection="1">
      <alignment vertical="center" wrapText="1"/>
      <protection locked="0"/>
    </xf>
    <xf numFmtId="0" fontId="0" fillId="0" borderId="12" xfId="0" applyBorder="1" applyAlignment="1" applyProtection="1">
      <alignment vertical="center" wrapText="1"/>
      <protection locked="0"/>
    </xf>
    <xf numFmtId="37" fontId="0" fillId="0" borderId="12" xfId="0" applyNumberFormat="1" applyBorder="1" applyAlignment="1" applyProtection="1">
      <alignment vertical="center" wrapText="1"/>
      <protection locked="0"/>
    </xf>
    <xf numFmtId="0" fontId="8" fillId="0" borderId="13" xfId="0" applyFont="1" applyBorder="1" applyAlignment="1" applyProtection="1">
      <alignment vertical="center" wrapText="1"/>
      <protection locked="0"/>
    </xf>
    <xf numFmtId="37" fontId="8" fillId="0" borderId="13" xfId="0" applyNumberFormat="1" applyFont="1" applyBorder="1" applyAlignment="1" applyProtection="1">
      <alignment vertical="center" wrapText="1"/>
      <protection locked="0"/>
    </xf>
    <xf numFmtId="0" fontId="0" fillId="2" borderId="0" xfId="0" applyFill="1" applyAlignment="1" applyProtection="1">
      <alignment vertical="center" wrapText="1"/>
      <protection locked="0"/>
    </xf>
    <xf numFmtId="37" fontId="0" fillId="2" borderId="0" xfId="0" applyNumberFormat="1" applyFill="1" applyAlignment="1" applyProtection="1">
      <alignment vertical="center" wrapText="1"/>
      <protection locked="0"/>
    </xf>
    <xf numFmtId="37" fontId="0" fillId="0" borderId="10" xfId="0" applyNumberFormat="1" applyBorder="1" applyAlignment="1" applyProtection="1">
      <alignment vertical="center" wrapText="1"/>
      <protection locked="0"/>
    </xf>
    <xf numFmtId="0" fontId="0" fillId="0" borderId="10" xfId="0" applyBorder="1" applyAlignment="1" applyProtection="1">
      <alignment vertical="center" wrapText="1"/>
      <protection locked="0"/>
    </xf>
    <xf numFmtId="37" fontId="0" fillId="0" borderId="1" xfId="0" applyNumberFormat="1" applyBorder="1" applyAlignment="1">
      <alignment vertical="center" wrapText="1"/>
    </xf>
    <xf numFmtId="0" fontId="0" fillId="0" borderId="0" xfId="0" applyProtection="1">
      <protection locked="0"/>
    </xf>
    <xf numFmtId="0" fontId="0" fillId="3" borderId="1" xfId="0" applyFill="1" applyBorder="1" applyAlignment="1">
      <alignment vertical="center"/>
    </xf>
    <xf numFmtId="0" fontId="0" fillId="0" borderId="0" xfId="0" applyAlignment="1">
      <alignment horizontal="center"/>
    </xf>
    <xf numFmtId="1" fontId="0" fillId="0" borderId="0" xfId="1" applyNumberFormat="1" applyFont="1" applyAlignment="1" applyProtection="1">
      <alignment horizontal="center"/>
    </xf>
    <xf numFmtId="1" fontId="0" fillId="0" borderId="0" xfId="1" applyNumberFormat="1" applyFont="1" applyProtection="1">
      <protection locked="0"/>
    </xf>
    <xf numFmtId="1" fontId="0" fillId="0" borderId="0" xfId="1" applyNumberFormat="1" applyFont="1" applyFill="1" applyAlignment="1" applyProtection="1">
      <alignment horizontal="center"/>
    </xf>
    <xf numFmtId="1" fontId="0" fillId="2" borderId="0" xfId="1" applyNumberFormat="1" applyFont="1" applyFill="1" applyBorder="1" applyAlignment="1" applyProtection="1">
      <alignment vertical="center" wrapText="1"/>
      <protection locked="0"/>
    </xf>
    <xf numFmtId="1" fontId="0" fillId="0" borderId="0" xfId="1" applyNumberFormat="1" applyFont="1" applyProtection="1"/>
    <xf numFmtId="37" fontId="0" fillId="2" borderId="0" xfId="1" applyNumberFormat="1" applyFont="1" applyFill="1" applyBorder="1" applyAlignment="1" applyProtection="1">
      <alignment vertical="center" wrapText="1"/>
      <protection locked="0"/>
    </xf>
    <xf numFmtId="37" fontId="0" fillId="0" borderId="0" xfId="1" applyNumberFormat="1" applyFont="1" applyProtection="1">
      <protection locked="0"/>
    </xf>
    <xf numFmtId="37" fontId="0" fillId="0" borderId="1" xfId="1" applyNumberFormat="1" applyFont="1" applyFill="1" applyBorder="1" applyAlignment="1" applyProtection="1">
      <alignment vertical="center" wrapText="1"/>
      <protection locked="0"/>
    </xf>
    <xf numFmtId="37" fontId="11" fillId="0" borderId="10" xfId="1" applyNumberFormat="1" applyFont="1" applyFill="1" applyBorder="1" applyAlignment="1" applyProtection="1">
      <alignment vertical="center" wrapText="1"/>
      <protection locked="0"/>
    </xf>
    <xf numFmtId="37" fontId="8" fillId="0" borderId="11" xfId="1" applyNumberFormat="1" applyFont="1" applyFill="1" applyBorder="1" applyAlignment="1" applyProtection="1">
      <alignment vertical="center" wrapText="1"/>
      <protection locked="0"/>
    </xf>
    <xf numFmtId="37" fontId="0" fillId="0" borderId="7" xfId="1" applyNumberFormat="1" applyFont="1" applyFill="1" applyBorder="1" applyAlignment="1" applyProtection="1">
      <alignment vertical="center" wrapText="1"/>
      <protection locked="0"/>
    </xf>
    <xf numFmtId="37" fontId="8" fillId="0" borderId="9" xfId="1" applyNumberFormat="1" applyFont="1" applyFill="1" applyBorder="1" applyAlignment="1" applyProtection="1">
      <alignment vertical="center" wrapText="1"/>
      <protection locked="0"/>
    </xf>
    <xf numFmtId="37" fontId="8" fillId="0" borderId="1" xfId="1" applyNumberFormat="1" applyFont="1" applyFill="1" applyBorder="1" applyAlignment="1" applyProtection="1">
      <alignment vertical="center" wrapText="1"/>
      <protection locked="0"/>
    </xf>
    <xf numFmtId="37" fontId="0" fillId="0" borderId="12" xfId="1" applyNumberFormat="1" applyFont="1" applyFill="1" applyBorder="1" applyAlignment="1" applyProtection="1">
      <alignment vertical="center" wrapText="1"/>
      <protection locked="0"/>
    </xf>
    <xf numFmtId="37" fontId="8" fillId="0" borderId="13" xfId="1" applyNumberFormat="1" applyFont="1" applyFill="1" applyBorder="1" applyAlignment="1" applyProtection="1">
      <alignment vertical="center" wrapText="1"/>
      <protection locked="0"/>
    </xf>
    <xf numFmtId="37" fontId="10" fillId="0" borderId="14" xfId="1" applyNumberFormat="1" applyFont="1" applyFill="1" applyBorder="1" applyAlignment="1" applyProtection="1">
      <alignment vertical="center"/>
      <protection locked="0"/>
    </xf>
    <xf numFmtId="37" fontId="0" fillId="0" borderId="10" xfId="1" applyNumberFormat="1" applyFont="1" applyFill="1" applyBorder="1" applyAlignment="1" applyProtection="1">
      <alignment vertical="center" wrapText="1"/>
      <protection locked="0"/>
    </xf>
    <xf numFmtId="37" fontId="0" fillId="0" borderId="0" xfId="1" applyNumberFormat="1" applyFont="1" applyFill="1" applyProtection="1">
      <protection locked="0"/>
    </xf>
    <xf numFmtId="0" fontId="0" fillId="0" borderId="17" xfId="0" applyBorder="1" applyAlignment="1">
      <alignment horizontal="center" vertical="center"/>
    </xf>
    <xf numFmtId="37" fontId="0" fillId="3" borderId="1" xfId="1" applyNumberFormat="1" applyFont="1" applyFill="1" applyBorder="1" applyAlignment="1" applyProtection="1">
      <alignment vertical="center" wrapText="1"/>
    </xf>
    <xf numFmtId="10" fontId="0" fillId="3" borderId="1" xfId="2" applyNumberFormat="1" applyFont="1" applyFill="1" applyBorder="1" applyAlignment="1" applyProtection="1">
      <alignment vertical="center" wrapText="1"/>
    </xf>
    <xf numFmtId="37" fontId="11" fillId="3" borderId="10" xfId="1" applyNumberFormat="1" applyFont="1" applyFill="1" applyBorder="1" applyAlignment="1" applyProtection="1">
      <alignment vertical="center" wrapText="1"/>
    </xf>
    <xf numFmtId="10" fontId="11" fillId="3" borderId="10" xfId="2" applyNumberFormat="1" applyFont="1" applyFill="1" applyBorder="1" applyAlignment="1" applyProtection="1">
      <alignment vertical="center" wrapText="1"/>
    </xf>
    <xf numFmtId="37" fontId="8" fillId="3" borderId="11" xfId="1" applyNumberFormat="1" applyFont="1" applyFill="1" applyBorder="1" applyAlignment="1" applyProtection="1">
      <alignment vertical="center" wrapText="1"/>
    </xf>
    <xf numFmtId="10" fontId="8" fillId="3" borderId="11" xfId="2" applyNumberFormat="1" applyFont="1" applyFill="1" applyBorder="1" applyAlignment="1" applyProtection="1">
      <alignment vertical="center" wrapText="1"/>
    </xf>
    <xf numFmtId="37" fontId="0" fillId="3" borderId="7" xfId="1" applyNumberFormat="1" applyFont="1" applyFill="1" applyBorder="1" applyAlignment="1" applyProtection="1">
      <alignment vertical="center" wrapText="1"/>
    </xf>
    <xf numFmtId="10" fontId="0" fillId="3" borderId="7" xfId="2" applyNumberFormat="1" applyFont="1" applyFill="1" applyBorder="1" applyAlignment="1" applyProtection="1">
      <alignment vertical="center" wrapText="1"/>
    </xf>
    <xf numFmtId="37" fontId="8" fillId="3" borderId="9" xfId="1" applyNumberFormat="1" applyFont="1" applyFill="1" applyBorder="1" applyAlignment="1" applyProtection="1">
      <alignment vertical="center" wrapText="1"/>
    </xf>
    <xf numFmtId="10" fontId="8" fillId="3" borderId="9" xfId="2" applyNumberFormat="1" applyFont="1" applyFill="1" applyBorder="1" applyAlignment="1" applyProtection="1">
      <alignment vertical="center" wrapText="1"/>
    </xf>
    <xf numFmtId="37" fontId="8" fillId="3" borderId="1" xfId="1" applyNumberFormat="1" applyFont="1" applyFill="1" applyBorder="1" applyAlignment="1" applyProtection="1">
      <alignment vertical="center" wrapText="1"/>
    </xf>
    <xf numFmtId="10" fontId="8" fillId="3" borderId="1" xfId="2" applyNumberFormat="1" applyFont="1" applyFill="1" applyBorder="1" applyAlignment="1" applyProtection="1">
      <alignment vertical="center" wrapText="1"/>
    </xf>
    <xf numFmtId="37" fontId="0" fillId="3" borderId="12" xfId="1" applyNumberFormat="1" applyFont="1" applyFill="1" applyBorder="1" applyAlignment="1" applyProtection="1">
      <alignment vertical="center" wrapText="1"/>
    </xf>
    <xf numFmtId="10" fontId="0" fillId="3" borderId="12" xfId="2" applyNumberFormat="1" applyFont="1" applyFill="1" applyBorder="1" applyAlignment="1" applyProtection="1">
      <alignment vertical="center" wrapText="1"/>
    </xf>
    <xf numFmtId="37" fontId="8" fillId="3" borderId="13" xfId="1" applyNumberFormat="1" applyFont="1" applyFill="1" applyBorder="1" applyAlignment="1" applyProtection="1">
      <alignment vertical="center" wrapText="1"/>
    </xf>
    <xf numFmtId="10" fontId="8" fillId="3" borderId="13" xfId="2" applyNumberFormat="1" applyFont="1" applyFill="1" applyBorder="1" applyAlignment="1" applyProtection="1">
      <alignment vertical="center" wrapText="1"/>
    </xf>
    <xf numFmtId="37" fontId="8" fillId="0" borderId="0" xfId="1" applyNumberFormat="1" applyFont="1" applyFill="1" applyBorder="1" applyAlignment="1" applyProtection="1">
      <alignment vertical="center" wrapText="1"/>
    </xf>
    <xf numFmtId="10" fontId="8" fillId="0" borderId="0" xfId="2" applyNumberFormat="1" applyFont="1" applyFill="1" applyBorder="1" applyAlignment="1" applyProtection="1">
      <alignment vertical="center" wrapText="1"/>
    </xf>
    <xf numFmtId="37" fontId="0" fillId="2" borderId="0" xfId="1" applyNumberFormat="1" applyFont="1" applyFill="1" applyBorder="1" applyAlignment="1" applyProtection="1">
      <alignment vertical="center" wrapText="1"/>
    </xf>
    <xf numFmtId="10" fontId="0" fillId="2" borderId="0" xfId="2" applyNumberFormat="1" applyFont="1" applyFill="1" applyBorder="1" applyAlignment="1" applyProtection="1">
      <alignment vertical="center" wrapText="1"/>
    </xf>
    <xf numFmtId="37" fontId="10" fillId="3" borderId="14" xfId="1" applyNumberFormat="1" applyFont="1" applyFill="1" applyBorder="1" applyAlignment="1" applyProtection="1">
      <alignment vertical="center"/>
    </xf>
    <xf numFmtId="10" fontId="10" fillId="3" borderId="14" xfId="2" applyNumberFormat="1" applyFont="1" applyFill="1" applyBorder="1" applyAlignment="1" applyProtection="1">
      <alignment vertical="center"/>
    </xf>
    <xf numFmtId="37" fontId="0" fillId="3" borderId="10" xfId="1" applyNumberFormat="1" applyFont="1" applyFill="1" applyBorder="1" applyAlignment="1" applyProtection="1">
      <alignment vertical="center" wrapText="1"/>
    </xf>
    <xf numFmtId="10" fontId="0" fillId="3" borderId="10" xfId="2" applyNumberFormat="1" applyFont="1" applyFill="1" applyBorder="1" applyAlignment="1" applyProtection="1">
      <alignment vertical="center" wrapText="1"/>
    </xf>
    <xf numFmtId="37" fontId="0" fillId="0" borderId="0" xfId="1" applyNumberFormat="1" applyFont="1" applyProtection="1"/>
    <xf numFmtId="1" fontId="0" fillId="0" borderId="1" xfId="1" applyNumberFormat="1" applyFont="1" applyFill="1" applyBorder="1" applyAlignment="1" applyProtection="1">
      <alignment vertical="center" wrapText="1"/>
      <protection locked="0"/>
    </xf>
    <xf numFmtId="1" fontId="11" fillId="0" borderId="10" xfId="1" applyNumberFormat="1" applyFont="1" applyFill="1" applyBorder="1" applyAlignment="1" applyProtection="1">
      <alignment vertical="center" wrapText="1"/>
      <protection locked="0"/>
    </xf>
    <xf numFmtId="1" fontId="8" fillId="0" borderId="11" xfId="1" applyNumberFormat="1" applyFont="1" applyFill="1" applyBorder="1" applyAlignment="1" applyProtection="1">
      <alignment vertical="center" wrapText="1"/>
      <protection locked="0"/>
    </xf>
    <xf numFmtId="1" fontId="0" fillId="0" borderId="7" xfId="1" applyNumberFormat="1" applyFont="1" applyFill="1" applyBorder="1" applyAlignment="1" applyProtection="1">
      <alignment vertical="center" wrapText="1"/>
      <protection locked="0"/>
    </xf>
    <xf numFmtId="1" fontId="8" fillId="0" borderId="9" xfId="1" applyNumberFormat="1" applyFont="1" applyFill="1" applyBorder="1" applyAlignment="1" applyProtection="1">
      <alignment vertical="center" wrapText="1"/>
      <protection locked="0"/>
    </xf>
    <xf numFmtId="1" fontId="8" fillId="0" borderId="1" xfId="1" applyNumberFormat="1" applyFont="1" applyFill="1" applyBorder="1" applyAlignment="1" applyProtection="1">
      <alignment vertical="center" wrapText="1"/>
      <protection locked="0"/>
    </xf>
    <xf numFmtId="1" fontId="0" fillId="0" borderId="12" xfId="1" applyNumberFormat="1" applyFont="1" applyFill="1" applyBorder="1" applyAlignment="1" applyProtection="1">
      <alignment vertical="center" wrapText="1"/>
      <protection locked="0"/>
    </xf>
    <xf numFmtId="1" fontId="8" fillId="0" borderId="13" xfId="1" applyNumberFormat="1" applyFont="1" applyFill="1" applyBorder="1" applyAlignment="1" applyProtection="1">
      <alignment vertical="center" wrapText="1"/>
      <protection locked="0"/>
    </xf>
    <xf numFmtId="1" fontId="10" fillId="0" borderId="14" xfId="1" applyNumberFormat="1" applyFont="1" applyFill="1" applyBorder="1" applyAlignment="1" applyProtection="1">
      <alignment vertical="center"/>
      <protection locked="0"/>
    </xf>
    <xf numFmtId="1" fontId="0" fillId="0" borderId="10" xfId="1" applyNumberFormat="1" applyFont="1" applyFill="1" applyBorder="1" applyAlignment="1" applyProtection="1">
      <alignment vertical="center" wrapText="1"/>
      <protection locked="0"/>
    </xf>
    <xf numFmtId="1" fontId="0" fillId="3" borderId="1" xfId="1" applyNumberFormat="1" applyFont="1" applyFill="1" applyBorder="1" applyAlignment="1" applyProtection="1">
      <alignment vertical="center" wrapText="1"/>
    </xf>
    <xf numFmtId="1" fontId="8" fillId="0" borderId="0" xfId="1" applyNumberFormat="1" applyFont="1" applyFill="1" applyBorder="1" applyAlignment="1" applyProtection="1">
      <alignment vertical="center" wrapText="1"/>
    </xf>
    <xf numFmtId="0" fontId="12" fillId="0" borderId="0" xfId="0" applyFont="1" applyProtection="1">
      <protection locked="0"/>
    </xf>
    <xf numFmtId="0" fontId="8" fillId="0" borderId="0" xfId="0" applyFont="1" applyAlignment="1">
      <alignment vertical="center" wrapText="1"/>
    </xf>
    <xf numFmtId="37" fontId="8" fillId="0" borderId="0" xfId="0" applyNumberFormat="1" applyFont="1" applyAlignment="1">
      <alignment vertical="center" wrapText="1"/>
    </xf>
    <xf numFmtId="37" fontId="0" fillId="0" borderId="0" xfId="0" applyNumberFormat="1" applyAlignment="1">
      <alignment vertical="center" wrapText="1"/>
    </xf>
    <xf numFmtId="1" fontId="0" fillId="0" borderId="0" xfId="1" applyNumberFormat="1" applyFont="1" applyFill="1" applyProtection="1"/>
    <xf numFmtId="0" fontId="12" fillId="3" borderId="12" xfId="0" applyFont="1" applyFill="1" applyBorder="1" applyAlignment="1">
      <alignment vertical="center" wrapText="1"/>
    </xf>
    <xf numFmtId="9" fontId="0" fillId="3" borderId="1" xfId="2" applyFont="1" applyFill="1" applyBorder="1" applyAlignment="1">
      <alignment horizontal="center" vertical="center" wrapText="1"/>
    </xf>
    <xf numFmtId="9" fontId="0" fillId="3" borderId="1" xfId="2" applyFont="1" applyFill="1" applyBorder="1" applyAlignment="1" applyProtection="1">
      <alignment horizontal="center" vertical="center" wrapText="1"/>
    </xf>
    <xf numFmtId="0" fontId="10" fillId="0" borderId="0" xfId="0" applyFont="1"/>
    <xf numFmtId="0" fontId="14" fillId="0" borderId="0" xfId="4" applyFont="1" applyAlignment="1" applyProtection="1">
      <alignment vertical="center"/>
      <protection locked="0"/>
    </xf>
    <xf numFmtId="0" fontId="14" fillId="0" borderId="0" xfId="4" applyFont="1" applyAlignment="1" applyProtection="1">
      <alignment horizontal="left" vertical="center"/>
      <protection locked="0"/>
    </xf>
    <xf numFmtId="0" fontId="15" fillId="0" borderId="0" xfId="4" applyFont="1" applyAlignment="1" applyProtection="1">
      <alignment horizontal="left" vertical="center"/>
      <protection locked="0"/>
    </xf>
    <xf numFmtId="39" fontId="0" fillId="0" borderId="0" xfId="0" applyNumberFormat="1"/>
    <xf numFmtId="0" fontId="19" fillId="0" borderId="0" xfId="0" applyFont="1" applyAlignment="1" applyProtection="1">
      <alignment vertical="center" wrapText="1"/>
      <protection locked="0"/>
    </xf>
    <xf numFmtId="37" fontId="19" fillId="0" borderId="0" xfId="0" applyNumberFormat="1" applyFont="1" applyAlignment="1">
      <alignment vertical="center" wrapText="1"/>
    </xf>
    <xf numFmtId="0" fontId="8" fillId="3" borderId="11" xfId="0" applyFont="1" applyFill="1" applyBorder="1" applyAlignment="1">
      <alignment vertical="center"/>
    </xf>
    <xf numFmtId="37" fontId="0" fillId="0" borderId="11" xfId="1" applyNumberFormat="1" applyFont="1" applyFill="1" applyBorder="1" applyAlignment="1" applyProtection="1">
      <alignment vertical="center" wrapText="1"/>
      <protection locked="0"/>
    </xf>
    <xf numFmtId="37" fontId="0" fillId="3" borderId="11" xfId="1" applyNumberFormat="1" applyFont="1" applyFill="1" applyBorder="1" applyAlignment="1" applyProtection="1">
      <alignment vertical="center" wrapText="1"/>
    </xf>
    <xf numFmtId="1" fontId="0" fillId="0" borderId="11" xfId="1" applyNumberFormat="1" applyFont="1" applyFill="1" applyBorder="1" applyAlignment="1" applyProtection="1">
      <alignment vertical="center" wrapText="1"/>
      <protection locked="0"/>
    </xf>
    <xf numFmtId="0" fontId="8" fillId="0" borderId="22" xfId="0" applyFont="1" applyBorder="1"/>
    <xf numFmtId="37" fontId="8" fillId="0" borderId="11" xfId="1" applyNumberFormat="1" applyFont="1" applyBorder="1" applyAlignment="1" applyProtection="1">
      <alignment vertical="center" wrapText="1"/>
      <protection locked="0"/>
    </xf>
    <xf numFmtId="1" fontId="8" fillId="0" borderId="0" xfId="1" applyNumberFormat="1" applyFont="1" applyProtection="1">
      <protection locked="0"/>
    </xf>
    <xf numFmtId="1" fontId="8" fillId="0" borderId="22" xfId="1" applyNumberFormat="1" applyFont="1" applyBorder="1" applyAlignment="1" applyProtection="1">
      <alignment horizontal="center"/>
    </xf>
    <xf numFmtId="0" fontId="3" fillId="2" borderId="1" xfId="0" applyFont="1" applyFill="1" applyBorder="1" applyAlignment="1">
      <alignment horizontal="center" vertical="center" wrapText="1"/>
    </xf>
    <xf numFmtId="0" fontId="21" fillId="0" borderId="0" xfId="5" quotePrefix="1" applyFont="1" applyAlignment="1" applyProtection="1">
      <alignment horizontal="center" vertical="center"/>
      <protection locked="0"/>
    </xf>
    <xf numFmtId="0" fontId="18" fillId="0" borderId="0" xfId="4" quotePrefix="1" applyFont="1" applyAlignment="1" applyProtection="1">
      <alignment vertical="center"/>
      <protection locked="0"/>
    </xf>
    <xf numFmtId="37" fontId="0" fillId="0" borderId="1" xfId="0" applyNumberFormat="1" applyBorder="1" applyAlignment="1" applyProtection="1">
      <alignment horizontal="left" vertical="center"/>
      <protection locked="0"/>
    </xf>
    <xf numFmtId="0" fontId="0" fillId="3" borderId="1" xfId="0" applyFill="1" applyBorder="1" applyAlignment="1">
      <alignment horizontal="left" vertical="center"/>
    </xf>
    <xf numFmtId="0" fontId="22" fillId="0" borderId="0" xfId="0" applyFont="1" applyAlignment="1" applyProtection="1">
      <alignment horizontal="center"/>
      <protection locked="0"/>
    </xf>
    <xf numFmtId="49" fontId="14" fillId="0" borderId="0" xfId="4" quotePrefix="1" applyNumberFormat="1" applyFont="1" applyAlignment="1" applyProtection="1">
      <alignment vertical="center"/>
      <protection locked="0"/>
    </xf>
    <xf numFmtId="0" fontId="0" fillId="0" borderId="0" xfId="0" applyAlignment="1" applyProtection="1">
      <alignment horizontal="left" vertical="center"/>
      <protection locked="0"/>
    </xf>
    <xf numFmtId="0" fontId="23" fillId="0" borderId="0" xfId="5" quotePrefix="1" applyFont="1" applyAlignment="1" applyProtection="1">
      <alignment horizontal="center" vertical="center"/>
      <protection locked="0"/>
    </xf>
    <xf numFmtId="0" fontId="0" fillId="0" borderId="1" xfId="0" applyBorder="1" applyAlignment="1" applyProtection="1">
      <alignment horizontal="center" vertical="center" wrapText="1"/>
      <protection locked="0"/>
    </xf>
    <xf numFmtId="37" fontId="0" fillId="3" borderId="1" xfId="0" applyNumberFormat="1" applyFill="1" applyBorder="1" applyAlignment="1">
      <alignment vertical="center" wrapText="1"/>
    </xf>
    <xf numFmtId="37" fontId="0" fillId="3" borderId="1" xfId="0" applyNumberFormat="1" applyFill="1" applyBorder="1" applyAlignment="1" applyProtection="1">
      <alignment vertical="center" wrapText="1"/>
      <protection locked="0"/>
    </xf>
    <xf numFmtId="0" fontId="24" fillId="0" borderId="0" xfId="0" applyFont="1" applyAlignment="1">
      <alignment horizontal="center"/>
    </xf>
    <xf numFmtId="0" fontId="3" fillId="2" borderId="4" xfId="0" applyFont="1" applyFill="1" applyBorder="1" applyAlignment="1">
      <alignment vertical="center"/>
    </xf>
    <xf numFmtId="0" fontId="0" fillId="0" borderId="1" xfId="0" applyBorder="1" applyAlignment="1" applyProtection="1">
      <alignment horizontal="left" vertical="center" wrapText="1"/>
      <protection locked="0"/>
    </xf>
    <xf numFmtId="0" fontId="0" fillId="0" borderId="0" xfId="0" applyAlignment="1">
      <alignment horizontal="left"/>
    </xf>
    <xf numFmtId="37" fontId="19" fillId="0" borderId="0" xfId="0" applyNumberFormat="1" applyFont="1" applyAlignment="1" applyProtection="1">
      <alignment vertical="center" wrapText="1"/>
      <protection locked="0"/>
    </xf>
    <xf numFmtId="0" fontId="14" fillId="0" borderId="0" xfId="5" applyFont="1" applyAlignment="1" applyProtection="1">
      <alignment horizontal="center" vertical="center"/>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14" fontId="0" fillId="3" borderId="1" xfId="0" applyNumberFormat="1" applyFill="1" applyBorder="1" applyAlignment="1">
      <alignment horizontal="left" vertical="center"/>
    </xf>
    <xf numFmtId="0" fontId="25" fillId="0" borderId="0" xfId="0" applyFont="1"/>
    <xf numFmtId="0" fontId="26" fillId="0" borderId="0" xfId="6" applyFont="1" applyAlignment="1">
      <alignment horizontal="left" vertical="top" wrapText="1"/>
    </xf>
    <xf numFmtId="0" fontId="27" fillId="0" borderId="0" xfId="5" applyFont="1" applyAlignment="1">
      <alignment horizontal="left" vertical="top" wrapText="1"/>
    </xf>
    <xf numFmtId="0" fontId="18" fillId="0" borderId="0" xfId="6" applyFont="1" applyAlignment="1">
      <alignment horizontal="left" vertical="top" wrapText="1"/>
    </xf>
    <xf numFmtId="0" fontId="17" fillId="0" borderId="0" xfId="6" applyFont="1" applyAlignment="1">
      <alignment horizontal="left" vertical="top" wrapText="1"/>
    </xf>
    <xf numFmtId="0" fontId="0" fillId="0" borderId="0" xfId="0" applyAlignment="1">
      <alignment wrapText="1"/>
    </xf>
    <xf numFmtId="17" fontId="0" fillId="0" borderId="0" xfId="0" applyNumberFormat="1" applyAlignment="1">
      <alignment wrapText="1"/>
    </xf>
    <xf numFmtId="0" fontId="0" fillId="4" borderId="0" xfId="0" applyFill="1" applyAlignment="1">
      <alignment wrapText="1"/>
    </xf>
    <xf numFmtId="17" fontId="0" fillId="4" borderId="0" xfId="0" applyNumberFormat="1" applyFill="1" applyAlignment="1">
      <alignment wrapText="1"/>
    </xf>
    <xf numFmtId="0" fontId="0" fillId="0" borderId="0" xfId="0" applyAlignment="1">
      <alignment vertical="top" wrapText="1"/>
    </xf>
    <xf numFmtId="0" fontId="0" fillId="0" borderId="0" xfId="0" applyAlignment="1">
      <alignment vertical="top"/>
    </xf>
    <xf numFmtId="0" fontId="17" fillId="3" borderId="18" xfId="4" applyFont="1" applyFill="1" applyBorder="1" applyAlignment="1" applyProtection="1">
      <alignment horizontal="left" vertical="top" wrapText="1"/>
      <protection locked="0"/>
    </xf>
    <xf numFmtId="0" fontId="17" fillId="3" borderId="17" xfId="4" applyFont="1" applyFill="1" applyBorder="1" applyAlignment="1" applyProtection="1">
      <alignment horizontal="left" vertical="top" wrapText="1"/>
      <protection locked="0"/>
    </xf>
    <xf numFmtId="0" fontId="16" fillId="4" borderId="19" xfId="4" applyFont="1" applyFill="1" applyBorder="1" applyAlignment="1" applyProtection="1">
      <alignment horizontal="left" vertical="top" wrapText="1"/>
      <protection locked="0"/>
    </xf>
    <xf numFmtId="0" fontId="16" fillId="4" borderId="21" xfId="4" applyFont="1" applyFill="1" applyBorder="1" applyAlignment="1" applyProtection="1">
      <alignment horizontal="left" vertical="top" wrapText="1"/>
      <protection locked="0"/>
    </xf>
    <xf numFmtId="0" fontId="17" fillId="3" borderId="23" xfId="4" applyFont="1" applyFill="1" applyBorder="1" applyAlignment="1" applyProtection="1">
      <alignment horizontal="left" vertical="top" wrapText="1"/>
      <protection locked="0"/>
    </xf>
    <xf numFmtId="0" fontId="17" fillId="3" borderId="24" xfId="4" applyFont="1" applyFill="1" applyBorder="1" applyAlignment="1" applyProtection="1">
      <alignment horizontal="left" vertical="top" wrapText="1"/>
      <protection locked="0"/>
    </xf>
    <xf numFmtId="0" fontId="16" fillId="4" borderId="20" xfId="4" applyFont="1" applyFill="1" applyBorder="1" applyAlignment="1" applyProtection="1">
      <alignment horizontal="left" vertical="top" wrapText="1"/>
      <protection locked="0"/>
    </xf>
    <xf numFmtId="0" fontId="15" fillId="0" borderId="0" xfId="4" applyFont="1" applyAlignment="1" applyProtection="1">
      <alignment horizontal="left" vertical="center" wrapText="1"/>
      <protection locked="0"/>
    </xf>
    <xf numFmtId="0" fontId="28" fillId="0" borderId="0" xfId="5" applyFont="1" applyAlignment="1">
      <alignment horizontal="left" vertical="top"/>
    </xf>
    <xf numFmtId="0" fontId="3" fillId="2" borderId="1" xfId="0" applyFont="1" applyFill="1" applyBorder="1" applyAlignment="1">
      <alignment horizontal="center" vertical="distributed" wrapText="1"/>
    </xf>
    <xf numFmtId="0" fontId="3" fillId="2" borderId="1" xfId="0" applyFont="1" applyFill="1" applyBorder="1" applyAlignment="1">
      <alignment horizontal="center" vertical="center" wrapText="1"/>
    </xf>
    <xf numFmtId="0" fontId="5" fillId="0" borderId="1" xfId="0" applyFont="1" applyBorder="1" applyAlignment="1" applyProtection="1">
      <alignment horizontal="left" vertical="center" wrapText="1"/>
      <protection locked="0"/>
    </xf>
    <xf numFmtId="14" fontId="5" fillId="0" borderId="1" xfId="0" applyNumberFormat="1" applyFont="1" applyBorder="1" applyAlignment="1" applyProtection="1">
      <alignment horizontal="left" vertical="center" wrapText="1"/>
      <protection locked="0"/>
    </xf>
    <xf numFmtId="0" fontId="14" fillId="0" borderId="0" xfId="5" applyFont="1" applyAlignment="1" applyProtection="1">
      <alignment horizontal="center" vertical="center"/>
      <protection locked="0"/>
    </xf>
    <xf numFmtId="0" fontId="7" fillId="3" borderId="4" xfId="0" applyFont="1" applyFill="1" applyBorder="1" applyAlignment="1">
      <alignment vertical="center"/>
    </xf>
    <xf numFmtId="0" fontId="7" fillId="3" borderId="6" xfId="0" applyFont="1" applyFill="1" applyBorder="1" applyAlignment="1">
      <alignment vertical="center"/>
    </xf>
    <xf numFmtId="0" fontId="7" fillId="3" borderId="5" xfId="0" applyFont="1" applyFill="1" applyBorder="1" applyAlignment="1">
      <alignment vertical="center"/>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1" xfId="0" applyBorder="1" applyAlignment="1" applyProtection="1">
      <alignment horizontal="center" vertical="center" wrapText="1"/>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0" fontId="0" fillId="3" borderId="1" xfId="0" applyFill="1" applyBorder="1" applyAlignment="1">
      <alignment vertical="center" wrapText="1"/>
    </xf>
    <xf numFmtId="14" fontId="0" fillId="3" borderId="1" xfId="0" applyNumberFormat="1" applyFill="1" applyBorder="1" applyAlignment="1">
      <alignment horizontal="left" vertical="center"/>
    </xf>
    <xf numFmtId="0" fontId="9" fillId="2" borderId="1" xfId="0" applyFont="1" applyFill="1" applyBorder="1" applyAlignment="1">
      <alignment horizontal="center" vertical="center" wrapText="1"/>
    </xf>
    <xf numFmtId="0" fontId="0" fillId="0" borderId="0" xfId="0" applyAlignment="1"/>
  </cellXfs>
  <cellStyles count="7">
    <cellStyle name="Comma" xfId="1" builtinId="3"/>
    <cellStyle name="Hyperlink" xfId="5" builtinId="8"/>
    <cellStyle name="Normal" xfId="0" builtinId="0"/>
    <cellStyle name="Normal 2 2 2" xfId="3" xr:uid="{00000000-0005-0000-0000-000003000000}"/>
    <cellStyle name="Normal 5" xfId="4" xr:uid="{00000000-0005-0000-0000-000004000000}"/>
    <cellStyle name="Normal 5 3" xfId="6" xr:uid="{3EBC7D1B-4B6A-4EBF-8C9D-99569EF52873}"/>
    <cellStyle name="Percent" xfId="2" builtinId="5"/>
  </cellStyles>
  <dxfs count="84">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border>
        <vertical/>
        <horizontal/>
      </border>
    </dxf>
    <dxf>
      <fill>
        <patternFill>
          <bgColor rgb="FFFFFFCC"/>
        </patternFill>
      </fill>
      <border>
        <vertical/>
        <horizontal/>
      </border>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4F2D7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133351</xdr:colOff>
      <xdr:row>0</xdr:row>
      <xdr:rowOff>123825</xdr:rowOff>
    </xdr:from>
    <xdr:to>
      <xdr:col>3</xdr:col>
      <xdr:colOff>1504951</xdr:colOff>
      <xdr:row>2</xdr:row>
      <xdr:rowOff>9525</xdr:rowOff>
    </xdr:to>
    <xdr:sp macro="[0]!SpellCheck" textlink="">
      <xdr:nvSpPr>
        <xdr:cNvPr id="3" name="TextBox 2">
          <a:extLst>
            <a:ext uri="{FF2B5EF4-FFF2-40B4-BE49-F238E27FC236}">
              <a16:creationId xmlns:a16="http://schemas.microsoft.com/office/drawing/2014/main" id="{00000000-0008-0000-0200-000003000000}"/>
            </a:ext>
          </a:extLst>
        </xdr:cNvPr>
        <xdr:cNvSpPr txBox="1"/>
      </xdr:nvSpPr>
      <xdr:spPr>
        <a:xfrm>
          <a:off x="2400301" y="12382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285750</xdr:colOff>
      <xdr:row>0</xdr:row>
      <xdr:rowOff>104775</xdr:rowOff>
    </xdr:from>
    <xdr:to>
      <xdr:col>3</xdr:col>
      <xdr:colOff>1657350</xdr:colOff>
      <xdr:row>1</xdr:row>
      <xdr:rowOff>190500</xdr:rowOff>
    </xdr:to>
    <xdr:sp macro="[0]!SpellCheck" textlink="">
      <xdr:nvSpPr>
        <xdr:cNvPr id="4" name="TextBox 3">
          <a:extLst>
            <a:ext uri="{FF2B5EF4-FFF2-40B4-BE49-F238E27FC236}">
              <a16:creationId xmlns:a16="http://schemas.microsoft.com/office/drawing/2014/main" id="{00000000-0008-0000-0300-000004000000}"/>
            </a:ext>
          </a:extLst>
        </xdr:cNvPr>
        <xdr:cNvSpPr txBox="1"/>
      </xdr:nvSpPr>
      <xdr:spPr>
        <a:xfrm>
          <a:off x="3000375" y="10477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28575</xdr:rowOff>
    </xdr:from>
    <xdr:to>
      <xdr:col>1</xdr:col>
      <xdr:colOff>1371600</xdr:colOff>
      <xdr:row>7</xdr:row>
      <xdr:rowOff>114300</xdr:rowOff>
    </xdr:to>
    <xdr:sp macro="[0]!SpellCheck" textlink="">
      <xdr:nvSpPr>
        <xdr:cNvPr id="2" name="TextBox 1">
          <a:extLst>
            <a:ext uri="{FF2B5EF4-FFF2-40B4-BE49-F238E27FC236}">
              <a16:creationId xmlns:a16="http://schemas.microsoft.com/office/drawing/2014/main" id="{00000000-0008-0000-0400-000002000000}"/>
            </a:ext>
          </a:extLst>
        </xdr:cNvPr>
        <xdr:cNvSpPr txBox="1"/>
      </xdr:nvSpPr>
      <xdr:spPr>
        <a:xfrm>
          <a:off x="219075" y="895350"/>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microsoftstream.com/video/fcbd68a4-1982-4b7a-a200-7be3b292c38a" TargetMode="External"/><Relationship Id="rId1" Type="http://schemas.openxmlformats.org/officeDocument/2006/relationships/hyperlink" Target="https://web.microsoftstream.com/video/6fe28904-aa08-4933-86f3-56a39663dfef"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5:M20"/>
  <sheetViews>
    <sheetView showGridLines="0" tabSelected="1" workbookViewId="0">
      <selection activeCell="Q19" sqref="Q19"/>
    </sheetView>
  </sheetViews>
  <sheetFormatPr defaultColWidth="9.33203125" defaultRowHeight="9.9499999999999993"/>
  <sheetData>
    <row r="5" spans="2:13" ht="15.6">
      <c r="B5" s="151" t="str">
        <f>_sheetContentTranslation_A_3</f>
        <v>YOU MUST ENABLE MACROS TO USE THIS WORKBOOK</v>
      </c>
    </row>
    <row r="7" spans="2:13">
      <c r="B7" s="160" t="str">
        <f>_sheetContentTranslation_A_4</f>
        <v>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v>
      </c>
      <c r="C7" s="161"/>
      <c r="D7" s="161"/>
      <c r="E7" s="161"/>
      <c r="F7" s="161"/>
      <c r="G7" s="161"/>
      <c r="H7" s="161"/>
      <c r="I7" s="161"/>
      <c r="J7" s="161"/>
      <c r="K7" s="161"/>
      <c r="L7" s="161"/>
      <c r="M7" s="161"/>
    </row>
    <row r="8" spans="2:13">
      <c r="B8" s="161"/>
      <c r="C8" s="161"/>
      <c r="D8" s="161"/>
      <c r="E8" s="161"/>
      <c r="F8" s="161"/>
      <c r="G8" s="161"/>
      <c r="H8" s="161"/>
      <c r="I8" s="161"/>
      <c r="J8" s="161"/>
      <c r="K8" s="161"/>
      <c r="L8" s="161"/>
      <c r="M8" s="161"/>
    </row>
    <row r="9" spans="2:13">
      <c r="B9" s="161"/>
      <c r="C9" s="161"/>
      <c r="D9" s="161"/>
      <c r="E9" s="161"/>
      <c r="F9" s="161"/>
      <c r="G9" s="161"/>
      <c r="H9" s="161"/>
      <c r="I9" s="161"/>
      <c r="J9" s="161"/>
      <c r="K9" s="161"/>
      <c r="L9" s="161"/>
      <c r="M9" s="161"/>
    </row>
    <row r="10" spans="2:13">
      <c r="B10" s="161"/>
      <c r="C10" s="161"/>
      <c r="D10" s="161"/>
      <c r="E10" s="161"/>
      <c r="F10" s="161"/>
      <c r="G10" s="161"/>
      <c r="H10" s="161"/>
      <c r="I10" s="161"/>
      <c r="J10" s="161"/>
      <c r="K10" s="161"/>
      <c r="L10" s="161"/>
      <c r="M10" s="161"/>
    </row>
    <row r="11" spans="2:13">
      <c r="B11" s="161"/>
      <c r="C11" s="161"/>
      <c r="D11" s="161"/>
      <c r="E11" s="161"/>
      <c r="F11" s="161"/>
      <c r="G11" s="161"/>
      <c r="H11" s="161"/>
      <c r="I11" s="161"/>
      <c r="J11" s="161"/>
      <c r="K11" s="161"/>
      <c r="L11" s="161"/>
      <c r="M11" s="161"/>
    </row>
    <row r="12" spans="2:13">
      <c r="B12" s="161"/>
      <c r="C12" s="161"/>
      <c r="D12" s="161"/>
      <c r="E12" s="161"/>
      <c r="F12" s="161"/>
      <c r="G12" s="161"/>
      <c r="H12" s="161"/>
      <c r="I12" s="161"/>
      <c r="J12" s="161"/>
      <c r="K12" s="161"/>
      <c r="L12" s="161"/>
      <c r="M12" s="161"/>
    </row>
    <row r="13" spans="2:13">
      <c r="B13" s="161"/>
      <c r="C13" s="161"/>
      <c r="D13" s="161"/>
      <c r="E13" s="161"/>
      <c r="F13" s="161"/>
      <c r="G13" s="161"/>
      <c r="H13" s="161"/>
      <c r="I13" s="161"/>
      <c r="J13" s="161"/>
      <c r="K13" s="161"/>
      <c r="L13" s="161"/>
      <c r="M13" s="161"/>
    </row>
    <row r="14" spans="2:13">
      <c r="B14" s="161"/>
      <c r="C14" s="161"/>
      <c r="D14" s="161"/>
      <c r="E14" s="161"/>
      <c r="F14" s="161"/>
      <c r="G14" s="161"/>
      <c r="H14" s="161"/>
      <c r="I14" s="161"/>
      <c r="J14" s="161"/>
      <c r="K14" s="161"/>
      <c r="L14" s="161"/>
      <c r="M14" s="161"/>
    </row>
    <row r="15" spans="2:13">
      <c r="B15" s="161"/>
      <c r="C15" s="161"/>
      <c r="D15" s="161"/>
      <c r="E15" s="161"/>
      <c r="F15" s="161"/>
      <c r="G15" s="161"/>
      <c r="H15" s="161"/>
      <c r="I15" s="161"/>
      <c r="J15" s="161"/>
      <c r="K15" s="161"/>
      <c r="L15" s="161"/>
      <c r="M15" s="161"/>
    </row>
    <row r="16" spans="2:13">
      <c r="B16" s="161"/>
      <c r="C16" s="161"/>
      <c r="D16" s="161"/>
      <c r="E16" s="161"/>
      <c r="F16" s="161"/>
      <c r="G16" s="161"/>
      <c r="H16" s="161"/>
      <c r="I16" s="161"/>
      <c r="J16" s="161"/>
      <c r="K16" s="161"/>
      <c r="L16" s="161"/>
      <c r="M16" s="161"/>
    </row>
    <row r="17" spans="2:13">
      <c r="B17" s="161"/>
      <c r="C17" s="161"/>
      <c r="D17" s="161"/>
      <c r="E17" s="161"/>
      <c r="F17" s="161"/>
      <c r="G17" s="161"/>
      <c r="H17" s="161"/>
      <c r="I17" s="161"/>
      <c r="J17" s="161"/>
      <c r="K17" s="161"/>
      <c r="L17" s="161"/>
      <c r="M17" s="161"/>
    </row>
    <row r="18" spans="2:13">
      <c r="B18" s="161"/>
      <c r="C18" s="161"/>
      <c r="D18" s="161"/>
      <c r="E18" s="161"/>
      <c r="F18" s="161"/>
      <c r="G18" s="161"/>
      <c r="H18" s="161"/>
      <c r="I18" s="161"/>
      <c r="J18" s="161"/>
      <c r="K18" s="161"/>
      <c r="L18" s="161"/>
      <c r="M18" s="161"/>
    </row>
    <row r="19" spans="2:13">
      <c r="B19" s="161"/>
      <c r="C19" s="161"/>
      <c r="D19" s="161"/>
      <c r="E19" s="161"/>
      <c r="F19" s="161"/>
      <c r="G19" s="161"/>
      <c r="H19" s="161"/>
      <c r="I19" s="161"/>
      <c r="J19" s="161"/>
      <c r="K19" s="161"/>
      <c r="L19" s="161"/>
      <c r="M19" s="161"/>
    </row>
    <row r="20" spans="2:13">
      <c r="B20" s="161"/>
      <c r="C20" s="161"/>
      <c r="D20" s="161"/>
      <c r="E20" s="161"/>
      <c r="F20" s="161"/>
      <c r="G20" s="161"/>
      <c r="H20" s="161"/>
      <c r="I20" s="161"/>
      <c r="J20" s="161"/>
      <c r="K20" s="161"/>
      <c r="L20" s="161"/>
      <c r="M20" s="161"/>
    </row>
  </sheetData>
  <sheetProtection formatCells="0" formatRows="0" insertRows="0" deleteRows="0" selectLockedCells="1"/>
  <mergeCells count="1">
    <mergeCell ref="B7:M2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28"/>
  <sheetViews>
    <sheetView showGridLines="0" zoomScale="89" zoomScaleNormal="89" workbookViewId="0">
      <selection activeCell="A7" sqref="A7:H7"/>
    </sheetView>
  </sheetViews>
  <sheetFormatPr defaultColWidth="9.33203125" defaultRowHeight="9.9499999999999993"/>
  <cols>
    <col min="1" max="1" width="22.83203125" style="48" customWidth="1"/>
    <col min="2" max="2" width="7.83203125" style="48" customWidth="1"/>
    <col min="3" max="8" width="31.6640625" style="48" customWidth="1"/>
    <col min="9" max="16384" width="9.33203125" style="48"/>
  </cols>
  <sheetData>
    <row r="1" spans="1:8" ht="15.6">
      <c r="A1" s="115" t="str">
        <f>_sheetContentTranslation_A_5</f>
        <v>Component significance and scoping</v>
      </c>
      <c r="B1" s="115"/>
      <c r="C1" s="115"/>
      <c r="D1" s="115"/>
      <c r="E1" s="115"/>
      <c r="F1" s="115"/>
      <c r="G1" s="115"/>
      <c r="H1" s="115"/>
    </row>
    <row r="2" spans="1:8" ht="12.95">
      <c r="A2" s="136" t="s">
        <v>0</v>
      </c>
      <c r="B2" s="116"/>
      <c r="C2" s="116"/>
      <c r="D2" s="116"/>
      <c r="E2" s="116"/>
      <c r="F2" s="116"/>
      <c r="G2" s="116"/>
      <c r="H2" s="116"/>
    </row>
    <row r="3" spans="1:8" ht="4.5" customHeight="1">
      <c r="A3" s="117"/>
      <c r="B3" s="117"/>
      <c r="C3" s="117"/>
      <c r="D3" s="117"/>
      <c r="E3" s="117"/>
      <c r="F3" s="117"/>
      <c r="G3" s="117"/>
      <c r="H3" s="117"/>
    </row>
    <row r="4" spans="1:8" ht="12.95">
      <c r="A4" s="116" t="str">
        <f>_sheetContentTranslation_A_7</f>
        <v>Delete these instructions and do not include them in the audit file.</v>
      </c>
      <c r="B4" s="116"/>
      <c r="C4" s="116"/>
      <c r="D4" s="116"/>
      <c r="E4" s="116"/>
      <c r="F4" s="116"/>
      <c r="G4" s="116"/>
      <c r="H4" s="116"/>
    </row>
    <row r="5" spans="1:8" ht="4.5" customHeight="1">
      <c r="A5" s="117"/>
      <c r="B5" s="117"/>
      <c r="C5" s="117"/>
      <c r="D5" s="117"/>
      <c r="E5" s="117"/>
      <c r="F5" s="117"/>
      <c r="G5" s="117"/>
      <c r="H5" s="117"/>
    </row>
    <row r="6" spans="1:8" ht="39.75" customHeight="1">
      <c r="A6" s="169" t="str">
        <f>_sheetContentTranslation_A_8</f>
        <v xml:space="preserve">This template is used to identify components, determine their significance, and determine the type of work to be performed on components, including the identification of component auditors. It also includes the determination of component materiality and component performance materiality, when applicable. </v>
      </c>
      <c r="B6" s="169"/>
      <c r="C6" s="169"/>
      <c r="D6" s="169"/>
      <c r="E6" s="169"/>
      <c r="F6" s="169"/>
      <c r="G6" s="169"/>
      <c r="H6" s="169"/>
    </row>
    <row r="7" spans="1:8" ht="45" customHeight="1">
      <c r="A7" s="169" t="str">
        <f>_sheetContentTranslation_A_9</f>
        <v>When obtaining an understanding of components, the group engagement team may identify risk factors, which are then considered in identifying and assessing risks of material misstatement of the group financial statements. The group engagement team may also identify likely significant risks of the group financial statements. Such understanding assists in determining the significance of the component and the type of work to be performed. Refer to the group engagement team’s documentation in the Understanding Components documentation template.</v>
      </c>
      <c r="B7" s="169"/>
      <c r="C7" s="169"/>
      <c r="D7" s="169"/>
      <c r="E7" s="169"/>
      <c r="F7" s="169"/>
      <c r="G7" s="169"/>
      <c r="H7" s="169"/>
    </row>
    <row r="8" spans="1:8" ht="4.5" customHeight="1">
      <c r="A8" s="117"/>
      <c r="B8" s="117"/>
      <c r="C8" s="117"/>
      <c r="D8" s="117"/>
      <c r="E8" s="117"/>
      <c r="F8" s="117"/>
      <c r="G8" s="117"/>
      <c r="H8" s="117"/>
    </row>
    <row r="9" spans="1:8" ht="12.95">
      <c r="A9" s="154" t="str">
        <f>_sheetContentTranslation_A_10</f>
        <v>Resources</v>
      </c>
      <c r="B9" s="155"/>
      <c r="C9" s="117"/>
      <c r="D9" s="117"/>
      <c r="E9" s="117"/>
      <c r="F9" s="117"/>
      <c r="G9" s="117"/>
      <c r="H9" s="117"/>
    </row>
    <row r="10" spans="1:8" ht="12.6">
      <c r="A10" s="155" t="str">
        <f>_sheetContentTranslation_A_11</f>
        <v>Video</v>
      </c>
      <c r="B10" s="170" t="str">
        <f>_sheetContentTranslation_A_12</f>
        <v>How-to video - Component Significance and Scoping template</v>
      </c>
      <c r="C10" s="170"/>
      <c r="D10" s="170"/>
      <c r="E10" s="170"/>
      <c r="F10" s="170"/>
      <c r="G10" s="170"/>
      <c r="H10" s="170"/>
    </row>
    <row r="11" spans="1:8" ht="12.95">
      <c r="A11" s="152"/>
      <c r="B11" s="153"/>
      <c r="C11" s="117"/>
      <c r="D11" s="117"/>
      <c r="E11" s="117"/>
      <c r="F11" s="117"/>
      <c r="G11" s="117"/>
      <c r="H11" s="117"/>
    </row>
    <row r="12" spans="1:8" ht="12.95">
      <c r="A12" s="132" t="str">
        <f>_sheetContentTranslation_A_13</f>
        <v>Guidance related to use of this template</v>
      </c>
      <c r="B12" s="117"/>
      <c r="C12" s="117"/>
      <c r="D12" s="117"/>
      <c r="E12" s="117"/>
      <c r="F12" s="117"/>
      <c r="G12" s="117"/>
      <c r="H12" s="117"/>
    </row>
    <row r="13" spans="1:8" ht="4.5" customHeight="1">
      <c r="A13" s="118"/>
      <c r="B13" s="117"/>
      <c r="C13" s="117"/>
      <c r="D13" s="117"/>
      <c r="E13" s="117"/>
      <c r="F13" s="117"/>
      <c r="G13" s="117"/>
      <c r="H13" s="117"/>
    </row>
    <row r="14" spans="1:8" ht="26.25" customHeight="1">
      <c r="A14" s="164" t="str">
        <f>_sheetContentTranslation_A_14</f>
        <v>Instructions</v>
      </c>
      <c r="B14" s="163" t="str">
        <f>_sheetContentTranslation_A_15</f>
        <v>This template contains cells with conditional formatting and data validation, including drop-down lists. Changing certain input cells will clear or change other cells in the workbook. For best results, complete the template top-to-bottom and left-to-right.</v>
      </c>
      <c r="C14" s="163"/>
      <c r="D14" s="163"/>
      <c r="E14" s="163"/>
      <c r="F14" s="163"/>
      <c r="G14" s="163"/>
      <c r="H14" s="163"/>
    </row>
    <row r="15" spans="1:8" ht="51.75" customHeight="1">
      <c r="A15" s="168"/>
      <c r="B15" s="162" t="str">
        <f>_sheetContentTranslation_A_16</f>
        <v>Adding rows and columns
Certain areas of the template, such as the 'Data input' worksheet, allow for the addition of rows and columns. In those areas, add columns as needed by pressing the buttons denoted in purple font with a "+" sign or the "+Add benchmark" button on the 'Scoping input' worksheet. Rows and columns may also be added by pressing the purple "+" buttons, which will add a row underneath the icon or a column to the right of the icon.</v>
      </c>
      <c r="C15" s="163"/>
      <c r="D15" s="163"/>
      <c r="E15" s="163"/>
      <c r="F15" s="163"/>
      <c r="G15" s="163"/>
      <c r="H15" s="163"/>
    </row>
    <row r="16" spans="1:8" ht="39.75" customHeight="1">
      <c r="A16" s="168"/>
      <c r="B16" s="162" t="str">
        <f>_sheetContentTranslation_A_17</f>
        <v>Deleting rows and columns
The ability to delete most rows and columns in this template has been disabled. Rows and columns that can be deleted have a red "x" icon to the left of the row or above the column. They can be deleted by selecting the red "x" icon to the left of the row or above the column and selecting "OK" in the message box that appears.</v>
      </c>
      <c r="C16" s="163"/>
      <c r="D16" s="163"/>
      <c r="E16" s="163"/>
      <c r="F16" s="163"/>
      <c r="G16" s="163"/>
      <c r="H16" s="163"/>
    </row>
    <row r="17" spans="1:15" ht="39.75" customHeight="1">
      <c r="A17" s="165"/>
      <c r="B17" s="162" t="str">
        <f>_sheetContentTranslation_A_18</f>
        <v>In-line guidance (!)
Throughout the template, there is guidance input in the form of data validation input messages denoted by a grey exclamation point "!". Note that if you are unable to see the entirety of the guidance (it is cut-off), it is generally a result of the default scale setting in the display settings on the computer not being set to 100% (not the Excel zoom).</v>
      </c>
      <c r="C17" s="163"/>
      <c r="D17" s="163"/>
      <c r="E17" s="163"/>
      <c r="F17" s="163"/>
      <c r="G17" s="163"/>
      <c r="H17" s="163"/>
    </row>
    <row r="18" spans="1:15" ht="65.25" customHeight="1">
      <c r="A18" s="164" t="str">
        <f>_sheetContentTranslation_A_19</f>
        <v>Data input</v>
      </c>
      <c r="B18" s="162" t="str">
        <f>_sheetContentTranslation_A_20</f>
        <v>This worksheet is used to capture information about the components included in the group audit. Complete this worksheet by adding or removing components as necessary (refer to the instructions above) and entering the 'Component name' and 'Component type' fields for each component. Then enter financial statement information for each component, as well as other relevant financial information, by adding or removing financial statement captions and other relevant financial information as necessary (refer to the instructions above), as well as adjustments or eliminations, as necessary. This information is used on the other worksheets of this workbook. The engagement team is responsible for ensuring the completeness and accuracy of the subtotals on this worksheet, the addition and deletion of FS captions and subtotals may require the user to update dependent totals. For best results, enter amounts as positive (negative) as opposed to debit (credit).</v>
      </c>
      <c r="C18" s="163"/>
      <c r="D18" s="163"/>
      <c r="E18" s="163"/>
      <c r="F18" s="163"/>
      <c r="G18" s="163"/>
      <c r="H18" s="163"/>
    </row>
    <row r="19" spans="1:15" ht="69.75" customHeight="1">
      <c r="A19" s="165"/>
      <c r="B19" s="166" t="str">
        <f>_sheetContentTranslation_A_21</f>
        <v>One or more worksheets containing component financial information may be added to this workbook to facilitate the completion of the 'Data input' worksheet using a SUMIFS formula or a VLOOKUP formula. When using such a formula to enter component information, the financial statement captions and component names must exactly match the name of the financial statement captions and components used in the additional worksheet in order for the formulas to work correctly. Avoid duplicative uses of financial statement caption names as it will cause formulas to function incorrectly. For example, if an entity's financial statements present derivatives as both assets and liabilities, label the financial statement captions "Derivatives (Assets)" and "Derivatives (Liabilities)." If completing the template using an external source, be sure to copy and paste using "values only." Otherwise, the information copied may not be able to be subsequently edited.</v>
      </c>
      <c r="C19" s="167"/>
      <c r="D19" s="167"/>
      <c r="E19" s="167"/>
      <c r="F19" s="167"/>
      <c r="G19" s="167"/>
      <c r="H19" s="162"/>
    </row>
    <row r="20" spans="1:15" ht="177.95" customHeight="1">
      <c r="A20" s="164" t="str">
        <f>_sheetContentTranslation_A_22</f>
        <v>Scoping input worksheet</v>
      </c>
      <c r="B20" s="162" t="str">
        <f>_sheetContentTranslation_A_23</f>
        <v>This worksheet is used to determine the significance of components as well as the type of work to be performed. It also includes the identification of component auditors, as applicable.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component significance and type of work to be performed. 
Certain jurisdictions allow group engagement teams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engagement team can select it and continue to document in the applicable fields and determine component materiality as necessary. 
Also complete the remaining fields.</v>
      </c>
      <c r="C20" s="163"/>
      <c r="D20" s="163"/>
      <c r="E20" s="163"/>
      <c r="F20" s="163"/>
      <c r="G20" s="163"/>
      <c r="H20" s="163"/>
      <c r="J20"/>
      <c r="K20"/>
      <c r="L20"/>
      <c r="M20"/>
      <c r="N20"/>
      <c r="O20"/>
    </row>
    <row r="21" spans="1:15" ht="77.25" customHeight="1">
      <c r="A21" s="168"/>
      <c r="B21" s="162" t="str">
        <f>_sheetContentTranslation_A_24</f>
        <v>Significant components that are individually financially significant
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v>
      </c>
      <c r="C21" s="163"/>
      <c r="D21" s="163"/>
      <c r="E21" s="163"/>
      <c r="F21" s="163"/>
      <c r="G21" s="163"/>
      <c r="H21" s="163"/>
    </row>
    <row r="22" spans="1:15" ht="198.75" customHeight="1">
      <c r="A22" s="168"/>
      <c r="B22" s="162" t="str">
        <f>_sheetContentTranslation_A_25</f>
        <v>Type of work to be performed for not significant components
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v>
      </c>
      <c r="C22" s="163"/>
      <c r="D22" s="163"/>
      <c r="E22" s="163"/>
      <c r="F22" s="163"/>
      <c r="G22" s="163"/>
      <c r="H22" s="163"/>
    </row>
    <row r="23" spans="1:15" ht="92.25" customHeight="1">
      <c r="A23" s="168"/>
      <c r="B23" s="166" t="str">
        <f>_sheetContentTranslation_A_26</f>
        <v>Audit of one or more classes of transactions, account balances, or disclosures versus specified audit procedures
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v>
      </c>
      <c r="C23" s="167"/>
      <c r="D23" s="167"/>
      <c r="E23" s="167"/>
      <c r="F23" s="167"/>
      <c r="G23" s="167"/>
      <c r="H23" s="162"/>
    </row>
    <row r="24" spans="1:15" ht="66" customHeight="1">
      <c r="A24" s="168"/>
      <c r="B24" s="166" t="str">
        <f>_sheetContentTranslation_A_27</f>
        <v>Review of component financial information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v>
      </c>
      <c r="C24" s="167"/>
      <c r="D24" s="167"/>
      <c r="E24" s="167"/>
      <c r="F24" s="167"/>
      <c r="G24" s="167"/>
      <c r="H24" s="162"/>
    </row>
    <row r="25" spans="1:15" ht="184.9" customHeight="1">
      <c r="A25" s="168"/>
      <c r="B25" s="162" t="str">
        <f>_sheetContentTranslation_A_28</f>
        <v>Determining component materiality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v>
      </c>
      <c r="C25" s="163"/>
      <c r="D25" s="163"/>
      <c r="E25" s="163"/>
      <c r="F25" s="163"/>
      <c r="G25" s="163"/>
      <c r="H25" s="163"/>
    </row>
    <row r="26" spans="1:15" ht="116.25" customHeight="1">
      <c r="A26" s="165"/>
      <c r="B26" s="162" t="str">
        <f>_sheetContentTranslation_A_29</f>
        <v>Determining component materiality for equity method investments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v>
      </c>
      <c r="C26" s="163"/>
      <c r="D26" s="163"/>
      <c r="E26" s="163"/>
      <c r="F26" s="163"/>
      <c r="G26" s="163"/>
      <c r="H26" s="163"/>
      <c r="I26" s="137"/>
    </row>
    <row r="27" spans="1:15" ht="41.25" customHeight="1">
      <c r="A27" s="164" t="str">
        <f>_sheetContentTranslation_A_30</f>
        <v>Summary by type of work report</v>
      </c>
      <c r="B27" s="162" t="str">
        <f>_sheetContentTranslation_A_31</f>
        <v>This report is included for reference and additional analysis purposes to assist the group engagement team in scoping the group audit. It details the type of work to be performed for the financial information, which may assist the group engagement team in determining whether to perform additional procedures, which may include selecting additional components that are not significant to perform work. This summary report allows the group engagement team to document notes about the balances that the group engagement team will audit.</v>
      </c>
      <c r="C27" s="163"/>
      <c r="D27" s="163"/>
      <c r="E27" s="163"/>
      <c r="F27" s="163"/>
      <c r="G27" s="163"/>
      <c r="H27" s="163"/>
    </row>
    <row r="28" spans="1:15" ht="42.75" customHeight="1">
      <c r="A28" s="165"/>
      <c r="B28" s="162" t="str">
        <f>_sheetContentTranslation_A_32</f>
        <v>Based on the details entered on the preceding worksheets, the financial statement captions appear automatically along with the amounts for components summarized by the type of work to be performed. A column is added for each component where the type of work performed is either an audit of one or more classes of transactions, account balances, or disclosures or specified procedures. Document the amounts that are in-scope by financial statement caption by entering the amounts manually or by summing the appropriate columns to the right, as applicable.</v>
      </c>
      <c r="C28" s="163"/>
      <c r="D28" s="163"/>
      <c r="E28" s="163"/>
      <c r="F28" s="163"/>
      <c r="G28" s="163"/>
      <c r="H28" s="163"/>
    </row>
  </sheetData>
  <mergeCells count="22">
    <mergeCell ref="A6:H6"/>
    <mergeCell ref="B14:H14"/>
    <mergeCell ref="B15:H15"/>
    <mergeCell ref="B16:H16"/>
    <mergeCell ref="B18:H18"/>
    <mergeCell ref="A7:H7"/>
    <mergeCell ref="A14:A17"/>
    <mergeCell ref="B17:H17"/>
    <mergeCell ref="B10:H10"/>
    <mergeCell ref="B22:H22"/>
    <mergeCell ref="B21:H21"/>
    <mergeCell ref="B27:H27"/>
    <mergeCell ref="B28:H28"/>
    <mergeCell ref="A18:A19"/>
    <mergeCell ref="B19:H19"/>
    <mergeCell ref="A27:A28"/>
    <mergeCell ref="B20:H20"/>
    <mergeCell ref="B26:H26"/>
    <mergeCell ref="A20:A26"/>
    <mergeCell ref="B23:H23"/>
    <mergeCell ref="B24:H24"/>
    <mergeCell ref="B25:H25"/>
  </mergeCells>
  <hyperlinks>
    <hyperlink ref="B10" r:id="rId1" display="How-to video:  SOC Report Understanding and Evaluation template" xr:uid="{40D158EC-2560-463C-ABEF-4A35733F143C}"/>
    <hyperlink ref="B10:H10" r:id="rId2" display="How-to video:  SOC Report Understanding and Evaluation template" xr:uid="{BDCE612C-1C12-4D27-A21F-5EF0E9FDD572}"/>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ta_Input">
    <pageSetUpPr autoPageBreaks="0"/>
  </sheetPr>
  <dimension ref="A1:O141"/>
  <sheetViews>
    <sheetView showGridLines="0" workbookViewId="0">
      <pane xSplit="4" ySplit="12" topLeftCell="E13" activePane="bottomRight" state="frozen"/>
      <selection pane="bottomRight" activeCell="D4" sqref="D4:E4"/>
      <selection pane="bottomLeft" activeCell="A13" sqref="A13"/>
      <selection pane="topRight" activeCell="E1" sqref="E1"/>
    </sheetView>
  </sheetViews>
  <sheetFormatPr defaultColWidth="9.33203125" defaultRowHeight="9.9499999999999993"/>
  <cols>
    <col min="1" max="2" width="3.83203125" customWidth="1"/>
    <col min="3" max="3" width="40.83203125" customWidth="1"/>
    <col min="4" max="8" width="25.83203125" customWidth="1"/>
    <col min="9" max="9" width="2.83203125" hidden="1" customWidth="1"/>
    <col min="10" max="13" width="15.83203125" customWidth="1"/>
    <col min="15" max="15" width="25.83203125" hidden="1" customWidth="1"/>
  </cols>
  <sheetData>
    <row r="1" spans="1:15">
      <c r="B1" s="48"/>
      <c r="N1" s="48"/>
    </row>
    <row r="2" spans="1:15" ht="15.6">
      <c r="B2" s="48"/>
      <c r="C2" s="1" t="str">
        <f>_sheetContentTranslation_A_19</f>
        <v>Data input</v>
      </c>
      <c r="N2" s="48"/>
    </row>
    <row r="3" spans="1:15">
      <c r="B3" s="48"/>
      <c r="N3" s="48"/>
    </row>
    <row r="4" spans="1:15" ht="15.75" customHeight="1">
      <c r="B4" s="48"/>
      <c r="C4" s="143" t="str">
        <f>_sheetContentTranslation_A_33</f>
        <v>Name of group</v>
      </c>
      <c r="D4" s="173"/>
      <c r="E4" s="173"/>
      <c r="N4" s="48"/>
    </row>
    <row r="5" spans="1:15" ht="15.75" customHeight="1">
      <c r="B5" s="48"/>
      <c r="C5" s="143" t="str">
        <f>_sheetContentTranslation_A_34</f>
        <v>Group period-end date</v>
      </c>
      <c r="D5" s="174"/>
      <c r="E5" s="174"/>
      <c r="N5" s="48"/>
    </row>
    <row r="6" spans="1:15" ht="12.95">
      <c r="B6" s="48"/>
      <c r="D6" s="131" t="str">
        <f>_sheetContentTranslation_A_35</f>
        <v>+</v>
      </c>
      <c r="E6" s="131" t="str">
        <f>_sheetContentTranslation_A_35</f>
        <v>+</v>
      </c>
      <c r="F6" s="131" t="str">
        <f>_sheetContentTranslation_A_35</f>
        <v>+</v>
      </c>
      <c r="G6" s="131" t="str">
        <f>_sheetContentTranslation_A_35</f>
        <v>+</v>
      </c>
      <c r="H6" s="131" t="str">
        <f>_sheetContentTranslation_A_35</f>
        <v>+</v>
      </c>
      <c r="N6" s="48"/>
      <c r="O6" s="131" t="str">
        <f>_sheetContentTranslation_A_35</f>
        <v>+</v>
      </c>
    </row>
    <row r="7" spans="1:15" ht="12.95">
      <c r="B7" s="48"/>
      <c r="D7" s="147"/>
      <c r="E7" s="147" t="str">
        <f>_sheetContentTranslation_A_36</f>
        <v>x</v>
      </c>
      <c r="F7" s="147" t="str">
        <f>_sheetContentTranslation_A_36</f>
        <v>x</v>
      </c>
      <c r="G7" s="147" t="str">
        <f>_sheetContentTranslation_A_36</f>
        <v>x</v>
      </c>
      <c r="H7" s="147" t="str">
        <f>_sheetContentTranslation_A_36</f>
        <v>x</v>
      </c>
      <c r="N7" s="48"/>
      <c r="O7" s="147" t="str">
        <f>_sheetContentTranslation_A_36</f>
        <v>x</v>
      </c>
    </row>
    <row r="8" spans="1:15">
      <c r="B8" s="48"/>
      <c r="C8" s="148" t="str">
        <f>_sheetContentTranslation_A_37</f>
        <v>Component reference</v>
      </c>
      <c r="D8" s="2">
        <v>1</v>
      </c>
      <c r="E8" s="2">
        <f t="shared" ref="E8:H8" si="0">D8+1</f>
        <v>2</v>
      </c>
      <c r="F8" s="2">
        <f t="shared" si="0"/>
        <v>3</v>
      </c>
      <c r="G8" s="2">
        <f t="shared" si="0"/>
        <v>4</v>
      </c>
      <c r="H8" s="2">
        <f t="shared" si="0"/>
        <v>5</v>
      </c>
      <c r="I8">
        <f>H8+1</f>
        <v>6</v>
      </c>
      <c r="J8" s="172" t="str">
        <f>_sheetContentTranslation_A_38</f>
        <v>Consolidated total (prior to adjustments and eliminations)</v>
      </c>
      <c r="K8" s="172" t="str">
        <f>_sheetContentTranslation_A_39</f>
        <v>Adjustments</v>
      </c>
      <c r="L8" s="171" t="str">
        <f>_sheetContentTranslation_A_40</f>
        <v>Eliminations</v>
      </c>
      <c r="M8" s="172" t="str">
        <f>_sheetContentTranslation_A_41</f>
        <v>Consolidated total</v>
      </c>
      <c r="N8" s="48"/>
      <c r="O8" s="2"/>
    </row>
    <row r="9" spans="1:15" ht="15.75" customHeight="1">
      <c r="B9" s="48"/>
      <c r="C9" s="148" t="str">
        <f>_sheetContentTranslation_A_42</f>
        <v>Component name</v>
      </c>
      <c r="D9" s="139"/>
      <c r="E9" s="139"/>
      <c r="F9" s="139"/>
      <c r="G9" s="139"/>
      <c r="H9" s="139"/>
      <c r="J9" s="172"/>
      <c r="K9" s="172"/>
      <c r="L9" s="171"/>
      <c r="M9" s="172"/>
      <c r="N9" s="48"/>
      <c r="O9" s="139"/>
    </row>
    <row r="10" spans="1:15" ht="15" customHeight="1">
      <c r="B10" s="48"/>
      <c r="C10" s="148" t="str">
        <f>_sheetContentTranslation_A_43</f>
        <v>Component type</v>
      </c>
      <c r="D10" s="139"/>
      <c r="E10" s="139"/>
      <c r="F10" s="139"/>
      <c r="G10" s="139"/>
      <c r="H10" s="139"/>
      <c r="J10" s="172"/>
      <c r="K10" s="172"/>
      <c r="L10" s="171"/>
      <c r="M10" s="172"/>
      <c r="N10" s="48"/>
      <c r="O10" s="139"/>
    </row>
    <row r="11" spans="1:15" ht="23.25" customHeight="1">
      <c r="B11" s="48"/>
      <c r="C11" s="149" t="str">
        <f>_sheetContentTranslation_A_44</f>
        <v>Component significance
(from Scoping input worksheet)</v>
      </c>
      <c r="D11" s="2" t="str">
        <f>IFERROR(IF(INDEX('Scoping input'!$B$11:$W$17,MATCH('Data input'!D$8,'Scoping input'!$B$11:$B$19,0),MATCH(_sheetContentTranslation_A_149,'Scoping input'!$B$11:$W$11,0))="","",INDEX('Scoping input'!$B$11:$W$17,MATCH('Data input'!D$8,'Scoping input'!$B$11:$B$19,0),MATCH(_sheetContentTranslation_A_149,'Scoping input'!$B$11:$W$11,0))),"")</f>
        <v/>
      </c>
      <c r="E11" s="2" t="str">
        <f>IFERROR(IF(INDEX('Scoping input'!$B$11:$W$17,MATCH('Data input'!E$8,'Scoping input'!$B$11:$B$19,0),MATCH(_sheetContentTranslation_A_149,'Scoping input'!$B$11:$W$11,0))="","",INDEX('Scoping input'!$B$11:$W$17,MATCH('Data input'!E$8,'Scoping input'!$B$11:$B$19,0),MATCH(_sheetContentTranslation_A_149,'Scoping input'!$B$11:$W$11,0))),"")</f>
        <v/>
      </c>
      <c r="F11" s="2" t="str">
        <f>IFERROR(IF(INDEX('Scoping input'!$B$11:$W$17,MATCH('Data input'!F$8,'Scoping input'!$B$11:$B$19,0),MATCH(_sheetContentTranslation_A_149,'Scoping input'!$B$11:$W$11,0))="","",INDEX('Scoping input'!$B$11:$W$17,MATCH('Data input'!F$8,'Scoping input'!$B$11:$B$19,0),MATCH(_sheetContentTranslation_A_149,'Scoping input'!$B$11:$W$11,0))),"")</f>
        <v/>
      </c>
      <c r="G11" s="2" t="str">
        <f>IFERROR(IF(INDEX('Scoping input'!$B$11:$W$17,MATCH('Data input'!G$8,'Scoping input'!$B$11:$B$19,0),MATCH(_sheetContentTranslation_A_149,'Scoping input'!$B$11:$W$11,0))="","",INDEX('Scoping input'!$B$11:$W$17,MATCH('Data input'!G$8,'Scoping input'!$B$11:$B$19,0),MATCH(_sheetContentTranslation_A_149,'Scoping input'!$B$11:$W$11,0))),"")</f>
        <v/>
      </c>
      <c r="H11" s="2" t="str">
        <f>IFERROR(IF(INDEX('Scoping input'!$B$11:$W$17,MATCH('Data input'!H$8,'Scoping input'!$B$11:$B$19,0),MATCH(_sheetContentTranslation_A_149,'Scoping input'!$B$11:$W$11,0))="","",INDEX('Scoping input'!$B$11:$W$17,MATCH('Data input'!H$8,'Scoping input'!$B$11:$B$19,0),MATCH(_sheetContentTranslation_A_149,'Scoping input'!$B$11:$W$11,0))),"")</f>
        <v/>
      </c>
      <c r="J11" s="172"/>
      <c r="K11" s="172"/>
      <c r="L11" s="171"/>
      <c r="M11" s="172"/>
      <c r="N11" s="48"/>
      <c r="O11" s="2" t="str">
        <f>IFERROR(IF(INDEX('Scoping input'!$B$11:$W$17,MATCH('Data input'!O$8,'Scoping input'!$B$11:$B$19,0),MATCH(_sheetContentTranslation_A_149,'Scoping input'!$B$11:$W$11,0))="","",INDEX('Scoping input'!$B$11:$W$17,MATCH('Data input'!O$8,'Scoping input'!$B$11:$B$19,0),MATCH(_sheetContentTranslation_A_149,'Scoping input'!$B$11:$W$11,0))),"")</f>
        <v/>
      </c>
    </row>
    <row r="12" spans="1:15" ht="34.5" customHeight="1">
      <c r="B12" s="48"/>
      <c r="C12" s="149" t="str">
        <f>_sheetContentTranslation_A_45</f>
        <v>Type of work to be performed
(from Scoping input worksheet)</v>
      </c>
      <c r="D12" s="2" t="str">
        <f>IFERROR(IF(INDEX('Scoping input'!$B$11:$W$17,MATCH('Data input'!D$8,'Scoping input'!$B$11:$B$19,0),MATCH(_sheetContentTranslation_A_150,'Scoping input'!$B$11:$W$11,0))="","",INDEX('Scoping input'!$B$11:$W$17,MATCH('Data input'!D$8,'Scoping input'!$B$11:$B$19,0),MATCH(_sheetContentTranslation_A_150,'Scoping input'!$B$11:$W$11,0))),"")</f>
        <v/>
      </c>
      <c r="E12" s="2" t="str">
        <f>IFERROR(IF(INDEX('Scoping input'!$B$11:$W$17,MATCH('Data input'!E$8,'Scoping input'!$B$11:$B$19,0),MATCH(_sheetContentTranslation_A_150,'Scoping input'!$B$11:$W$11,0))="","",INDEX('Scoping input'!$B$11:$W$17,MATCH('Data input'!E$8,'Scoping input'!$B$11:$B$19,0),MATCH(_sheetContentTranslation_A_150,'Scoping input'!$B$11:$W$11,0))),"")</f>
        <v/>
      </c>
      <c r="F12" s="2" t="str">
        <f>IFERROR(IF(INDEX('Scoping input'!$B$11:$W$17,MATCH('Data input'!F$8,'Scoping input'!$B$11:$B$19,0),MATCH(_sheetContentTranslation_A_150,'Scoping input'!$B$11:$W$11,0))="","",INDEX('Scoping input'!$B$11:$W$17,MATCH('Data input'!F$8,'Scoping input'!$B$11:$B$19,0),MATCH(_sheetContentTranslation_A_150,'Scoping input'!$B$11:$W$11,0))),"")</f>
        <v/>
      </c>
      <c r="G12" s="2" t="str">
        <f>IFERROR(IF(INDEX('Scoping input'!$B$11:$W$17,MATCH('Data input'!G$8,'Scoping input'!$B$11:$B$19,0),MATCH(_sheetContentTranslation_A_150,'Scoping input'!$B$11:$W$11,0))="","",INDEX('Scoping input'!$B$11:$W$17,MATCH('Data input'!G$8,'Scoping input'!$B$11:$B$19,0),MATCH(_sheetContentTranslation_A_150,'Scoping input'!$B$11:$W$11,0))),"")</f>
        <v/>
      </c>
      <c r="H12" s="2" t="str">
        <f>IFERROR(IF(INDEX('Scoping input'!$B$11:$W$17,MATCH('Data input'!H$8,'Scoping input'!$B$11:$B$19,0),MATCH(_sheetContentTranslation_A_150,'Scoping input'!$B$11:$W$11,0))="","",INDEX('Scoping input'!$B$11:$W$17,MATCH('Data input'!H$8,'Scoping input'!$B$11:$B$19,0),MATCH(_sheetContentTranslation_A_150,'Scoping input'!$B$11:$W$11,0))),"")</f>
        <v/>
      </c>
      <c r="J12" s="172"/>
      <c r="K12" s="172"/>
      <c r="L12" s="171"/>
      <c r="M12" s="172"/>
      <c r="N12" s="48"/>
      <c r="O12" s="2" t="str">
        <f>IFERROR(IF(INDEX('Scoping input'!$B$11:$W$17,MATCH('Data input'!O$8,'Scoping input'!$B$11:$B$19,0),MATCH(_sheetContentTranslation_A_150,'Scoping input'!$B$11:$W$11,0))="","",INDEX('Scoping input'!$B$11:$W$17,MATCH('Data input'!O$8,'Scoping input'!$B$11:$B$19,0),MATCH(_sheetContentTranslation_A_150,'Scoping input'!$B$11:$W$11,0))),"")</f>
        <v/>
      </c>
    </row>
    <row r="13" spans="1:15" ht="15.95" thickBot="1">
      <c r="B13" s="48"/>
      <c r="C13" s="24" t="str">
        <f>_sheetContentTranslation_A_46</f>
        <v>Balance sheet</v>
      </c>
      <c r="D13" s="25"/>
      <c r="E13" s="28"/>
      <c r="F13" s="28"/>
      <c r="G13" s="28"/>
      <c r="H13" s="28"/>
      <c r="J13" s="25"/>
      <c r="K13" s="25"/>
      <c r="L13" s="25"/>
      <c r="M13" s="26"/>
      <c r="N13" s="27"/>
      <c r="O13" s="28"/>
    </row>
    <row r="14" spans="1:15">
      <c r="B14" s="48"/>
      <c r="C14" s="29"/>
      <c r="D14" s="30"/>
      <c r="E14" s="30"/>
      <c r="F14" s="30"/>
      <c r="G14" s="30"/>
      <c r="H14" s="30"/>
      <c r="J14" s="30"/>
      <c r="K14" s="30"/>
      <c r="L14" s="30"/>
      <c r="M14" s="30"/>
      <c r="N14" s="27"/>
      <c r="O14" s="30"/>
    </row>
    <row r="15" spans="1:15" ht="10.5">
      <c r="C15" s="31" t="str">
        <f>_sheetContentTranslation_A_47</f>
        <v>Current assets</v>
      </c>
      <c r="D15" s="32"/>
      <c r="E15" s="32"/>
      <c r="F15" s="32"/>
      <c r="G15" s="32"/>
      <c r="H15" s="32"/>
      <c r="J15" s="32"/>
      <c r="K15" s="32"/>
      <c r="L15" s="32"/>
      <c r="M15" s="58"/>
      <c r="N15" s="27"/>
      <c r="O15" s="32"/>
    </row>
    <row r="16" spans="1:15" ht="12.95">
      <c r="A16" s="131" t="str">
        <f t="shared" ref="A16:A24" si="1">_sheetContentTranslation_A_35</f>
        <v>+</v>
      </c>
      <c r="B16" s="147" t="str">
        <f t="shared" ref="B16:B47" si="2">_sheetContentTranslation_A_36</f>
        <v>x</v>
      </c>
      <c r="C16" s="33" t="str">
        <f>_sheetContentTranslation_A_48</f>
        <v>Cash and cash equivalents</v>
      </c>
      <c r="D16" s="32"/>
      <c r="E16" s="32"/>
      <c r="F16" s="32"/>
      <c r="G16" s="32"/>
      <c r="H16" s="32"/>
      <c r="J16" s="32">
        <f t="shared" ref="J16:J24" si="3">SUM(D16:I16)</f>
        <v>0</v>
      </c>
      <c r="K16" s="32"/>
      <c r="L16" s="32"/>
      <c r="M16" s="58">
        <f t="shared" ref="M16:M24" si="4">SUM(J16:L16)</f>
        <v>0</v>
      </c>
      <c r="N16" s="27"/>
      <c r="O16" s="32"/>
    </row>
    <row r="17" spans="1:15" ht="12.95">
      <c r="A17" s="131" t="str">
        <f t="shared" si="1"/>
        <v>+</v>
      </c>
      <c r="B17" s="147" t="str">
        <f t="shared" si="2"/>
        <v>x</v>
      </c>
      <c r="C17" s="33" t="str">
        <f>_sheetContentTranslation_A_49</f>
        <v>Restricted cash</v>
      </c>
      <c r="D17" s="32"/>
      <c r="E17" s="32"/>
      <c r="F17" s="32"/>
      <c r="G17" s="32"/>
      <c r="H17" s="32"/>
      <c r="J17" s="32">
        <f t="shared" si="3"/>
        <v>0</v>
      </c>
      <c r="K17" s="32"/>
      <c r="L17" s="32"/>
      <c r="M17" s="58">
        <f t="shared" si="4"/>
        <v>0</v>
      </c>
      <c r="N17" s="27"/>
      <c r="O17" s="32"/>
    </row>
    <row r="18" spans="1:15" ht="12.95">
      <c r="A18" s="131" t="str">
        <f t="shared" si="1"/>
        <v>+</v>
      </c>
      <c r="B18" s="147" t="str">
        <f t="shared" si="2"/>
        <v>x</v>
      </c>
      <c r="C18" s="33" t="str">
        <f>_sheetContentTranslation_A_50</f>
        <v>Marketable securities at fair value</v>
      </c>
      <c r="D18" s="34"/>
      <c r="E18" s="34"/>
      <c r="F18" s="34"/>
      <c r="G18" s="34"/>
      <c r="H18" s="34"/>
      <c r="J18" s="32">
        <f t="shared" si="3"/>
        <v>0</v>
      </c>
      <c r="K18" s="34"/>
      <c r="L18" s="34"/>
      <c r="M18" s="58">
        <f t="shared" si="4"/>
        <v>0</v>
      </c>
      <c r="N18" s="27"/>
      <c r="O18" s="34"/>
    </row>
    <row r="19" spans="1:15" ht="12.95">
      <c r="A19" s="131" t="str">
        <f t="shared" si="1"/>
        <v>+</v>
      </c>
      <c r="B19" s="147" t="str">
        <f t="shared" si="2"/>
        <v>x</v>
      </c>
      <c r="C19" s="33" t="str">
        <f>_sheetContentTranslation_A_51</f>
        <v>Accounts receivable, net</v>
      </c>
      <c r="D19" s="34"/>
      <c r="E19" s="34"/>
      <c r="F19" s="34"/>
      <c r="G19" s="34"/>
      <c r="H19" s="34"/>
      <c r="J19" s="32">
        <f t="shared" si="3"/>
        <v>0</v>
      </c>
      <c r="K19" s="34"/>
      <c r="L19" s="34"/>
      <c r="M19" s="58">
        <f t="shared" si="4"/>
        <v>0</v>
      </c>
      <c r="N19" s="27"/>
      <c r="O19" s="34"/>
    </row>
    <row r="20" spans="1:15" ht="12.95">
      <c r="A20" s="131" t="str">
        <f t="shared" si="1"/>
        <v>+</v>
      </c>
      <c r="B20" s="147" t="str">
        <f t="shared" si="2"/>
        <v>x</v>
      </c>
      <c r="C20" s="33" t="str">
        <f>_sheetContentTranslation_A_52</f>
        <v>Investment in leased property, net</v>
      </c>
      <c r="D20" s="34"/>
      <c r="E20" s="34"/>
      <c r="F20" s="34"/>
      <c r="G20" s="34"/>
      <c r="H20" s="34"/>
      <c r="J20" s="32">
        <f t="shared" si="3"/>
        <v>0</v>
      </c>
      <c r="K20" s="34"/>
      <c r="L20" s="34"/>
      <c r="M20" s="58">
        <f t="shared" si="4"/>
        <v>0</v>
      </c>
      <c r="N20" s="27"/>
      <c r="O20" s="34"/>
    </row>
    <row r="21" spans="1:15" ht="12.95">
      <c r="A21" s="131" t="str">
        <f t="shared" si="1"/>
        <v>+</v>
      </c>
      <c r="B21" s="147" t="str">
        <f t="shared" si="2"/>
        <v>x</v>
      </c>
      <c r="C21" s="33" t="str">
        <f>_sheetContentTranslation_A_53</f>
        <v>Inventories</v>
      </c>
      <c r="D21" s="34"/>
      <c r="E21" s="34"/>
      <c r="F21" s="34"/>
      <c r="G21" s="34"/>
      <c r="H21" s="34"/>
      <c r="J21" s="32">
        <f t="shared" si="3"/>
        <v>0</v>
      </c>
      <c r="K21" s="34"/>
      <c r="L21" s="34"/>
      <c r="M21" s="58">
        <f t="shared" si="4"/>
        <v>0</v>
      </c>
      <c r="N21" s="27"/>
      <c r="O21" s="34"/>
    </row>
    <row r="22" spans="1:15" ht="12.95">
      <c r="A22" s="131" t="str">
        <f t="shared" si="1"/>
        <v>+</v>
      </c>
      <c r="B22" s="147" t="str">
        <f t="shared" si="2"/>
        <v>x</v>
      </c>
      <c r="C22" s="33" t="str">
        <f>_sheetContentTranslation_A_54</f>
        <v>Prepaid expenses</v>
      </c>
      <c r="D22" s="34"/>
      <c r="E22" s="34"/>
      <c r="F22" s="34"/>
      <c r="G22" s="34"/>
      <c r="H22" s="34"/>
      <c r="J22" s="32">
        <f t="shared" si="3"/>
        <v>0</v>
      </c>
      <c r="K22" s="34"/>
      <c r="L22" s="34"/>
      <c r="M22" s="58">
        <f t="shared" si="4"/>
        <v>0</v>
      </c>
      <c r="N22" s="27"/>
      <c r="O22" s="34"/>
    </row>
    <row r="23" spans="1:15" ht="11.25" customHeight="1">
      <c r="A23" s="131" t="str">
        <f t="shared" si="1"/>
        <v>+</v>
      </c>
      <c r="B23" s="147" t="str">
        <f t="shared" si="2"/>
        <v>x</v>
      </c>
      <c r="C23" s="33" t="str">
        <f>_sheetContentTranslation_A_55</f>
        <v>Contract assets</v>
      </c>
      <c r="D23" s="34"/>
      <c r="E23" s="34"/>
      <c r="F23" s="34"/>
      <c r="G23" s="34"/>
      <c r="H23" s="34"/>
      <c r="J23" s="32">
        <f t="shared" si="3"/>
        <v>0</v>
      </c>
      <c r="K23" s="34"/>
      <c r="L23" s="34"/>
      <c r="M23" s="58">
        <f t="shared" si="4"/>
        <v>0</v>
      </c>
      <c r="N23" s="27"/>
      <c r="O23" s="34"/>
    </row>
    <row r="24" spans="1:15" ht="11.25" customHeight="1">
      <c r="A24" s="131" t="str">
        <f t="shared" si="1"/>
        <v>+</v>
      </c>
      <c r="B24" s="147" t="str">
        <f t="shared" si="2"/>
        <v>x</v>
      </c>
      <c r="C24" s="33" t="str">
        <f>_sheetContentTranslation_A_56</f>
        <v>Other current assets</v>
      </c>
      <c r="D24" s="34"/>
      <c r="E24" s="34"/>
      <c r="F24" s="34"/>
      <c r="G24" s="34"/>
      <c r="H24" s="34"/>
      <c r="J24" s="32">
        <f t="shared" si="3"/>
        <v>0</v>
      </c>
      <c r="K24" s="34"/>
      <c r="L24" s="34"/>
      <c r="M24" s="58">
        <f t="shared" si="4"/>
        <v>0</v>
      </c>
      <c r="N24" s="27"/>
      <c r="O24" s="34"/>
    </row>
    <row r="25" spans="1:15" ht="12" hidden="1" customHeight="1">
      <c r="B25" s="107" t="str">
        <f t="shared" si="2"/>
        <v>x</v>
      </c>
      <c r="C25" s="13" t="str">
        <f>_sheetContentTranslation_A_57</f>
        <v>Intentionally hidden</v>
      </c>
      <c r="D25" s="7"/>
      <c r="E25" s="7"/>
      <c r="F25" s="7"/>
      <c r="G25" s="7"/>
      <c r="H25" s="7"/>
      <c r="J25" s="7"/>
      <c r="K25" s="7"/>
      <c r="L25" s="7"/>
      <c r="M25" s="7"/>
      <c r="N25" s="27"/>
      <c r="O25" s="7"/>
    </row>
    <row r="26" spans="1:15" ht="12.95">
      <c r="A26" s="131" t="str">
        <f t="shared" ref="A26:A39" si="5">_sheetContentTranslation_A_35</f>
        <v>+</v>
      </c>
      <c r="B26" s="147" t="str">
        <f t="shared" si="2"/>
        <v>x</v>
      </c>
      <c r="C26" s="35" t="str">
        <f>_sheetContentTranslation_A_58</f>
        <v>Total current assets</v>
      </c>
      <c r="D26" s="36">
        <f>SUM(D15:D25)</f>
        <v>0</v>
      </c>
      <c r="E26" s="36">
        <f>SUM(E15:E25)</f>
        <v>0</v>
      </c>
      <c r="F26" s="36">
        <f>SUM(F15:F25)</f>
        <v>0</v>
      </c>
      <c r="G26" s="36">
        <f>SUM(G15:G25)</f>
        <v>0</v>
      </c>
      <c r="H26" s="36">
        <f>SUM(H15:H25)</f>
        <v>0</v>
      </c>
      <c r="J26" s="36">
        <f>SUM(J15:J25)</f>
        <v>0</v>
      </c>
      <c r="K26" s="36">
        <f>SUM(K15:K25)</f>
        <v>0</v>
      </c>
      <c r="L26" s="36">
        <f>SUM(L15:L25)</f>
        <v>0</v>
      </c>
      <c r="M26" s="36">
        <f>SUM(M15:M25)</f>
        <v>0</v>
      </c>
      <c r="N26" s="27"/>
      <c r="O26" s="36">
        <f>SUM(O15:O25)</f>
        <v>0</v>
      </c>
    </row>
    <row r="27" spans="1:15" ht="12.95">
      <c r="A27" s="131" t="str">
        <f t="shared" si="5"/>
        <v>+</v>
      </c>
      <c r="B27" s="147" t="str">
        <f t="shared" si="2"/>
        <v>x</v>
      </c>
      <c r="C27" s="29"/>
      <c r="D27" s="30"/>
      <c r="E27" s="30"/>
      <c r="F27" s="30"/>
      <c r="G27" s="30"/>
      <c r="H27" s="30"/>
      <c r="J27" s="30"/>
      <c r="K27" s="30"/>
      <c r="L27" s="30"/>
      <c r="M27" s="30"/>
      <c r="N27" s="27"/>
      <c r="O27" s="30"/>
    </row>
    <row r="28" spans="1:15" ht="12.95">
      <c r="A28" s="131" t="str">
        <f t="shared" si="5"/>
        <v>+</v>
      </c>
      <c r="B28" s="147" t="str">
        <f t="shared" si="2"/>
        <v>x</v>
      </c>
      <c r="C28" s="33" t="str">
        <f>_sheetContentTranslation_A_59</f>
        <v>Debt and equity securities</v>
      </c>
      <c r="D28" s="34"/>
      <c r="E28" s="34"/>
      <c r="F28" s="34"/>
      <c r="G28" s="34"/>
      <c r="H28" s="34"/>
      <c r="J28" s="32">
        <f t="shared" ref="J28:J39" si="6">SUM(D28:I28)</f>
        <v>0</v>
      </c>
      <c r="K28" s="34"/>
      <c r="L28" s="34"/>
      <c r="M28" s="58">
        <f t="shared" ref="M28:M39" si="7">SUM(J28:L28)</f>
        <v>0</v>
      </c>
      <c r="N28" s="27"/>
      <c r="O28" s="34"/>
    </row>
    <row r="29" spans="1:15" ht="12.95">
      <c r="A29" s="131" t="str">
        <f t="shared" si="5"/>
        <v>+</v>
      </c>
      <c r="B29" s="147" t="str">
        <f t="shared" si="2"/>
        <v>x</v>
      </c>
      <c r="C29" s="33" t="str">
        <f>_sheetContentTranslation_A_60</f>
        <v>Other investments</v>
      </c>
      <c r="D29" s="34"/>
      <c r="E29" s="34"/>
      <c r="F29" s="34"/>
      <c r="G29" s="34"/>
      <c r="H29" s="34"/>
      <c r="J29" s="32">
        <f t="shared" si="6"/>
        <v>0</v>
      </c>
      <c r="K29" s="34"/>
      <c r="L29" s="34"/>
      <c r="M29" s="58">
        <f t="shared" si="7"/>
        <v>0</v>
      </c>
      <c r="N29" s="27"/>
      <c r="O29" s="34"/>
    </row>
    <row r="30" spans="1:15" ht="12.95">
      <c r="A30" s="131" t="str">
        <f t="shared" si="5"/>
        <v>+</v>
      </c>
      <c r="B30" s="147" t="str">
        <f t="shared" si="2"/>
        <v>x</v>
      </c>
      <c r="C30" s="33" t="str">
        <f>_sheetContentTranslation_A_61</f>
        <v>Derivative assets</v>
      </c>
      <c r="D30" s="34"/>
      <c r="E30" s="34"/>
      <c r="F30" s="34"/>
      <c r="G30" s="34"/>
      <c r="H30" s="34"/>
      <c r="J30" s="32">
        <f t="shared" si="6"/>
        <v>0</v>
      </c>
      <c r="K30" s="34"/>
      <c r="L30" s="34"/>
      <c r="M30" s="58">
        <f t="shared" si="7"/>
        <v>0</v>
      </c>
      <c r="N30" s="27"/>
      <c r="O30" s="34"/>
    </row>
    <row r="31" spans="1:15" ht="12.95">
      <c r="A31" s="131" t="str">
        <f t="shared" si="5"/>
        <v>+</v>
      </c>
      <c r="B31" s="147" t="str">
        <f t="shared" si="2"/>
        <v>x</v>
      </c>
      <c r="C31" s="33" t="str">
        <f>_sheetContentTranslation_A_62</f>
        <v>Deferred income tax assets, noncurrent</v>
      </c>
      <c r="D31" s="34"/>
      <c r="E31" s="34"/>
      <c r="F31" s="34"/>
      <c r="G31" s="34"/>
      <c r="H31" s="34"/>
      <c r="J31" s="32">
        <f t="shared" si="6"/>
        <v>0</v>
      </c>
      <c r="K31" s="34"/>
      <c r="L31" s="34"/>
      <c r="M31" s="58">
        <f t="shared" si="7"/>
        <v>0</v>
      </c>
      <c r="N31" s="27"/>
      <c r="O31" s="34"/>
    </row>
    <row r="32" spans="1:15" ht="12.95">
      <c r="A32" s="131" t="str">
        <f t="shared" si="5"/>
        <v>+</v>
      </c>
      <c r="B32" s="147" t="str">
        <f t="shared" si="2"/>
        <v>x</v>
      </c>
      <c r="C32" s="33" t="str">
        <f>_sheetContentTranslation_A_63</f>
        <v>Property, plant and equipment, net</v>
      </c>
      <c r="D32" s="34"/>
      <c r="E32" s="34"/>
      <c r="F32" s="34"/>
      <c r="G32" s="34"/>
      <c r="H32" s="34"/>
      <c r="J32" s="32">
        <f t="shared" si="6"/>
        <v>0</v>
      </c>
      <c r="K32" s="34"/>
      <c r="L32" s="34"/>
      <c r="M32" s="58">
        <f t="shared" si="7"/>
        <v>0</v>
      </c>
      <c r="N32" s="27"/>
      <c r="O32" s="34"/>
    </row>
    <row r="33" spans="1:15" ht="12.95">
      <c r="A33" s="131" t="str">
        <f t="shared" si="5"/>
        <v>+</v>
      </c>
      <c r="B33" s="147" t="str">
        <f t="shared" si="2"/>
        <v>x</v>
      </c>
      <c r="C33" s="33" t="str">
        <f>_sheetContentTranslation_A_64</f>
        <v>Intangible assets, net</v>
      </c>
      <c r="D33" s="34"/>
      <c r="E33" s="34"/>
      <c r="F33" s="34"/>
      <c r="G33" s="34"/>
      <c r="H33" s="34"/>
      <c r="J33" s="32">
        <f t="shared" si="6"/>
        <v>0</v>
      </c>
      <c r="K33" s="34"/>
      <c r="L33" s="34"/>
      <c r="M33" s="58">
        <f t="shared" si="7"/>
        <v>0</v>
      </c>
      <c r="N33" s="27"/>
      <c r="O33" s="34"/>
    </row>
    <row r="34" spans="1:15" ht="12.95">
      <c r="A34" s="131" t="str">
        <f t="shared" si="5"/>
        <v>+</v>
      </c>
      <c r="B34" s="147" t="str">
        <f t="shared" si="2"/>
        <v>x</v>
      </c>
      <c r="C34" s="33" t="str">
        <f>_sheetContentTranslation_A_65</f>
        <v>Goodwill</v>
      </c>
      <c r="D34" s="34"/>
      <c r="E34" s="34"/>
      <c r="F34" s="34"/>
      <c r="G34" s="34"/>
      <c r="H34" s="34"/>
      <c r="J34" s="32">
        <f t="shared" si="6"/>
        <v>0</v>
      </c>
      <c r="K34" s="34"/>
      <c r="L34" s="34"/>
      <c r="M34" s="58">
        <f t="shared" si="7"/>
        <v>0</v>
      </c>
      <c r="N34" s="27"/>
      <c r="O34" s="34"/>
    </row>
    <row r="35" spans="1:15" ht="11.25" customHeight="1">
      <c r="A35" s="131" t="str">
        <f t="shared" si="5"/>
        <v>+</v>
      </c>
      <c r="B35" s="147" t="str">
        <f t="shared" si="2"/>
        <v>x</v>
      </c>
      <c r="C35" s="33" t="str">
        <f>_sheetContentTranslation_A_66</f>
        <v>Assets of businesses held for sale</v>
      </c>
      <c r="D35" s="34"/>
      <c r="E35" s="34"/>
      <c r="F35" s="34"/>
      <c r="G35" s="34"/>
      <c r="H35" s="34"/>
      <c r="J35" s="32">
        <f t="shared" si="6"/>
        <v>0</v>
      </c>
      <c r="K35" s="34"/>
      <c r="L35" s="34"/>
      <c r="M35" s="58">
        <f>SUM(J35:L35)</f>
        <v>0</v>
      </c>
      <c r="N35" s="27"/>
      <c r="O35" s="34"/>
    </row>
    <row r="36" spans="1:15" ht="12.95">
      <c r="A36" s="131" t="str">
        <f t="shared" si="5"/>
        <v>+</v>
      </c>
      <c r="B36" s="147" t="str">
        <f t="shared" si="2"/>
        <v>x</v>
      </c>
      <c r="C36" s="33" t="str">
        <f>_sheetContentTranslation_A_67</f>
        <v>Assets of discontinued operations</v>
      </c>
      <c r="D36" s="34"/>
      <c r="E36" s="34"/>
      <c r="F36" s="34"/>
      <c r="G36" s="34"/>
      <c r="H36" s="34"/>
      <c r="J36" s="32">
        <f t="shared" si="6"/>
        <v>0</v>
      </c>
      <c r="K36" s="34"/>
      <c r="L36" s="34"/>
      <c r="M36" s="58">
        <f t="shared" si="7"/>
        <v>0</v>
      </c>
      <c r="N36" s="27"/>
      <c r="O36" s="34"/>
    </row>
    <row r="37" spans="1:15" ht="12.95">
      <c r="A37" s="131" t="str">
        <f t="shared" si="5"/>
        <v>+</v>
      </c>
      <c r="B37" s="147" t="str">
        <f t="shared" si="2"/>
        <v>x</v>
      </c>
      <c r="C37" s="33" t="str">
        <f>_sheetContentTranslation_A_68</f>
        <v>Related party receivables, noncurrent</v>
      </c>
      <c r="D37" s="34"/>
      <c r="E37" s="34"/>
      <c r="F37" s="34"/>
      <c r="G37" s="34"/>
      <c r="H37" s="34"/>
      <c r="J37" s="32">
        <f t="shared" si="6"/>
        <v>0</v>
      </c>
      <c r="K37" s="34"/>
      <c r="L37" s="34"/>
      <c r="M37" s="58">
        <f t="shared" si="7"/>
        <v>0</v>
      </c>
      <c r="N37" s="27"/>
      <c r="O37" s="34"/>
    </row>
    <row r="38" spans="1:15" ht="12.95">
      <c r="A38" s="131" t="str">
        <f t="shared" si="5"/>
        <v>+</v>
      </c>
      <c r="B38" s="147" t="str">
        <f t="shared" si="2"/>
        <v>x</v>
      </c>
      <c r="C38" s="33" t="str">
        <f>_sheetContentTranslation_A_69</f>
        <v>Investments in subsidiaries</v>
      </c>
      <c r="D38" s="34"/>
      <c r="E38" s="34"/>
      <c r="F38" s="34"/>
      <c r="G38" s="34"/>
      <c r="H38" s="34"/>
      <c r="J38" s="32">
        <f t="shared" si="6"/>
        <v>0</v>
      </c>
      <c r="K38" s="34"/>
      <c r="L38" s="34"/>
      <c r="M38" s="58">
        <f t="shared" si="7"/>
        <v>0</v>
      </c>
      <c r="N38" s="27"/>
      <c r="O38" s="34"/>
    </row>
    <row r="39" spans="1:15" ht="12.95">
      <c r="A39" s="131" t="str">
        <f t="shared" si="5"/>
        <v>+</v>
      </c>
      <c r="B39" s="147" t="str">
        <f t="shared" si="2"/>
        <v>x</v>
      </c>
      <c r="C39" s="33" t="str">
        <f>_sheetContentTranslation_A_70</f>
        <v>Other assets</v>
      </c>
      <c r="D39" s="34"/>
      <c r="E39" s="34"/>
      <c r="F39" s="34"/>
      <c r="G39" s="34"/>
      <c r="H39" s="34"/>
      <c r="J39" s="32">
        <f t="shared" si="6"/>
        <v>0</v>
      </c>
      <c r="K39" s="34"/>
      <c r="L39" s="34"/>
      <c r="M39" s="58">
        <f t="shared" si="7"/>
        <v>0</v>
      </c>
      <c r="N39" s="27"/>
      <c r="O39" s="34"/>
    </row>
    <row r="40" spans="1:15" hidden="1">
      <c r="B40" s="107" t="str">
        <f t="shared" si="2"/>
        <v>x</v>
      </c>
      <c r="C40" s="13" t="str">
        <f>_sheetContentTranslation_A_57</f>
        <v>Intentionally hidden</v>
      </c>
      <c r="D40" s="7"/>
      <c r="E40" s="7"/>
      <c r="F40" s="7"/>
      <c r="G40" s="7"/>
      <c r="H40" s="7"/>
      <c r="J40" s="7"/>
      <c r="K40" s="7"/>
      <c r="L40" s="7"/>
      <c r="M40" s="7"/>
      <c r="N40" s="27"/>
      <c r="O40" s="7"/>
    </row>
    <row r="41" spans="1:15" ht="15" customHeight="1">
      <c r="A41" s="131" t="str">
        <f t="shared" ref="A41:A55" si="8">_sheetContentTranslation_A_35</f>
        <v>+</v>
      </c>
      <c r="B41" s="147" t="str">
        <f t="shared" si="2"/>
        <v>x</v>
      </c>
      <c r="C41" s="37" t="str">
        <f>_sheetContentTranslation_A_71</f>
        <v>Total assets</v>
      </c>
      <c r="D41" s="38">
        <f t="shared" ref="D41:H41" si="9">SUM(D26:D40)</f>
        <v>0</v>
      </c>
      <c r="E41" s="38">
        <f t="shared" si="9"/>
        <v>0</v>
      </c>
      <c r="F41" s="38">
        <f t="shared" si="9"/>
        <v>0</v>
      </c>
      <c r="G41" s="38">
        <f t="shared" si="9"/>
        <v>0</v>
      </c>
      <c r="H41" s="38">
        <f t="shared" si="9"/>
        <v>0</v>
      </c>
      <c r="J41" s="38">
        <f>SUM(J26:J40)</f>
        <v>0</v>
      </c>
      <c r="K41" s="38">
        <f>SUM(K26:K40)</f>
        <v>0</v>
      </c>
      <c r="L41" s="38">
        <f>SUM(L26:L40)</f>
        <v>0</v>
      </c>
      <c r="M41" s="38">
        <f>SUM(M26:M40)</f>
        <v>0</v>
      </c>
      <c r="N41" s="27"/>
      <c r="O41" s="38">
        <f>SUM(O26:O40)</f>
        <v>0</v>
      </c>
    </row>
    <row r="42" spans="1:15" ht="12.95">
      <c r="A42" s="131" t="str">
        <f t="shared" si="8"/>
        <v>+</v>
      </c>
      <c r="B42" s="147" t="str">
        <f t="shared" si="2"/>
        <v>x</v>
      </c>
      <c r="C42" s="29"/>
      <c r="D42" s="30"/>
      <c r="E42" s="30"/>
      <c r="F42" s="30"/>
      <c r="G42" s="30"/>
      <c r="H42" s="30"/>
      <c r="J42" s="30"/>
      <c r="K42" s="30"/>
      <c r="L42" s="30"/>
      <c r="M42" s="30"/>
      <c r="N42" s="27"/>
      <c r="O42" s="30"/>
    </row>
    <row r="43" spans="1:15" ht="12.95">
      <c r="A43" s="131" t="str">
        <f t="shared" si="8"/>
        <v>+</v>
      </c>
      <c r="B43" s="147" t="str">
        <f t="shared" si="2"/>
        <v>x</v>
      </c>
      <c r="C43" s="31" t="str">
        <f>_sheetContentTranslation_A_72</f>
        <v>Liabilities and stockholders' equity</v>
      </c>
      <c r="D43" s="34"/>
      <c r="E43" s="34"/>
      <c r="F43" s="34"/>
      <c r="G43" s="34"/>
      <c r="H43" s="34"/>
      <c r="J43" s="34"/>
      <c r="K43" s="34"/>
      <c r="L43" s="34"/>
      <c r="M43" s="34"/>
      <c r="N43" s="27"/>
      <c r="O43" s="34"/>
    </row>
    <row r="44" spans="1:15" ht="12.95">
      <c r="A44" s="131" t="str">
        <f t="shared" si="8"/>
        <v>+</v>
      </c>
      <c r="B44" s="147" t="str">
        <f t="shared" si="2"/>
        <v>x</v>
      </c>
      <c r="C44" s="31" t="str">
        <f>_sheetContentTranslation_A_73</f>
        <v>Liabilities</v>
      </c>
      <c r="D44" s="34"/>
      <c r="E44" s="34"/>
      <c r="F44" s="34"/>
      <c r="G44" s="34"/>
      <c r="H44" s="34"/>
      <c r="J44" s="34"/>
      <c r="K44" s="34"/>
      <c r="L44" s="34"/>
      <c r="M44" s="34"/>
      <c r="N44" s="27"/>
      <c r="O44" s="34"/>
    </row>
    <row r="45" spans="1:15" ht="12.95">
      <c r="A45" s="131" t="str">
        <f t="shared" si="8"/>
        <v>+</v>
      </c>
      <c r="B45" s="147" t="str">
        <f t="shared" si="2"/>
        <v>x</v>
      </c>
      <c r="C45" s="31" t="str">
        <f>_sheetContentTranslation_A_74</f>
        <v>Current liabilities</v>
      </c>
      <c r="D45" s="34"/>
      <c r="E45" s="34"/>
      <c r="F45" s="34"/>
      <c r="G45" s="34"/>
      <c r="H45" s="34"/>
      <c r="J45" s="34"/>
      <c r="K45" s="34"/>
      <c r="L45" s="34"/>
      <c r="M45" s="34"/>
      <c r="N45" s="27"/>
      <c r="O45" s="34"/>
    </row>
    <row r="46" spans="1:15" ht="12.95">
      <c r="A46" s="131" t="str">
        <f t="shared" si="8"/>
        <v>+</v>
      </c>
      <c r="B46" s="147" t="str">
        <f t="shared" si="2"/>
        <v>x</v>
      </c>
      <c r="C46" s="33" t="str">
        <f>_sheetContentTranslation_A_75</f>
        <v>Accounts payable</v>
      </c>
      <c r="D46" s="34"/>
      <c r="E46" s="34"/>
      <c r="F46" s="34"/>
      <c r="G46" s="34"/>
      <c r="H46" s="34"/>
      <c r="J46" s="32">
        <f t="shared" ref="J46:J55" si="10">SUM(D46:I46)</f>
        <v>0</v>
      </c>
      <c r="K46" s="34"/>
      <c r="L46" s="34"/>
      <c r="M46" s="58">
        <f t="shared" ref="M46:M55" si="11">SUM(J46:L46)</f>
        <v>0</v>
      </c>
      <c r="N46" s="27"/>
      <c r="O46" s="34"/>
    </row>
    <row r="47" spans="1:15" ht="12.95">
      <c r="A47" s="131" t="str">
        <f t="shared" si="8"/>
        <v>+</v>
      </c>
      <c r="B47" s="147" t="str">
        <f t="shared" si="2"/>
        <v>x</v>
      </c>
      <c r="C47" s="33" t="str">
        <f>_sheetContentTranslation_A_76</f>
        <v>Accrued expenses</v>
      </c>
      <c r="D47" s="34"/>
      <c r="E47" s="34"/>
      <c r="F47" s="34"/>
      <c r="G47" s="34"/>
      <c r="H47" s="34"/>
      <c r="J47" s="32">
        <f t="shared" si="10"/>
        <v>0</v>
      </c>
      <c r="K47" s="34"/>
      <c r="L47" s="34"/>
      <c r="M47" s="58">
        <f t="shared" si="11"/>
        <v>0</v>
      </c>
      <c r="N47" s="27"/>
      <c r="O47" s="34"/>
    </row>
    <row r="48" spans="1:15" ht="12.95">
      <c r="A48" s="131" t="str">
        <f t="shared" si="8"/>
        <v>+</v>
      </c>
      <c r="B48" s="147" t="str">
        <f t="shared" ref="B48:B79" si="12">_sheetContentTranslation_A_36</f>
        <v>x</v>
      </c>
      <c r="C48" s="33" t="str">
        <f>_sheetContentTranslation_A_77</f>
        <v>Current portion of long-term debt</v>
      </c>
      <c r="D48" s="34"/>
      <c r="E48" s="34"/>
      <c r="F48" s="34"/>
      <c r="G48" s="34"/>
      <c r="H48" s="34"/>
      <c r="J48" s="32">
        <f t="shared" si="10"/>
        <v>0</v>
      </c>
      <c r="K48" s="34"/>
      <c r="L48" s="34"/>
      <c r="M48" s="58">
        <f t="shared" si="11"/>
        <v>0</v>
      </c>
      <c r="N48" s="27"/>
      <c r="O48" s="34"/>
    </row>
    <row r="49" spans="1:15" ht="12.95">
      <c r="A49" s="131" t="str">
        <f t="shared" si="8"/>
        <v>+</v>
      </c>
      <c r="B49" s="147" t="str">
        <f t="shared" si="12"/>
        <v>x</v>
      </c>
      <c r="C49" s="33" t="str">
        <f>_sheetContentTranslation_A_78</f>
        <v>Capital lease obligations, current</v>
      </c>
      <c r="D49" s="34"/>
      <c r="E49" s="34"/>
      <c r="F49" s="34"/>
      <c r="G49" s="34"/>
      <c r="H49" s="34"/>
      <c r="J49" s="32">
        <f t="shared" si="10"/>
        <v>0</v>
      </c>
      <c r="K49" s="34"/>
      <c r="L49" s="34"/>
      <c r="M49" s="58">
        <f t="shared" si="11"/>
        <v>0</v>
      </c>
      <c r="N49" s="27"/>
      <c r="O49" s="34"/>
    </row>
    <row r="50" spans="1:15" ht="12.95">
      <c r="A50" s="131" t="str">
        <f t="shared" si="8"/>
        <v>+</v>
      </c>
      <c r="B50" s="147" t="str">
        <f t="shared" si="12"/>
        <v>x</v>
      </c>
      <c r="C50" s="33" t="str">
        <f>_sheetContentTranslation_A_79</f>
        <v>Income taxes payable</v>
      </c>
      <c r="D50" s="34"/>
      <c r="E50" s="34"/>
      <c r="F50" s="34"/>
      <c r="G50" s="34"/>
      <c r="H50" s="34"/>
      <c r="J50" s="32">
        <f t="shared" si="10"/>
        <v>0</v>
      </c>
      <c r="K50" s="34"/>
      <c r="L50" s="34"/>
      <c r="M50" s="58">
        <f t="shared" si="11"/>
        <v>0</v>
      </c>
      <c r="N50" s="27"/>
      <c r="O50" s="34"/>
    </row>
    <row r="51" spans="1:15" ht="12.95">
      <c r="A51" s="131" t="str">
        <f t="shared" si="8"/>
        <v>+</v>
      </c>
      <c r="B51" s="147" t="str">
        <f t="shared" si="12"/>
        <v>x</v>
      </c>
      <c r="C51" s="33" t="str">
        <f>_sheetContentTranslation_A_80</f>
        <v>Derivative liabilities</v>
      </c>
      <c r="D51" s="34"/>
      <c r="E51" s="34"/>
      <c r="F51" s="34"/>
      <c r="G51" s="34"/>
      <c r="H51" s="34"/>
      <c r="J51" s="32">
        <f t="shared" si="10"/>
        <v>0</v>
      </c>
      <c r="K51" s="34"/>
      <c r="L51" s="34"/>
      <c r="M51" s="58">
        <f t="shared" si="11"/>
        <v>0</v>
      </c>
      <c r="N51" s="27"/>
      <c r="O51" s="34"/>
    </row>
    <row r="52" spans="1:15" ht="12.95">
      <c r="A52" s="131" t="str">
        <f t="shared" si="8"/>
        <v>+</v>
      </c>
      <c r="B52" s="147" t="str">
        <f t="shared" si="12"/>
        <v>x</v>
      </c>
      <c r="C52" s="33" t="str">
        <f>_sheetContentTranslation_A_81</f>
        <v>Deferred credits, current</v>
      </c>
      <c r="D52" s="34"/>
      <c r="E52" s="34"/>
      <c r="F52" s="34"/>
      <c r="G52" s="34"/>
      <c r="H52" s="34"/>
      <c r="J52" s="32">
        <f t="shared" si="10"/>
        <v>0</v>
      </c>
      <c r="K52" s="34"/>
      <c r="L52" s="34"/>
      <c r="M52" s="58">
        <f t="shared" si="11"/>
        <v>0</v>
      </c>
      <c r="N52" s="27"/>
      <c r="O52" s="34"/>
    </row>
    <row r="53" spans="1:15" ht="12.95">
      <c r="A53" s="131" t="str">
        <f t="shared" si="8"/>
        <v>+</v>
      </c>
      <c r="B53" s="147" t="str">
        <f t="shared" si="12"/>
        <v>x</v>
      </c>
      <c r="C53" s="33" t="str">
        <f>_sheetContentTranslation_A_82</f>
        <v>Dividends payable</v>
      </c>
      <c r="D53" s="34"/>
      <c r="E53" s="34"/>
      <c r="F53" s="34"/>
      <c r="G53" s="34"/>
      <c r="H53" s="34"/>
      <c r="J53" s="32">
        <f t="shared" si="10"/>
        <v>0</v>
      </c>
      <c r="K53" s="34"/>
      <c r="L53" s="34"/>
      <c r="M53" s="58">
        <f t="shared" si="11"/>
        <v>0</v>
      </c>
      <c r="N53" s="27"/>
      <c r="O53" s="34"/>
    </row>
    <row r="54" spans="1:15" ht="12.95">
      <c r="A54" s="131" t="str">
        <f t="shared" si="8"/>
        <v>+</v>
      </c>
      <c r="B54" s="147" t="str">
        <f t="shared" si="12"/>
        <v>x</v>
      </c>
      <c r="C54" s="33" t="str">
        <f>_sheetContentTranslation_A_83</f>
        <v>Contract liabilities</v>
      </c>
      <c r="D54" s="34"/>
      <c r="E54" s="34"/>
      <c r="F54" s="34"/>
      <c r="G54" s="34"/>
      <c r="H54" s="34"/>
      <c r="J54" s="32">
        <f t="shared" si="10"/>
        <v>0</v>
      </c>
      <c r="K54" s="34"/>
      <c r="L54" s="34"/>
      <c r="M54" s="58">
        <f t="shared" si="11"/>
        <v>0</v>
      </c>
      <c r="N54" s="27"/>
      <c r="O54" s="34"/>
    </row>
    <row r="55" spans="1:15" ht="12.95">
      <c r="A55" s="131" t="str">
        <f t="shared" si="8"/>
        <v>+</v>
      </c>
      <c r="B55" s="147" t="str">
        <f t="shared" si="12"/>
        <v>x</v>
      </c>
      <c r="C55" s="33" t="str">
        <f>_sheetContentTranslation_A_84</f>
        <v>Other current liabilities</v>
      </c>
      <c r="D55" s="34"/>
      <c r="E55" s="34"/>
      <c r="F55" s="34"/>
      <c r="G55" s="34"/>
      <c r="H55" s="34"/>
      <c r="J55" s="32">
        <f t="shared" si="10"/>
        <v>0</v>
      </c>
      <c r="K55" s="34"/>
      <c r="L55" s="34"/>
      <c r="M55" s="58">
        <f t="shared" si="11"/>
        <v>0</v>
      </c>
      <c r="N55" s="27"/>
      <c r="O55" s="34"/>
    </row>
    <row r="56" spans="1:15" hidden="1">
      <c r="B56" s="107" t="str">
        <f t="shared" si="12"/>
        <v>x</v>
      </c>
      <c r="C56" s="13" t="str">
        <f>_sheetContentTranslation_A_57</f>
        <v>Intentionally hidden</v>
      </c>
      <c r="D56" s="7"/>
      <c r="E56" s="7"/>
      <c r="F56" s="7"/>
      <c r="G56" s="7"/>
      <c r="H56" s="7"/>
      <c r="J56" s="7"/>
      <c r="K56" s="7"/>
      <c r="L56" s="7"/>
      <c r="M56" s="7"/>
      <c r="N56" s="27"/>
      <c r="O56" s="7"/>
    </row>
    <row r="57" spans="1:15" ht="12.95">
      <c r="A57" s="131" t="str">
        <f t="shared" ref="A57:A67" si="13">_sheetContentTranslation_A_35</f>
        <v>+</v>
      </c>
      <c r="B57" s="147" t="str">
        <f t="shared" si="12"/>
        <v>x</v>
      </c>
      <c r="C57" s="35" t="str">
        <f>_sheetContentTranslation_A_85</f>
        <v>Total current liabilities</v>
      </c>
      <c r="D57" s="36">
        <f t="shared" ref="D57:M57" si="14">SUM(D45:D56)</f>
        <v>0</v>
      </c>
      <c r="E57" s="36">
        <f t="shared" si="14"/>
        <v>0</v>
      </c>
      <c r="F57" s="36">
        <f t="shared" si="14"/>
        <v>0</v>
      </c>
      <c r="G57" s="36">
        <f>SUM(G45:G56)</f>
        <v>0</v>
      </c>
      <c r="H57" s="36">
        <f>SUM(H45:H56)</f>
        <v>0</v>
      </c>
      <c r="J57" s="36">
        <f>SUM(J45:J56)</f>
        <v>0</v>
      </c>
      <c r="K57" s="36">
        <f t="shared" si="14"/>
        <v>0</v>
      </c>
      <c r="L57" s="36">
        <f t="shared" si="14"/>
        <v>0</v>
      </c>
      <c r="M57" s="36">
        <f t="shared" si="14"/>
        <v>0</v>
      </c>
      <c r="N57" s="27"/>
      <c r="O57" s="36">
        <f>SUM(O45:O56)</f>
        <v>0</v>
      </c>
    </row>
    <row r="58" spans="1:15" ht="12.95">
      <c r="A58" s="131" t="str">
        <f t="shared" si="13"/>
        <v>+</v>
      </c>
      <c r="B58" s="147" t="str">
        <f t="shared" si="12"/>
        <v>x</v>
      </c>
      <c r="C58" s="33"/>
      <c r="D58" s="34"/>
      <c r="E58" s="34"/>
      <c r="F58" s="34"/>
      <c r="G58" s="34"/>
      <c r="H58" s="34"/>
      <c r="J58" s="34"/>
      <c r="K58" s="34"/>
      <c r="L58" s="34"/>
      <c r="M58" s="34"/>
      <c r="N58" s="27"/>
      <c r="O58" s="34"/>
    </row>
    <row r="59" spans="1:15" ht="12.95">
      <c r="A59" s="131" t="str">
        <f t="shared" si="13"/>
        <v>+</v>
      </c>
      <c r="B59" s="147" t="str">
        <f t="shared" si="12"/>
        <v>x</v>
      </c>
      <c r="C59" s="33" t="str">
        <f>_sheetContentTranslation_A_86</f>
        <v>Long-term debt, net</v>
      </c>
      <c r="D59" s="34"/>
      <c r="E59" s="34"/>
      <c r="F59" s="34"/>
      <c r="G59" s="34"/>
      <c r="H59" s="34"/>
      <c r="J59" s="32">
        <f t="shared" ref="J59:J67" si="15">SUM(D59:I59)</f>
        <v>0</v>
      </c>
      <c r="K59" s="34"/>
      <c r="L59" s="34"/>
      <c r="M59" s="58">
        <f t="shared" ref="M59:M67" si="16">SUM(J59:L59)</f>
        <v>0</v>
      </c>
      <c r="N59" s="27"/>
      <c r="O59" s="34"/>
    </row>
    <row r="60" spans="1:15" ht="12.95">
      <c r="A60" s="131" t="str">
        <f t="shared" si="13"/>
        <v>+</v>
      </c>
      <c r="B60" s="147" t="str">
        <f t="shared" si="12"/>
        <v>x</v>
      </c>
      <c r="C60" s="33" t="str">
        <f>_sheetContentTranslation_A_87</f>
        <v>Capital lease obligations, noncurrent</v>
      </c>
      <c r="D60" s="34"/>
      <c r="E60" s="34"/>
      <c r="F60" s="34"/>
      <c r="G60" s="34"/>
      <c r="H60" s="34"/>
      <c r="J60" s="32">
        <f t="shared" si="15"/>
        <v>0</v>
      </c>
      <c r="K60" s="34"/>
      <c r="L60" s="34"/>
      <c r="M60" s="58">
        <f t="shared" si="16"/>
        <v>0</v>
      </c>
      <c r="N60" s="27"/>
      <c r="O60" s="34"/>
    </row>
    <row r="61" spans="1:15" ht="12.95">
      <c r="A61" s="131" t="str">
        <f t="shared" si="13"/>
        <v>+</v>
      </c>
      <c r="B61" s="147" t="str">
        <f t="shared" si="12"/>
        <v>x</v>
      </c>
      <c r="C61" s="33" t="str">
        <f>_sheetContentTranslation_A_88</f>
        <v>Due to related parties, noncurrent</v>
      </c>
      <c r="D61" s="34"/>
      <c r="E61" s="34"/>
      <c r="F61" s="34"/>
      <c r="G61" s="34"/>
      <c r="H61" s="34"/>
      <c r="J61" s="32">
        <f t="shared" si="15"/>
        <v>0</v>
      </c>
      <c r="K61" s="34"/>
      <c r="L61" s="34"/>
      <c r="M61" s="58">
        <f t="shared" si="16"/>
        <v>0</v>
      </c>
      <c r="N61" s="27"/>
      <c r="O61" s="34"/>
    </row>
    <row r="62" spans="1:15" ht="12.95">
      <c r="A62" s="131" t="str">
        <f t="shared" si="13"/>
        <v>+</v>
      </c>
      <c r="B62" s="147" t="str">
        <f t="shared" si="12"/>
        <v>x</v>
      </c>
      <c r="C62" s="33" t="str">
        <f>_sheetContentTranslation_A_89</f>
        <v>Employee benefit plan obligations</v>
      </c>
      <c r="D62" s="34"/>
      <c r="E62" s="34"/>
      <c r="F62" s="34"/>
      <c r="G62" s="34"/>
      <c r="H62" s="34"/>
      <c r="J62" s="32">
        <f t="shared" si="15"/>
        <v>0</v>
      </c>
      <c r="K62" s="34"/>
      <c r="L62" s="34"/>
      <c r="M62" s="58">
        <f t="shared" si="16"/>
        <v>0</v>
      </c>
      <c r="N62" s="27"/>
      <c r="O62" s="34"/>
    </row>
    <row r="63" spans="1:15" ht="12.95">
      <c r="A63" s="131" t="str">
        <f t="shared" si="13"/>
        <v>+</v>
      </c>
      <c r="B63" s="147" t="str">
        <f t="shared" si="12"/>
        <v>x</v>
      </c>
      <c r="C63" s="33" t="str">
        <f>_sheetContentTranslation_A_90</f>
        <v>Deferred credits, noncurrent</v>
      </c>
      <c r="D63" s="34"/>
      <c r="E63" s="34"/>
      <c r="F63" s="34"/>
      <c r="G63" s="34"/>
      <c r="H63" s="34"/>
      <c r="J63" s="32">
        <f t="shared" si="15"/>
        <v>0</v>
      </c>
      <c r="K63" s="34"/>
      <c r="L63" s="34"/>
      <c r="M63" s="58">
        <f t="shared" si="16"/>
        <v>0</v>
      </c>
      <c r="N63" s="27"/>
      <c r="O63" s="34"/>
    </row>
    <row r="64" spans="1:15" ht="12.95">
      <c r="A64" s="131" t="str">
        <f t="shared" si="13"/>
        <v>+</v>
      </c>
      <c r="B64" s="147" t="str">
        <f t="shared" si="12"/>
        <v>x</v>
      </c>
      <c r="C64" s="33" t="str">
        <f>_sheetContentTranslation_A_91</f>
        <v>Deferred tax liabilities, noncurrent</v>
      </c>
      <c r="D64" s="34"/>
      <c r="E64" s="34"/>
      <c r="F64" s="34"/>
      <c r="G64" s="34"/>
      <c r="H64" s="34"/>
      <c r="J64" s="32">
        <f t="shared" si="15"/>
        <v>0</v>
      </c>
      <c r="K64" s="34"/>
      <c r="L64" s="34"/>
      <c r="M64" s="58">
        <f t="shared" si="16"/>
        <v>0</v>
      </c>
      <c r="N64" s="27"/>
      <c r="O64" s="34"/>
    </row>
    <row r="65" spans="1:15" ht="11.25" customHeight="1">
      <c r="A65" s="131" t="str">
        <f t="shared" si="13"/>
        <v>+</v>
      </c>
      <c r="B65" s="147" t="str">
        <f t="shared" si="12"/>
        <v>x</v>
      </c>
      <c r="C65" s="33" t="str">
        <f>_sheetContentTranslation_A_92</f>
        <v>Liabilities of businesses held for sale</v>
      </c>
      <c r="D65" s="34"/>
      <c r="E65" s="34"/>
      <c r="F65" s="34"/>
      <c r="G65" s="34"/>
      <c r="H65" s="34"/>
      <c r="J65" s="32">
        <f t="shared" si="15"/>
        <v>0</v>
      </c>
      <c r="K65" s="34"/>
      <c r="L65" s="34"/>
      <c r="M65" s="58">
        <f>SUM(J65:L65)</f>
        <v>0</v>
      </c>
      <c r="N65" s="27"/>
      <c r="O65" s="34"/>
    </row>
    <row r="66" spans="1:15" ht="12.95">
      <c r="A66" s="131" t="str">
        <f t="shared" si="13"/>
        <v>+</v>
      </c>
      <c r="B66" s="147" t="str">
        <f t="shared" si="12"/>
        <v>x</v>
      </c>
      <c r="C66" s="33" t="str">
        <f>_sheetContentTranslation_A_93</f>
        <v>Liabilities of discontinued operations</v>
      </c>
      <c r="D66" s="34"/>
      <c r="E66" s="34"/>
      <c r="F66" s="34"/>
      <c r="G66" s="34"/>
      <c r="H66" s="34"/>
      <c r="J66" s="32">
        <f t="shared" si="15"/>
        <v>0</v>
      </c>
      <c r="K66" s="34"/>
      <c r="L66" s="34"/>
      <c r="M66" s="58">
        <f t="shared" si="16"/>
        <v>0</v>
      </c>
      <c r="N66" s="27"/>
      <c r="O66" s="34"/>
    </row>
    <row r="67" spans="1:15" ht="12.95">
      <c r="A67" s="131" t="str">
        <f t="shared" si="13"/>
        <v>+</v>
      </c>
      <c r="B67" s="147" t="str">
        <f t="shared" si="12"/>
        <v>x</v>
      </c>
      <c r="C67" s="33" t="str">
        <f>_sheetContentTranslation_A_94</f>
        <v>Other liabilities</v>
      </c>
      <c r="D67" s="34"/>
      <c r="E67" s="34"/>
      <c r="F67" s="34"/>
      <c r="G67" s="34"/>
      <c r="H67" s="34"/>
      <c r="J67" s="32">
        <f t="shared" si="15"/>
        <v>0</v>
      </c>
      <c r="K67" s="34"/>
      <c r="L67" s="34"/>
      <c r="M67" s="58">
        <f t="shared" si="16"/>
        <v>0</v>
      </c>
      <c r="N67" s="27"/>
      <c r="O67" s="34"/>
    </row>
    <row r="68" spans="1:15" hidden="1">
      <c r="B68" s="107" t="str">
        <f t="shared" si="12"/>
        <v>x</v>
      </c>
      <c r="C68" s="13" t="str">
        <f>_sheetContentTranslation_A_57</f>
        <v>Intentionally hidden</v>
      </c>
      <c r="D68" s="7"/>
      <c r="E68" s="7"/>
      <c r="F68" s="7"/>
      <c r="G68" s="7"/>
      <c r="H68" s="7"/>
      <c r="J68" s="7"/>
      <c r="K68" s="7"/>
      <c r="L68" s="7"/>
      <c r="M68" s="7"/>
      <c r="N68" s="27"/>
      <c r="O68" s="7"/>
    </row>
    <row r="69" spans="1:15" ht="12.95">
      <c r="A69" s="131" t="str">
        <f t="shared" ref="A69:A77" si="17">_sheetContentTranslation_A_35</f>
        <v>+</v>
      </c>
      <c r="B69" s="147" t="str">
        <f t="shared" si="12"/>
        <v>x</v>
      </c>
      <c r="C69" s="37" t="str">
        <f>_sheetContentTranslation_A_95</f>
        <v>Total liabilities</v>
      </c>
      <c r="D69" s="38">
        <f t="shared" ref="D69:H69" si="18">SUM(D57:D68)</f>
        <v>0</v>
      </c>
      <c r="E69" s="38">
        <f t="shared" si="18"/>
        <v>0</v>
      </c>
      <c r="F69" s="38">
        <f t="shared" si="18"/>
        <v>0</v>
      </c>
      <c r="G69" s="38">
        <f t="shared" si="18"/>
        <v>0</v>
      </c>
      <c r="H69" s="38">
        <f t="shared" si="18"/>
        <v>0</v>
      </c>
      <c r="J69" s="38">
        <f>SUM(J57:J68)</f>
        <v>0</v>
      </c>
      <c r="K69" s="38">
        <f>SUM(K57:K68)</f>
        <v>0</v>
      </c>
      <c r="L69" s="38">
        <f>SUM(L57:L68)</f>
        <v>0</v>
      </c>
      <c r="M69" s="38">
        <f>SUM(M57:M68)</f>
        <v>0</v>
      </c>
      <c r="N69" s="27"/>
      <c r="O69" s="38">
        <f>SUM(O57:O68)</f>
        <v>0</v>
      </c>
    </row>
    <row r="70" spans="1:15" ht="12.95">
      <c r="A70" s="131" t="str">
        <f t="shared" si="17"/>
        <v>+</v>
      </c>
      <c r="B70" s="147" t="str">
        <f t="shared" si="12"/>
        <v>x</v>
      </c>
      <c r="C70" s="29"/>
      <c r="D70" s="30"/>
      <c r="E70" s="30"/>
      <c r="F70" s="30"/>
      <c r="G70" s="30"/>
      <c r="H70" s="30"/>
      <c r="J70" s="30"/>
      <c r="K70" s="30"/>
      <c r="L70" s="30"/>
      <c r="M70" s="30"/>
      <c r="N70" s="27"/>
      <c r="O70" s="30"/>
    </row>
    <row r="71" spans="1:15" ht="12.95">
      <c r="A71" s="131" t="str">
        <f t="shared" si="17"/>
        <v>+</v>
      </c>
      <c r="B71" s="147" t="str">
        <f t="shared" si="12"/>
        <v>x</v>
      </c>
      <c r="C71" s="31" t="str">
        <f>_sheetContentTranslation_A_96</f>
        <v>Stockholders' equity</v>
      </c>
      <c r="D71" s="34"/>
      <c r="E71" s="34"/>
      <c r="F71" s="34"/>
      <c r="G71" s="34"/>
      <c r="H71" s="34"/>
      <c r="J71" s="34"/>
      <c r="K71" s="34"/>
      <c r="L71" s="34"/>
      <c r="M71" s="34"/>
      <c r="N71" s="27"/>
      <c r="O71" s="34"/>
    </row>
    <row r="72" spans="1:15" ht="12.95">
      <c r="A72" s="131" t="str">
        <f t="shared" si="17"/>
        <v>+</v>
      </c>
      <c r="B72" s="147" t="str">
        <f t="shared" si="12"/>
        <v>x</v>
      </c>
      <c r="C72" s="33" t="str">
        <f>_sheetContentTranslation_A_97</f>
        <v>Preferred stock</v>
      </c>
      <c r="D72" s="34"/>
      <c r="E72" s="34"/>
      <c r="F72" s="34"/>
      <c r="G72" s="34"/>
      <c r="H72" s="34"/>
      <c r="J72" s="32">
        <f t="shared" ref="J72:J77" si="19">SUM(D72:I72)</f>
        <v>0</v>
      </c>
      <c r="K72" s="34"/>
      <c r="L72" s="34"/>
      <c r="M72" s="58">
        <f t="shared" ref="M72:M77" si="20">SUM(J72:L72)</f>
        <v>0</v>
      </c>
      <c r="N72" s="27"/>
      <c r="O72" s="34"/>
    </row>
    <row r="73" spans="1:15" ht="12.95">
      <c r="A73" s="131" t="str">
        <f t="shared" si="17"/>
        <v>+</v>
      </c>
      <c r="B73" s="147" t="str">
        <f t="shared" si="12"/>
        <v>x</v>
      </c>
      <c r="C73" s="33" t="str">
        <f>_sheetContentTranslation_A_98</f>
        <v>Common stock</v>
      </c>
      <c r="D73" s="34"/>
      <c r="E73" s="34"/>
      <c r="F73" s="34"/>
      <c r="G73" s="34"/>
      <c r="H73" s="34"/>
      <c r="J73" s="32">
        <f t="shared" si="19"/>
        <v>0</v>
      </c>
      <c r="K73" s="34"/>
      <c r="L73" s="34"/>
      <c r="M73" s="58">
        <f t="shared" si="20"/>
        <v>0</v>
      </c>
      <c r="N73" s="27"/>
      <c r="O73" s="34"/>
    </row>
    <row r="74" spans="1:15" ht="12.95">
      <c r="A74" s="131" t="str">
        <f t="shared" si="17"/>
        <v>+</v>
      </c>
      <c r="B74" s="147" t="str">
        <f t="shared" si="12"/>
        <v>x</v>
      </c>
      <c r="C74" s="33" t="str">
        <f>_sheetContentTranslation_A_99</f>
        <v>Treasury stock</v>
      </c>
      <c r="D74" s="34"/>
      <c r="E74" s="34"/>
      <c r="F74" s="34"/>
      <c r="G74" s="34"/>
      <c r="H74" s="34"/>
      <c r="J74" s="32">
        <f t="shared" si="19"/>
        <v>0</v>
      </c>
      <c r="K74" s="34"/>
      <c r="L74" s="34"/>
      <c r="M74" s="58">
        <f t="shared" si="20"/>
        <v>0</v>
      </c>
      <c r="N74" s="27"/>
      <c r="O74" s="34"/>
    </row>
    <row r="75" spans="1:15" ht="12.95">
      <c r="A75" s="131" t="str">
        <f t="shared" si="17"/>
        <v>+</v>
      </c>
      <c r="B75" s="147" t="str">
        <f t="shared" si="12"/>
        <v>x</v>
      </c>
      <c r="C75" s="33" t="str">
        <f>_sheetContentTranslation_A_100</f>
        <v>Additional paid-in capital</v>
      </c>
      <c r="D75" s="34"/>
      <c r="E75" s="34"/>
      <c r="F75" s="34"/>
      <c r="G75" s="34"/>
      <c r="H75" s="34"/>
      <c r="J75" s="32">
        <f t="shared" si="19"/>
        <v>0</v>
      </c>
      <c r="K75" s="34"/>
      <c r="L75" s="34"/>
      <c r="M75" s="58">
        <f t="shared" si="20"/>
        <v>0</v>
      </c>
      <c r="N75" s="27"/>
      <c r="O75" s="34"/>
    </row>
    <row r="76" spans="1:15" ht="12.95">
      <c r="A76" s="131" t="str">
        <f t="shared" si="17"/>
        <v>+</v>
      </c>
      <c r="B76" s="147" t="str">
        <f t="shared" si="12"/>
        <v>x</v>
      </c>
      <c r="C76" s="33" t="str">
        <f>_sheetContentTranslation_A_101</f>
        <v>Accumulated other comprehensive income (loss)</v>
      </c>
      <c r="D76" s="34"/>
      <c r="E76" s="34"/>
      <c r="F76" s="34"/>
      <c r="G76" s="34"/>
      <c r="H76" s="34"/>
      <c r="J76" s="32">
        <f t="shared" si="19"/>
        <v>0</v>
      </c>
      <c r="K76" s="34"/>
      <c r="L76" s="34"/>
      <c r="M76" s="58">
        <f t="shared" si="20"/>
        <v>0</v>
      </c>
      <c r="N76" s="27"/>
      <c r="O76" s="34"/>
    </row>
    <row r="77" spans="1:15" ht="12.95">
      <c r="A77" s="131" t="str">
        <f t="shared" si="17"/>
        <v>+</v>
      </c>
      <c r="B77" s="147" t="str">
        <f t="shared" si="12"/>
        <v>x</v>
      </c>
      <c r="C77" s="33" t="str">
        <f>_sheetContentTranslation_A_102</f>
        <v>Retained earnings</v>
      </c>
      <c r="D77" s="34"/>
      <c r="E77" s="34"/>
      <c r="F77" s="34"/>
      <c r="G77" s="34"/>
      <c r="H77" s="34"/>
      <c r="J77" s="32">
        <f t="shared" si="19"/>
        <v>0</v>
      </c>
      <c r="K77" s="34"/>
      <c r="L77" s="34"/>
      <c r="M77" s="58">
        <f t="shared" si="20"/>
        <v>0</v>
      </c>
      <c r="N77" s="27"/>
      <c r="O77" s="34"/>
    </row>
    <row r="78" spans="1:15" hidden="1">
      <c r="B78" s="107" t="str">
        <f t="shared" si="12"/>
        <v>x</v>
      </c>
      <c r="C78" s="13" t="str">
        <f>_sheetContentTranslation_A_57</f>
        <v>Intentionally hidden</v>
      </c>
      <c r="D78" s="7"/>
      <c r="E78" s="7"/>
      <c r="F78" s="7"/>
      <c r="G78" s="7"/>
      <c r="H78" s="7"/>
      <c r="J78" s="7"/>
      <c r="K78" s="7"/>
      <c r="L78" s="7"/>
      <c r="M78" s="7"/>
      <c r="N78" s="27"/>
      <c r="O78" s="7"/>
    </row>
    <row r="79" spans="1:15" ht="21">
      <c r="A79" s="131" t="str">
        <f>_sheetContentTranslation_A_35</f>
        <v>+</v>
      </c>
      <c r="B79" s="147" t="str">
        <f t="shared" si="12"/>
        <v>x</v>
      </c>
      <c r="C79" s="35" t="str">
        <f>_sheetContentTranslation_A_103</f>
        <v>Total stockholders' equity attributable to parent co stockholders</v>
      </c>
      <c r="D79" s="36">
        <f t="shared" ref="D79:H79" si="21">SUM(D71:D78)</f>
        <v>0</v>
      </c>
      <c r="E79" s="36">
        <f t="shared" si="21"/>
        <v>0</v>
      </c>
      <c r="F79" s="36">
        <f t="shared" si="21"/>
        <v>0</v>
      </c>
      <c r="G79" s="36">
        <f t="shared" si="21"/>
        <v>0</v>
      </c>
      <c r="H79" s="36">
        <f t="shared" si="21"/>
        <v>0</v>
      </c>
      <c r="J79" s="36">
        <f>SUM(J71:J78)</f>
        <v>0</v>
      </c>
      <c r="K79" s="36">
        <f>SUM(K71:K78)</f>
        <v>0</v>
      </c>
      <c r="L79" s="36">
        <f>SUM(L71:L78)</f>
        <v>0</v>
      </c>
      <c r="M79" s="36">
        <f>SUM(M71:M78)</f>
        <v>0</v>
      </c>
      <c r="N79" s="27"/>
      <c r="O79" s="36">
        <f>SUM(O71:O78)</f>
        <v>0</v>
      </c>
    </row>
    <row r="80" spans="1:15" ht="12.95">
      <c r="A80" s="131" t="str">
        <f>_sheetContentTranslation_A_35</f>
        <v>+</v>
      </c>
      <c r="B80" s="147" t="str">
        <f t="shared" ref="B80:B111" si="22">_sheetContentTranslation_A_36</f>
        <v>x</v>
      </c>
      <c r="C80" s="33"/>
      <c r="D80" s="34"/>
      <c r="E80" s="34"/>
      <c r="F80" s="34"/>
      <c r="G80" s="34"/>
      <c r="H80" s="34"/>
      <c r="J80" s="34"/>
      <c r="K80" s="34"/>
      <c r="L80" s="34"/>
      <c r="M80" s="34"/>
      <c r="N80" s="27"/>
      <c r="O80" s="34"/>
    </row>
    <row r="81" spans="1:15" ht="12.95">
      <c r="A81" s="131" t="str">
        <f>_sheetContentTranslation_A_35</f>
        <v>+</v>
      </c>
      <c r="B81" s="147" t="str">
        <f t="shared" si="22"/>
        <v>x</v>
      </c>
      <c r="C81" s="33" t="str">
        <f>_sheetContentTranslation_A_104</f>
        <v>Noncontrolling interests</v>
      </c>
      <c r="D81" s="34"/>
      <c r="E81" s="34"/>
      <c r="F81" s="34"/>
      <c r="G81" s="34"/>
      <c r="H81" s="34"/>
      <c r="J81" s="32">
        <f>SUM(D81:I81)</f>
        <v>0</v>
      </c>
      <c r="K81" s="34"/>
      <c r="L81" s="34"/>
      <c r="M81" s="58">
        <f t="shared" ref="M81" si="23">SUM(J81:L81)</f>
        <v>0</v>
      </c>
      <c r="N81" s="27"/>
      <c r="O81" s="34"/>
    </row>
    <row r="82" spans="1:15" hidden="1">
      <c r="B82" s="107" t="str">
        <f t="shared" si="22"/>
        <v>x</v>
      </c>
      <c r="C82" s="13" t="str">
        <f>_sheetContentTranslation_A_57</f>
        <v>Intentionally hidden</v>
      </c>
      <c r="D82" s="7"/>
      <c r="E82" s="7"/>
      <c r="F82" s="7"/>
      <c r="G82" s="7"/>
      <c r="H82" s="7"/>
      <c r="J82" s="7"/>
      <c r="K82" s="7"/>
      <c r="L82" s="7"/>
      <c r="M82" s="7"/>
      <c r="N82" s="27"/>
      <c r="O82" s="7"/>
    </row>
    <row r="83" spans="1:15" ht="15" customHeight="1">
      <c r="A83" s="131" t="str">
        <f t="shared" ref="A83:A91" si="24">_sheetContentTranslation_A_35</f>
        <v>+</v>
      </c>
      <c r="B83" s="147" t="str">
        <f t="shared" si="22"/>
        <v>x</v>
      </c>
      <c r="C83" s="37" t="str">
        <f>_sheetContentTranslation_A_105</f>
        <v>Total stockholders' equity</v>
      </c>
      <c r="D83" s="38">
        <f t="shared" ref="D83:H83" si="25">SUM(D79:D82)</f>
        <v>0</v>
      </c>
      <c r="E83" s="38">
        <f t="shared" si="25"/>
        <v>0</v>
      </c>
      <c r="F83" s="38">
        <f t="shared" si="25"/>
        <v>0</v>
      </c>
      <c r="G83" s="38">
        <f t="shared" si="25"/>
        <v>0</v>
      </c>
      <c r="H83" s="38">
        <f t="shared" si="25"/>
        <v>0</v>
      </c>
      <c r="J83" s="38">
        <f>SUM(J79:J82)</f>
        <v>0</v>
      </c>
      <c r="K83" s="38">
        <f t="shared" ref="K83" si="26">SUM(K79:K82)</f>
        <v>0</v>
      </c>
      <c r="L83" s="38">
        <f t="shared" ref="L83:M83" si="27">SUM(L79:L82)</f>
        <v>0</v>
      </c>
      <c r="M83" s="38">
        <f t="shared" si="27"/>
        <v>0</v>
      </c>
      <c r="N83" s="27"/>
      <c r="O83" s="38">
        <f>SUM(O79:O82)</f>
        <v>0</v>
      </c>
    </row>
    <row r="84" spans="1:15" ht="12.95">
      <c r="A84" s="131" t="str">
        <f t="shared" si="24"/>
        <v>+</v>
      </c>
      <c r="B84" s="147" t="str">
        <f t="shared" si="22"/>
        <v>x</v>
      </c>
      <c r="C84" s="39"/>
      <c r="D84" s="40"/>
      <c r="E84" s="40"/>
      <c r="F84" s="40"/>
      <c r="G84" s="40"/>
      <c r="H84" s="40"/>
      <c r="J84" s="40"/>
      <c r="K84" s="40"/>
      <c r="L84" s="40"/>
      <c r="M84" s="40"/>
      <c r="N84" s="27"/>
      <c r="O84" s="40"/>
    </row>
    <row r="85" spans="1:15" ht="15" customHeight="1" thickBot="1">
      <c r="A85" s="131" t="str">
        <f t="shared" si="24"/>
        <v>+</v>
      </c>
      <c r="B85" s="147" t="str">
        <f t="shared" si="22"/>
        <v>x</v>
      </c>
      <c r="C85" s="41" t="str">
        <f>_sheetContentTranslation_A_106</f>
        <v>Total liabilities and equity</v>
      </c>
      <c r="D85" s="42">
        <f t="shared" ref="D85:H85" si="28">SUM(D69,D83)</f>
        <v>0</v>
      </c>
      <c r="E85" s="42">
        <f t="shared" si="28"/>
        <v>0</v>
      </c>
      <c r="F85" s="42">
        <f t="shared" si="28"/>
        <v>0</v>
      </c>
      <c r="G85" s="42">
        <f t="shared" si="28"/>
        <v>0</v>
      </c>
      <c r="H85" s="42">
        <f t="shared" si="28"/>
        <v>0</v>
      </c>
      <c r="J85" s="42">
        <f>SUM(J69,J83)</f>
        <v>0</v>
      </c>
      <c r="K85" s="42">
        <f>SUM(K69,K83)</f>
        <v>0</v>
      </c>
      <c r="L85" s="42">
        <f>SUM(L69,L83)</f>
        <v>0</v>
      </c>
      <c r="M85" s="42">
        <f>SUM(M69,M83)</f>
        <v>0</v>
      </c>
      <c r="N85" s="27"/>
      <c r="O85" s="42">
        <f>SUM(O69,O83)</f>
        <v>0</v>
      </c>
    </row>
    <row r="86" spans="1:15" ht="13.5" thickTop="1">
      <c r="A86" s="131" t="str">
        <f t="shared" si="24"/>
        <v>+</v>
      </c>
      <c r="B86" s="147" t="str">
        <f t="shared" si="22"/>
        <v>x</v>
      </c>
      <c r="C86" s="120" t="str">
        <f>_sheetContentTranslation_A_107</f>
        <v>Check</v>
      </c>
      <c r="D86" s="146">
        <f>ABS(D41)-ABS(D85)</f>
        <v>0</v>
      </c>
      <c r="E86" s="146">
        <f>ABS(E41)-ABS(E85)</f>
        <v>0</v>
      </c>
      <c r="F86" s="146">
        <f>ABS(F41)-ABS(F85)</f>
        <v>0</v>
      </c>
      <c r="G86" s="146">
        <f>ABS(G41)-ABS(G85)</f>
        <v>0</v>
      </c>
      <c r="H86" s="146">
        <f>ABS(H41)-ABS(H85)</f>
        <v>0</v>
      </c>
      <c r="I86" s="121"/>
      <c r="J86" s="146">
        <f>ABS(J41)-ABS(J85)</f>
        <v>0</v>
      </c>
      <c r="K86" s="146">
        <f>ABS(K41)-ABS(K85)</f>
        <v>0</v>
      </c>
      <c r="L86" s="146">
        <f>ABS(L41)-ABS(L85)</f>
        <v>0</v>
      </c>
      <c r="M86" s="146">
        <f>ABS(M41)-ABS(M85)</f>
        <v>0</v>
      </c>
      <c r="N86" s="120"/>
      <c r="O86" s="146">
        <f>ABS(O41)-ABS(O85)</f>
        <v>0</v>
      </c>
    </row>
    <row r="87" spans="1:15" ht="12.95">
      <c r="A87" s="131" t="str">
        <f t="shared" si="24"/>
        <v>+</v>
      </c>
      <c r="B87" s="147" t="str">
        <f t="shared" si="22"/>
        <v>x</v>
      </c>
      <c r="C87" s="43"/>
      <c r="D87" s="44"/>
      <c r="E87" s="44"/>
      <c r="F87" s="44"/>
      <c r="G87" s="44"/>
      <c r="H87" s="44"/>
      <c r="J87" s="44"/>
      <c r="K87" s="44"/>
      <c r="L87" s="44"/>
      <c r="M87" s="44"/>
      <c r="N87" s="27"/>
      <c r="O87" s="44"/>
    </row>
    <row r="88" spans="1:15" ht="15.95" thickBot="1">
      <c r="A88" s="131" t="str">
        <f t="shared" si="24"/>
        <v>+</v>
      </c>
      <c r="B88" s="147" t="str">
        <f t="shared" si="22"/>
        <v>x</v>
      </c>
      <c r="C88" s="24" t="str">
        <f>_sheetContentTranslation_A_108</f>
        <v>Statement of operations</v>
      </c>
      <c r="D88" s="25"/>
      <c r="E88" s="25"/>
      <c r="F88" s="25"/>
      <c r="G88" s="25"/>
      <c r="H88" s="25"/>
      <c r="J88" s="25"/>
      <c r="K88" s="25"/>
      <c r="L88" s="25"/>
      <c r="M88" s="26"/>
      <c r="N88" s="27"/>
      <c r="O88" s="25"/>
    </row>
    <row r="89" spans="1:15" ht="12.95">
      <c r="A89" s="131" t="str">
        <f t="shared" si="24"/>
        <v>+</v>
      </c>
      <c r="B89" s="147" t="str">
        <f t="shared" si="22"/>
        <v>x</v>
      </c>
      <c r="C89" s="33"/>
      <c r="D89" s="34"/>
      <c r="E89" s="34"/>
      <c r="F89" s="34"/>
      <c r="G89" s="34"/>
      <c r="H89" s="34"/>
      <c r="J89" s="34"/>
      <c r="K89" s="34"/>
      <c r="L89" s="34"/>
      <c r="M89" s="34"/>
      <c r="N89" s="27"/>
      <c r="O89" s="34"/>
    </row>
    <row r="90" spans="1:15" ht="11.25" customHeight="1">
      <c r="A90" s="131" t="str">
        <f t="shared" si="24"/>
        <v>+</v>
      </c>
      <c r="B90" s="147" t="str">
        <f t="shared" si="22"/>
        <v>x</v>
      </c>
      <c r="C90" s="33" t="str">
        <f>_sheetContentTranslation_A_109</f>
        <v>Net sales</v>
      </c>
      <c r="D90" s="34"/>
      <c r="E90" s="34"/>
      <c r="F90" s="34"/>
      <c r="G90" s="34"/>
      <c r="H90" s="34"/>
      <c r="J90" s="32">
        <f>SUM(D90:I90)</f>
        <v>0</v>
      </c>
      <c r="K90" s="34"/>
      <c r="L90" s="34"/>
      <c r="M90" s="58">
        <f t="shared" ref="M90:M95" si="29">SUM(J90:L90)</f>
        <v>0</v>
      </c>
      <c r="N90" s="27"/>
      <c r="O90" s="34"/>
    </row>
    <row r="91" spans="1:15" ht="11.25" customHeight="1">
      <c r="A91" s="131" t="str">
        <f t="shared" si="24"/>
        <v>+</v>
      </c>
      <c r="B91" s="147" t="str">
        <f t="shared" si="22"/>
        <v>x</v>
      </c>
      <c r="C91" s="33" t="str">
        <f>_sheetContentTranslation_A_110</f>
        <v>Other revenue</v>
      </c>
      <c r="D91" s="34"/>
      <c r="E91" s="34"/>
      <c r="F91" s="34"/>
      <c r="G91" s="34"/>
      <c r="H91" s="34"/>
      <c r="J91" s="32">
        <f>SUM(D91:I91)</f>
        <v>0</v>
      </c>
      <c r="K91" s="34"/>
      <c r="L91" s="34"/>
      <c r="M91" s="58">
        <f>SUM(J91:L91)</f>
        <v>0</v>
      </c>
      <c r="N91" s="27"/>
      <c r="O91" s="34"/>
    </row>
    <row r="92" spans="1:15" hidden="1">
      <c r="B92" s="48" t="str">
        <f t="shared" si="22"/>
        <v>x</v>
      </c>
      <c r="C92" s="13" t="str">
        <f>_sheetContentTranslation_A_57</f>
        <v>Intentionally hidden</v>
      </c>
      <c r="D92" s="47"/>
      <c r="E92" s="47"/>
      <c r="F92" s="47"/>
      <c r="G92" s="47"/>
      <c r="H92" s="47"/>
      <c r="J92" s="47"/>
      <c r="K92" s="47"/>
      <c r="L92" s="47"/>
      <c r="M92" s="47"/>
      <c r="N92" s="27"/>
      <c r="O92" s="47"/>
    </row>
    <row r="93" spans="1:15" ht="11.25" customHeight="1">
      <c r="A93" s="131" t="str">
        <f>_sheetContentTranslation_A_35</f>
        <v>+</v>
      </c>
      <c r="B93" s="147" t="str">
        <f t="shared" si="22"/>
        <v>x</v>
      </c>
      <c r="C93" s="35" t="str">
        <f>_sheetContentTranslation_A_111</f>
        <v>Total revenue</v>
      </c>
      <c r="D93" s="36">
        <f t="shared" ref="D93:E93" si="30">SUM(D90:D92)</f>
        <v>0</v>
      </c>
      <c r="E93" s="36">
        <f t="shared" si="30"/>
        <v>0</v>
      </c>
      <c r="F93" s="36">
        <f t="shared" ref="F93:H93" si="31">SUM(F90:F92)</f>
        <v>0</v>
      </c>
      <c r="G93" s="36">
        <f t="shared" si="31"/>
        <v>0</v>
      </c>
      <c r="H93" s="36">
        <f t="shared" si="31"/>
        <v>0</v>
      </c>
      <c r="I93" s="126"/>
      <c r="J93" s="127">
        <f>SUM(J90:J92)</f>
        <v>0</v>
      </c>
      <c r="K93" s="36">
        <f t="shared" ref="K93:M93" si="32">SUM(K90:K92)</f>
        <v>0</v>
      </c>
      <c r="L93" s="36">
        <f t="shared" si="32"/>
        <v>0</v>
      </c>
      <c r="M93" s="60">
        <f t="shared" si="32"/>
        <v>0</v>
      </c>
      <c r="N93" s="27"/>
      <c r="O93" s="36">
        <f>SUM(O90:O92)</f>
        <v>0</v>
      </c>
    </row>
    <row r="94" spans="1:15" ht="11.25" customHeight="1">
      <c r="A94" s="131" t="str">
        <f>_sheetContentTranslation_A_35</f>
        <v>+</v>
      </c>
      <c r="B94" s="147" t="str">
        <f t="shared" si="22"/>
        <v>x</v>
      </c>
      <c r="C94" s="33"/>
      <c r="D94" s="34"/>
      <c r="E94" s="34"/>
      <c r="F94" s="34"/>
      <c r="G94" s="34"/>
      <c r="H94" s="34"/>
      <c r="J94" s="32"/>
      <c r="K94" s="34"/>
      <c r="L94" s="34"/>
      <c r="M94" s="58"/>
      <c r="N94" s="27"/>
      <c r="O94" s="34"/>
    </row>
    <row r="95" spans="1:15" ht="12.95">
      <c r="A95" s="131" t="str">
        <f>_sheetContentTranslation_A_35</f>
        <v>+</v>
      </c>
      <c r="B95" s="147" t="str">
        <f t="shared" si="22"/>
        <v>x</v>
      </c>
      <c r="C95" s="33" t="str">
        <f>_sheetContentTranslation_A_112</f>
        <v>Cost of sales</v>
      </c>
      <c r="D95" s="34"/>
      <c r="E95" s="34"/>
      <c r="F95" s="34"/>
      <c r="G95" s="34"/>
      <c r="H95" s="34"/>
      <c r="J95" s="32">
        <f>SUM(D95:I95)</f>
        <v>0</v>
      </c>
      <c r="K95" s="34"/>
      <c r="L95" s="34"/>
      <c r="M95" s="58">
        <f t="shared" si="29"/>
        <v>0</v>
      </c>
      <c r="N95" s="27"/>
      <c r="O95" s="34"/>
    </row>
    <row r="96" spans="1:15" hidden="1">
      <c r="B96" s="48" t="str">
        <f t="shared" si="22"/>
        <v>x</v>
      </c>
      <c r="C96" s="13" t="str">
        <f>_sheetContentTranslation_A_57</f>
        <v>Intentionally hidden</v>
      </c>
      <c r="D96" s="47"/>
      <c r="E96" s="47"/>
      <c r="F96" s="47"/>
      <c r="G96" s="47"/>
      <c r="H96" s="47"/>
      <c r="J96" s="47"/>
      <c r="K96" s="47"/>
      <c r="L96" s="47"/>
      <c r="M96" s="47"/>
      <c r="N96" s="27"/>
      <c r="O96" s="47"/>
    </row>
    <row r="97" spans="1:15" ht="12.95">
      <c r="A97" s="131" t="str">
        <f t="shared" ref="A97:A105" si="33">_sheetContentTranslation_A_35</f>
        <v>+</v>
      </c>
      <c r="B97" s="147" t="str">
        <f t="shared" si="22"/>
        <v>x</v>
      </c>
      <c r="C97" s="35" t="str">
        <f>_sheetContentTranslation_A_113</f>
        <v>Gross profit</v>
      </c>
      <c r="D97" s="36">
        <f>D93-SUM(D94:D96)</f>
        <v>0</v>
      </c>
      <c r="E97" s="36">
        <f>E93-SUM(E94:E96)</f>
        <v>0</v>
      </c>
      <c r="F97" s="36">
        <f t="shared" ref="F97:O97" si="34">F93-SUM(F94:F96)</f>
        <v>0</v>
      </c>
      <c r="G97" s="36">
        <f t="shared" si="34"/>
        <v>0</v>
      </c>
      <c r="H97" s="36">
        <f t="shared" si="34"/>
        <v>0</v>
      </c>
      <c r="I97" s="36">
        <f t="shared" si="34"/>
        <v>0</v>
      </c>
      <c r="J97" s="36">
        <f t="shared" si="34"/>
        <v>0</v>
      </c>
      <c r="K97" s="36">
        <f t="shared" si="34"/>
        <v>0</v>
      </c>
      <c r="L97" s="36">
        <f t="shared" si="34"/>
        <v>0</v>
      </c>
      <c r="M97" s="36">
        <f t="shared" si="34"/>
        <v>0</v>
      </c>
      <c r="N97" s="27"/>
      <c r="O97" s="36">
        <f t="shared" si="34"/>
        <v>0</v>
      </c>
    </row>
    <row r="98" spans="1:15" ht="12.95">
      <c r="A98" s="131" t="str">
        <f t="shared" si="33"/>
        <v>+</v>
      </c>
      <c r="B98" s="147" t="str">
        <f t="shared" si="22"/>
        <v>x</v>
      </c>
      <c r="C98" s="33"/>
      <c r="D98" s="34"/>
      <c r="E98" s="34"/>
      <c r="F98" s="34"/>
      <c r="G98" s="34"/>
      <c r="H98" s="34"/>
      <c r="J98" s="34"/>
      <c r="K98" s="34"/>
      <c r="L98" s="34"/>
      <c r="M98" s="34"/>
      <c r="N98" s="27"/>
      <c r="O98" s="34"/>
    </row>
    <row r="99" spans="1:15" ht="11.25" customHeight="1">
      <c r="A99" s="131" t="str">
        <f t="shared" si="33"/>
        <v>+</v>
      </c>
      <c r="B99" s="147" t="str">
        <f t="shared" si="22"/>
        <v>x</v>
      </c>
      <c r="C99" s="33" t="str">
        <f>_sheetContentTranslation_A_114</f>
        <v>Other operating expenses</v>
      </c>
      <c r="D99" s="34"/>
      <c r="E99" s="34"/>
      <c r="F99" s="34"/>
      <c r="G99" s="34"/>
      <c r="H99" s="34"/>
      <c r="J99" s="32">
        <f t="shared" ref="J99:J105" si="35">SUM(D99:I99)</f>
        <v>0</v>
      </c>
      <c r="K99" s="34"/>
      <c r="L99" s="34"/>
      <c r="M99" s="58">
        <f t="shared" ref="M99:M110" si="36">SUM(J99:L99)</f>
        <v>0</v>
      </c>
      <c r="N99" s="27"/>
      <c r="O99" s="34"/>
    </row>
    <row r="100" spans="1:15" ht="11.25" customHeight="1">
      <c r="A100" s="131" t="str">
        <f t="shared" si="33"/>
        <v>+</v>
      </c>
      <c r="B100" s="147" t="str">
        <f t="shared" si="22"/>
        <v>x</v>
      </c>
      <c r="C100" s="33" t="str">
        <f>_sheetContentTranslation_A_115</f>
        <v>Selling, general, &amp; administrative expenses</v>
      </c>
      <c r="D100" s="34"/>
      <c r="E100" s="34"/>
      <c r="F100" s="34"/>
      <c r="G100" s="34"/>
      <c r="H100" s="34"/>
      <c r="J100" s="32">
        <f t="shared" si="35"/>
        <v>0</v>
      </c>
      <c r="K100" s="34"/>
      <c r="L100" s="34"/>
      <c r="M100" s="58">
        <f t="shared" si="36"/>
        <v>0</v>
      </c>
      <c r="N100" s="27"/>
      <c r="O100" s="34"/>
    </row>
    <row r="101" spans="1:15" ht="11.25" customHeight="1">
      <c r="A101" s="131" t="str">
        <f t="shared" si="33"/>
        <v>+</v>
      </c>
      <c r="B101" s="147" t="str">
        <f t="shared" si="22"/>
        <v>x</v>
      </c>
      <c r="C101" s="33" t="str">
        <f>_sheetContentTranslation_A_116</f>
        <v>Depreciation expense</v>
      </c>
      <c r="D101" s="34"/>
      <c r="E101" s="34"/>
      <c r="F101" s="34"/>
      <c r="G101" s="34"/>
      <c r="H101" s="34"/>
      <c r="J101" s="32">
        <f t="shared" si="35"/>
        <v>0</v>
      </c>
      <c r="K101" s="34"/>
      <c r="L101" s="34"/>
      <c r="M101" s="58">
        <f t="shared" si="36"/>
        <v>0</v>
      </c>
      <c r="N101" s="27"/>
      <c r="O101" s="34"/>
    </row>
    <row r="102" spans="1:15" ht="11.25" customHeight="1">
      <c r="A102" s="131" t="str">
        <f t="shared" si="33"/>
        <v>+</v>
      </c>
      <c r="B102" s="147" t="str">
        <f t="shared" si="22"/>
        <v>x</v>
      </c>
      <c r="C102" s="33" t="str">
        <f>_sheetContentTranslation_A_117</f>
        <v>Amortization expense</v>
      </c>
      <c r="D102" s="34"/>
      <c r="E102" s="34"/>
      <c r="F102" s="34"/>
      <c r="G102" s="34"/>
      <c r="H102" s="34"/>
      <c r="J102" s="32">
        <f t="shared" si="35"/>
        <v>0</v>
      </c>
      <c r="K102" s="34"/>
      <c r="L102" s="34"/>
      <c r="M102" s="58">
        <f t="shared" si="36"/>
        <v>0</v>
      </c>
      <c r="N102" s="27"/>
      <c r="O102" s="34"/>
    </row>
    <row r="103" spans="1:15" ht="11.25" customHeight="1">
      <c r="A103" s="131" t="str">
        <f t="shared" si="33"/>
        <v>+</v>
      </c>
      <c r="B103" s="147" t="str">
        <f t="shared" si="22"/>
        <v>x</v>
      </c>
      <c r="C103" s="33" t="str">
        <f>_sheetContentTranslation_A_118</f>
        <v>Impairment loss</v>
      </c>
      <c r="D103" s="34"/>
      <c r="E103" s="34"/>
      <c r="F103" s="34"/>
      <c r="G103" s="34"/>
      <c r="H103" s="34"/>
      <c r="J103" s="32">
        <f t="shared" si="35"/>
        <v>0</v>
      </c>
      <c r="K103" s="34"/>
      <c r="L103" s="34"/>
      <c r="M103" s="58">
        <f t="shared" si="36"/>
        <v>0</v>
      </c>
      <c r="N103" s="27"/>
      <c r="O103" s="34"/>
    </row>
    <row r="104" spans="1:15" ht="11.25" customHeight="1">
      <c r="A104" s="131" t="str">
        <f t="shared" si="33"/>
        <v>+</v>
      </c>
      <c r="B104" s="147" t="str">
        <f t="shared" si="22"/>
        <v>x</v>
      </c>
      <c r="C104" s="33" t="str">
        <f>_sheetContentTranslation_A_119</f>
        <v>Restructuring expense</v>
      </c>
      <c r="D104" s="34"/>
      <c r="E104" s="34"/>
      <c r="F104" s="34"/>
      <c r="G104" s="34"/>
      <c r="H104" s="34"/>
      <c r="J104" s="32">
        <f t="shared" si="35"/>
        <v>0</v>
      </c>
      <c r="K104" s="34"/>
      <c r="L104" s="34"/>
      <c r="M104" s="58">
        <f t="shared" si="36"/>
        <v>0</v>
      </c>
      <c r="N104" s="27"/>
      <c r="O104" s="34"/>
    </row>
    <row r="105" spans="1:15" ht="11.25" customHeight="1">
      <c r="A105" s="131" t="str">
        <f t="shared" si="33"/>
        <v>+</v>
      </c>
      <c r="B105" s="147" t="str">
        <f t="shared" si="22"/>
        <v>x</v>
      </c>
      <c r="C105" s="33" t="str">
        <f>_sheetContentTranslation_A_120</f>
        <v>Other general expenses</v>
      </c>
      <c r="D105" s="34"/>
      <c r="E105" s="34"/>
      <c r="F105" s="34"/>
      <c r="G105" s="34"/>
      <c r="H105" s="34"/>
      <c r="J105" s="32">
        <f t="shared" si="35"/>
        <v>0</v>
      </c>
      <c r="K105" s="34"/>
      <c r="L105" s="34"/>
      <c r="M105" s="58">
        <f t="shared" si="36"/>
        <v>0</v>
      </c>
      <c r="N105" s="27"/>
      <c r="O105" s="34"/>
    </row>
    <row r="106" spans="1:15" hidden="1">
      <c r="B106" s="107" t="str">
        <f t="shared" si="22"/>
        <v>x</v>
      </c>
      <c r="C106" s="13" t="str">
        <f>_sheetContentTranslation_A_57</f>
        <v>Intentionally hidden</v>
      </c>
      <c r="D106" s="7"/>
      <c r="E106" s="7"/>
      <c r="F106" s="7"/>
      <c r="G106" s="7"/>
      <c r="H106" s="7"/>
      <c r="J106" s="7"/>
      <c r="K106" s="7"/>
      <c r="L106" s="7"/>
      <c r="M106" s="7"/>
      <c r="N106" s="27"/>
      <c r="O106" s="7"/>
    </row>
    <row r="107" spans="1:15" ht="11.25" customHeight="1">
      <c r="A107" s="131" t="str">
        <f>_sheetContentTranslation_A_35</f>
        <v>+</v>
      </c>
      <c r="B107" s="147" t="str">
        <f t="shared" si="22"/>
        <v>x</v>
      </c>
      <c r="C107" s="35" t="str">
        <f>_sheetContentTranslation_A_121</f>
        <v>Income (loss) from operations</v>
      </c>
      <c r="D107" s="36">
        <f>D97-SUM(D98:D106)</f>
        <v>0</v>
      </c>
      <c r="E107" s="36">
        <f t="shared" ref="E107:O107" si="37">E97-SUM(E98:E106)</f>
        <v>0</v>
      </c>
      <c r="F107" s="36">
        <f t="shared" si="37"/>
        <v>0</v>
      </c>
      <c r="G107" s="36">
        <f t="shared" si="37"/>
        <v>0</v>
      </c>
      <c r="H107" s="36">
        <f t="shared" si="37"/>
        <v>0</v>
      </c>
      <c r="I107" s="36">
        <f t="shared" si="37"/>
        <v>0</v>
      </c>
      <c r="J107" s="36">
        <f t="shared" si="37"/>
        <v>0</v>
      </c>
      <c r="K107" s="36">
        <f t="shared" si="37"/>
        <v>0</v>
      </c>
      <c r="L107" s="36">
        <f t="shared" si="37"/>
        <v>0</v>
      </c>
      <c r="M107" s="36">
        <f t="shared" si="37"/>
        <v>0</v>
      </c>
      <c r="N107" s="27"/>
      <c r="O107" s="36">
        <f t="shared" si="37"/>
        <v>0</v>
      </c>
    </row>
    <row r="108" spans="1:15" ht="11.25" customHeight="1">
      <c r="A108" s="131" t="str">
        <f>_sheetContentTranslation_A_35</f>
        <v>+</v>
      </c>
      <c r="B108" s="147" t="str">
        <f t="shared" si="22"/>
        <v>x</v>
      </c>
      <c r="C108" s="33"/>
      <c r="D108" s="34"/>
      <c r="E108" s="34"/>
      <c r="F108" s="34"/>
      <c r="G108" s="34"/>
      <c r="H108" s="34"/>
      <c r="J108" s="32"/>
      <c r="K108" s="34"/>
      <c r="L108" s="34"/>
      <c r="M108" s="58"/>
      <c r="N108" s="27"/>
      <c r="O108" s="34"/>
    </row>
    <row r="109" spans="1:15" ht="11.25" customHeight="1">
      <c r="A109" s="131" t="str">
        <f>_sheetContentTranslation_A_35</f>
        <v>+</v>
      </c>
      <c r="B109" s="147" t="str">
        <f t="shared" si="22"/>
        <v>x</v>
      </c>
      <c r="C109" s="33" t="str">
        <f>_sheetContentTranslation_A_122</f>
        <v>Non-operating income (expense)</v>
      </c>
      <c r="D109" s="34"/>
      <c r="E109" s="34"/>
      <c r="F109" s="34"/>
      <c r="G109" s="34"/>
      <c r="H109" s="34"/>
      <c r="J109" s="32">
        <f>SUM(D109:I109)</f>
        <v>0</v>
      </c>
      <c r="K109" s="34"/>
      <c r="L109" s="34"/>
      <c r="M109" s="58">
        <f t="shared" si="36"/>
        <v>0</v>
      </c>
      <c r="N109" s="27"/>
      <c r="O109" s="34"/>
    </row>
    <row r="110" spans="1:15" ht="11.25" customHeight="1">
      <c r="A110" s="131" t="str">
        <f>_sheetContentTranslation_A_35</f>
        <v>+</v>
      </c>
      <c r="B110" s="147" t="str">
        <f t="shared" si="22"/>
        <v>x</v>
      </c>
      <c r="C110" s="33" t="str">
        <f>_sheetContentTranslation_A_123</f>
        <v>Interest income (expense)</v>
      </c>
      <c r="D110" s="34"/>
      <c r="E110" s="34"/>
      <c r="F110" s="34"/>
      <c r="G110" s="34"/>
      <c r="H110" s="34"/>
      <c r="J110" s="32">
        <f>SUM(D110:I110)</f>
        <v>0</v>
      </c>
      <c r="K110" s="34"/>
      <c r="L110" s="34"/>
      <c r="M110" s="58">
        <f t="shared" si="36"/>
        <v>0</v>
      </c>
      <c r="N110" s="27"/>
      <c r="O110" s="34"/>
    </row>
    <row r="111" spans="1:15" hidden="1">
      <c r="B111" s="107" t="str">
        <f t="shared" si="22"/>
        <v>x</v>
      </c>
      <c r="C111" s="13" t="str">
        <f>_sheetContentTranslation_A_57</f>
        <v>Intentionally hidden</v>
      </c>
      <c r="D111" s="7"/>
      <c r="E111" s="7"/>
      <c r="F111" s="7"/>
      <c r="G111" s="7"/>
      <c r="H111" s="7"/>
      <c r="J111" s="7"/>
      <c r="K111" s="7"/>
      <c r="L111" s="7"/>
      <c r="M111" s="7"/>
      <c r="N111" s="27"/>
      <c r="O111" s="7"/>
    </row>
    <row r="112" spans="1:15" ht="22.5" customHeight="1">
      <c r="A112" s="131" t="str">
        <f>_sheetContentTranslation_A_35</f>
        <v>+</v>
      </c>
      <c r="B112" s="147" t="str">
        <f t="shared" ref="B112:B129" si="38">_sheetContentTranslation_A_36</f>
        <v>x</v>
      </c>
      <c r="C112" s="35" t="str">
        <f>_sheetContentTranslation_A_124</f>
        <v>Income (loss) before income tax expense</v>
      </c>
      <c r="D112" s="36">
        <f>D107+SUM(D108:D111)</f>
        <v>0</v>
      </c>
      <c r="E112" s="36">
        <f>E107+SUM(E108:E111)</f>
        <v>0</v>
      </c>
      <c r="F112" s="36">
        <f>F107+SUM(F108:F111)</f>
        <v>0</v>
      </c>
      <c r="G112" s="36">
        <f>G107+SUM(G108:G111)</f>
        <v>0</v>
      </c>
      <c r="H112" s="36">
        <f>H107+SUM(H108:H111)</f>
        <v>0</v>
      </c>
      <c r="I112" s="36">
        <f t="shared" ref="I112" si="39">I107-SUM(I108:I111)</f>
        <v>0</v>
      </c>
      <c r="J112" s="36">
        <f>J107+SUM(J108:J111)</f>
        <v>0</v>
      </c>
      <c r="K112" s="36">
        <f>K107+SUM(K108:K111)</f>
        <v>0</v>
      </c>
      <c r="L112" s="36">
        <f>L107+SUM(L108:L111)</f>
        <v>0</v>
      </c>
      <c r="M112" s="36">
        <f>M107+SUM(M108:M111)</f>
        <v>0</v>
      </c>
      <c r="N112" s="27"/>
      <c r="O112" s="36">
        <f>O107+SUM(O108:O111)</f>
        <v>0</v>
      </c>
    </row>
    <row r="113" spans="1:15" ht="12.95">
      <c r="A113" s="131" t="str">
        <f>_sheetContentTranslation_A_35</f>
        <v>+</v>
      </c>
      <c r="B113" s="147" t="str">
        <f t="shared" si="38"/>
        <v>x</v>
      </c>
      <c r="C113" s="33"/>
      <c r="D113" s="34"/>
      <c r="E113" s="34"/>
      <c r="F113" s="34"/>
      <c r="G113" s="34"/>
      <c r="H113" s="34"/>
      <c r="J113" s="34"/>
      <c r="K113" s="34"/>
      <c r="L113" s="34"/>
      <c r="M113" s="34"/>
      <c r="N113" s="27"/>
      <c r="O113" s="34"/>
    </row>
    <row r="114" spans="1:15" ht="11.25" customHeight="1">
      <c r="A114" s="131" t="str">
        <f>_sheetContentTranslation_A_35</f>
        <v>+</v>
      </c>
      <c r="B114" s="147" t="str">
        <f t="shared" si="38"/>
        <v>x</v>
      </c>
      <c r="C114" s="33" t="str">
        <f>_sheetContentTranslation_A_125</f>
        <v>Income tax benefit (expense)</v>
      </c>
      <c r="D114" s="34"/>
      <c r="E114" s="34"/>
      <c r="F114" s="34"/>
      <c r="G114" s="34"/>
      <c r="H114" s="34"/>
      <c r="J114" s="32">
        <f>SUM(D114:I114)</f>
        <v>0</v>
      </c>
      <c r="K114" s="34"/>
      <c r="L114" s="34"/>
      <c r="M114" s="58">
        <f t="shared" ref="M114:M115" si="40">SUM(J114:L114)</f>
        <v>0</v>
      </c>
      <c r="N114" s="27"/>
      <c r="O114" s="34"/>
    </row>
    <row r="115" spans="1:15" ht="12.95">
      <c r="A115" s="131" t="str">
        <f>_sheetContentTranslation_A_35</f>
        <v>+</v>
      </c>
      <c r="B115" s="147" t="str">
        <f t="shared" si="38"/>
        <v>x</v>
      </c>
      <c r="C115" s="46" t="str">
        <f>_sheetContentTranslation_A_126</f>
        <v>Equity in earnings (losses) of subsidiaries</v>
      </c>
      <c r="D115" s="45"/>
      <c r="E115" s="45"/>
      <c r="F115" s="45"/>
      <c r="G115" s="45"/>
      <c r="H115" s="45"/>
      <c r="J115" s="32">
        <f>SUM(D115:I115)</f>
        <v>0</v>
      </c>
      <c r="K115" s="45"/>
      <c r="L115" s="45"/>
      <c r="M115" s="58">
        <f t="shared" si="40"/>
        <v>0</v>
      </c>
      <c r="N115" s="27"/>
      <c r="O115" s="45"/>
    </row>
    <row r="116" spans="1:15" hidden="1">
      <c r="B116" s="107" t="str">
        <f t="shared" si="38"/>
        <v>x</v>
      </c>
      <c r="C116" s="13" t="str">
        <f>_sheetContentTranslation_A_57</f>
        <v>Intentionally hidden</v>
      </c>
      <c r="D116" s="7"/>
      <c r="E116" s="7"/>
      <c r="F116" s="7"/>
      <c r="G116" s="7"/>
      <c r="H116" s="7"/>
      <c r="J116" s="7"/>
      <c r="K116" s="7"/>
      <c r="L116" s="7"/>
      <c r="M116" s="7"/>
      <c r="N116" s="27"/>
      <c r="O116" s="7"/>
    </row>
    <row r="117" spans="1:15" ht="12.95">
      <c r="A117" s="131" t="str">
        <f>_sheetContentTranslation_A_35</f>
        <v>+</v>
      </c>
      <c r="B117" s="147" t="str">
        <f t="shared" si="38"/>
        <v>x</v>
      </c>
      <c r="C117" s="35" t="str">
        <f>_sheetContentTranslation_A_127</f>
        <v>Income (loss) from continuing operations</v>
      </c>
      <c r="D117" s="36">
        <f>D112+SUM(D113:D116)</f>
        <v>0</v>
      </c>
      <c r="E117" s="36">
        <f>E112+SUM(E113:E116)</f>
        <v>0</v>
      </c>
      <c r="F117" s="36">
        <f>F112+SUM(F113:F116)</f>
        <v>0</v>
      </c>
      <c r="G117" s="36">
        <f>G112+SUM(G113:G116)</f>
        <v>0</v>
      </c>
      <c r="H117" s="36">
        <f>H112+SUM(H113:H116)</f>
        <v>0</v>
      </c>
      <c r="I117" s="36">
        <f t="shared" ref="I117" si="41">I112-SUM(I113:I116)</f>
        <v>0</v>
      </c>
      <c r="J117" s="36">
        <f>J112+SUM(J113:J116)</f>
        <v>0</v>
      </c>
      <c r="K117" s="36">
        <f>K112+SUM(K113:K116)</f>
        <v>0</v>
      </c>
      <c r="L117" s="36">
        <f>L112+SUM(L113:L116)</f>
        <v>0</v>
      </c>
      <c r="M117" s="36">
        <f>M112+SUM(M113:M116)</f>
        <v>0</v>
      </c>
      <c r="N117" s="27"/>
      <c r="O117" s="36">
        <f>O112+SUM(O113:O116)</f>
        <v>0</v>
      </c>
    </row>
    <row r="118" spans="1:15" ht="12.95">
      <c r="A118" s="131" t="str">
        <f>_sheetContentTranslation_A_35</f>
        <v>+</v>
      </c>
      <c r="B118" s="147" t="str">
        <f t="shared" si="38"/>
        <v>x</v>
      </c>
      <c r="C118" s="33"/>
      <c r="D118" s="34"/>
      <c r="E118" s="34"/>
      <c r="F118" s="34"/>
      <c r="G118" s="34"/>
      <c r="H118" s="34"/>
      <c r="J118" s="34"/>
      <c r="K118" s="34"/>
      <c r="L118" s="34"/>
      <c r="M118" s="34"/>
      <c r="N118" s="27"/>
      <c r="O118" s="34"/>
    </row>
    <row r="119" spans="1:15" ht="11.25" customHeight="1">
      <c r="A119" s="131" t="str">
        <f>_sheetContentTranslation_A_35</f>
        <v>+</v>
      </c>
      <c r="B119" s="147" t="str">
        <f t="shared" si="38"/>
        <v>x</v>
      </c>
      <c r="C119" s="33" t="str">
        <f>_sheetContentTranslation_A_128</f>
        <v>Income (loss) from discontinued operations</v>
      </c>
      <c r="D119" s="34"/>
      <c r="E119" s="34"/>
      <c r="F119" s="34"/>
      <c r="G119" s="34"/>
      <c r="H119" s="34"/>
      <c r="J119" s="32">
        <f>SUM(D119:I119)</f>
        <v>0</v>
      </c>
      <c r="K119" s="34"/>
      <c r="L119" s="34"/>
      <c r="M119" s="58">
        <f t="shared" ref="M119" si="42">SUM(J119:L119)</f>
        <v>0</v>
      </c>
      <c r="N119" s="27"/>
      <c r="O119" s="34"/>
    </row>
    <row r="120" spans="1:15" hidden="1">
      <c r="B120" s="107" t="str">
        <f t="shared" si="38"/>
        <v>x</v>
      </c>
      <c r="C120" s="13" t="str">
        <f>_sheetContentTranslation_A_57</f>
        <v>Intentionally hidden</v>
      </c>
      <c r="D120" s="7"/>
      <c r="E120" s="7"/>
      <c r="F120" s="7"/>
      <c r="G120" s="7"/>
      <c r="H120" s="7"/>
      <c r="J120" s="7"/>
      <c r="K120" s="7"/>
      <c r="L120" s="7"/>
      <c r="M120" s="7"/>
      <c r="N120" s="27"/>
      <c r="O120" s="7"/>
    </row>
    <row r="121" spans="1:15" ht="21">
      <c r="A121" s="131" t="str">
        <f>_sheetContentTranslation_A_35</f>
        <v>+</v>
      </c>
      <c r="B121" s="147" t="str">
        <f t="shared" si="38"/>
        <v>x</v>
      </c>
      <c r="C121" s="35" t="str">
        <f>_sheetContentTranslation_A_129</f>
        <v>Income (loss) before cumulative effects of changes in accounting principles</v>
      </c>
      <c r="D121" s="36">
        <f>D117+SUM(D118:D120)</f>
        <v>0</v>
      </c>
      <c r="E121" s="36">
        <f t="shared" ref="E121:O121" si="43">E117+SUM(E118:E120)</f>
        <v>0</v>
      </c>
      <c r="F121" s="36">
        <f t="shared" si="43"/>
        <v>0</v>
      </c>
      <c r="G121" s="36">
        <f t="shared" si="43"/>
        <v>0</v>
      </c>
      <c r="H121" s="36">
        <f t="shared" si="43"/>
        <v>0</v>
      </c>
      <c r="I121" s="36">
        <f t="shared" si="43"/>
        <v>0</v>
      </c>
      <c r="J121" s="36">
        <f t="shared" si="43"/>
        <v>0</v>
      </c>
      <c r="K121" s="36">
        <f t="shared" si="43"/>
        <v>0</v>
      </c>
      <c r="L121" s="36">
        <f t="shared" si="43"/>
        <v>0</v>
      </c>
      <c r="M121" s="36">
        <f t="shared" si="43"/>
        <v>0</v>
      </c>
      <c r="N121" s="27"/>
      <c r="O121" s="36">
        <f t="shared" si="43"/>
        <v>0</v>
      </c>
    </row>
    <row r="122" spans="1:15" ht="12.95">
      <c r="A122" s="131" t="str">
        <f>_sheetContentTranslation_A_35</f>
        <v>+</v>
      </c>
      <c r="B122" s="147" t="str">
        <f t="shared" si="38"/>
        <v>x</v>
      </c>
      <c r="C122" s="33"/>
      <c r="D122" s="34"/>
      <c r="E122" s="34"/>
      <c r="F122" s="34"/>
      <c r="G122" s="34"/>
      <c r="H122" s="34"/>
      <c r="J122" s="34"/>
      <c r="K122" s="34"/>
      <c r="L122" s="34"/>
      <c r="M122" s="34"/>
      <c r="N122" s="27"/>
      <c r="O122" s="34"/>
    </row>
    <row r="123" spans="1:15" ht="20.100000000000001">
      <c r="A123" s="131" t="str">
        <f>_sheetContentTranslation_A_35</f>
        <v>+</v>
      </c>
      <c r="B123" s="147" t="str">
        <f t="shared" si="38"/>
        <v>x</v>
      </c>
      <c r="C123" s="33" t="str">
        <f>_sheetContentTranslation_A_130</f>
        <v>Gain (loss) from cumulative effects of changes in accounting principles</v>
      </c>
      <c r="D123" s="34"/>
      <c r="E123" s="34"/>
      <c r="F123" s="34"/>
      <c r="G123" s="34"/>
      <c r="H123" s="34"/>
      <c r="J123" s="32">
        <f>SUM(D123:I123)</f>
        <v>0</v>
      </c>
      <c r="K123" s="34"/>
      <c r="L123" s="34"/>
      <c r="M123" s="58">
        <f t="shared" ref="M123" si="44">SUM(J123:L123)</f>
        <v>0</v>
      </c>
      <c r="N123" s="27"/>
      <c r="O123" s="34"/>
    </row>
    <row r="124" spans="1:15" hidden="1">
      <c r="B124" s="107" t="str">
        <f t="shared" si="38"/>
        <v>x</v>
      </c>
      <c r="C124" s="13" t="str">
        <f>_sheetContentTranslation_A_57</f>
        <v>Intentionally hidden</v>
      </c>
      <c r="D124" s="7"/>
      <c r="E124" s="7"/>
      <c r="F124" s="7"/>
      <c r="G124" s="7"/>
      <c r="H124" s="7"/>
      <c r="J124" s="7"/>
      <c r="K124" s="7"/>
      <c r="L124" s="7"/>
      <c r="M124" s="7"/>
      <c r="N124" s="27"/>
      <c r="O124" s="7"/>
    </row>
    <row r="125" spans="1:15" ht="15" customHeight="1">
      <c r="A125" s="131" t="str">
        <f>_sheetContentTranslation_A_35</f>
        <v>+</v>
      </c>
      <c r="B125" s="147" t="str">
        <f t="shared" si="38"/>
        <v>x</v>
      </c>
      <c r="C125" s="37" t="str">
        <f>_sheetContentTranslation_A_131</f>
        <v>Net income (loss)</v>
      </c>
      <c r="D125" s="38">
        <f t="shared" ref="D125:K125" si="45">D121+SUM(D122:D124)</f>
        <v>0</v>
      </c>
      <c r="E125" s="38">
        <f t="shared" si="45"/>
        <v>0</v>
      </c>
      <c r="F125" s="38">
        <f t="shared" si="45"/>
        <v>0</v>
      </c>
      <c r="G125" s="38">
        <f t="shared" si="45"/>
        <v>0</v>
      </c>
      <c r="H125" s="38">
        <f t="shared" si="45"/>
        <v>0</v>
      </c>
      <c r="I125" s="38">
        <f t="shared" si="45"/>
        <v>0</v>
      </c>
      <c r="J125" s="38">
        <f t="shared" si="45"/>
        <v>0</v>
      </c>
      <c r="K125" s="38">
        <f t="shared" si="45"/>
        <v>0</v>
      </c>
      <c r="L125" s="38">
        <f>L121+SUM(L122:L124)</f>
        <v>0</v>
      </c>
      <c r="M125" s="38">
        <f>M121+SUM(M122:M124)</f>
        <v>0</v>
      </c>
      <c r="N125" s="27"/>
      <c r="O125" s="38">
        <f>O121+SUM(O122:O124)</f>
        <v>0</v>
      </c>
    </row>
    <row r="126" spans="1:15" ht="12.95">
      <c r="A126" s="131" t="str">
        <f>_sheetContentTranslation_A_35</f>
        <v>+</v>
      </c>
      <c r="B126" s="147" t="str">
        <f t="shared" si="38"/>
        <v>x</v>
      </c>
      <c r="C126" s="29"/>
      <c r="D126" s="30"/>
      <c r="E126" s="30"/>
      <c r="F126" s="30"/>
      <c r="G126" s="30"/>
      <c r="H126" s="30"/>
      <c r="J126" s="30"/>
      <c r="K126" s="30"/>
      <c r="L126" s="30"/>
      <c r="M126" s="30"/>
      <c r="N126" s="27"/>
      <c r="O126" s="30"/>
    </row>
    <row r="127" spans="1:15" ht="20.100000000000001">
      <c r="A127" s="131" t="str">
        <f>_sheetContentTranslation_A_35</f>
        <v>+</v>
      </c>
      <c r="B127" s="147" t="str">
        <f t="shared" si="38"/>
        <v>x</v>
      </c>
      <c r="C127" s="33" t="str">
        <f>_sheetContentTranslation_A_132</f>
        <v>Less: Net income (loss) attributable to noncontrolling interests</v>
      </c>
      <c r="D127" s="34"/>
      <c r="E127" s="34"/>
      <c r="F127" s="34"/>
      <c r="G127" s="34"/>
      <c r="H127" s="34"/>
      <c r="J127" s="32">
        <f>SUM(D127:I127)</f>
        <v>0</v>
      </c>
      <c r="K127" s="34"/>
      <c r="L127" s="34"/>
      <c r="M127" s="58">
        <f t="shared" ref="M127" si="46">SUM(J127:L127)</f>
        <v>0</v>
      </c>
      <c r="N127" s="27"/>
      <c r="O127" s="34"/>
    </row>
    <row r="128" spans="1:15" hidden="1">
      <c r="B128" s="107" t="str">
        <f t="shared" si="38"/>
        <v>x</v>
      </c>
      <c r="C128" s="13" t="str">
        <f>_sheetContentTranslation_A_57</f>
        <v>Intentionally hidden</v>
      </c>
      <c r="D128" s="7"/>
      <c r="E128" s="7"/>
      <c r="F128" s="7"/>
      <c r="G128" s="7"/>
      <c r="H128" s="7"/>
      <c r="J128" s="7"/>
      <c r="K128" s="7"/>
      <c r="L128" s="7"/>
      <c r="M128" s="7"/>
      <c r="N128" s="27"/>
      <c r="O128" s="7"/>
    </row>
    <row r="129" spans="1:15" ht="13.5" thickBot="1">
      <c r="A129" s="131" t="str">
        <f>_sheetContentTranslation_A_35</f>
        <v>+</v>
      </c>
      <c r="B129" s="147" t="str">
        <f t="shared" si="38"/>
        <v>x</v>
      </c>
      <c r="C129" s="41" t="str">
        <f>_sheetContentTranslation_A_133</f>
        <v>Net income (loss) attributable to parent</v>
      </c>
      <c r="D129" s="42">
        <f>D125-SUM(D126:D128)</f>
        <v>0</v>
      </c>
      <c r="E129" s="42">
        <f>E125-SUM(E126:E128)</f>
        <v>0</v>
      </c>
      <c r="F129" s="42">
        <f>F125-SUM(F126:F128)</f>
        <v>0</v>
      </c>
      <c r="G129" s="42">
        <f>G125-SUM(G126:G128)</f>
        <v>0</v>
      </c>
      <c r="H129" s="42">
        <f>H125-SUM(H126:H128)</f>
        <v>0</v>
      </c>
      <c r="I129" s="42">
        <f t="shared" ref="I129" si="47">I125+SUM(I126:I128)</f>
        <v>0</v>
      </c>
      <c r="J129" s="42">
        <f>J125-SUM(J126:J128)</f>
        <v>0</v>
      </c>
      <c r="K129" s="42">
        <f>K125-SUM(K126:K128)</f>
        <v>0</v>
      </c>
      <c r="L129" s="42">
        <f>L125-SUM(L126:L128)</f>
        <v>0</v>
      </c>
      <c r="M129" s="42">
        <f>M125-SUM(M126:M128)</f>
        <v>0</v>
      </c>
      <c r="N129" s="27"/>
      <c r="O129" s="42">
        <f>O125-SUM(O126:O128)</f>
        <v>0</v>
      </c>
    </row>
    <row r="130" spans="1:15" ht="11.1" thickTop="1">
      <c r="C130" s="108"/>
      <c r="D130" s="109"/>
      <c r="E130" s="110"/>
      <c r="F130" s="110"/>
      <c r="G130" s="110"/>
      <c r="H130" s="110"/>
      <c r="J130" s="109"/>
      <c r="K130" s="109"/>
      <c r="L130" s="109"/>
      <c r="M130" s="109"/>
      <c r="N130" s="27"/>
      <c r="O130" s="110"/>
    </row>
    <row r="131" spans="1:15">
      <c r="B131" s="48"/>
      <c r="C131" s="8"/>
      <c r="D131" s="9"/>
      <c r="E131" s="9"/>
      <c r="F131" s="9"/>
      <c r="G131" s="9"/>
      <c r="H131" s="9"/>
      <c r="J131" s="9"/>
      <c r="K131" s="9"/>
      <c r="L131" s="9"/>
      <c r="M131" s="9"/>
      <c r="N131" s="27"/>
      <c r="O131" s="9"/>
    </row>
    <row r="132" spans="1:15" ht="15.95" thickBot="1">
      <c r="B132" s="48"/>
      <c r="C132" s="10" t="str">
        <f>_sheetContentTranslation_A_134</f>
        <v>Other relevant financial information</v>
      </c>
      <c r="D132" s="11"/>
      <c r="E132" s="11"/>
      <c r="F132" s="11"/>
      <c r="G132" s="11"/>
      <c r="H132" s="11"/>
      <c r="J132" s="11"/>
      <c r="K132" s="11"/>
      <c r="L132" s="11"/>
      <c r="M132" s="12"/>
      <c r="N132" s="27"/>
      <c r="O132" s="11"/>
    </row>
    <row r="133" spans="1:15" ht="12.95">
      <c r="A133" s="131" t="str">
        <f t="shared" ref="A133:A138" si="48">_sheetContentTranslation_A_35</f>
        <v>+</v>
      </c>
      <c r="B133" s="147" t="str">
        <f t="shared" ref="B133:B138" si="49">_sheetContentTranslation_A_36</f>
        <v>x</v>
      </c>
      <c r="C133" s="33"/>
      <c r="D133" s="34"/>
      <c r="E133" s="34"/>
      <c r="F133" s="34"/>
      <c r="G133" s="34"/>
      <c r="H133" s="34"/>
      <c r="J133" s="32">
        <f t="shared" ref="J133:J138" si="50">SUM(D133:I133)</f>
        <v>0</v>
      </c>
      <c r="K133" s="34"/>
      <c r="L133" s="34"/>
      <c r="M133" s="58">
        <f t="shared" ref="M133:M138" si="51">SUM(J133:L133)</f>
        <v>0</v>
      </c>
      <c r="N133" s="27"/>
      <c r="O133" s="34"/>
    </row>
    <row r="134" spans="1:15" ht="11.25" customHeight="1">
      <c r="A134" s="131" t="str">
        <f t="shared" si="48"/>
        <v>+</v>
      </c>
      <c r="B134" s="147" t="str">
        <f t="shared" si="49"/>
        <v>x</v>
      </c>
      <c r="C134" s="33"/>
      <c r="D134" s="34"/>
      <c r="E134" s="34"/>
      <c r="F134" s="34"/>
      <c r="G134" s="34"/>
      <c r="H134" s="34"/>
      <c r="J134" s="32">
        <f t="shared" si="50"/>
        <v>0</v>
      </c>
      <c r="K134" s="34"/>
      <c r="L134" s="34"/>
      <c r="M134" s="58">
        <f t="shared" si="51"/>
        <v>0</v>
      </c>
      <c r="N134" s="27"/>
      <c r="O134" s="34"/>
    </row>
    <row r="135" spans="1:15" ht="11.25" customHeight="1">
      <c r="A135" s="131" t="str">
        <f t="shared" si="48"/>
        <v>+</v>
      </c>
      <c r="B135" s="147" t="str">
        <f t="shared" si="49"/>
        <v>x</v>
      </c>
      <c r="C135" s="33"/>
      <c r="D135" s="34"/>
      <c r="E135" s="34"/>
      <c r="F135" s="34"/>
      <c r="G135" s="34"/>
      <c r="H135" s="34"/>
      <c r="J135" s="32">
        <f t="shared" si="50"/>
        <v>0</v>
      </c>
      <c r="K135" s="34"/>
      <c r="L135" s="34"/>
      <c r="M135" s="58">
        <f>SUM(J135:L135)</f>
        <v>0</v>
      </c>
      <c r="N135" s="27"/>
      <c r="O135" s="34"/>
    </row>
    <row r="136" spans="1:15" ht="11.25" customHeight="1">
      <c r="A136" s="131" t="str">
        <f t="shared" si="48"/>
        <v>+</v>
      </c>
      <c r="B136" s="147" t="str">
        <f t="shared" si="49"/>
        <v>x</v>
      </c>
      <c r="C136" s="33"/>
      <c r="D136" s="34"/>
      <c r="E136" s="34"/>
      <c r="F136" s="34"/>
      <c r="G136" s="34"/>
      <c r="H136" s="34"/>
      <c r="J136" s="32">
        <f t="shared" si="50"/>
        <v>0</v>
      </c>
      <c r="K136" s="34"/>
      <c r="L136" s="34"/>
      <c r="M136" s="58">
        <f>SUM(J136:L136)</f>
        <v>0</v>
      </c>
      <c r="N136" s="27"/>
      <c r="O136" s="34"/>
    </row>
    <row r="137" spans="1:15" ht="11.25" customHeight="1">
      <c r="A137" s="131" t="str">
        <f t="shared" si="48"/>
        <v>+</v>
      </c>
      <c r="B137" s="147" t="str">
        <f t="shared" si="49"/>
        <v>x</v>
      </c>
      <c r="C137" s="33"/>
      <c r="D137" s="34"/>
      <c r="E137" s="34"/>
      <c r="F137" s="34"/>
      <c r="G137" s="34"/>
      <c r="H137" s="34"/>
      <c r="J137" s="32">
        <f t="shared" si="50"/>
        <v>0</v>
      </c>
      <c r="K137" s="34"/>
      <c r="L137" s="34"/>
      <c r="M137" s="58">
        <f t="shared" si="51"/>
        <v>0</v>
      </c>
      <c r="N137" s="27"/>
      <c r="O137" s="34"/>
    </row>
    <row r="138" spans="1:15" ht="11.25" customHeight="1">
      <c r="A138" s="131" t="str">
        <f t="shared" si="48"/>
        <v>+</v>
      </c>
      <c r="B138" s="147" t="str">
        <f t="shared" si="49"/>
        <v>x</v>
      </c>
      <c r="C138" s="33"/>
      <c r="D138" s="34"/>
      <c r="E138" s="34"/>
      <c r="F138" s="34"/>
      <c r="G138" s="34"/>
      <c r="H138" s="34"/>
      <c r="J138" s="32">
        <f t="shared" si="50"/>
        <v>0</v>
      </c>
      <c r="K138" s="34"/>
      <c r="L138" s="34"/>
      <c r="M138" s="58">
        <f t="shared" si="51"/>
        <v>0</v>
      </c>
      <c r="N138" s="27"/>
      <c r="O138" s="34"/>
    </row>
    <row r="139" spans="1:15">
      <c r="B139" s="48"/>
      <c r="C139" s="6"/>
      <c r="D139" s="6"/>
      <c r="E139" s="6"/>
      <c r="F139" s="6"/>
      <c r="G139" s="6"/>
      <c r="H139" s="6"/>
      <c r="J139" s="6"/>
      <c r="K139" s="6"/>
      <c r="L139" s="6"/>
      <c r="M139" s="6"/>
      <c r="N139" s="27"/>
      <c r="O139" s="6"/>
    </row>
    <row r="140" spans="1:15" ht="11.25" hidden="1" customHeight="1">
      <c r="A140" s="131" t="str">
        <f>_sheetContentTranslation_A_35</f>
        <v>+</v>
      </c>
      <c r="B140" s="147" t="str">
        <f>_sheetContentTranslation_A_36</f>
        <v>x</v>
      </c>
      <c r="C140" s="33"/>
      <c r="D140" s="34"/>
      <c r="E140" s="34"/>
      <c r="F140" s="34"/>
      <c r="G140" s="34"/>
      <c r="H140" s="34"/>
      <c r="J140" s="32">
        <f>SUM(D140:I140)</f>
        <v>0</v>
      </c>
      <c r="K140" s="34"/>
      <c r="L140" s="34"/>
      <c r="M140" s="58">
        <f>SUM(J140:L140)</f>
        <v>0</v>
      </c>
      <c r="N140" s="27"/>
      <c r="O140" s="34"/>
    </row>
    <row r="141" spans="1:15">
      <c r="B141" s="48"/>
      <c r="N141" s="48"/>
    </row>
  </sheetData>
  <sheetProtection algorithmName="SHA-512" hashValue="cLmXMWhDIsi7Rd5TnD6ip6HLacKhtYbjosIFw+XuRYIcWFIOOc+TdHB11likEmmObTFVck+/wogqcwh27k3VRQ==" saltValue="Fjj/sMh38srVOZh2fi53+g==" spinCount="100000" sheet="1" objects="1" scenarios="1" formatCells="0" formatRows="0" insertRows="0" deleteRows="0"/>
  <mergeCells count="6">
    <mergeCell ref="L8:L12"/>
    <mergeCell ref="J8:J12"/>
    <mergeCell ref="M8:M12"/>
    <mergeCell ref="K8:K12"/>
    <mergeCell ref="D4:E4"/>
    <mergeCell ref="D5:E5"/>
  </mergeCells>
  <conditionalFormatting sqref="D9">
    <cfRule type="expression" dxfId="83" priority="151">
      <formula>D9=""</formula>
    </cfRule>
  </conditionalFormatting>
  <conditionalFormatting sqref="D10">
    <cfRule type="expression" dxfId="82" priority="149">
      <formula>D10=""</formula>
    </cfRule>
  </conditionalFormatting>
  <conditionalFormatting sqref="E9">
    <cfRule type="expression" dxfId="81" priority="71">
      <formula>E9=""</formula>
    </cfRule>
  </conditionalFormatting>
  <conditionalFormatting sqref="E10">
    <cfRule type="expression" dxfId="80" priority="70">
      <formula>E10=""</formula>
    </cfRule>
  </conditionalFormatting>
  <conditionalFormatting sqref="F9">
    <cfRule type="expression" dxfId="79" priority="63">
      <formula>F9=""</formula>
    </cfRule>
  </conditionalFormatting>
  <conditionalFormatting sqref="F10">
    <cfRule type="expression" dxfId="78" priority="62">
      <formula>F10=""</formula>
    </cfRule>
  </conditionalFormatting>
  <conditionalFormatting sqref="D4">
    <cfRule type="expression" dxfId="77" priority="58">
      <formula>D4=""</formula>
    </cfRule>
  </conditionalFormatting>
  <conditionalFormatting sqref="D5">
    <cfRule type="expression" dxfId="76" priority="57">
      <formula>D5=""</formula>
    </cfRule>
  </conditionalFormatting>
  <conditionalFormatting sqref="O9">
    <cfRule type="expression" dxfId="75" priority="46">
      <formula>O9=""</formula>
    </cfRule>
  </conditionalFormatting>
  <conditionalFormatting sqref="O10">
    <cfRule type="expression" dxfId="74" priority="45">
      <formula>O10=""</formula>
    </cfRule>
  </conditionalFormatting>
  <conditionalFormatting sqref="G9">
    <cfRule type="expression" dxfId="73" priority="12">
      <formula>G9=""</formula>
    </cfRule>
  </conditionalFormatting>
  <conditionalFormatting sqref="G10">
    <cfRule type="expression" dxfId="72" priority="11">
      <formula>G10=""</formula>
    </cfRule>
  </conditionalFormatting>
  <conditionalFormatting sqref="H9">
    <cfRule type="expression" dxfId="71" priority="8">
      <formula>H9=""</formula>
    </cfRule>
  </conditionalFormatting>
  <conditionalFormatting sqref="H10">
    <cfRule type="expression" dxfId="70" priority="7">
      <formula>H10=""</formula>
    </cfRule>
  </conditionalFormatting>
  <dataValidations count="1">
    <dataValidation type="list" allowBlank="1" showInputMessage="1" showErrorMessage="1" sqref="O10 D10:H10" xr:uid="{00000000-0002-0000-0200-000000000000}">
      <formula1>Component_Type</formula1>
    </dataValidation>
  </dataValidations>
  <hyperlinks>
    <hyperlink ref="B16" location="'Data input'!sh_Home" display="+" xr:uid="{00000000-0004-0000-0200-000000000000}"/>
    <hyperlink ref="A16" location="'Data input'!sh_Home" display="+" xr:uid="{00000000-0004-0000-0200-000001000000}"/>
    <hyperlink ref="E6" location="'Data input'!sh_Home" display="+" xr:uid="{00000000-0004-0000-0200-000002000000}"/>
    <hyperlink ref="F7" location="'Data input'!sh_Home" display="+" xr:uid="{00000000-0004-0000-0200-000003000000}"/>
    <hyperlink ref="F6" location="'Data input'!sh_Home" display="+" xr:uid="{00000000-0004-0000-0200-000004000000}"/>
    <hyperlink ref="D6" location="'Data input'!sh_Home" display="+" xr:uid="{00000000-0004-0000-0200-000005000000}"/>
    <hyperlink ref="O7" location="'Data input'!sh_Home" display="+" xr:uid="{00000000-0004-0000-0200-000006000000}"/>
    <hyperlink ref="O6" location="'Data input'!sh_Home" display="+" xr:uid="{00000000-0004-0000-0200-000007000000}"/>
    <hyperlink ref="B17" location="'Data input'!sh_Home" display="+" xr:uid="{00000000-0004-0000-0200-000008000000}"/>
    <hyperlink ref="B18" location="'Data input'!sh_Home" display="+" xr:uid="{00000000-0004-0000-0200-000009000000}"/>
    <hyperlink ref="B19" location="'Data input'!sh_Home" display="+" xr:uid="{00000000-0004-0000-0200-00000A000000}"/>
    <hyperlink ref="B20" location="'Data input'!sh_Home" display="+" xr:uid="{00000000-0004-0000-0200-00000B000000}"/>
    <hyperlink ref="B21" location="'Data input'!sh_Home" display="+" xr:uid="{00000000-0004-0000-0200-00000C000000}"/>
    <hyperlink ref="B22" location="'Data input'!sh_Home" display="+" xr:uid="{00000000-0004-0000-0200-00000D000000}"/>
    <hyperlink ref="B23" location="'Data input'!sh_Home" display="+" xr:uid="{00000000-0004-0000-0200-00000E000000}"/>
    <hyperlink ref="B24" location="'Data input'!sh_Home" display="+" xr:uid="{00000000-0004-0000-0200-00000F000000}"/>
    <hyperlink ref="A17" location="'Data input'!sh_Home" display="+" xr:uid="{00000000-0004-0000-0200-000010000000}"/>
    <hyperlink ref="A18" location="'Data input'!sh_Home" display="+" xr:uid="{00000000-0004-0000-0200-000011000000}"/>
    <hyperlink ref="A19" location="'Data input'!sh_Home" display="+" xr:uid="{00000000-0004-0000-0200-000012000000}"/>
    <hyperlink ref="A20" location="'Data input'!sh_Home" display="+" xr:uid="{00000000-0004-0000-0200-000013000000}"/>
    <hyperlink ref="A21" location="'Data input'!sh_Home" display="+" xr:uid="{00000000-0004-0000-0200-000014000000}"/>
    <hyperlink ref="A22" location="'Data input'!sh_Home" display="+" xr:uid="{00000000-0004-0000-0200-000015000000}"/>
    <hyperlink ref="A23" location="'Data input'!sh_Home" display="+" xr:uid="{00000000-0004-0000-0200-000016000000}"/>
    <hyperlink ref="A24" location="'Data input'!sh_Home" display="+" xr:uid="{00000000-0004-0000-0200-000017000000}"/>
    <hyperlink ref="B28" location="'Data input'!sh_Home" display="+" xr:uid="{00000000-0004-0000-0200-000018000000}"/>
    <hyperlink ref="B29" location="'Data input'!sh_Home" display="+" xr:uid="{00000000-0004-0000-0200-000019000000}"/>
    <hyperlink ref="B30" location="'Data input'!sh_Home" display="+" xr:uid="{00000000-0004-0000-0200-00001A000000}"/>
    <hyperlink ref="B31" location="'Data input'!sh_Home" display="+" xr:uid="{00000000-0004-0000-0200-00001B000000}"/>
    <hyperlink ref="B32" location="'Data input'!sh_Home" display="+" xr:uid="{00000000-0004-0000-0200-00001C000000}"/>
    <hyperlink ref="B33" location="'Data input'!sh_Home" display="+" xr:uid="{00000000-0004-0000-0200-00001D000000}"/>
    <hyperlink ref="B34" location="'Data input'!sh_Home" display="+" xr:uid="{00000000-0004-0000-0200-00001E000000}"/>
    <hyperlink ref="B36" location="'Data input'!sh_Home" display="+" xr:uid="{00000000-0004-0000-0200-00001F000000}"/>
    <hyperlink ref="B37" location="'Data input'!sh_Home" display="+" xr:uid="{00000000-0004-0000-0200-000020000000}"/>
    <hyperlink ref="B38" location="'Data input'!sh_Home" display="+" xr:uid="{00000000-0004-0000-0200-000021000000}"/>
    <hyperlink ref="B39" location="'Data input'!sh_Home" display="+" xr:uid="{00000000-0004-0000-0200-000022000000}"/>
    <hyperlink ref="A28" location="'Data input'!sh_Home" display="+" xr:uid="{00000000-0004-0000-0200-000023000000}"/>
    <hyperlink ref="A29" location="'Data input'!sh_Home" display="+" xr:uid="{00000000-0004-0000-0200-000024000000}"/>
    <hyperlink ref="A30" location="'Data input'!sh_Home" display="+" xr:uid="{00000000-0004-0000-0200-000025000000}"/>
    <hyperlink ref="A31" location="'Data input'!sh_Home" display="+" xr:uid="{00000000-0004-0000-0200-000026000000}"/>
    <hyperlink ref="A32" location="'Data input'!sh_Home" display="+" xr:uid="{00000000-0004-0000-0200-000027000000}"/>
    <hyperlink ref="A33" location="'Data input'!sh_Home" display="+" xr:uid="{00000000-0004-0000-0200-000028000000}"/>
    <hyperlink ref="A34" location="'Data input'!sh_Home" display="+" xr:uid="{00000000-0004-0000-0200-000029000000}"/>
    <hyperlink ref="A36" location="'Data input'!sh_Home" display="+" xr:uid="{00000000-0004-0000-0200-00002A000000}"/>
    <hyperlink ref="A37" location="'Data input'!sh_Home" display="+" xr:uid="{00000000-0004-0000-0200-00002B000000}"/>
    <hyperlink ref="A38" location="'Data input'!sh_Home" display="+" xr:uid="{00000000-0004-0000-0200-00002C000000}"/>
    <hyperlink ref="A39" location="'Data input'!sh_Home" display="+" xr:uid="{00000000-0004-0000-0200-00002D000000}"/>
    <hyperlink ref="B133" location="'Data input'!sh_Home" display="+" xr:uid="{00000000-0004-0000-0200-00002E000000}"/>
    <hyperlink ref="B134" location="'Data input'!sh_Home" display="+" xr:uid="{00000000-0004-0000-0200-00002F000000}"/>
    <hyperlink ref="B137" location="'Data input'!sh_Home" display="+" xr:uid="{00000000-0004-0000-0200-000031000000}"/>
    <hyperlink ref="B138" location="'Data input'!sh_Home" display="+" xr:uid="{00000000-0004-0000-0200-000032000000}"/>
    <hyperlink ref="A133" location="'Data input'!sh_Home" display="+" xr:uid="{00000000-0004-0000-0200-000033000000}"/>
    <hyperlink ref="A134" location="'Data input'!sh_Home" display="+" xr:uid="{00000000-0004-0000-0200-000034000000}"/>
    <hyperlink ref="A137" location="'Data input'!sh_Home" display="+" xr:uid="{00000000-0004-0000-0200-000036000000}"/>
    <hyperlink ref="A138" location="'Data input'!sh_Home" display="+" xr:uid="{00000000-0004-0000-0200-000037000000}"/>
    <hyperlink ref="B140" location="'Data input'!sh_Home" display="+" xr:uid="{00000000-0004-0000-0200-000038000000}"/>
    <hyperlink ref="A140" location="'Data input'!sh_Home" display="+" xr:uid="{00000000-0004-0000-0200-000039000000}"/>
    <hyperlink ref="B26" location="'Data input'!sh_Home" display="+" xr:uid="{00000000-0004-0000-0200-00003A000000}"/>
    <hyperlink ref="A26" location="'Data input'!sh_Home" display="+" xr:uid="{00000000-0004-0000-0200-00003B000000}"/>
    <hyperlink ref="B27" location="'Data input'!sh_Home" display="+" xr:uid="{00000000-0004-0000-0200-00003C000000}"/>
    <hyperlink ref="A27" location="'Data input'!sh_Home" display="+" xr:uid="{00000000-0004-0000-0200-00003D000000}"/>
    <hyperlink ref="B41" location="'Data input'!sh_Home" display="+" xr:uid="{00000000-0004-0000-0200-00003E000000}"/>
    <hyperlink ref="A41" location="'Data input'!sh_Home" display="+" xr:uid="{00000000-0004-0000-0200-00003F000000}"/>
    <hyperlink ref="B42" location="'Data input'!sh_Home" display="+" xr:uid="{00000000-0004-0000-0200-000040000000}"/>
    <hyperlink ref="B43" location="'Data input'!sh_Home" display="+" xr:uid="{00000000-0004-0000-0200-000041000000}"/>
    <hyperlink ref="B44" location="'Data input'!sh_Home" display="+" xr:uid="{00000000-0004-0000-0200-000042000000}"/>
    <hyperlink ref="B45" location="'Data input'!sh_Home" display="+" xr:uid="{00000000-0004-0000-0200-000043000000}"/>
    <hyperlink ref="B46" location="'Data input'!sh_Home" display="+" xr:uid="{00000000-0004-0000-0200-000044000000}"/>
    <hyperlink ref="B47" location="'Data input'!sh_Home" display="+" xr:uid="{00000000-0004-0000-0200-000045000000}"/>
    <hyperlink ref="B48" location="'Data input'!sh_Home" display="+" xr:uid="{00000000-0004-0000-0200-000046000000}"/>
    <hyperlink ref="B49" location="'Data input'!sh_Home" display="+" xr:uid="{00000000-0004-0000-0200-000047000000}"/>
    <hyperlink ref="B50" location="'Data input'!sh_Home" display="+" xr:uid="{00000000-0004-0000-0200-000048000000}"/>
    <hyperlink ref="B51" location="'Data input'!sh_Home" display="+" xr:uid="{00000000-0004-0000-0200-000049000000}"/>
    <hyperlink ref="B52" location="'Data input'!sh_Home" display="+" xr:uid="{00000000-0004-0000-0200-00004A000000}"/>
    <hyperlink ref="B53" location="'Data input'!sh_Home" display="+" xr:uid="{00000000-0004-0000-0200-00004B000000}"/>
    <hyperlink ref="B54" location="'Data input'!sh_Home" display="+" xr:uid="{00000000-0004-0000-0200-00004C000000}"/>
    <hyperlink ref="B55" location="'Data input'!sh_Home" display="+" xr:uid="{00000000-0004-0000-0200-00004D000000}"/>
    <hyperlink ref="A42" location="'Data input'!sh_Home" display="+" xr:uid="{00000000-0004-0000-0200-00004E000000}"/>
    <hyperlink ref="A43" location="'Data input'!sh_Home" display="+" xr:uid="{00000000-0004-0000-0200-00004F000000}"/>
    <hyperlink ref="A44" location="'Data input'!sh_Home" display="+" xr:uid="{00000000-0004-0000-0200-000050000000}"/>
    <hyperlink ref="A45" location="'Data input'!sh_Home" display="+" xr:uid="{00000000-0004-0000-0200-000051000000}"/>
    <hyperlink ref="A46" location="'Data input'!sh_Home" display="+" xr:uid="{00000000-0004-0000-0200-000052000000}"/>
    <hyperlink ref="A47" location="'Data input'!sh_Home" display="+" xr:uid="{00000000-0004-0000-0200-000053000000}"/>
    <hyperlink ref="A48" location="'Data input'!sh_Home" display="+" xr:uid="{00000000-0004-0000-0200-000054000000}"/>
    <hyperlink ref="A49" location="'Data input'!sh_Home" display="+" xr:uid="{00000000-0004-0000-0200-000055000000}"/>
    <hyperlink ref="A50" location="'Data input'!sh_Home" display="+" xr:uid="{00000000-0004-0000-0200-000056000000}"/>
    <hyperlink ref="A51" location="'Data input'!sh_Home" display="+" xr:uid="{00000000-0004-0000-0200-000057000000}"/>
    <hyperlink ref="A52" location="'Data input'!sh_Home" display="+" xr:uid="{00000000-0004-0000-0200-000058000000}"/>
    <hyperlink ref="A53" location="'Data input'!sh_Home" display="+" xr:uid="{00000000-0004-0000-0200-000059000000}"/>
    <hyperlink ref="A54" location="'Data input'!sh_Home" display="+" xr:uid="{00000000-0004-0000-0200-00005A000000}"/>
    <hyperlink ref="A55" location="'Data input'!sh_Home" display="+" xr:uid="{00000000-0004-0000-0200-00005B000000}"/>
    <hyperlink ref="B57" location="'Data input'!sh_Home" display="+" xr:uid="{00000000-0004-0000-0200-00005C000000}"/>
    <hyperlink ref="B58" location="'Data input'!sh_Home" display="+" xr:uid="{00000000-0004-0000-0200-00005D000000}"/>
    <hyperlink ref="B59" location="'Data input'!sh_Home" display="+" xr:uid="{00000000-0004-0000-0200-00005E000000}"/>
    <hyperlink ref="B60" location="'Data input'!sh_Home" display="+" xr:uid="{00000000-0004-0000-0200-00005F000000}"/>
    <hyperlink ref="B61" location="'Data input'!sh_Home" display="+" xr:uid="{00000000-0004-0000-0200-000060000000}"/>
    <hyperlink ref="B62" location="'Data input'!sh_Home" display="+" xr:uid="{00000000-0004-0000-0200-000061000000}"/>
    <hyperlink ref="B63" location="'Data input'!sh_Home" display="+" xr:uid="{00000000-0004-0000-0200-000062000000}"/>
    <hyperlink ref="B64" location="'Data input'!sh_Home" display="+" xr:uid="{00000000-0004-0000-0200-000063000000}"/>
    <hyperlink ref="B66" location="'Data input'!sh_Home" display="+" xr:uid="{00000000-0004-0000-0200-000064000000}"/>
    <hyperlink ref="B67" location="'Data input'!sh_Home" display="+" xr:uid="{00000000-0004-0000-0200-000065000000}"/>
    <hyperlink ref="A57" location="'Data input'!sh_Home" display="+" xr:uid="{00000000-0004-0000-0200-000066000000}"/>
    <hyperlink ref="A58" location="'Data input'!sh_Home" display="+" xr:uid="{00000000-0004-0000-0200-000067000000}"/>
    <hyperlink ref="A59" location="'Data input'!sh_Home" display="+" xr:uid="{00000000-0004-0000-0200-000068000000}"/>
    <hyperlink ref="A60" location="'Data input'!sh_Home" display="+" xr:uid="{00000000-0004-0000-0200-000069000000}"/>
    <hyperlink ref="A61" location="'Data input'!sh_Home" display="+" xr:uid="{00000000-0004-0000-0200-00006A000000}"/>
    <hyperlink ref="A62" location="'Data input'!sh_Home" display="+" xr:uid="{00000000-0004-0000-0200-00006B000000}"/>
    <hyperlink ref="A63" location="'Data input'!sh_Home" display="+" xr:uid="{00000000-0004-0000-0200-00006C000000}"/>
    <hyperlink ref="A64" location="'Data input'!sh_Home" display="+" xr:uid="{00000000-0004-0000-0200-00006D000000}"/>
    <hyperlink ref="A66" location="'Data input'!sh_Home" display="+" xr:uid="{00000000-0004-0000-0200-00006E000000}"/>
    <hyperlink ref="A67" location="'Data input'!sh_Home" display="+" xr:uid="{00000000-0004-0000-0200-00006F000000}"/>
    <hyperlink ref="B69" location="'Data input'!sh_Home" display="+" xr:uid="{00000000-0004-0000-0200-000070000000}"/>
    <hyperlink ref="B70" location="'Data input'!sh_Home" display="+" xr:uid="{00000000-0004-0000-0200-000071000000}"/>
    <hyperlink ref="B71" location="'Data input'!sh_Home" display="+" xr:uid="{00000000-0004-0000-0200-000072000000}"/>
    <hyperlink ref="B72" location="'Data input'!sh_Home" display="+" xr:uid="{00000000-0004-0000-0200-000073000000}"/>
    <hyperlink ref="B73" location="'Data input'!sh_Home" display="+" xr:uid="{00000000-0004-0000-0200-000074000000}"/>
    <hyperlink ref="B74" location="'Data input'!sh_Home" display="+" xr:uid="{00000000-0004-0000-0200-000075000000}"/>
    <hyperlink ref="B75" location="'Data input'!sh_Home" display="+" xr:uid="{00000000-0004-0000-0200-000076000000}"/>
    <hyperlink ref="B76" location="'Data input'!sh_Home" display="+" xr:uid="{00000000-0004-0000-0200-000077000000}"/>
    <hyperlink ref="B77" location="'Data input'!sh_Home" display="+" xr:uid="{00000000-0004-0000-0200-000078000000}"/>
    <hyperlink ref="A69" location="'Data input'!sh_Home" display="+" xr:uid="{00000000-0004-0000-0200-000079000000}"/>
    <hyperlink ref="A70" location="'Data input'!sh_Home" display="+" xr:uid="{00000000-0004-0000-0200-00007A000000}"/>
    <hyperlink ref="A71" location="'Data input'!sh_Home" display="+" xr:uid="{00000000-0004-0000-0200-00007B000000}"/>
    <hyperlink ref="A72" location="'Data input'!sh_Home" display="+" xr:uid="{00000000-0004-0000-0200-00007C000000}"/>
    <hyperlink ref="A73" location="'Data input'!sh_Home" display="+" xr:uid="{00000000-0004-0000-0200-00007D000000}"/>
    <hyperlink ref="A74" location="'Data input'!sh_Home" display="+" xr:uid="{00000000-0004-0000-0200-00007E000000}"/>
    <hyperlink ref="A75" location="'Data input'!sh_Home" display="+" xr:uid="{00000000-0004-0000-0200-00007F000000}"/>
    <hyperlink ref="A76" location="'Data input'!sh_Home" display="+" xr:uid="{00000000-0004-0000-0200-000080000000}"/>
    <hyperlink ref="A77" location="'Data input'!sh_Home" display="+" xr:uid="{00000000-0004-0000-0200-000081000000}"/>
    <hyperlink ref="B79" location="'Data input'!sh_Home" display="+" xr:uid="{00000000-0004-0000-0200-000082000000}"/>
    <hyperlink ref="B80" location="'Data input'!sh_Home" display="+" xr:uid="{00000000-0004-0000-0200-000083000000}"/>
    <hyperlink ref="B81" location="'Data input'!sh_Home" display="+" xr:uid="{00000000-0004-0000-0200-000084000000}"/>
    <hyperlink ref="A79" location="'Data input'!sh_Home" display="+" xr:uid="{00000000-0004-0000-0200-000085000000}"/>
    <hyperlink ref="A80" location="'Data input'!sh_Home" display="+" xr:uid="{00000000-0004-0000-0200-000086000000}"/>
    <hyperlink ref="A81" location="'Data input'!sh_Home" display="+" xr:uid="{00000000-0004-0000-0200-000087000000}"/>
    <hyperlink ref="B83" location="'Data input'!sh_Home" display="+" xr:uid="{00000000-0004-0000-0200-000088000000}"/>
    <hyperlink ref="B84" location="'Data input'!sh_Home" display="+" xr:uid="{00000000-0004-0000-0200-000089000000}"/>
    <hyperlink ref="B85" location="'Data input'!sh_Home" display="+" xr:uid="{00000000-0004-0000-0200-00008A000000}"/>
    <hyperlink ref="B86" location="'Data input'!sh_Home" display="+" xr:uid="{00000000-0004-0000-0200-00008B000000}"/>
    <hyperlink ref="B87" location="'Data input'!sh_Home" display="+" xr:uid="{00000000-0004-0000-0200-00008C000000}"/>
    <hyperlink ref="B88" location="'Data input'!sh_Home" display="+" xr:uid="{00000000-0004-0000-0200-00008D000000}"/>
    <hyperlink ref="B89" location="'Data input'!sh_Home" display="+" xr:uid="{00000000-0004-0000-0200-00008E000000}"/>
    <hyperlink ref="B90" location="'Data input'!sh_Home" display="+" xr:uid="{00000000-0004-0000-0200-00008F000000}"/>
    <hyperlink ref="B91" location="'Data input'!sh_Home" display="+" xr:uid="{00000000-0004-0000-0200-000090000000}"/>
    <hyperlink ref="A83" location="'Data input'!sh_Home" display="+" xr:uid="{00000000-0004-0000-0200-000091000000}"/>
    <hyperlink ref="A84" location="'Data input'!sh_Home" display="+" xr:uid="{00000000-0004-0000-0200-000092000000}"/>
    <hyperlink ref="A85" location="'Data input'!sh_Home" display="+" xr:uid="{00000000-0004-0000-0200-000093000000}"/>
    <hyperlink ref="A86" location="'Data input'!sh_Home" display="+" xr:uid="{00000000-0004-0000-0200-000094000000}"/>
    <hyperlink ref="A87" location="'Data input'!sh_Home" display="+" xr:uid="{00000000-0004-0000-0200-000095000000}"/>
    <hyperlink ref="A88" location="'Data input'!sh_Home" display="+" xr:uid="{00000000-0004-0000-0200-000096000000}"/>
    <hyperlink ref="A89" location="'Data input'!sh_Home" display="+" xr:uid="{00000000-0004-0000-0200-000097000000}"/>
    <hyperlink ref="A90" location="'Data input'!sh_Home" display="+" xr:uid="{00000000-0004-0000-0200-000098000000}"/>
    <hyperlink ref="A91" location="'Data input'!sh_Home" display="+" xr:uid="{00000000-0004-0000-0200-000099000000}"/>
    <hyperlink ref="B93" location="'Data input'!sh_Home" display="+" xr:uid="{00000000-0004-0000-0200-00009A000000}"/>
    <hyperlink ref="B94" location="'Data input'!sh_Home" display="+" xr:uid="{00000000-0004-0000-0200-00009B000000}"/>
    <hyperlink ref="B95" location="'Data input'!sh_Home" display="+" xr:uid="{00000000-0004-0000-0200-00009C000000}"/>
    <hyperlink ref="A93" location="'Data input'!sh_Home" display="+" xr:uid="{00000000-0004-0000-0200-00009D000000}"/>
    <hyperlink ref="A94" location="'Data input'!sh_Home" display="+" xr:uid="{00000000-0004-0000-0200-00009E000000}"/>
    <hyperlink ref="A95" location="'Data input'!sh_Home" display="+" xr:uid="{00000000-0004-0000-0200-00009F000000}"/>
    <hyperlink ref="B97" location="'Data input'!sh_Home" display="+" xr:uid="{00000000-0004-0000-0200-0000A0000000}"/>
    <hyperlink ref="B98" location="'Data input'!sh_Home" display="+" xr:uid="{00000000-0004-0000-0200-0000A1000000}"/>
    <hyperlink ref="B99" location="'Data input'!sh_Home" display="+" xr:uid="{00000000-0004-0000-0200-0000A2000000}"/>
    <hyperlink ref="B100" location="'Data input'!sh_Home" display="+" xr:uid="{00000000-0004-0000-0200-0000A3000000}"/>
    <hyperlink ref="B101" location="'Data input'!sh_Home" display="+" xr:uid="{00000000-0004-0000-0200-0000A4000000}"/>
    <hyperlink ref="B102" location="'Data input'!sh_Home" display="+" xr:uid="{00000000-0004-0000-0200-0000A5000000}"/>
    <hyperlink ref="B103" location="'Data input'!sh_Home" display="+" xr:uid="{00000000-0004-0000-0200-0000A6000000}"/>
    <hyperlink ref="B104" location="'Data input'!sh_Home" display="+" xr:uid="{00000000-0004-0000-0200-0000A7000000}"/>
    <hyperlink ref="B105" location="'Data input'!sh_Home" display="+" xr:uid="{00000000-0004-0000-0200-0000A8000000}"/>
    <hyperlink ref="A97" location="'Data input'!sh_Home" display="+" xr:uid="{00000000-0004-0000-0200-0000A9000000}"/>
    <hyperlink ref="A98" location="'Data input'!sh_Home" display="+" xr:uid="{00000000-0004-0000-0200-0000AA000000}"/>
    <hyperlink ref="A99" location="'Data input'!sh_Home" display="+" xr:uid="{00000000-0004-0000-0200-0000AB000000}"/>
    <hyperlink ref="A100" location="'Data input'!sh_Home" display="+" xr:uid="{00000000-0004-0000-0200-0000AC000000}"/>
    <hyperlink ref="A101" location="'Data input'!sh_Home" display="+" xr:uid="{00000000-0004-0000-0200-0000AD000000}"/>
    <hyperlink ref="A102" location="'Data input'!sh_Home" display="+" xr:uid="{00000000-0004-0000-0200-0000AE000000}"/>
    <hyperlink ref="A103" location="'Data input'!sh_Home" display="+" xr:uid="{00000000-0004-0000-0200-0000AF000000}"/>
    <hyperlink ref="A104" location="'Data input'!sh_Home" display="+" xr:uid="{00000000-0004-0000-0200-0000B0000000}"/>
    <hyperlink ref="A105" location="'Data input'!sh_Home" display="+" xr:uid="{00000000-0004-0000-0200-0000B1000000}"/>
    <hyperlink ref="B107" location="'Data input'!sh_Home" display="+" xr:uid="{00000000-0004-0000-0200-0000B2000000}"/>
    <hyperlink ref="B108" location="'Data input'!sh_Home" display="+" xr:uid="{00000000-0004-0000-0200-0000B3000000}"/>
    <hyperlink ref="B109" location="'Data input'!sh_Home" display="+" xr:uid="{00000000-0004-0000-0200-0000B4000000}"/>
    <hyperlink ref="B110" location="'Data input'!sh_Home" display="+" xr:uid="{00000000-0004-0000-0200-0000B5000000}"/>
    <hyperlink ref="A107" location="'Data input'!sh_Home" display="+" xr:uid="{00000000-0004-0000-0200-0000B6000000}"/>
    <hyperlink ref="A108" location="'Data input'!sh_Home" display="+" xr:uid="{00000000-0004-0000-0200-0000B7000000}"/>
    <hyperlink ref="A109" location="'Data input'!sh_Home" display="+" xr:uid="{00000000-0004-0000-0200-0000B8000000}"/>
    <hyperlink ref="A110" location="'Data input'!sh_Home" display="+" xr:uid="{00000000-0004-0000-0200-0000B9000000}"/>
    <hyperlink ref="B112" location="'Data input'!sh_Home" display="+" xr:uid="{00000000-0004-0000-0200-0000BA000000}"/>
    <hyperlink ref="B113" location="'Data input'!sh_Home" display="+" xr:uid="{00000000-0004-0000-0200-0000BB000000}"/>
    <hyperlink ref="B114" location="'Data input'!sh_Home" display="+" xr:uid="{00000000-0004-0000-0200-0000BC000000}"/>
    <hyperlink ref="B115" location="'Data input'!sh_Home" display="+" xr:uid="{00000000-0004-0000-0200-0000BD000000}"/>
    <hyperlink ref="A112" location="'Data input'!sh_Home" display="+" xr:uid="{00000000-0004-0000-0200-0000BE000000}"/>
    <hyperlink ref="A113" location="'Data input'!sh_Home" display="+" xr:uid="{00000000-0004-0000-0200-0000BF000000}"/>
    <hyperlink ref="A114" location="'Data input'!sh_Home" display="+" xr:uid="{00000000-0004-0000-0200-0000C0000000}"/>
    <hyperlink ref="A115" location="'Data input'!sh_Home" display="+" xr:uid="{00000000-0004-0000-0200-0000C1000000}"/>
    <hyperlink ref="B117" location="'Data input'!sh_Home" display="+" xr:uid="{00000000-0004-0000-0200-0000C2000000}"/>
    <hyperlink ref="B118" location="'Data input'!sh_Home" display="+" xr:uid="{00000000-0004-0000-0200-0000C3000000}"/>
    <hyperlink ref="B119" location="'Data input'!sh_Home" display="+" xr:uid="{00000000-0004-0000-0200-0000C4000000}"/>
    <hyperlink ref="A117" location="'Data input'!sh_Home" display="+" xr:uid="{00000000-0004-0000-0200-0000C5000000}"/>
    <hyperlink ref="A118" location="'Data input'!sh_Home" display="+" xr:uid="{00000000-0004-0000-0200-0000C6000000}"/>
    <hyperlink ref="A119" location="'Data input'!sh_Home" display="+" xr:uid="{00000000-0004-0000-0200-0000C7000000}"/>
    <hyperlink ref="B121" location="'Data input'!sh_Home" display="+" xr:uid="{00000000-0004-0000-0200-0000C8000000}"/>
    <hyperlink ref="B122" location="'Data input'!sh_Home" display="+" xr:uid="{00000000-0004-0000-0200-0000C9000000}"/>
    <hyperlink ref="B123" location="'Data input'!sh_Home" display="+" xr:uid="{00000000-0004-0000-0200-0000CA000000}"/>
    <hyperlink ref="A121" location="'Data input'!sh_Home" display="+" xr:uid="{00000000-0004-0000-0200-0000CB000000}"/>
    <hyperlink ref="A122" location="'Data input'!sh_Home" display="+" xr:uid="{00000000-0004-0000-0200-0000CC000000}"/>
    <hyperlink ref="A123" location="'Data input'!sh_Home" display="+" xr:uid="{00000000-0004-0000-0200-0000CD000000}"/>
    <hyperlink ref="B125" location="'Data input'!sh_Home" display="+" xr:uid="{00000000-0004-0000-0200-0000CE000000}"/>
    <hyperlink ref="B126" location="'Data input'!sh_Home" display="+" xr:uid="{00000000-0004-0000-0200-0000CF000000}"/>
    <hyperlink ref="B127" location="'Data input'!sh_Home" display="+" xr:uid="{00000000-0004-0000-0200-0000D0000000}"/>
    <hyperlink ref="A125" location="'Data input'!sh_Home" display="+" xr:uid="{00000000-0004-0000-0200-0000D1000000}"/>
    <hyperlink ref="A126" location="'Data input'!sh_Home" display="+" xr:uid="{00000000-0004-0000-0200-0000D2000000}"/>
    <hyperlink ref="A127" location="'Data input'!sh_Home" display="+" xr:uid="{00000000-0004-0000-0200-0000D3000000}"/>
    <hyperlink ref="B129" location="'Data input'!sh_Home" display="+" xr:uid="{00000000-0004-0000-0200-0000D4000000}"/>
    <hyperlink ref="A129" location="'Data input'!sh_Home" display="+" xr:uid="{00000000-0004-0000-0200-0000D5000000}"/>
    <hyperlink ref="G7" location="'Data input'!sh_Home" display="+" xr:uid="{00000000-0004-0000-0200-0000D8000000}"/>
    <hyperlink ref="G6" location="'Data input'!sh_Home" display="+" xr:uid="{00000000-0004-0000-0200-0000D9000000}"/>
    <hyperlink ref="E7" location="'Data input'!sh_Home" display="+" xr:uid="{00000000-0004-0000-0200-0000DA000000}"/>
    <hyperlink ref="B35" location="'Data input'!sh_Home" display="+" xr:uid="{00000000-0004-0000-0200-0000DB000000}"/>
    <hyperlink ref="A35" location="'Data input'!sh_Home" display="+" xr:uid="{00000000-0004-0000-0200-0000DC000000}"/>
    <hyperlink ref="B65" location="'Data input'!sh_Home" display="+" xr:uid="{00000000-0004-0000-0200-0000DD000000}"/>
    <hyperlink ref="A65" location="'Data input'!sh_Home" display="+" xr:uid="{00000000-0004-0000-0200-0000DE000000}"/>
    <hyperlink ref="H7" location="'Data input'!sh_Home" display="+" xr:uid="{E78F332E-5E15-49CC-8F29-B0C9163423D4}"/>
    <hyperlink ref="H6" location="'Data input'!sh_Home" display="+" xr:uid="{5E6E75E8-09B3-446A-8FDA-6B568377D9C1}"/>
    <hyperlink ref="B135" location="'Data input'!sh_Home" display="+" xr:uid="{032203C7-5682-4ABC-86C2-CBF7808120FA}"/>
    <hyperlink ref="A135" location="'Data input'!sh_Home" display="+" xr:uid="{A6074213-B4EB-4F18-BA0C-A8F4F1FF9204}"/>
    <hyperlink ref="B136" location="'Data input'!sh_Home" display="+" xr:uid="{FDFF3C30-7C6B-4D2F-9145-400D17C302B2}"/>
    <hyperlink ref="A136" location="'Data input'!sh_Home" display="+" xr:uid="{30C17672-06F9-4E4B-84DF-49694A8346EC}"/>
  </hyperlinks>
  <pageMargins left="0.7" right="0.7" top="0.75" bottom="0.75" header="0.3" footer="0.3"/>
  <pageSetup orientation="portrait" copies="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ing_Input">
    <pageSetUpPr autoPageBreaks="0"/>
  </sheetPr>
  <dimension ref="A1:AE21"/>
  <sheetViews>
    <sheetView showGridLines="0" workbookViewId="0">
      <pane xSplit="6" ySplit="11" topLeftCell="G12" activePane="bottomRight" state="frozen"/>
      <selection pane="bottomRight" activeCell="D6" sqref="D6"/>
      <selection pane="bottomLeft" activeCell="A12" sqref="A12"/>
      <selection pane="topRight" activeCell="G1" sqref="G1"/>
    </sheetView>
  </sheetViews>
  <sheetFormatPr defaultRowHeight="9.9499999999999993"/>
  <cols>
    <col min="1" max="1" width="3.83203125" customWidth="1"/>
    <col min="2" max="2" width="12.83203125" customWidth="1"/>
    <col min="3" max="4" width="30.83203125" customWidth="1"/>
    <col min="5" max="5" width="25.83203125" customWidth="1"/>
    <col min="7" max="7" width="25.83203125" customWidth="1"/>
    <col min="9" max="9" width="25.83203125" customWidth="1"/>
    <col min="11" max="11" width="25.83203125" customWidth="1"/>
    <col min="13" max="14" width="25.83203125" customWidth="1"/>
    <col min="15" max="15" width="12.83203125" customWidth="1"/>
    <col min="16" max="16" width="25.83203125" customWidth="1"/>
    <col min="17" max="18" width="45.83203125" customWidth="1"/>
    <col min="19" max="23" width="25.83203125" customWidth="1"/>
    <col min="24" max="24" width="80.83203125" customWidth="1"/>
    <col min="25" max="25" width="3.83203125" customWidth="1"/>
    <col min="26" max="26" width="25.83203125" hidden="1" customWidth="1"/>
    <col min="27" max="27" width="9.33203125" hidden="1" customWidth="1"/>
    <col min="28" max="28" width="9.33203125" customWidth="1"/>
    <col min="29" max="29" width="67.1640625" hidden="1" customWidth="1"/>
    <col min="30" max="30" width="8.1640625" hidden="1" customWidth="1"/>
    <col min="31" max="31" width="6" hidden="1" customWidth="1"/>
    <col min="32" max="32" width="6" customWidth="1"/>
  </cols>
  <sheetData>
    <row r="1" spans="1:31">
      <c r="A1" s="48"/>
      <c r="AC1" t="str">
        <f>_sheetContentTranslation_A_135</f>
        <v>Type</v>
      </c>
      <c r="AD1" t="str">
        <f>_sheetContentTranslation_A_136</f>
        <v>Address</v>
      </c>
      <c r="AE1" t="str">
        <f>_sheetContentTranslation_A_137</f>
        <v>Ticker</v>
      </c>
    </row>
    <row r="2" spans="1:31" ht="15.6">
      <c r="A2" s="48"/>
      <c r="B2" s="1" t="str">
        <f>_sheetContentTranslation_A_138</f>
        <v>Scoping input</v>
      </c>
    </row>
    <row r="3" spans="1:31">
      <c r="A3" s="48"/>
    </row>
    <row r="4" spans="1:31" ht="15" customHeight="1">
      <c r="A4" s="48"/>
      <c r="B4" s="182" t="str">
        <f>_sheetContentTranslation_A_33</f>
        <v>Name of group</v>
      </c>
      <c r="C4" s="182"/>
      <c r="D4" s="134" t="str">
        <f>IF(Data_Engagement_Name="","",Data_Engagement_Name)</f>
        <v/>
      </c>
    </row>
    <row r="5" spans="1:31" ht="15" customHeight="1">
      <c r="A5" s="48"/>
      <c r="B5" s="182" t="str">
        <f>_sheetContentTranslation_A_34</f>
        <v>Group period-end date</v>
      </c>
      <c r="C5" s="182"/>
      <c r="D5" s="150" t="str">
        <f>IF(Data_Period_End="","",Data_Period_End)</f>
        <v/>
      </c>
    </row>
    <row r="6" spans="1:31" ht="15" customHeight="1">
      <c r="A6" s="48"/>
      <c r="B6" s="183" t="str">
        <f>_sheetContentTranslation_A_139</f>
        <v>Group materiality</v>
      </c>
      <c r="C6" s="183"/>
      <c r="D6" s="133"/>
    </row>
    <row r="7" spans="1:31" ht="15" customHeight="1">
      <c r="A7" s="48"/>
      <c r="B7" s="183" t="str">
        <f>_sheetContentTranslation_A_140</f>
        <v>Group performance materiality</v>
      </c>
      <c r="C7" s="183"/>
      <c r="D7" s="133"/>
    </row>
    <row r="8" spans="1:31">
      <c r="A8" s="48"/>
    </row>
    <row r="9" spans="1:31" ht="12.95">
      <c r="A9" s="48"/>
      <c r="E9" s="187"/>
      <c r="F9" s="187"/>
      <c r="G9" s="175" t="str">
        <f>_sheetContentTranslation_A_36</f>
        <v>x</v>
      </c>
      <c r="H9" s="175"/>
      <c r="I9" s="175" t="str">
        <f>_sheetContentTranslation_A_36</f>
        <v>x</v>
      </c>
      <c r="J9" s="175"/>
      <c r="K9" s="175" t="str">
        <f>_sheetContentTranslation_A_36</f>
        <v>x</v>
      </c>
      <c r="L9" s="175"/>
      <c r="Z9" s="175" t="str">
        <f>_sheetContentTranslation_A_36</f>
        <v>x</v>
      </c>
      <c r="AA9" s="175"/>
    </row>
    <row r="10" spans="1:31" ht="12.95">
      <c r="A10" s="48"/>
      <c r="D10" s="138" t="str">
        <f>_sheetContentTranslation_A_141</f>
        <v>+ Add benchmark</v>
      </c>
      <c r="E10" s="179" t="str">
        <f>_sheetContentTranslation_A_142</f>
        <v>Benchmark amount</v>
      </c>
      <c r="F10" s="180"/>
      <c r="G10" s="179" t="str">
        <f>_sheetContentTranslation_A_142</f>
        <v>Benchmark amount</v>
      </c>
      <c r="H10" s="180"/>
      <c r="I10" s="179" t="str">
        <f>_sheetContentTranslation_A_142</f>
        <v>Benchmark amount</v>
      </c>
      <c r="J10" s="180"/>
      <c r="K10" s="179" t="str">
        <f>_sheetContentTranslation_A_142</f>
        <v>Benchmark amount</v>
      </c>
      <c r="L10" s="180"/>
      <c r="M10" s="179" t="str">
        <f>_sheetContentTranslation_A_143</f>
        <v>Equity method investments</v>
      </c>
      <c r="N10" s="180"/>
      <c r="O10" s="180"/>
      <c r="W10" s="135" t="str">
        <f>_sheetContentTranslation_A_144</f>
        <v>!</v>
      </c>
      <c r="X10" s="135" t="str">
        <f>_sheetContentTranslation_A_144</f>
        <v>!</v>
      </c>
      <c r="Z10" s="179" t="str">
        <f>_sheetContentTranslation_A_142</f>
        <v>Benchmark amount</v>
      </c>
      <c r="AA10" s="180"/>
    </row>
    <row r="11" spans="1:31" ht="20.100000000000001">
      <c r="A11" s="48"/>
      <c r="B11" s="149" t="str">
        <f>_sheetContentTranslation_A_145</f>
        <v>Component Reference</v>
      </c>
      <c r="C11" s="149" t="str">
        <f>_sheetContentTranslation_A_42</f>
        <v>Component name</v>
      </c>
      <c r="D11" s="149" t="str">
        <f>_sheetContentTranslation_A_43</f>
        <v>Component type</v>
      </c>
      <c r="E11" s="181"/>
      <c r="F11" s="181"/>
      <c r="G11" s="181"/>
      <c r="H11" s="181"/>
      <c r="I11" s="181"/>
      <c r="J11" s="181"/>
      <c r="K11" s="181"/>
      <c r="L11" s="181"/>
      <c r="M11" s="130" t="str">
        <f>_sheetContentTranslation_A_146</f>
        <v>Amount of equity method investment (financial position)</v>
      </c>
      <c r="N11" s="130" t="str">
        <f>_sheetContentTranslation_A_147</f>
        <v>Amount of equity method investment (profit or loss)</v>
      </c>
      <c r="O11" s="130" t="str">
        <f>_sheetContentTranslation_A_148</f>
        <v>Ownership percentage</v>
      </c>
      <c r="P11" s="149" t="str">
        <f>_sheetContentTranslation_A_149</f>
        <v>Component significance</v>
      </c>
      <c r="Q11" s="149" t="str">
        <f>_sheetContentTranslation_A_150</f>
        <v>Type of work to be performed</v>
      </c>
      <c r="R11" s="149" t="str">
        <f>_sheetContentTranslation_A_151</f>
        <v>Purpose of audit procedures for not significant components</v>
      </c>
      <c r="S11" s="149" t="str">
        <f>_sheetContentTranslation_A_152</f>
        <v>Component materiality</v>
      </c>
      <c r="T11" s="149" t="str">
        <f>_sheetContentTranslation_A_153</f>
        <v>Component performance materiality</v>
      </c>
      <c r="U11" s="149" t="str">
        <f>_sheetContentTranslation_A_154</f>
        <v>Component auditor firm name</v>
      </c>
      <c r="V11" s="149" t="str">
        <f>_sheetContentTranslation_A_155</f>
        <v>Component auditor type</v>
      </c>
      <c r="W11" s="149" t="str">
        <f>_sheetContentTranslation_A_156</f>
        <v>Component auditor performing a statutory audit?</v>
      </c>
      <c r="X11" s="149" t="str">
        <f>_sheetContentTranslation_A_157</f>
        <v>Significant professional judgments or other comments, if any</v>
      </c>
      <c r="Z11" s="181"/>
      <c r="AA11" s="181"/>
      <c r="AE11" s="69">
        <v>33</v>
      </c>
    </row>
    <row r="12" spans="1:31" ht="24.95" customHeight="1">
      <c r="A12" s="48"/>
      <c r="B12" s="2">
        <v>1</v>
      </c>
      <c r="C12" s="4" t="str">
        <f>IFERROR(IF(INDEX('Data input'!$C$8:$L$10,MATCH('Scoping input'!C$11,'Data input'!$C$8:$C$10,0),MATCH('Scoping input'!$B12,'Data input'!$C$8:$L$8,0))="","",INDEX('Data input'!$C$8:$L$10,MATCH('Scoping input'!C$11,'Data input'!$C$8:$C$10,0),MATCH('Scoping input'!$B12,'Data input'!$C$8:$L$8,0))),"")</f>
        <v/>
      </c>
      <c r="D12" s="4" t="str">
        <f>IFERROR(IF(INDEX('Data input'!$C$8:$L$10,MATCH('Scoping input'!D$11,'Data input'!$C$8:$C$10,0),MATCH('Scoping input'!$B12,'Data input'!$C$8:$L$8,0))="","",INDEX('Data input'!$C$8:$L$10,MATCH('Scoping input'!D$11,'Data input'!$C$8:$C$10,0),MATCH('Scoping input'!$B12,'Data input'!$C$8:$L$8,0))),"")</f>
        <v/>
      </c>
      <c r="E12" s="5">
        <f ca="1">IFERROR(SUMIFS(OFFSET('Data input'!$C:$C,,MATCH('Scoping input'!$B12,'Data input'!$C$8:$L$8,0)-1,,),'Data input'!$C:$C,'Scoping input'!E$11),"")</f>
        <v>0</v>
      </c>
      <c r="F12" s="113" t="str">
        <f ca="1">IFERROR(E12/E$21,"")</f>
        <v/>
      </c>
      <c r="G12" s="5">
        <f ca="1">IFERROR(SUMIFS(OFFSET('Data input'!$C:$C,,MATCH('Scoping input'!$B12,'Data input'!$C$8:$L$8,0)-1,,),'Data input'!$C:$C,'Scoping input'!G$11),"")</f>
        <v>0</v>
      </c>
      <c r="H12" s="113" t="str">
        <f ca="1">IFERROR(G12/G$21,"")</f>
        <v/>
      </c>
      <c r="I12" s="5">
        <f ca="1">IFERROR(SUMIFS(OFFSET('Data input'!$C:$C,,MATCH('Scoping input'!$B12,'Data input'!$C$8:$L$8,0)-1,,),'Data input'!$C:$C,'Scoping input'!I$11),"")</f>
        <v>0</v>
      </c>
      <c r="J12" s="113" t="str">
        <f ca="1">IFERROR(I12/I$21,"")</f>
        <v/>
      </c>
      <c r="K12" s="5">
        <f ca="1">IFERROR(SUMIFS(OFFSET('Data input'!$C:$C,,MATCH('Scoping input'!$B12,'Data input'!$C$8:$L$8,0)-1,,),'Data input'!$C:$C,'Scoping input'!K$11),"")</f>
        <v>0</v>
      </c>
      <c r="L12" s="113" t="str">
        <f ca="1">IFERROR(K12/K$21,"")</f>
        <v/>
      </c>
      <c r="M12" s="5" t="str">
        <f t="shared" ref="M12:O16" si="0">_sheetContentTranslation_A_158</f>
        <v>N/A</v>
      </c>
      <c r="N12" s="5" t="str">
        <f t="shared" si="0"/>
        <v>N/A</v>
      </c>
      <c r="O12" s="114" t="str">
        <f t="shared" si="0"/>
        <v>N/A</v>
      </c>
      <c r="P12" s="33"/>
      <c r="Q12" s="33"/>
      <c r="R12" s="23" t="s">
        <v>1</v>
      </c>
      <c r="S12" s="140" t="s">
        <v>2</v>
      </c>
      <c r="T12" s="140" t="s">
        <v>2</v>
      </c>
      <c r="U12" s="33"/>
      <c r="V12" s="144"/>
      <c r="W12" s="139"/>
      <c r="X12" s="33"/>
      <c r="Y12" s="3" t="str">
        <f>_sheetContentTranslation_A_36</f>
        <v>x</v>
      </c>
      <c r="Z12" s="5">
        <f ca="1">IFERROR(SUMIFS(OFFSET('Data input'!$C:$C,,MATCH('Scoping input'!$B12,'Data input'!$C$8:$L$8,0)-1,,),'Data input'!$C:$C,'Scoping input'!Z$11),"")</f>
        <v>0</v>
      </c>
      <c r="AA12" s="113" t="str">
        <f ca="1">IFERROR(Z12/Z$21,"")</f>
        <v/>
      </c>
      <c r="AD12" t="str">
        <f>_sheetContentTranslation_A_185&amp;AE12</f>
        <v>Comp_</v>
      </c>
    </row>
    <row r="13" spans="1:31" ht="24.95" customHeight="1">
      <c r="A13" s="48"/>
      <c r="B13" s="2">
        <f t="shared" ref="B13:B16" si="1">B12+1</f>
        <v>2</v>
      </c>
      <c r="C13" s="4" t="str">
        <f>IFERROR(IF(INDEX('Data input'!$C$8:$L$10,MATCH('Scoping input'!C$11,'Data input'!$C$8:$C$10,0),MATCH('Scoping input'!$B13,'Data input'!$C$8:$L$8,0))="","",INDEX('Data input'!$C$8:$L$10,MATCH('Scoping input'!C$11,'Data input'!$C$8:$C$10,0),MATCH('Scoping input'!$B13,'Data input'!$C$8:$L$8,0))),"")</f>
        <v/>
      </c>
      <c r="D13" s="4" t="str">
        <f>IFERROR(IF(INDEX('Data input'!$C$8:$L$10,MATCH('Scoping input'!D$11,'Data input'!$C$8:$C$10,0),MATCH('Scoping input'!$B13,'Data input'!$C$8:$L$8,0))="","",INDEX('Data input'!$C$8:$L$10,MATCH('Scoping input'!D$11,'Data input'!$C$8:$C$10,0),MATCH('Scoping input'!$B13,'Data input'!$C$8:$L$8,0))),"")</f>
        <v/>
      </c>
      <c r="E13" s="5">
        <f ca="1">IFERROR(SUMIFS(OFFSET('Data input'!$C:$C,,MATCH('Scoping input'!$B13,'Data input'!$C$8:$L$8,0)-1,,),'Data input'!$C:$C,'Scoping input'!E$11),"")</f>
        <v>0</v>
      </c>
      <c r="F13" s="113" t="str">
        <f ca="1">IFERROR(E13/E$21,"")</f>
        <v/>
      </c>
      <c r="G13" s="5">
        <f ca="1">IFERROR(SUMIFS(OFFSET('Data input'!$C:$C,,MATCH('Scoping input'!$B13,'Data input'!$C$8:$L$8,0)-1,,),'Data input'!$C:$C,'Scoping input'!G$11),"")</f>
        <v>0</v>
      </c>
      <c r="H13" s="113" t="str">
        <f ca="1">IFERROR(G13/G$21,"")</f>
        <v/>
      </c>
      <c r="I13" s="5">
        <f ca="1">IFERROR(SUMIFS(OFFSET('Data input'!$C:$C,,MATCH('Scoping input'!$B13,'Data input'!$C$8:$L$8,0)-1,,),'Data input'!$C:$C,'Scoping input'!I$11),"")</f>
        <v>0</v>
      </c>
      <c r="J13" s="113" t="str">
        <f ca="1">IFERROR(I13/I$21,"")</f>
        <v/>
      </c>
      <c r="K13" s="5">
        <f ca="1">IFERROR(SUMIFS(OFFSET('Data input'!$C:$C,,MATCH('Scoping input'!$B13,'Data input'!$C$8:$L$8,0)-1,,),'Data input'!$C:$C,'Scoping input'!K$11),"")</f>
        <v>0</v>
      </c>
      <c r="L13" s="113" t="str">
        <f ca="1">IFERROR(K13/K$21,"")</f>
        <v/>
      </c>
      <c r="M13" s="5" t="str">
        <f t="shared" si="0"/>
        <v>N/A</v>
      </c>
      <c r="N13" s="5" t="str">
        <f t="shared" si="0"/>
        <v>N/A</v>
      </c>
      <c r="O13" s="114" t="str">
        <f t="shared" si="0"/>
        <v>N/A</v>
      </c>
      <c r="P13" s="33"/>
      <c r="Q13" s="33"/>
      <c r="R13" s="23" t="str">
        <f>_sheetContentTranslation_A_159</f>
        <v>N/A - significant component</v>
      </c>
      <c r="S13" s="140" t="str">
        <f t="shared" ref="S13:T16" si="2">_sheetContentTranslation_A_158</f>
        <v>N/A</v>
      </c>
      <c r="T13" s="140" t="str">
        <f t="shared" si="2"/>
        <v>N/A</v>
      </c>
      <c r="U13" s="33"/>
      <c r="V13" s="144"/>
      <c r="W13" s="139"/>
      <c r="X13" s="33"/>
      <c r="Y13" s="3" t="str">
        <f>_sheetContentTranslation_A_36</f>
        <v>x</v>
      </c>
      <c r="Z13" s="5">
        <f ca="1">IFERROR(SUMIFS(OFFSET('Data input'!$C:$C,,MATCH('Scoping input'!$B13,'Data input'!$C$8:$L$8,0)-1,,),'Data input'!$C:$C,'Scoping input'!Z$11),"")</f>
        <v>0</v>
      </c>
      <c r="AA13" s="113" t="str">
        <f ca="1">IFERROR(Z13/Z$21,"")</f>
        <v/>
      </c>
      <c r="AD13" t="str">
        <f>_sheetContentTranslation_A_185&amp;AE13</f>
        <v>Comp_</v>
      </c>
    </row>
    <row r="14" spans="1:31" ht="24.95" customHeight="1">
      <c r="A14" s="48"/>
      <c r="B14" s="2">
        <f t="shared" si="1"/>
        <v>3</v>
      </c>
      <c r="C14" s="4" t="str">
        <f>IFERROR(IF(INDEX('Data input'!$C$8:$L$10,MATCH('Scoping input'!C$11,'Data input'!$C$8:$C$10,0),MATCH('Scoping input'!$B14,'Data input'!$C$8:$L$8,0))="","",INDEX('Data input'!$C$8:$L$10,MATCH('Scoping input'!C$11,'Data input'!$C$8:$C$10,0),MATCH('Scoping input'!$B14,'Data input'!$C$8:$L$8,0))),"")</f>
        <v/>
      </c>
      <c r="D14" s="4" t="str">
        <f>IFERROR(IF(INDEX('Data input'!$C$8:$L$10,MATCH('Scoping input'!D$11,'Data input'!$C$8:$C$10,0),MATCH('Scoping input'!$B14,'Data input'!$C$8:$L$8,0))="","",INDEX('Data input'!$C$8:$L$10,MATCH('Scoping input'!D$11,'Data input'!$C$8:$C$10,0),MATCH('Scoping input'!$B14,'Data input'!$C$8:$L$8,0))),"")</f>
        <v/>
      </c>
      <c r="E14" s="5">
        <f ca="1">IFERROR(SUMIFS(OFFSET('Data input'!$C:$C,,MATCH('Scoping input'!$B14,'Data input'!$C$8:$L$8,0)-1,,),'Data input'!$C:$C,'Scoping input'!E$11),"")</f>
        <v>0</v>
      </c>
      <c r="F14" s="113" t="str">
        <f ca="1">IFERROR(E14/E$21,"")</f>
        <v/>
      </c>
      <c r="G14" s="5">
        <f ca="1">IFERROR(SUMIFS(OFFSET('Data input'!$C:$C,,MATCH('Scoping input'!$B14,'Data input'!$C$8:$L$8,0)-1,,),'Data input'!$C:$C,'Scoping input'!G$11),"")</f>
        <v>0</v>
      </c>
      <c r="H14" s="113" t="str">
        <f ca="1">IFERROR(G14/G$21,"")</f>
        <v/>
      </c>
      <c r="I14" s="5">
        <f ca="1">IFERROR(SUMIFS(OFFSET('Data input'!$C:$C,,MATCH('Scoping input'!$B14,'Data input'!$C$8:$L$8,0)-1,,),'Data input'!$C:$C,'Scoping input'!I$11),"")</f>
        <v>0</v>
      </c>
      <c r="J14" s="113" t="str">
        <f ca="1">IFERROR(I14/I$21,"")</f>
        <v/>
      </c>
      <c r="K14" s="5">
        <f ca="1">IFERROR(SUMIFS(OFFSET('Data input'!$C:$C,,MATCH('Scoping input'!$B14,'Data input'!$C$8:$L$8,0)-1,,),'Data input'!$C:$C,'Scoping input'!K$11),"")</f>
        <v>0</v>
      </c>
      <c r="L14" s="113" t="str">
        <f ca="1">IFERROR(K14/K$21,"")</f>
        <v/>
      </c>
      <c r="M14" s="5" t="str">
        <f t="shared" si="0"/>
        <v>N/A</v>
      </c>
      <c r="N14" s="5" t="str">
        <f t="shared" si="0"/>
        <v>N/A</v>
      </c>
      <c r="O14" s="114" t="str">
        <f t="shared" si="0"/>
        <v>N/A</v>
      </c>
      <c r="P14" s="33"/>
      <c r="Q14" s="33"/>
      <c r="R14" s="23" t="str">
        <f>_sheetContentTranslation_A_159</f>
        <v>N/A - significant component</v>
      </c>
      <c r="S14" s="140" t="str">
        <f t="shared" si="2"/>
        <v>N/A</v>
      </c>
      <c r="T14" s="140" t="str">
        <f t="shared" si="2"/>
        <v>N/A</v>
      </c>
      <c r="U14" s="33"/>
      <c r="V14" s="144"/>
      <c r="W14" s="139"/>
      <c r="X14" s="33"/>
      <c r="Y14" s="3" t="str">
        <f>_sheetContentTranslation_A_36</f>
        <v>x</v>
      </c>
      <c r="Z14" s="5">
        <f ca="1">IFERROR(SUMIFS(OFFSET('Data input'!$C:$C,,MATCH('Scoping input'!$B14,'Data input'!$C$8:$L$8,0)-1,,),'Data input'!$C:$C,'Scoping input'!Z$11),"")</f>
        <v>0</v>
      </c>
      <c r="AA14" s="113" t="str">
        <f ca="1">IFERROR(Z14/Z$21,"")</f>
        <v/>
      </c>
      <c r="AD14" t="str">
        <f>_sheetContentTranslation_A_185&amp;AE14</f>
        <v>Comp_</v>
      </c>
    </row>
    <row r="15" spans="1:31" ht="24.95" customHeight="1">
      <c r="A15" s="48"/>
      <c r="B15" s="2">
        <f t="shared" si="1"/>
        <v>4</v>
      </c>
      <c r="C15" s="4" t="str">
        <f>IFERROR(IF(INDEX('Data input'!$C$8:$L$10,MATCH('Scoping input'!C$11,'Data input'!$C$8:$C$10,0),MATCH('Scoping input'!$B15,'Data input'!$C$8:$L$8,0))="","",INDEX('Data input'!$C$8:$L$10,MATCH('Scoping input'!C$11,'Data input'!$C$8:$C$10,0),MATCH('Scoping input'!$B15,'Data input'!$C$8:$L$8,0))),"")</f>
        <v/>
      </c>
      <c r="D15" s="4" t="str">
        <f>IFERROR(IF(INDEX('Data input'!$C$8:$L$10,MATCH('Scoping input'!D$11,'Data input'!$C$8:$C$10,0),MATCH('Scoping input'!$B15,'Data input'!$C$8:$L$8,0))="","",INDEX('Data input'!$C$8:$L$10,MATCH('Scoping input'!D$11,'Data input'!$C$8:$C$10,0),MATCH('Scoping input'!$B15,'Data input'!$C$8:$L$8,0))),"")</f>
        <v/>
      </c>
      <c r="E15" s="5">
        <f ca="1">IFERROR(SUMIFS(OFFSET('Data input'!$C:$C,,MATCH('Scoping input'!$B15,'Data input'!$C$8:$L$8,0)-1,,),'Data input'!$C:$C,'Scoping input'!E$11),"")</f>
        <v>0</v>
      </c>
      <c r="F15" s="113" t="str">
        <f ca="1">IFERROR(E15/E$21,"")</f>
        <v/>
      </c>
      <c r="G15" s="5">
        <f ca="1">IFERROR(SUMIFS(OFFSET('Data input'!$C:$C,,MATCH('Scoping input'!$B15,'Data input'!$C$8:$L$8,0)-1,,),'Data input'!$C:$C,'Scoping input'!G$11),"")</f>
        <v>0</v>
      </c>
      <c r="H15" s="113" t="str">
        <f ca="1">IFERROR(G15/G$21,"")</f>
        <v/>
      </c>
      <c r="I15" s="5">
        <f ca="1">IFERROR(SUMIFS(OFFSET('Data input'!$C:$C,,MATCH('Scoping input'!$B15,'Data input'!$C$8:$L$8,0)-1,,),'Data input'!$C:$C,'Scoping input'!I$11),"")</f>
        <v>0</v>
      </c>
      <c r="J15" s="113" t="str">
        <f ca="1">IFERROR(I15/I$21,"")</f>
        <v/>
      </c>
      <c r="K15" s="5">
        <f ca="1">IFERROR(SUMIFS(OFFSET('Data input'!$C:$C,,MATCH('Scoping input'!$B15,'Data input'!$C$8:$L$8,0)-1,,),'Data input'!$C:$C,'Scoping input'!K$11),"")</f>
        <v>0</v>
      </c>
      <c r="L15" s="113" t="str">
        <f ca="1">IFERROR(K15/K$21,"")</f>
        <v/>
      </c>
      <c r="M15" s="5" t="str">
        <f t="shared" si="0"/>
        <v>N/A</v>
      </c>
      <c r="N15" s="5" t="str">
        <f t="shared" si="0"/>
        <v>N/A</v>
      </c>
      <c r="O15" s="114" t="str">
        <f t="shared" si="0"/>
        <v>N/A</v>
      </c>
      <c r="P15" s="33"/>
      <c r="Q15" s="33"/>
      <c r="R15" s="23" t="str">
        <f>_sheetContentTranslation_A_159</f>
        <v>N/A - significant component</v>
      </c>
      <c r="S15" s="140" t="str">
        <f t="shared" si="2"/>
        <v>N/A</v>
      </c>
      <c r="T15" s="140" t="str">
        <f t="shared" si="2"/>
        <v>N/A</v>
      </c>
      <c r="U15" s="33"/>
      <c r="V15" s="144"/>
      <c r="W15" s="139"/>
      <c r="X15" s="33"/>
      <c r="Y15" s="3" t="str">
        <f>_sheetContentTranslation_A_36</f>
        <v>x</v>
      </c>
      <c r="Z15" s="5">
        <f ca="1">IFERROR(SUMIFS(OFFSET('Data input'!$C:$C,,MATCH('Scoping input'!$B15,'Data input'!$C$8:$L$8,0)-1,,),'Data input'!$C:$C,'Scoping input'!Z$11),"")</f>
        <v>0</v>
      </c>
      <c r="AA15" s="113" t="str">
        <f ca="1">IFERROR(Z15/Z$21,"")</f>
        <v/>
      </c>
      <c r="AD15" t="str">
        <f>_sheetContentTranslation_A_185&amp;AE15</f>
        <v>Comp_</v>
      </c>
    </row>
    <row r="16" spans="1:31" ht="24.95" customHeight="1">
      <c r="A16" s="48"/>
      <c r="B16" s="2">
        <f t="shared" si="1"/>
        <v>5</v>
      </c>
      <c r="C16" s="4" t="str">
        <f>IFERROR(IF(INDEX('Data input'!$C$8:$L$10,MATCH('Scoping input'!C$11,'Data input'!$C$8:$C$10,0),MATCH('Scoping input'!$B16,'Data input'!$C$8:$L$8,0))="","",INDEX('Data input'!$C$8:$L$10,MATCH('Scoping input'!C$11,'Data input'!$C$8:$C$10,0),MATCH('Scoping input'!$B16,'Data input'!$C$8:$L$8,0))),"")</f>
        <v/>
      </c>
      <c r="D16" s="4" t="str">
        <f>IFERROR(IF(INDEX('Data input'!$C$8:$L$10,MATCH('Scoping input'!D$11,'Data input'!$C$8:$C$10,0),MATCH('Scoping input'!$B16,'Data input'!$C$8:$L$8,0))="","",INDEX('Data input'!$C$8:$L$10,MATCH('Scoping input'!D$11,'Data input'!$C$8:$C$10,0),MATCH('Scoping input'!$B16,'Data input'!$C$8:$L$8,0))),"")</f>
        <v/>
      </c>
      <c r="E16" s="5">
        <f ca="1">IFERROR(SUMIFS(OFFSET('Data input'!$C:$C,,MATCH('Scoping input'!$B16,'Data input'!$C$8:$L$8,0)-1,,),'Data input'!$C:$C,'Scoping input'!E$11),"")</f>
        <v>0</v>
      </c>
      <c r="F16" s="113" t="str">
        <f ca="1">IFERROR(E16/E$21,"")</f>
        <v/>
      </c>
      <c r="G16" s="5">
        <f ca="1">IFERROR(SUMIFS(OFFSET('Data input'!$C:$C,,MATCH('Scoping input'!$B16,'Data input'!$C$8:$L$8,0)-1,,),'Data input'!$C:$C,'Scoping input'!G$11),"")</f>
        <v>0</v>
      </c>
      <c r="H16" s="113" t="str">
        <f ca="1">IFERROR(G16/G$21,"")</f>
        <v/>
      </c>
      <c r="I16" s="5">
        <f ca="1">IFERROR(SUMIFS(OFFSET('Data input'!$C:$C,,MATCH('Scoping input'!$B16,'Data input'!$C$8:$L$8,0)-1,,),'Data input'!$C:$C,'Scoping input'!I$11),"")</f>
        <v>0</v>
      </c>
      <c r="J16" s="113" t="str">
        <f ca="1">IFERROR(I16/I$21,"")</f>
        <v/>
      </c>
      <c r="K16" s="5">
        <f ca="1">IFERROR(SUMIFS(OFFSET('Data input'!$C:$C,,MATCH('Scoping input'!$B16,'Data input'!$C$8:$L$8,0)-1,,),'Data input'!$C:$C,'Scoping input'!K$11),"")</f>
        <v>0</v>
      </c>
      <c r="L16" s="113" t="str">
        <f ca="1">IFERROR(K16/K$21,"")</f>
        <v/>
      </c>
      <c r="M16" s="5" t="str">
        <f t="shared" si="0"/>
        <v>N/A</v>
      </c>
      <c r="N16" s="5" t="str">
        <f t="shared" si="0"/>
        <v>N/A</v>
      </c>
      <c r="O16" s="114" t="str">
        <f t="shared" si="0"/>
        <v>N/A</v>
      </c>
      <c r="P16" s="33"/>
      <c r="Q16" s="33"/>
      <c r="R16" s="23" t="str">
        <f>_sheetContentTranslation_A_159</f>
        <v>N/A - significant component</v>
      </c>
      <c r="S16" s="140" t="str">
        <f t="shared" si="2"/>
        <v>N/A</v>
      </c>
      <c r="T16" s="140" t="str">
        <f t="shared" si="2"/>
        <v>N/A</v>
      </c>
      <c r="U16" s="33"/>
      <c r="V16" s="144"/>
      <c r="W16" s="139"/>
      <c r="X16" s="33"/>
      <c r="Y16" s="3" t="str">
        <f>_sheetContentTranslation_A_36</f>
        <v>x</v>
      </c>
      <c r="Z16" s="5">
        <f ca="1">IFERROR(SUMIFS(OFFSET('Data input'!$C:$C,,MATCH('Scoping input'!$B16,'Data input'!$C$8:$L$8,0)-1,,),'Data input'!$C:$C,'Scoping input'!Z$11),"")</f>
        <v>0</v>
      </c>
      <c r="AA16" s="113" t="str">
        <f ca="1">IFERROR(Z16/Z$21,"")</f>
        <v/>
      </c>
      <c r="AD16" t="str">
        <f>_sheetContentTranslation_A_185&amp;AE16</f>
        <v>Comp_</v>
      </c>
    </row>
    <row r="17" spans="1:31" ht="23.25" customHeight="1">
      <c r="B17">
        <f>B16+1</f>
        <v>6</v>
      </c>
      <c r="S17" s="119"/>
      <c r="T17" s="119"/>
      <c r="V17" s="145"/>
      <c r="AE17">
        <v>9</v>
      </c>
    </row>
    <row r="18" spans="1:31" ht="17.25" hidden="1" customHeight="1">
      <c r="A18" s="48"/>
      <c r="B18" s="2"/>
      <c r="C18" s="4" t="str">
        <f>IFERROR(IF(INDEX('Data input'!$C$8:$L$10,MATCH('Scoping input'!C$11,'Data input'!$C$8:$C$10,0),MATCH('Scoping input'!$B18,'Data input'!$C$8:$L$8,0))="","",INDEX('Data input'!$C$8:$L$10,MATCH('Scoping input'!C$11,'Data input'!$C$8:$C$10,0),MATCH('Scoping input'!$B18,'Data input'!$C$8:$L$8,0))),"")</f>
        <v/>
      </c>
      <c r="D18" s="4" t="str">
        <f>IFERROR(IF(INDEX('Data input'!$C$8:$L$10,MATCH('Scoping input'!D$11,'Data input'!$C$8:$C$10,0),MATCH('Scoping input'!$B18,'Data input'!$C$8:$L$8,0))="","",INDEX('Data input'!$C$8:$L$10,MATCH('Scoping input'!D$11,'Data input'!$C$8:$C$10,0),MATCH('Scoping input'!$B18,'Data input'!$C$8:$L$8,0))),"")</f>
        <v/>
      </c>
      <c r="E18" s="5" t="str">
        <f ca="1">IFERROR(SUMIFS(OFFSET('Data input'!$C:$C,,MATCH('Scoping input'!$B18,'Data input'!$C$8:$L$8,0)-1,,),'Data input'!$C:$C,'Scoping input'!E$11),"")</f>
        <v/>
      </c>
      <c r="F18" s="113" t="str">
        <f ca="1">IFERROR(E18/E$21,"")</f>
        <v/>
      </c>
      <c r="G18" s="5" t="str">
        <f ca="1">IFERROR(SUMIFS(OFFSET('Data input'!$C:$C,,MATCH('Scoping input'!$B18,'Data input'!$C$8:$L$8,0)-1,,),'Data input'!$C:$C,'Scoping input'!G$11),"")</f>
        <v/>
      </c>
      <c r="H18" s="113" t="str">
        <f ca="1">IFERROR(G18/G$21,"")</f>
        <v/>
      </c>
      <c r="I18" s="5" t="str">
        <f ca="1">IFERROR(SUMIFS(OFFSET('Data input'!$C:$C,,MATCH('Scoping input'!$B18,'Data input'!$C$8:$L$8,0)-1,,),'Data input'!$C:$C,'Scoping input'!I$11),"")</f>
        <v/>
      </c>
      <c r="J18" s="113" t="str">
        <f ca="1">IFERROR(I18/I$21,"")</f>
        <v/>
      </c>
      <c r="K18" s="5" t="str">
        <f ca="1">IFERROR(SUMIFS(OFFSET('Data input'!$C:$C,,MATCH('Scoping input'!$B18,'Data input'!$C$8:$L$8,0)-1,,),'Data input'!$C:$C,'Scoping input'!K$11),"")</f>
        <v/>
      </c>
      <c r="L18" s="113" t="str">
        <f ca="1">IFERROR(K18/K$21,"")</f>
        <v/>
      </c>
      <c r="M18" s="5" t="str">
        <f>_sheetContentTranslation_A_158</f>
        <v>N/A</v>
      </c>
      <c r="N18" s="5" t="str">
        <f>_sheetContentTranslation_A_158</f>
        <v>N/A</v>
      </c>
      <c r="O18" s="114" t="str">
        <f>_sheetContentTranslation_A_158</f>
        <v>N/A</v>
      </c>
      <c r="P18" s="33"/>
      <c r="Q18" s="33"/>
      <c r="R18" s="23" t="str">
        <f>_sheetContentTranslation_A_159</f>
        <v>N/A - significant component</v>
      </c>
      <c r="S18" s="141" t="str">
        <f>_sheetContentTranslation_A_158</f>
        <v>N/A</v>
      </c>
      <c r="T18" s="141" t="str">
        <f>_sheetContentTranslation_A_158</f>
        <v>N/A</v>
      </c>
      <c r="U18" s="33"/>
      <c r="V18" s="144"/>
      <c r="W18" s="139"/>
      <c r="X18" s="33"/>
      <c r="Y18" s="3" t="str">
        <f>_sheetContentTranslation_A_36</f>
        <v>x</v>
      </c>
      <c r="Z18" s="5" t="str">
        <f ca="1">IFERROR(SUMIFS(OFFSET('Data input'!$C:$C,,MATCH('Scoping input'!$B18,'Data input'!$C$8:$L$8,0)-1,,),'Data input'!$C:$C,'Scoping input'!Z$11),"")</f>
        <v/>
      </c>
      <c r="AA18" s="113" t="str">
        <f ca="1">IFERROR(Z18/Z$21,"")</f>
        <v/>
      </c>
      <c r="AD18" t="str">
        <f>_sheetContentTranslation_A_185&amp;AE18</f>
        <v>Comp_</v>
      </c>
    </row>
    <row r="19" spans="1:31" ht="15" customHeight="1">
      <c r="A19" s="48"/>
      <c r="B19" s="176" t="str">
        <f>_sheetContentTranslation_A_39</f>
        <v>Adjustments</v>
      </c>
      <c r="C19" s="177"/>
      <c r="D19" s="178"/>
      <c r="E19" s="5">
        <f ca="1">SUMIFS(OFFSET('Data input'!$C:$C,,MATCH('Scoping input'!$B19,'Data input'!$C$8:$M$8,0)-1,,),'Data input'!$C:$C,'Scoping input'!E$11)</f>
        <v>0</v>
      </c>
      <c r="F19" s="114" t="str">
        <f ca="1">IFERROR(E19/E$21,"")</f>
        <v/>
      </c>
      <c r="G19" s="5">
        <f ca="1">SUMIFS(OFFSET('Data input'!$C:$C,,MATCH('Scoping input'!$B19,'Data input'!$C$8:$M$8,0)-1,,),'Data input'!$C:$C,'Scoping input'!G$11)</f>
        <v>0</v>
      </c>
      <c r="H19" s="114" t="str">
        <f ca="1">IFERROR(G19/G$21,"")</f>
        <v/>
      </c>
      <c r="I19" s="5">
        <f ca="1">SUMIFS(OFFSET('Data input'!$C:$C,,MATCH('Scoping input'!$B19,'Data input'!$C$8:$M$8,0)-1,,),'Data input'!$C:$C,'Scoping input'!I$11)</f>
        <v>0</v>
      </c>
      <c r="J19" s="114" t="str">
        <f ca="1">IFERROR(I19/I$21,"")</f>
        <v/>
      </c>
      <c r="K19" s="5">
        <f ca="1">SUMIFS(OFFSET('Data input'!$C:$C,,MATCH('Scoping input'!$B19,'Data input'!$C$8:$M$8,0)-1,,),'Data input'!$C:$C,'Scoping input'!K$11)</f>
        <v>0</v>
      </c>
      <c r="L19" s="114" t="str">
        <f ca="1">IFERROR(K19/K$21,"")</f>
        <v/>
      </c>
      <c r="Z19" s="5">
        <f ca="1">SUMIFS(OFFSET('Data input'!$C:$C,,MATCH('Scoping input'!$B19,'Data input'!$C$8:$M$8,0)-1,,),'Data input'!$C:$C,'Scoping input'!Z$11)</f>
        <v>0</v>
      </c>
      <c r="AA19" s="114" t="str">
        <f ca="1">IFERROR(Z19/Z$21,"")</f>
        <v/>
      </c>
    </row>
    <row r="20" spans="1:31" ht="15" customHeight="1">
      <c r="A20" s="48"/>
      <c r="B20" s="176" t="str">
        <f>_sheetContentTranslation_A_40</f>
        <v>Eliminations</v>
      </c>
      <c r="C20" s="177"/>
      <c r="D20" s="178"/>
      <c r="E20" s="5">
        <f ca="1">SUMIFS(OFFSET('Data input'!$C:$C,,MATCH('Scoping input'!$B20,'Data input'!$C$8:$M$8,0)-1,,),'Data input'!$C:$C,'Scoping input'!E$11)</f>
        <v>0</v>
      </c>
      <c r="F20" s="114" t="str">
        <f ca="1">IFERROR(E20/E$21,"")</f>
        <v/>
      </c>
      <c r="G20" s="5">
        <f ca="1">SUMIFS(OFFSET('Data input'!$C:$C,,MATCH('Scoping input'!$B20,'Data input'!$C$8:$M$8,0)-1,,),'Data input'!$C:$C,'Scoping input'!G$11)</f>
        <v>0</v>
      </c>
      <c r="H20" s="114" t="str">
        <f ca="1">IFERROR(G20/G$21,"")</f>
        <v/>
      </c>
      <c r="I20" s="5">
        <f ca="1">SUMIFS(OFFSET('Data input'!$C:$C,,MATCH('Scoping input'!$B20,'Data input'!$C$8:$M$8,0)-1,,),'Data input'!$C:$C,'Scoping input'!I$11)</f>
        <v>0</v>
      </c>
      <c r="J20" s="114" t="str">
        <f ca="1">IFERROR(I20/I$21,"")</f>
        <v/>
      </c>
      <c r="K20" s="5">
        <f ca="1">SUMIFS(OFFSET('Data input'!$C:$C,,MATCH('Scoping input'!$B20,'Data input'!$C$8:$M$8,0)-1,,),'Data input'!$C:$C,'Scoping input'!K$11)</f>
        <v>0</v>
      </c>
      <c r="L20" s="114" t="str">
        <f ca="1">IFERROR(K20/K$21,"")</f>
        <v/>
      </c>
      <c r="Z20" s="5">
        <f ca="1">SUMIFS(OFFSET('Data input'!$C:$C,,MATCH('Scoping input'!$B20,'Data input'!$C$8:$M$8,0)-1,,),'Data input'!$C:$C,'Scoping input'!Z$11)</f>
        <v>0</v>
      </c>
      <c r="AA20" s="114" t="str">
        <f ca="1">IFERROR(Z20/Z$21,"")</f>
        <v/>
      </c>
    </row>
    <row r="21" spans="1:31" ht="15" customHeight="1">
      <c r="A21" s="48"/>
      <c r="B21" s="176" t="str">
        <f>_sheetContentTranslation_A_41</f>
        <v>Consolidated total</v>
      </c>
      <c r="C21" s="177"/>
      <c r="D21" s="178"/>
      <c r="E21" s="5">
        <f ca="1">SUM(E$12:E$20)</f>
        <v>0</v>
      </c>
      <c r="F21" s="114" t="str">
        <f ca="1">IFERROR(E21/E$21,"")</f>
        <v/>
      </c>
      <c r="G21" s="5">
        <f ca="1">SUM(G$12:G$20)</f>
        <v>0</v>
      </c>
      <c r="H21" s="114" t="str">
        <f ca="1">IFERROR(G21/G$21,"")</f>
        <v/>
      </c>
      <c r="I21" s="5">
        <f ca="1">SUM(I$12:I$20)</f>
        <v>0</v>
      </c>
      <c r="J21" s="114" t="str">
        <f ca="1">IFERROR(I21/I$21,"")</f>
        <v/>
      </c>
      <c r="K21" s="5">
        <f ca="1">SUM(K$12:K$20)</f>
        <v>0</v>
      </c>
      <c r="L21" s="114" t="str">
        <f ca="1">IFERROR(K21/K$21,"")</f>
        <v/>
      </c>
      <c r="Z21" s="5">
        <f ca="1">SUM(Z$12:Z$20)</f>
        <v>0</v>
      </c>
      <c r="AA21" s="114" t="str">
        <f ca="1">IFERROR(Z21/Z$21,"")</f>
        <v/>
      </c>
    </row>
  </sheetData>
  <sheetProtection algorithmName="SHA-512" hashValue="f2nRqaf0Ukqt0nT/NpdyADsdjQkQSb3a7fLK5ytad93i5a1OFy1OpecFbcWi3fUvhrvP2E6qTWRRhDLDzcIexg==" saltValue="/KCVx0YMExZia2mu9ozi7w==" spinCount="100000" sheet="1" objects="1" scenarios="1" formatCells="0" formatRows="0" insertRows="0" deleteRows="0"/>
  <mergeCells count="23">
    <mergeCell ref="B4:C4"/>
    <mergeCell ref="B5:C5"/>
    <mergeCell ref="B6:C6"/>
    <mergeCell ref="E9:F9"/>
    <mergeCell ref="B7:C7"/>
    <mergeCell ref="B21:D21"/>
    <mergeCell ref="Z10:AA10"/>
    <mergeCell ref="Z11:AA11"/>
    <mergeCell ref="E11:F11"/>
    <mergeCell ref="E10:F10"/>
    <mergeCell ref="M10:O10"/>
    <mergeCell ref="G10:H10"/>
    <mergeCell ref="G11:H11"/>
    <mergeCell ref="Z9:AA9"/>
    <mergeCell ref="B19:D19"/>
    <mergeCell ref="B20:D20"/>
    <mergeCell ref="G9:H9"/>
    <mergeCell ref="K9:L9"/>
    <mergeCell ref="K10:L10"/>
    <mergeCell ref="K11:L11"/>
    <mergeCell ref="I9:J9"/>
    <mergeCell ref="I10:J10"/>
    <mergeCell ref="I11:J11"/>
  </mergeCells>
  <conditionalFormatting sqref="P12:R12 D7">
    <cfRule type="expression" dxfId="69" priority="804">
      <formula>D7=""</formula>
    </cfRule>
  </conditionalFormatting>
  <conditionalFormatting sqref="U12:W12">
    <cfRule type="expression" dxfId="68" priority="801">
      <formula>U12=""</formula>
    </cfRule>
  </conditionalFormatting>
  <conditionalFormatting sqref="E11:F11">
    <cfRule type="expression" dxfId="67" priority="799">
      <formula>E11=""</formula>
    </cfRule>
  </conditionalFormatting>
  <conditionalFormatting sqref="D6">
    <cfRule type="expression" dxfId="66" priority="789">
      <formula>D6=""</formula>
    </cfRule>
  </conditionalFormatting>
  <conditionalFormatting sqref="Q14">
    <cfRule type="expression" dxfId="65" priority="421">
      <formula>Q14=""</formula>
    </cfRule>
  </conditionalFormatting>
  <conditionalFormatting sqref="U14:W14">
    <cfRule type="expression" dxfId="64" priority="420">
      <formula>U14=""</formula>
    </cfRule>
  </conditionalFormatting>
  <conditionalFormatting sqref="P13">
    <cfRule type="expression" dxfId="63" priority="452">
      <formula>P13=""</formula>
    </cfRule>
  </conditionalFormatting>
  <conditionalFormatting sqref="Q13">
    <cfRule type="expression" dxfId="62" priority="451">
      <formula>Q13=""</formula>
    </cfRule>
  </conditionalFormatting>
  <conditionalFormatting sqref="U13:W13">
    <cfRule type="expression" dxfId="61" priority="450">
      <formula>U13=""</formula>
    </cfRule>
  </conditionalFormatting>
  <conditionalFormatting sqref="P14">
    <cfRule type="expression" dxfId="60" priority="422">
      <formula>P14=""</formula>
    </cfRule>
  </conditionalFormatting>
  <conditionalFormatting sqref="S12:T12">
    <cfRule type="expression" dxfId="59" priority="372">
      <formula>S12=""</formula>
    </cfRule>
  </conditionalFormatting>
  <conditionalFormatting sqref="S13:T13">
    <cfRule type="expression" dxfId="58" priority="371">
      <formula>S13=""</formula>
    </cfRule>
  </conditionalFormatting>
  <conditionalFormatting sqref="S14:T14">
    <cfRule type="expression" dxfId="57" priority="370">
      <formula>S14=""</formula>
    </cfRule>
  </conditionalFormatting>
  <conditionalFormatting sqref="S18:T18">
    <cfRule type="expression" dxfId="56" priority="286">
      <formula>S18=""</formula>
    </cfRule>
  </conditionalFormatting>
  <conditionalFormatting sqref="P18:Q18">
    <cfRule type="expression" dxfId="55" priority="290">
      <formula>P18=""</formula>
    </cfRule>
  </conditionalFormatting>
  <conditionalFormatting sqref="U18:W18">
    <cfRule type="expression" dxfId="54" priority="289">
      <formula>U18=""</formula>
    </cfRule>
  </conditionalFormatting>
  <conditionalFormatting sqref="Z11:AA11">
    <cfRule type="expression" dxfId="53" priority="270">
      <formula>Z11=""</formula>
    </cfRule>
  </conditionalFormatting>
  <conditionalFormatting sqref="S15:T15">
    <cfRule type="expression" dxfId="52" priority="142">
      <formula>S15=""</formula>
    </cfRule>
  </conditionalFormatting>
  <conditionalFormatting sqref="P15:Q15">
    <cfRule type="expression" dxfId="51" priority="145">
      <formula>P15=""</formula>
    </cfRule>
  </conditionalFormatting>
  <conditionalFormatting sqref="U15:W15">
    <cfRule type="expression" dxfId="50" priority="144">
      <formula>U15=""</formula>
    </cfRule>
  </conditionalFormatting>
  <conditionalFormatting sqref="M18:O18 M12:O15">
    <cfRule type="containsBlanks" dxfId="49" priority="115">
      <formula>LEN(TRIM(M12))=0</formula>
    </cfRule>
  </conditionalFormatting>
  <conditionalFormatting sqref="R13:R15">
    <cfRule type="expression" dxfId="48" priority="106">
      <formula>R13=""</formula>
    </cfRule>
  </conditionalFormatting>
  <conditionalFormatting sqref="R18">
    <cfRule type="expression" dxfId="47" priority="105">
      <formula>R18=""</formula>
    </cfRule>
  </conditionalFormatting>
  <conditionalFormatting sqref="G11:H11">
    <cfRule type="expression" dxfId="46" priority="104">
      <formula>G11=""</formula>
    </cfRule>
  </conditionalFormatting>
  <conditionalFormatting sqref="S16:T16">
    <cfRule type="expression" dxfId="45" priority="75">
      <formula>S16=""</formula>
    </cfRule>
  </conditionalFormatting>
  <conditionalFormatting sqref="P16:Q16">
    <cfRule type="expression" dxfId="44" priority="78">
      <formula>P16=""</formula>
    </cfRule>
  </conditionalFormatting>
  <conditionalFormatting sqref="U16:W16">
    <cfRule type="expression" dxfId="43" priority="77">
      <formula>U16=""</formula>
    </cfRule>
  </conditionalFormatting>
  <conditionalFormatting sqref="M16:O16">
    <cfRule type="containsBlanks" dxfId="42" priority="73">
      <formula>LEN(TRIM(M16))=0</formula>
    </cfRule>
  </conditionalFormatting>
  <conditionalFormatting sqref="R16">
    <cfRule type="expression" dxfId="41" priority="71">
      <formula>R16=""</formula>
    </cfRule>
  </conditionalFormatting>
  <conditionalFormatting sqref="M12:N14">
    <cfRule type="expression" dxfId="40" priority="815" stopIfTrue="1">
      <formula>R23=_sheetContentTranslation_A_183</formula>
    </cfRule>
  </conditionalFormatting>
  <conditionalFormatting sqref="E12:F12">
    <cfRule type="expression" dxfId="39" priority="816" stopIfTrue="1">
      <formula>$D23=_sheetContentTranslation_A_183</formula>
    </cfRule>
  </conditionalFormatting>
  <conditionalFormatting sqref="E19:E21">
    <cfRule type="expression" dxfId="38" priority="817" stopIfTrue="1">
      <formula>$D37=_sheetContentTranslation_A_183</formula>
    </cfRule>
  </conditionalFormatting>
  <conditionalFormatting sqref="E13:F13">
    <cfRule type="expression" dxfId="37" priority="818" stopIfTrue="1">
      <formula>$D25=_sheetContentTranslation_A_183</formula>
    </cfRule>
  </conditionalFormatting>
  <conditionalFormatting sqref="E14:F14">
    <cfRule type="expression" dxfId="36" priority="819" stopIfTrue="1">
      <formula>$D27=_sheetContentTranslation_A_183</formula>
    </cfRule>
  </conditionalFormatting>
  <conditionalFormatting sqref="M18:N18">
    <cfRule type="expression" dxfId="35" priority="820" stopIfTrue="1">
      <formula>R35=_sheetContentTranslation_A_183</formula>
    </cfRule>
  </conditionalFormatting>
  <conditionalFormatting sqref="E18:F18">
    <cfRule type="expression" dxfId="34" priority="821" stopIfTrue="1">
      <formula>$D35=_sheetContentTranslation_A_183</formula>
    </cfRule>
  </conditionalFormatting>
  <conditionalFormatting sqref="Z12:AA12">
    <cfRule type="expression" dxfId="33" priority="822" stopIfTrue="1">
      <formula>$D23=_sheetContentTranslation_A_183</formula>
    </cfRule>
  </conditionalFormatting>
  <conditionalFormatting sqref="Z19:Z21">
    <cfRule type="expression" dxfId="32" priority="823" stopIfTrue="1">
      <formula>$D37=_sheetContentTranslation_A_183</formula>
    </cfRule>
  </conditionalFormatting>
  <conditionalFormatting sqref="Z13:AA13">
    <cfRule type="expression" dxfId="31" priority="824" stopIfTrue="1">
      <formula>$D25=_sheetContentTranslation_A_183</formula>
    </cfRule>
  </conditionalFormatting>
  <conditionalFormatting sqref="Z14:AA14">
    <cfRule type="expression" dxfId="30" priority="825" stopIfTrue="1">
      <formula>$D27=_sheetContentTranslation_A_183</formula>
    </cfRule>
  </conditionalFormatting>
  <conditionalFormatting sqref="Z18:AA18">
    <cfRule type="expression" dxfId="29" priority="826" stopIfTrue="1">
      <formula>$D35=_sheetContentTranslation_A_183</formula>
    </cfRule>
  </conditionalFormatting>
  <conditionalFormatting sqref="M15:N15">
    <cfRule type="expression" dxfId="28" priority="827" stopIfTrue="1">
      <formula>R29=_sheetContentTranslation_A_183</formula>
    </cfRule>
  </conditionalFormatting>
  <conditionalFormatting sqref="E15:F15">
    <cfRule type="expression" dxfId="27" priority="828" stopIfTrue="1">
      <formula>$D29=_sheetContentTranslation_A_183</formula>
    </cfRule>
  </conditionalFormatting>
  <conditionalFormatting sqref="Z15:AA15">
    <cfRule type="expression" dxfId="26" priority="829" stopIfTrue="1">
      <formula>$D29=_sheetContentTranslation_A_183</formula>
    </cfRule>
  </conditionalFormatting>
  <conditionalFormatting sqref="G12:H12">
    <cfRule type="expression" dxfId="25" priority="836" stopIfTrue="1">
      <formula>$D23=_sheetContentTranslation_A_183</formula>
    </cfRule>
  </conditionalFormatting>
  <conditionalFormatting sqref="G19:G21">
    <cfRule type="expression" dxfId="24" priority="837" stopIfTrue="1">
      <formula>$D37=_sheetContentTranslation_A_183</formula>
    </cfRule>
  </conditionalFormatting>
  <conditionalFormatting sqref="G13:H13">
    <cfRule type="expression" dxfId="23" priority="838" stopIfTrue="1">
      <formula>$D25=_sheetContentTranslation_A_183</formula>
    </cfRule>
  </conditionalFormatting>
  <conditionalFormatting sqref="G14:H14">
    <cfRule type="expression" dxfId="22" priority="839" stopIfTrue="1">
      <formula>$D27=_sheetContentTranslation_A_183</formula>
    </cfRule>
  </conditionalFormatting>
  <conditionalFormatting sqref="G18:H18">
    <cfRule type="expression" dxfId="21" priority="840" stopIfTrue="1">
      <formula>$D35=_sheetContentTranslation_A_183</formula>
    </cfRule>
  </conditionalFormatting>
  <conditionalFormatting sqref="G15:H15">
    <cfRule type="expression" dxfId="20" priority="841" stopIfTrue="1">
      <formula>$D29=_sheetContentTranslation_A_183</formula>
    </cfRule>
  </conditionalFormatting>
  <conditionalFormatting sqref="M16:N16">
    <cfRule type="expression" dxfId="19" priority="842" stopIfTrue="1">
      <formula>R31=_sheetContentTranslation_A_183</formula>
    </cfRule>
  </conditionalFormatting>
  <conditionalFormatting sqref="E16:F16">
    <cfRule type="expression" dxfId="18" priority="843" stopIfTrue="1">
      <formula>$D31=_sheetContentTranslation_A_183</formula>
    </cfRule>
  </conditionalFormatting>
  <conditionalFormatting sqref="Z16:AA16">
    <cfRule type="expression" dxfId="17" priority="844" stopIfTrue="1">
      <formula>$D31=_sheetContentTranslation_A_183</formula>
    </cfRule>
  </conditionalFormatting>
  <conditionalFormatting sqref="G16:H16">
    <cfRule type="expression" dxfId="16" priority="846" stopIfTrue="1">
      <formula>$D31=_sheetContentTranslation_A_183</formula>
    </cfRule>
  </conditionalFormatting>
  <conditionalFormatting sqref="I11:J11">
    <cfRule type="expression" dxfId="15" priority="20">
      <formula>I11=""</formula>
    </cfRule>
  </conditionalFormatting>
  <conditionalFormatting sqref="I12:J12">
    <cfRule type="expression" dxfId="14" priority="21" stopIfTrue="1">
      <formula>$D23=_sheetContentTranslation_A_183</formula>
    </cfRule>
  </conditionalFormatting>
  <conditionalFormatting sqref="I19:I21">
    <cfRule type="expression" dxfId="13" priority="22" stopIfTrue="1">
      <formula>$D37=_sheetContentTranslation_A_183</formula>
    </cfRule>
  </conditionalFormatting>
  <conditionalFormatting sqref="I13:J13">
    <cfRule type="expression" dxfId="12" priority="23" stopIfTrue="1">
      <formula>$D25=_sheetContentTranslation_A_183</formula>
    </cfRule>
  </conditionalFormatting>
  <conditionalFormatting sqref="I14:J14">
    <cfRule type="expression" dxfId="11" priority="24" stopIfTrue="1">
      <formula>$D27=_sheetContentTranslation_A_183</formula>
    </cfRule>
  </conditionalFormatting>
  <conditionalFormatting sqref="I18:J18">
    <cfRule type="expression" dxfId="10" priority="25" stopIfTrue="1">
      <formula>$D35=_sheetContentTranslation_A_183</formula>
    </cfRule>
  </conditionalFormatting>
  <conditionalFormatting sqref="I15:J15">
    <cfRule type="expression" dxfId="9" priority="26" stopIfTrue="1">
      <formula>$D29=_sheetContentTranslation_A_183</formula>
    </cfRule>
  </conditionalFormatting>
  <conditionalFormatting sqref="I16:J16">
    <cfRule type="expression" dxfId="8" priority="27" stopIfTrue="1">
      <formula>$D31=_sheetContentTranslation_A_183</formula>
    </cfRule>
  </conditionalFormatting>
  <conditionalFormatting sqref="K11:L11">
    <cfRule type="expression" dxfId="7" priority="12">
      <formula>K11=""</formula>
    </cfRule>
  </conditionalFormatting>
  <conditionalFormatting sqref="K12:L12">
    <cfRule type="expression" dxfId="6" priority="13" stopIfTrue="1">
      <formula>$D23=_sheetContentTranslation_A_183</formula>
    </cfRule>
  </conditionalFormatting>
  <conditionalFormatting sqref="K19:K21">
    <cfRule type="expression" dxfId="5" priority="14" stopIfTrue="1">
      <formula>$D37=_sheetContentTranslation_A_183</formula>
    </cfRule>
  </conditionalFormatting>
  <conditionalFormatting sqref="K13:L13">
    <cfRule type="expression" dxfId="4" priority="15" stopIfTrue="1">
      <formula>$D25=_sheetContentTranslation_A_183</formula>
    </cfRule>
  </conditionalFormatting>
  <conditionalFormatting sqref="K14:L14">
    <cfRule type="expression" dxfId="3" priority="16" stopIfTrue="1">
      <formula>$D27=_sheetContentTranslation_A_183</formula>
    </cfRule>
  </conditionalFormatting>
  <conditionalFormatting sqref="K18:L18">
    <cfRule type="expression" dxfId="2" priority="17" stopIfTrue="1">
      <formula>$D35=_sheetContentTranslation_A_183</formula>
    </cfRule>
  </conditionalFormatting>
  <conditionalFormatting sqref="K15:L15">
    <cfRule type="expression" dxfId="1" priority="18" stopIfTrue="1">
      <formula>$D29=_sheetContentTranslation_A_183</formula>
    </cfRule>
  </conditionalFormatting>
  <conditionalFormatting sqref="K16:L16">
    <cfRule type="expression" dxfId="0" priority="19" stopIfTrue="1">
      <formula>$D31=_sheetContentTranslation_A_183</formula>
    </cfRule>
  </conditionalFormatting>
  <dataValidations count="9">
    <dataValidation type="list" allowBlank="1" showInputMessage="1" showErrorMessage="1" sqref="P18 P12:P16" xr:uid="{00000000-0002-0000-0300-000000000000}">
      <formula1>Component_significance</formula1>
    </dataValidation>
    <dataValidation type="list" allowBlank="1" showInputMessage="1" showErrorMessage="1" sqref="V18 V12:V16" xr:uid="{00000000-0002-0000-0300-000001000000}">
      <formula1>ComponentFirm</formula1>
    </dataValidation>
    <dataValidation type="list" allowBlank="1" showInputMessage="1" showErrorMessage="1" sqref="W18 W12:W16" xr:uid="{00000000-0002-0000-0300-000002000000}">
      <formula1>YesNo</formula1>
    </dataValidation>
    <dataValidation type="custom" allowBlank="1" showInputMessage="1" showErrorMessage="1" errorTitle="Number" error="Value must be a number." sqref="D6" xr:uid="{00000000-0002-0000-0300-000003000000}">
      <formula1>ISNUMBER(D6)</formula1>
    </dataValidation>
    <dataValidation allowBlank="1" showInputMessage="1" showErrorMessage="1" errorTitle="Number" error="Value must be a number." sqref="E18 M18:O18 Z18 G18 M12:O16 G12:G16 Z12:Z16 I12:I16 I18 K12:K16 K18 E12:E16" xr:uid="{00000000-0002-0000-0300-000004000000}"/>
    <dataValidation type="decimal" allowBlank="1" showInputMessage="1" showErrorMessage="1" errorTitle="Group performance materiality" error="Group performance materiality must be greater than zero and less than 75% of group materiality." sqref="D7" xr:uid="{00000000-0002-0000-0300-000005000000}">
      <formula1>0.001</formula1>
      <formula2>Scoping_Group_Materiality*0.75</formula2>
    </dataValidation>
    <dataValidation allowBlank="1" showInputMessage="1" showErrorMessage="1" prompt="Select yes if component auditor is performing a standalone audit for legal, regulatory, or other reasons, including when making reference." sqref="W10" xr:uid="{00000000-0002-0000-0300-000006000000}"/>
    <dataValidation type="list" allowBlank="1" showInputMessage="1" showErrorMessage="1" sqref="R18 R12:R16" xr:uid="{00000000-0002-0000-0300-000007000000}">
      <formula1>Component_Risk</formula1>
    </dataValidation>
    <dataValidation allowBlank="1" showInputMessage="1" showErrorMessage="1" prompt="Documentation may include, for example, matters related to component significance, component materiality, or component performance materiality. It may also include other materiality or performance materiality amounts to be used for components." sqref="X10" xr:uid="{B78390FF-3588-41BE-B999-53FEFE86EC36}"/>
  </dataValidations>
  <hyperlinks>
    <hyperlink ref="Z9:AA9" location="'Scoping input'!sh_Home" display="x" xr:uid="{00000000-0004-0000-0300-000000000000}"/>
    <hyperlink ref="D10" location="'Scoping input'!sh_Home" display="+" xr:uid="{00000000-0004-0000-0300-000001000000}"/>
    <hyperlink ref="G9:H9" location="'Scoping input'!sh_Home" display="x" xr:uid="{00000000-0004-0000-0300-000003000000}"/>
    <hyperlink ref="I9:J9" location="'Scoping input'!sh_Home" display="x" xr:uid="{A0083CD7-89CF-416E-94F3-BF5444B712D9}"/>
    <hyperlink ref="K9:L9" location="'Scoping input'!sh_Home" display="x" xr:uid="{98E8C808-5665-491E-B365-8BAB2068E862}"/>
  </hyperlinks>
  <pageMargins left="0.7" right="0.7" top="0.75" bottom="0.75" header="0.3" footer="0.3"/>
  <pageSetup orientation="portrait"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ummary"/>
  <dimension ref="B1:Z129"/>
  <sheetViews>
    <sheetView showGridLines="0" zoomScaleNormal="100" workbookViewId="0">
      <pane xSplit="2" ySplit="9" topLeftCell="C42" activePane="bottomRight" state="frozen"/>
      <selection pane="bottomRight" activeCell="C42" sqref="C42"/>
      <selection pane="bottomLeft" activeCell="A10" sqref="A10"/>
      <selection pane="topRight" activeCell="C1" sqref="C1"/>
    </sheetView>
  </sheetViews>
  <sheetFormatPr defaultRowHeight="9.9499999999999993"/>
  <cols>
    <col min="1" max="1" width="3.83203125" customWidth="1"/>
    <col min="2" max="2" width="35.83203125" customWidth="1"/>
    <col min="3" max="5" width="20.83203125" customWidth="1"/>
    <col min="6" max="6" width="3.83203125" customWidth="1"/>
    <col min="7" max="12" width="20.83203125" customWidth="1"/>
    <col min="13" max="13" width="3.83203125" customWidth="1"/>
    <col min="14" max="19" width="20.83203125" customWidth="1"/>
    <col min="20" max="20" width="3.83203125" customWidth="1"/>
    <col min="21" max="23" width="50.83203125" customWidth="1"/>
    <col min="25" max="25" width="20.83203125" hidden="1" customWidth="1"/>
  </cols>
  <sheetData>
    <row r="1" spans="2:25">
      <c r="X1" s="48"/>
    </row>
    <row r="2" spans="2:25" ht="15.6">
      <c r="B2" s="1" t="str">
        <f>_sheetContentTranslation_A_160</f>
        <v>Summary by type of work to be performed report</v>
      </c>
      <c r="X2" s="48"/>
    </row>
    <row r="3" spans="2:25">
      <c r="X3" s="48"/>
    </row>
    <row r="4" spans="2:25" ht="15" customHeight="1">
      <c r="B4" s="148" t="str">
        <f>_sheetContentTranslation_A_33</f>
        <v>Name of group</v>
      </c>
      <c r="C4" s="184" t="str">
        <f>IF(Data_Engagement_Name="","",Data_Engagement_Name)</f>
        <v/>
      </c>
      <c r="D4" s="184"/>
      <c r="X4" s="48"/>
    </row>
    <row r="5" spans="2:25" ht="15" customHeight="1">
      <c r="B5" s="148" t="str">
        <f>_sheetContentTranslation_A_34</f>
        <v>Group period-end date</v>
      </c>
      <c r="C5" s="185" t="str">
        <f>IF(Data_Period_End="","",Data_Period_End)</f>
        <v/>
      </c>
      <c r="D5" s="185"/>
      <c r="N5" s="172" t="str">
        <f>_sheetContentTranslation_A_161</f>
        <v>Sum of amounts not included in the audit of one or more classes of transactions, account balances, or disclosures and specified audit procedures</v>
      </c>
      <c r="O5" s="172"/>
      <c r="P5" s="172" t="str">
        <f>_sheetContentTranslation_A_162</f>
        <v>Sum of amounts included in review of financial information and analytical procedures at group level</v>
      </c>
      <c r="Q5" s="172"/>
      <c r="R5" s="172" t="str">
        <f>_sheetContentTranslation_A_163</f>
        <v>Sum of amounts included in an audit of financial information, audit of one or more classes of transactions, account balances, or disclosures and specified audit procedures</v>
      </c>
      <c r="S5" s="172"/>
      <c r="X5" s="48"/>
    </row>
    <row r="6" spans="2:25" ht="15" customHeight="1">
      <c r="N6" s="172"/>
      <c r="O6" s="172"/>
      <c r="P6" s="172"/>
      <c r="Q6" s="172"/>
      <c r="R6" s="172"/>
      <c r="S6" s="172"/>
      <c r="X6" s="48"/>
    </row>
    <row r="7" spans="2:25" ht="12.95">
      <c r="N7" s="172"/>
      <c r="O7" s="172"/>
      <c r="P7" s="172"/>
      <c r="Q7" s="172"/>
      <c r="R7" s="172"/>
      <c r="S7" s="172"/>
      <c r="W7" s="135" t="str">
        <f>_sheetContentTranslation_A_144</f>
        <v>!</v>
      </c>
      <c r="X7" s="48"/>
    </row>
    <row r="8" spans="2:25" ht="12.75" customHeight="1">
      <c r="I8" s="142" t="str">
        <f>_sheetContentTranslation_A_144</f>
        <v>!</v>
      </c>
      <c r="J8" s="142" t="str">
        <f>_sheetContentTranslation_A_144</f>
        <v>!</v>
      </c>
      <c r="N8" s="172"/>
      <c r="O8" s="172"/>
      <c r="P8" s="172"/>
      <c r="Q8" s="172"/>
      <c r="R8" s="172"/>
      <c r="S8" s="172"/>
      <c r="U8" s="186" t="str">
        <f>_sheetContentTranslation_A_164</f>
        <v>Notes</v>
      </c>
      <c r="V8" s="186"/>
      <c r="W8" s="186"/>
      <c r="X8" s="48"/>
    </row>
    <row r="9" spans="2:25" ht="56.25" customHeight="1">
      <c r="B9" s="149"/>
      <c r="C9" s="130" t="str">
        <f>_sheetContentTranslation_A_41</f>
        <v>Consolidated total</v>
      </c>
      <c r="D9" s="130" t="str">
        <f>_sheetContentTranslation_A_40</f>
        <v>Eliminations</v>
      </c>
      <c r="E9" s="130" t="str">
        <f>_sheetContentTranslation_A_39</f>
        <v>Adjustments</v>
      </c>
      <c r="F9" s="50"/>
      <c r="G9" s="130" t="str">
        <f>_sheetContentTranslation_A_165</f>
        <v>Audit of financial information - assume responsibility</v>
      </c>
      <c r="H9" s="130" t="str">
        <f>_sheetContentTranslation_A_166</f>
        <v>Audit of financial information - make reference</v>
      </c>
      <c r="I9" s="130" t="str">
        <f>_sheetContentTranslation_A_167</f>
        <v>Audit of one or more classes of transactions, account balances, or disclosures</v>
      </c>
      <c r="J9" s="130" t="str">
        <f>_sheetContentTranslation_A_168</f>
        <v>Specified audit procedures</v>
      </c>
      <c r="K9" s="130" t="str">
        <f>_sheetContentTranslation_A_169</f>
        <v>Review of financial information</v>
      </c>
      <c r="L9" s="130" t="str">
        <f>_sheetContentTranslation_A_170</f>
        <v>Analytical procedures at group level</v>
      </c>
      <c r="M9" s="50"/>
      <c r="N9" s="130" t="str">
        <f>_sheetContentTranslation_A_171</f>
        <v>Amount</v>
      </c>
      <c r="O9" s="130" t="str">
        <f>_sheetContentTranslation_A_172</f>
        <v>Amount (%)</v>
      </c>
      <c r="P9" s="130" t="str">
        <f>_sheetContentTranslation_A_171</f>
        <v>Amount</v>
      </c>
      <c r="Q9" s="130" t="str">
        <f>_sheetContentTranslation_A_172</f>
        <v>Amount (%)</v>
      </c>
      <c r="R9" s="130" t="str">
        <f>_sheetContentTranslation_A_171</f>
        <v>Amount</v>
      </c>
      <c r="S9" s="130" t="str">
        <f>_sheetContentTranslation_A_172</f>
        <v>Amount (%)</v>
      </c>
      <c r="T9" s="50"/>
      <c r="U9" s="130" t="str">
        <f>_sheetContentTranslation_A_173</f>
        <v>Areas in which substantive procedures or tests of controls will be performed by group engagement team</v>
      </c>
      <c r="V9" s="130" t="str">
        <f>_sheetContentTranslation_A_174</f>
        <v>Nonsubstantive analytical procedures to be performed by group engagement team at component level</v>
      </c>
      <c r="W9" s="130" t="str">
        <f>_sheetContentTranslation_A_157</f>
        <v>Significant professional judgments or other comments, if any</v>
      </c>
      <c r="X9" s="48"/>
      <c r="Y9" s="130"/>
    </row>
    <row r="10" spans="2:25" ht="15.95" thickBot="1">
      <c r="B10" s="14" t="str">
        <f>IF('Data input'!$C13="","",'Data input'!$C13)</f>
        <v>Balance sheet</v>
      </c>
      <c r="C10" s="14"/>
      <c r="D10" s="14"/>
      <c r="E10" s="14"/>
      <c r="F10" s="50"/>
      <c r="G10" s="14"/>
      <c r="H10" s="14"/>
      <c r="I10" s="24"/>
      <c r="J10" s="24"/>
      <c r="K10" s="14"/>
      <c r="L10" s="14"/>
      <c r="M10" s="50"/>
      <c r="N10" s="14"/>
      <c r="O10" s="14"/>
      <c r="P10" s="14"/>
      <c r="Q10" s="14"/>
      <c r="R10" s="14"/>
      <c r="S10" s="14"/>
      <c r="T10" s="50"/>
      <c r="U10" s="24"/>
      <c r="V10" s="24"/>
      <c r="W10" s="24"/>
      <c r="X10" s="48"/>
      <c r="Y10" s="14"/>
    </row>
    <row r="11" spans="2:25">
      <c r="B11" s="15" t="str">
        <f>IF('Data input'!$C14="","",'Data input'!$C14)</f>
        <v/>
      </c>
      <c r="C11" s="15"/>
      <c r="D11" s="15"/>
      <c r="E11" s="15"/>
      <c r="F11" s="50"/>
      <c r="G11" s="15"/>
      <c r="H11" s="15"/>
      <c r="I11" s="58"/>
      <c r="J11" s="58"/>
      <c r="K11" s="15"/>
      <c r="L11" s="15"/>
      <c r="M11" s="50"/>
      <c r="N11" s="15"/>
      <c r="O11" s="15"/>
      <c r="P11" s="15"/>
      <c r="Q11" s="15"/>
      <c r="R11" s="15"/>
      <c r="S11" s="15"/>
      <c r="T11" s="50"/>
      <c r="U11" s="29"/>
      <c r="V11" s="29"/>
      <c r="W11" s="29"/>
      <c r="X11" s="48"/>
      <c r="Y11" s="15"/>
    </row>
    <row r="12" spans="2:25" ht="10.5">
      <c r="B12" s="16" t="str">
        <f>IF('Data input'!$C15="","",'Data input'!$C15)</f>
        <v>Current assets</v>
      </c>
      <c r="C12" s="16"/>
      <c r="D12" s="16"/>
      <c r="E12" s="16"/>
      <c r="F12" s="50"/>
      <c r="G12" s="23"/>
      <c r="H12" s="23"/>
      <c r="I12" s="58"/>
      <c r="J12" s="58"/>
      <c r="K12" s="16"/>
      <c r="L12" s="16"/>
      <c r="M12" s="50"/>
      <c r="N12" s="16"/>
      <c r="O12" s="16"/>
      <c r="P12" s="16"/>
      <c r="Q12" s="16"/>
      <c r="R12" s="16"/>
      <c r="S12" s="16"/>
      <c r="T12" s="50"/>
      <c r="U12" s="31"/>
      <c r="V12" s="31"/>
      <c r="W12" s="31"/>
      <c r="X12" s="48"/>
      <c r="Y12" s="16"/>
    </row>
    <row r="13" spans="2:25">
      <c r="B13" s="23" t="str">
        <f>IF('Data input'!$C16="","",'Data input'!$C16)</f>
        <v>Cash and cash equivalents</v>
      </c>
      <c r="C13" s="70">
        <f ca="1">IFERROR(SUMIFS(OFFSET('Data input'!$C:$C,,MATCH('Summary by type of work report'!C$9,'Data input'!$8:$8,0)-3,,),'Data input'!$C:$C,'Summary by type of work report'!$B13),"")</f>
        <v>0</v>
      </c>
      <c r="D13" s="70">
        <f ca="1">IFERROR(SUMIFS(OFFSET('Data input'!$C:$C,,MATCH('Summary by type of work report'!D$9,'Data input'!$8:$8,0)-3,,),'Data input'!$C:$C,'Summary by type of work report'!$B13),"")</f>
        <v>0</v>
      </c>
      <c r="E13" s="70">
        <f ca="1">IFERROR(SUMIFS(OFFSET('Data input'!$C:$C,,MATCH('Summary by type of work report'!E$9,'Data input'!$8:$8,0)-3,,),'Data input'!$C:$C,'Summary by type of work report'!$B13),"")</f>
        <v>0</v>
      </c>
      <c r="F13" s="51"/>
      <c r="G13" s="70">
        <f>IFERROR(SUMIFS('Data input'!16:16,'Data input'!$12:$12,'Summary by type of work report'!G$9),"")</f>
        <v>0</v>
      </c>
      <c r="H13" s="70">
        <f>IFERROR(SUMIFS('Data input'!16:16,'Data input'!$12:$12,'Summary by type of work report'!H$9),"")</f>
        <v>0</v>
      </c>
      <c r="I13" s="58"/>
      <c r="J13" s="58"/>
      <c r="K13" s="70">
        <f>IFERROR(SUMIFS('Data input'!16:16,'Data input'!$12:$12,'Summary by type of work report'!K$9),"")</f>
        <v>0</v>
      </c>
      <c r="L13" s="70">
        <f>IFERROR(SUMIFS('Data input'!16:16,'Data input'!$12:$12,'Summary by type of work report'!L$9),"")</f>
        <v>0</v>
      </c>
      <c r="M13" s="51"/>
      <c r="N13" s="70">
        <f t="shared" ref="N13:N21" ca="1" si="0">IFERROR(C13-SUM(D13:E13,G13:H13,I13,J13,K13:L13),"")</f>
        <v>0</v>
      </c>
      <c r="O13" s="71">
        <f t="shared" ref="O13:O21" ca="1" si="1">IFERROR(N13/(C13-D13-E13),0)</f>
        <v>0</v>
      </c>
      <c r="P13" s="70">
        <f>SUM(K13:L13)</f>
        <v>0</v>
      </c>
      <c r="Q13" s="71">
        <f t="shared" ref="Q13:Q23" ca="1" si="2">IFERROR(P13/(C13-D13-E13),0)</f>
        <v>0</v>
      </c>
      <c r="R13" s="70">
        <f t="shared" ref="R13:R21" si="3">G13+H13+I13+J13</f>
        <v>0</v>
      </c>
      <c r="S13" s="71">
        <f t="shared" ref="S13:S23" ca="1" si="4">IFERROR(R13/(C13-D13-E13),0)</f>
        <v>0</v>
      </c>
      <c r="T13" s="50"/>
      <c r="U13" s="58"/>
      <c r="V13" s="58"/>
      <c r="W13" s="95"/>
      <c r="X13" s="52"/>
      <c r="Y13" s="70">
        <f ca="1">IFERROR(SUMIFS(OFFSET('Data input'!$B:$B,,MATCH('Summary by type of work report'!Y$9,'Data input'!$9:$9,0)-2),'Data input'!$C:$C,'Summary by type of work report'!$B13),0)</f>
        <v>0</v>
      </c>
    </row>
    <row r="14" spans="2:25">
      <c r="B14" s="23" t="str">
        <f>IF('Data input'!$C17="","",'Data input'!$C17)</f>
        <v>Restricted cash</v>
      </c>
      <c r="C14" s="70">
        <f ca="1">IFERROR(SUMIFS(OFFSET('Data input'!$C:$C,,MATCH('Summary by type of work report'!C$9,'Data input'!$8:$8,0)-3,,),'Data input'!$C:$C,'Summary by type of work report'!$B14),"")</f>
        <v>0</v>
      </c>
      <c r="D14" s="70">
        <f ca="1">IFERROR(SUMIFS(OFFSET('Data input'!$C:$C,,MATCH('Summary by type of work report'!D$9,'Data input'!$8:$8,0)-3,,),'Data input'!$C:$C,'Summary by type of work report'!$B14),"")</f>
        <v>0</v>
      </c>
      <c r="E14" s="70">
        <f ca="1">IFERROR(SUMIFS(OFFSET('Data input'!$C:$C,,MATCH('Summary by type of work report'!E$9,'Data input'!$8:$8,0)-3,,),'Data input'!$C:$C,'Summary by type of work report'!$B14),"")</f>
        <v>0</v>
      </c>
      <c r="F14" s="51"/>
      <c r="G14" s="70">
        <f>IFERROR(SUMIFS('Data input'!17:17,'Data input'!$12:$12,'Summary by type of work report'!G$9),"")</f>
        <v>0</v>
      </c>
      <c r="H14" s="70">
        <f>IFERROR(SUMIFS('Data input'!17:17,'Data input'!$12:$12,'Summary by type of work report'!H$9),"")</f>
        <v>0</v>
      </c>
      <c r="I14" s="58"/>
      <c r="J14" s="58"/>
      <c r="K14" s="70">
        <f>IFERROR(SUMIFS('Data input'!17:17,'Data input'!$12:$12,'Summary by type of work report'!K$9),"")</f>
        <v>0</v>
      </c>
      <c r="L14" s="70">
        <f>IFERROR(SUMIFS('Data input'!17:17,'Data input'!$12:$12,'Summary by type of work report'!L$9),"")</f>
        <v>0</v>
      </c>
      <c r="M14" s="51"/>
      <c r="N14" s="70">
        <f t="shared" ca="1" si="0"/>
        <v>0</v>
      </c>
      <c r="O14" s="71">
        <f t="shared" ca="1" si="1"/>
        <v>0</v>
      </c>
      <c r="P14" s="70">
        <f t="shared" ref="P14:P21" si="5">SUM(K14:L14)</f>
        <v>0</v>
      </c>
      <c r="Q14" s="71">
        <f t="shared" ca="1" si="2"/>
        <v>0</v>
      </c>
      <c r="R14" s="70">
        <f t="shared" si="3"/>
        <v>0</v>
      </c>
      <c r="S14" s="71">
        <f t="shared" ca="1" si="4"/>
        <v>0</v>
      </c>
      <c r="T14" s="50"/>
      <c r="U14" s="58"/>
      <c r="V14" s="58"/>
      <c r="W14" s="95"/>
      <c r="X14" s="52"/>
      <c r="Y14" s="70">
        <f ca="1">IFERROR(SUMIFS(OFFSET('Data input'!$B:$B,,MATCH('Summary by type of work report'!Y$9,'Data input'!$9:$9,0)-2),'Data input'!$C:$C,'Summary by type of work report'!$B14),0)</f>
        <v>0</v>
      </c>
    </row>
    <row r="15" spans="2:25">
      <c r="B15" s="23" t="str">
        <f>IF('Data input'!$C18="","",'Data input'!$C18)</f>
        <v>Marketable securities at fair value</v>
      </c>
      <c r="C15" s="70">
        <f ca="1">IFERROR(SUMIFS(OFFSET('Data input'!$C:$C,,MATCH('Summary by type of work report'!C$9,'Data input'!$8:$8,0)-3,,),'Data input'!$C:$C,'Summary by type of work report'!$B15),"")</f>
        <v>0</v>
      </c>
      <c r="D15" s="70">
        <f ca="1">IFERROR(SUMIFS(OFFSET('Data input'!$C:$C,,MATCH('Summary by type of work report'!D$9,'Data input'!$8:$8,0)-3,,),'Data input'!$C:$C,'Summary by type of work report'!$B15),"")</f>
        <v>0</v>
      </c>
      <c r="E15" s="70">
        <f ca="1">IFERROR(SUMIFS(OFFSET('Data input'!$C:$C,,MATCH('Summary by type of work report'!E$9,'Data input'!$8:$8,0)-3,,),'Data input'!$C:$C,'Summary by type of work report'!$B15),"")</f>
        <v>0</v>
      </c>
      <c r="F15" s="51"/>
      <c r="G15" s="70">
        <f>IFERROR(SUMIFS('Data input'!18:18,'Data input'!$12:$12,'Summary by type of work report'!G$9),"")</f>
        <v>0</v>
      </c>
      <c r="H15" s="70">
        <f>IFERROR(SUMIFS('Data input'!18:18,'Data input'!$12:$12,'Summary by type of work report'!H$9),"")</f>
        <v>0</v>
      </c>
      <c r="I15" s="58"/>
      <c r="J15" s="58"/>
      <c r="K15" s="70">
        <f>IFERROR(SUMIFS('Data input'!18:18,'Data input'!$12:$12,'Summary by type of work report'!K$9),"")</f>
        <v>0</v>
      </c>
      <c r="L15" s="70">
        <f>IFERROR(SUMIFS('Data input'!18:18,'Data input'!$12:$12,'Summary by type of work report'!L$9),"")</f>
        <v>0</v>
      </c>
      <c r="M15" s="51"/>
      <c r="N15" s="70">
        <f t="shared" ca="1" si="0"/>
        <v>0</v>
      </c>
      <c r="O15" s="71">
        <f t="shared" ca="1" si="1"/>
        <v>0</v>
      </c>
      <c r="P15" s="70">
        <f t="shared" si="5"/>
        <v>0</v>
      </c>
      <c r="Q15" s="71">
        <f t="shared" ca="1" si="2"/>
        <v>0</v>
      </c>
      <c r="R15" s="70">
        <f t="shared" si="3"/>
        <v>0</v>
      </c>
      <c r="S15" s="71">
        <f t="shared" ca="1" si="4"/>
        <v>0</v>
      </c>
      <c r="T15" s="51"/>
      <c r="U15" s="58"/>
      <c r="V15" s="58"/>
      <c r="W15" s="95"/>
      <c r="X15" s="52"/>
      <c r="Y15" s="70">
        <f ca="1">IFERROR(SUMIFS(OFFSET('Data input'!$B:$B,,MATCH('Summary by type of work report'!Y$9,'Data input'!$9:$9,0)-2),'Data input'!$C:$C,'Summary by type of work report'!$B15),0)</f>
        <v>0</v>
      </c>
    </row>
    <row r="16" spans="2:25">
      <c r="B16" s="23" t="str">
        <f>IF('Data input'!$C19="","",'Data input'!$C19)</f>
        <v>Accounts receivable, net</v>
      </c>
      <c r="C16" s="70">
        <f ca="1">IFERROR(SUMIFS(OFFSET('Data input'!$C:$C,,MATCH('Summary by type of work report'!C$9,'Data input'!$8:$8,0)-3,,),'Data input'!$C:$C,'Summary by type of work report'!$B16),"")</f>
        <v>0</v>
      </c>
      <c r="D16" s="70">
        <f ca="1">IFERROR(SUMIFS(OFFSET('Data input'!$C:$C,,MATCH('Summary by type of work report'!D$9,'Data input'!$8:$8,0)-3,,),'Data input'!$C:$C,'Summary by type of work report'!$B16),"")</f>
        <v>0</v>
      </c>
      <c r="E16" s="70">
        <f ca="1">IFERROR(SUMIFS(OFFSET('Data input'!$C:$C,,MATCH('Summary by type of work report'!E$9,'Data input'!$8:$8,0)-3,,),'Data input'!$C:$C,'Summary by type of work report'!$B16),"")</f>
        <v>0</v>
      </c>
      <c r="F16" s="51"/>
      <c r="G16" s="70">
        <f>IFERROR(SUMIFS('Data input'!19:19,'Data input'!$12:$12,'Summary by type of work report'!G$9),"")</f>
        <v>0</v>
      </c>
      <c r="H16" s="70">
        <f>IFERROR(SUMIFS('Data input'!19:19,'Data input'!$12:$12,'Summary by type of work report'!H$9),"")</f>
        <v>0</v>
      </c>
      <c r="I16" s="58"/>
      <c r="J16" s="58"/>
      <c r="K16" s="70">
        <f>IFERROR(SUMIFS('Data input'!19:19,'Data input'!$12:$12,'Summary by type of work report'!K$9),"")</f>
        <v>0</v>
      </c>
      <c r="L16" s="70">
        <f>IFERROR(SUMIFS('Data input'!19:19,'Data input'!$12:$12,'Summary by type of work report'!L$9),"")</f>
        <v>0</v>
      </c>
      <c r="M16" s="51"/>
      <c r="N16" s="70">
        <f t="shared" ca="1" si="0"/>
        <v>0</v>
      </c>
      <c r="O16" s="71">
        <f t="shared" ca="1" si="1"/>
        <v>0</v>
      </c>
      <c r="P16" s="70">
        <f t="shared" si="5"/>
        <v>0</v>
      </c>
      <c r="Q16" s="71">
        <f t="shared" ca="1" si="2"/>
        <v>0</v>
      </c>
      <c r="R16" s="70">
        <f t="shared" si="3"/>
        <v>0</v>
      </c>
      <c r="S16" s="71">
        <f t="shared" ca="1" si="4"/>
        <v>0</v>
      </c>
      <c r="T16" s="51"/>
      <c r="U16" s="58"/>
      <c r="V16" s="58"/>
      <c r="W16" s="95"/>
      <c r="X16" s="52"/>
      <c r="Y16" s="70">
        <f ca="1">IFERROR(SUMIFS(OFFSET('Data input'!$B:$B,,MATCH('Summary by type of work report'!Y$9,'Data input'!$9:$9,0)-2),'Data input'!$C:$C,'Summary by type of work report'!$B16),0)</f>
        <v>0</v>
      </c>
    </row>
    <row r="17" spans="2:25">
      <c r="B17" s="23" t="str">
        <f>IF('Data input'!$C20="","",'Data input'!$C20)</f>
        <v>Investment in leased property, net</v>
      </c>
      <c r="C17" s="70">
        <f ca="1">IFERROR(SUMIFS(OFFSET('Data input'!$C:$C,,MATCH('Summary by type of work report'!C$9,'Data input'!$8:$8,0)-3,,),'Data input'!$C:$C,'Summary by type of work report'!$B17),"")</f>
        <v>0</v>
      </c>
      <c r="D17" s="70">
        <f ca="1">IFERROR(SUMIFS(OFFSET('Data input'!$C:$C,,MATCH('Summary by type of work report'!D$9,'Data input'!$8:$8,0)-3,,),'Data input'!$C:$C,'Summary by type of work report'!$B17),"")</f>
        <v>0</v>
      </c>
      <c r="E17" s="70">
        <f ca="1">IFERROR(SUMIFS(OFFSET('Data input'!$C:$C,,MATCH('Summary by type of work report'!E$9,'Data input'!$8:$8,0)-3,,),'Data input'!$C:$C,'Summary by type of work report'!$B17),"")</f>
        <v>0</v>
      </c>
      <c r="F17" s="51"/>
      <c r="G17" s="70">
        <f>IFERROR(SUMIFS('Data input'!20:20,'Data input'!$12:$12,'Summary by type of work report'!G$9),"")</f>
        <v>0</v>
      </c>
      <c r="H17" s="70">
        <f>IFERROR(SUMIFS('Data input'!20:20,'Data input'!$12:$12,'Summary by type of work report'!H$9),"")</f>
        <v>0</v>
      </c>
      <c r="I17" s="58"/>
      <c r="J17" s="58"/>
      <c r="K17" s="70">
        <f>IFERROR(SUMIFS('Data input'!20:20,'Data input'!$12:$12,'Summary by type of work report'!K$9),"")</f>
        <v>0</v>
      </c>
      <c r="L17" s="70">
        <f>IFERROR(SUMIFS('Data input'!20:20,'Data input'!$12:$12,'Summary by type of work report'!L$9),"")</f>
        <v>0</v>
      </c>
      <c r="M17" s="51"/>
      <c r="N17" s="70">
        <f t="shared" ca="1" si="0"/>
        <v>0</v>
      </c>
      <c r="O17" s="71">
        <f t="shared" ca="1" si="1"/>
        <v>0</v>
      </c>
      <c r="P17" s="70">
        <f t="shared" si="5"/>
        <v>0</v>
      </c>
      <c r="Q17" s="71">
        <f t="shared" ca="1" si="2"/>
        <v>0</v>
      </c>
      <c r="R17" s="70">
        <f t="shared" si="3"/>
        <v>0</v>
      </c>
      <c r="S17" s="71">
        <f t="shared" ca="1" si="4"/>
        <v>0</v>
      </c>
      <c r="T17" s="51"/>
      <c r="U17" s="58"/>
      <c r="V17" s="58"/>
      <c r="W17" s="95"/>
      <c r="X17" s="52"/>
      <c r="Y17" s="70">
        <f ca="1">IFERROR(SUMIFS(OFFSET('Data input'!$B:$B,,MATCH('Summary by type of work report'!Y$9,'Data input'!$9:$9,0)-2),'Data input'!$C:$C,'Summary by type of work report'!$B17),0)</f>
        <v>0</v>
      </c>
    </row>
    <row r="18" spans="2:25">
      <c r="B18" s="23" t="str">
        <f>IF('Data input'!$C21="","",'Data input'!$C21)</f>
        <v>Inventories</v>
      </c>
      <c r="C18" s="70">
        <f ca="1">IFERROR(SUMIFS(OFFSET('Data input'!$C:$C,,MATCH('Summary by type of work report'!C$9,'Data input'!$8:$8,0)-3,,),'Data input'!$C:$C,'Summary by type of work report'!$B18),"")</f>
        <v>0</v>
      </c>
      <c r="D18" s="70">
        <f ca="1">IFERROR(SUMIFS(OFFSET('Data input'!$C:$C,,MATCH('Summary by type of work report'!D$9,'Data input'!$8:$8,0)-3,,),'Data input'!$C:$C,'Summary by type of work report'!$B18),"")</f>
        <v>0</v>
      </c>
      <c r="E18" s="70">
        <f ca="1">IFERROR(SUMIFS(OFFSET('Data input'!$C:$C,,MATCH('Summary by type of work report'!E$9,'Data input'!$8:$8,0)-3,,),'Data input'!$C:$C,'Summary by type of work report'!$B18),"")</f>
        <v>0</v>
      </c>
      <c r="F18" s="51"/>
      <c r="G18" s="70">
        <f>IFERROR(SUMIFS('Data input'!21:21,'Data input'!$12:$12,'Summary by type of work report'!G$9),"")</f>
        <v>0</v>
      </c>
      <c r="H18" s="70">
        <f>IFERROR(SUMIFS('Data input'!21:21,'Data input'!$12:$12,'Summary by type of work report'!H$9),"")</f>
        <v>0</v>
      </c>
      <c r="I18" s="58"/>
      <c r="J18" s="58"/>
      <c r="K18" s="70">
        <f>IFERROR(SUMIFS('Data input'!21:21,'Data input'!$12:$12,'Summary by type of work report'!K$9),"")</f>
        <v>0</v>
      </c>
      <c r="L18" s="70">
        <f>IFERROR(SUMIFS('Data input'!21:21,'Data input'!$12:$12,'Summary by type of work report'!L$9),"")</f>
        <v>0</v>
      </c>
      <c r="M18" s="51"/>
      <c r="N18" s="70">
        <f t="shared" ca="1" si="0"/>
        <v>0</v>
      </c>
      <c r="O18" s="71">
        <f t="shared" ca="1" si="1"/>
        <v>0</v>
      </c>
      <c r="P18" s="70">
        <f t="shared" si="5"/>
        <v>0</v>
      </c>
      <c r="Q18" s="71">
        <f t="shared" ca="1" si="2"/>
        <v>0</v>
      </c>
      <c r="R18" s="70">
        <f t="shared" si="3"/>
        <v>0</v>
      </c>
      <c r="S18" s="71">
        <f t="shared" ca="1" si="4"/>
        <v>0</v>
      </c>
      <c r="T18" s="51"/>
      <c r="U18" s="58"/>
      <c r="V18" s="58"/>
      <c r="W18" s="95"/>
      <c r="X18" s="52"/>
      <c r="Y18" s="70">
        <f ca="1">IFERROR(SUMIFS(OFFSET('Data input'!$B:$B,,MATCH('Summary by type of work report'!Y$9,'Data input'!$9:$9,0)-2),'Data input'!$C:$C,'Summary by type of work report'!$B18),0)</f>
        <v>0</v>
      </c>
    </row>
    <row r="19" spans="2:25">
      <c r="B19" s="23" t="str">
        <f>IF('Data input'!$C22="","",'Data input'!$C22)</f>
        <v>Prepaid expenses</v>
      </c>
      <c r="C19" s="70">
        <f ca="1">IFERROR(SUMIFS(OFFSET('Data input'!$C:$C,,MATCH('Summary by type of work report'!C$9,'Data input'!$8:$8,0)-3,,),'Data input'!$C:$C,'Summary by type of work report'!$B19),"")</f>
        <v>0</v>
      </c>
      <c r="D19" s="70">
        <f ca="1">IFERROR(SUMIFS(OFFSET('Data input'!$C:$C,,MATCH('Summary by type of work report'!D$9,'Data input'!$8:$8,0)-3,,),'Data input'!$C:$C,'Summary by type of work report'!$B19),"")</f>
        <v>0</v>
      </c>
      <c r="E19" s="70">
        <f ca="1">IFERROR(SUMIFS(OFFSET('Data input'!$C:$C,,MATCH('Summary by type of work report'!E$9,'Data input'!$8:$8,0)-3,,),'Data input'!$C:$C,'Summary by type of work report'!$B19),"")</f>
        <v>0</v>
      </c>
      <c r="F19" s="51"/>
      <c r="G19" s="70">
        <f>IFERROR(SUMIFS('Data input'!22:22,'Data input'!$12:$12,'Summary by type of work report'!G$9),"")</f>
        <v>0</v>
      </c>
      <c r="H19" s="70">
        <f>IFERROR(SUMIFS('Data input'!22:22,'Data input'!$12:$12,'Summary by type of work report'!H$9),"")</f>
        <v>0</v>
      </c>
      <c r="I19" s="58"/>
      <c r="J19" s="58"/>
      <c r="K19" s="70">
        <f>IFERROR(SUMIFS('Data input'!22:22,'Data input'!$12:$12,'Summary by type of work report'!K$9),"")</f>
        <v>0</v>
      </c>
      <c r="L19" s="70">
        <f>IFERROR(SUMIFS('Data input'!22:22,'Data input'!$12:$12,'Summary by type of work report'!L$9),"")</f>
        <v>0</v>
      </c>
      <c r="M19" s="51"/>
      <c r="N19" s="70">
        <f t="shared" ca="1" si="0"/>
        <v>0</v>
      </c>
      <c r="O19" s="71">
        <f t="shared" ca="1" si="1"/>
        <v>0</v>
      </c>
      <c r="P19" s="70">
        <f t="shared" si="5"/>
        <v>0</v>
      </c>
      <c r="Q19" s="71">
        <f t="shared" ca="1" si="2"/>
        <v>0</v>
      </c>
      <c r="R19" s="70">
        <f t="shared" si="3"/>
        <v>0</v>
      </c>
      <c r="S19" s="71">
        <f t="shared" ca="1" si="4"/>
        <v>0</v>
      </c>
      <c r="T19" s="51"/>
      <c r="U19" s="58"/>
      <c r="V19" s="58"/>
      <c r="W19" s="95"/>
      <c r="X19" s="52"/>
      <c r="Y19" s="70">
        <f ca="1">IFERROR(SUMIFS(OFFSET('Data input'!$B:$B,,MATCH('Summary by type of work report'!Y$9,'Data input'!$9:$9,0)-2),'Data input'!$C:$C,'Summary by type of work report'!$B19),0)</f>
        <v>0</v>
      </c>
    </row>
    <row r="20" spans="2:25">
      <c r="B20" s="23" t="str">
        <f>IF('Data input'!$C23="","",'Data input'!$C23)</f>
        <v>Contract assets</v>
      </c>
      <c r="C20" s="70">
        <f ca="1">IFERROR(SUMIFS(OFFSET('Data input'!$C:$C,,MATCH('Summary by type of work report'!C$9,'Data input'!$8:$8,0)-3,,),'Data input'!$C:$C,'Summary by type of work report'!$B20),"")</f>
        <v>0</v>
      </c>
      <c r="D20" s="70">
        <f ca="1">IFERROR(SUMIFS(OFFSET('Data input'!$C:$C,,MATCH('Summary by type of work report'!D$9,'Data input'!$8:$8,0)-3,,),'Data input'!$C:$C,'Summary by type of work report'!$B20),"")</f>
        <v>0</v>
      </c>
      <c r="E20" s="70">
        <f ca="1">IFERROR(SUMIFS(OFFSET('Data input'!$C:$C,,MATCH('Summary by type of work report'!E$9,'Data input'!$8:$8,0)-3,,),'Data input'!$C:$C,'Summary by type of work report'!$B20),"")</f>
        <v>0</v>
      </c>
      <c r="F20" s="51"/>
      <c r="G20" s="70">
        <f>IFERROR(SUMIFS('Data input'!23:23,'Data input'!$12:$12,'Summary by type of work report'!G$9),"")</f>
        <v>0</v>
      </c>
      <c r="H20" s="70">
        <f>IFERROR(SUMIFS('Data input'!23:23,'Data input'!$12:$12,'Summary by type of work report'!H$9),"")</f>
        <v>0</v>
      </c>
      <c r="I20" s="58"/>
      <c r="J20" s="58"/>
      <c r="K20" s="70">
        <f>IFERROR(SUMIFS('Data input'!23:23,'Data input'!$12:$12,'Summary by type of work report'!K$9),"")</f>
        <v>0</v>
      </c>
      <c r="L20" s="70">
        <f>IFERROR(SUMIFS('Data input'!23:23,'Data input'!$12:$12,'Summary by type of work report'!L$9),"")</f>
        <v>0</v>
      </c>
      <c r="M20" s="51"/>
      <c r="N20" s="70">
        <f t="shared" ca="1" si="0"/>
        <v>0</v>
      </c>
      <c r="O20" s="71">
        <f t="shared" ca="1" si="1"/>
        <v>0</v>
      </c>
      <c r="P20" s="70">
        <f t="shared" si="5"/>
        <v>0</v>
      </c>
      <c r="Q20" s="71">
        <f t="shared" ca="1" si="2"/>
        <v>0</v>
      </c>
      <c r="R20" s="70">
        <f t="shared" si="3"/>
        <v>0</v>
      </c>
      <c r="S20" s="71">
        <f t="shared" ca="1" si="4"/>
        <v>0</v>
      </c>
      <c r="T20" s="51"/>
      <c r="U20" s="58"/>
      <c r="V20" s="58"/>
      <c r="W20" s="95"/>
      <c r="X20" s="52"/>
      <c r="Y20" s="70">
        <f ca="1">IFERROR(SUMIFS(OFFSET('Data input'!$B:$B,,MATCH('Summary by type of work report'!Y$9,'Data input'!$9:$9,0)-2),'Data input'!$C:$C,'Summary by type of work report'!$B20),0)</f>
        <v>0</v>
      </c>
    </row>
    <row r="21" spans="2:25">
      <c r="B21" s="23" t="str">
        <f>IF('Data input'!$C24="","",'Data input'!$C24)</f>
        <v>Other current assets</v>
      </c>
      <c r="C21" s="70">
        <f ca="1">IFERROR(SUMIFS(OFFSET('Data input'!$C:$C,,MATCH('Summary by type of work report'!C$9,'Data input'!$8:$8,0)-3,,),'Data input'!$C:$C,'Summary by type of work report'!$B21),"")</f>
        <v>0</v>
      </c>
      <c r="D21" s="70">
        <f ca="1">IFERROR(SUMIFS(OFFSET('Data input'!$C:$C,,MATCH('Summary by type of work report'!D$9,'Data input'!$8:$8,0)-3,,),'Data input'!$C:$C,'Summary by type of work report'!$B21),"")</f>
        <v>0</v>
      </c>
      <c r="E21" s="70">
        <f ca="1">IFERROR(SUMIFS(OFFSET('Data input'!$C:$C,,MATCH('Summary by type of work report'!E$9,'Data input'!$8:$8,0)-3,,),'Data input'!$C:$C,'Summary by type of work report'!$B21),"")</f>
        <v>0</v>
      </c>
      <c r="F21" s="51"/>
      <c r="G21" s="70">
        <f>IFERROR(SUMIFS('Data input'!24:24,'Data input'!$12:$12,'Summary by type of work report'!G$9),"")</f>
        <v>0</v>
      </c>
      <c r="H21" s="70">
        <f>IFERROR(SUMIFS('Data input'!24:24,'Data input'!$12:$12,'Summary by type of work report'!H$9),"")</f>
        <v>0</v>
      </c>
      <c r="I21" s="58"/>
      <c r="J21" s="58"/>
      <c r="K21" s="70">
        <f>IFERROR(SUMIFS('Data input'!24:24,'Data input'!$12:$12,'Summary by type of work report'!K$9),"")</f>
        <v>0</v>
      </c>
      <c r="L21" s="70">
        <f>IFERROR(SUMIFS('Data input'!24:24,'Data input'!$12:$12,'Summary by type of work report'!L$9),"")</f>
        <v>0</v>
      </c>
      <c r="M21" s="51"/>
      <c r="N21" s="70">
        <f t="shared" ca="1" si="0"/>
        <v>0</v>
      </c>
      <c r="O21" s="71">
        <f t="shared" ca="1" si="1"/>
        <v>0</v>
      </c>
      <c r="P21" s="70">
        <f t="shared" si="5"/>
        <v>0</v>
      </c>
      <c r="Q21" s="71">
        <f t="shared" ca="1" si="2"/>
        <v>0</v>
      </c>
      <c r="R21" s="70">
        <f t="shared" si="3"/>
        <v>0</v>
      </c>
      <c r="S21" s="71">
        <f t="shared" ca="1" si="4"/>
        <v>0</v>
      </c>
      <c r="T21" s="51"/>
      <c r="U21" s="58"/>
      <c r="V21" s="58"/>
      <c r="W21" s="95"/>
      <c r="X21" s="52"/>
      <c r="Y21" s="70">
        <f ca="1">IFERROR(SUMIFS(OFFSET('Data input'!$B:$B,,MATCH('Summary by type of work report'!Y$9,'Data input'!$9:$9,0)-2),'Data input'!$C:$C,'Summary by type of work report'!$B21),0)</f>
        <v>0</v>
      </c>
    </row>
    <row r="22" spans="2:25" hidden="1">
      <c r="B22" s="17" t="str">
        <f>IF('Data input'!$C25="","",'Data input'!$C25)</f>
        <v>Intentionally hidden</v>
      </c>
      <c r="C22" s="72">
        <f ca="1">IFERROR(SUMIFS(OFFSET('Data input'!$C:$C,,MATCH('Summary by type of work report'!C$9,'Data input'!$8:$8,0)-3,,),'Data input'!$C:$C,'Summary by type of work report'!$B22),"")</f>
        <v>0</v>
      </c>
      <c r="D22" s="72">
        <f ca="1">IFERROR(SUMIFS(OFFSET('Data input'!$C:$C,,MATCH('Summary by type of work report'!D$9,'Data input'!$8:$8,0)-3,,),'Data input'!$C:$C,'Summary by type of work report'!$B22),"")</f>
        <v>0</v>
      </c>
      <c r="E22" s="72">
        <f ca="1">IFERROR(SUMIFS(OFFSET('Data input'!$C:$C,,MATCH('Summary by type of work report'!E$9,'Data input'!$8:$8,0)-3,,),'Data input'!$C:$C,'Summary by type of work report'!$B22),"")</f>
        <v>0</v>
      </c>
      <c r="F22" s="51"/>
      <c r="G22" s="72">
        <f>IFERROR(SUMIFS('Data input'!25:25,'Data input'!$12:$12,'Summary by type of work report'!G$9),"")</f>
        <v>0</v>
      </c>
      <c r="H22" s="72">
        <f>IFERROR(SUMIFS('Data input'!25:25,'Data input'!$12:$12,'Summary by type of work report'!H$9),"")</f>
        <v>0</v>
      </c>
      <c r="I22" s="59"/>
      <c r="J22" s="59"/>
      <c r="K22" s="72">
        <f>IFERROR(SUMIFS('Data input'!25:25,'Data input'!$12:$12,'Summary by type of work report'!K$9),"")</f>
        <v>0</v>
      </c>
      <c r="L22" s="72">
        <f>IFERROR(SUMIFS('Data input'!25:25,'Data input'!$12:$12,'Summary by type of work report'!L$9),"")</f>
        <v>0</v>
      </c>
      <c r="M22" s="51"/>
      <c r="N22" s="72"/>
      <c r="O22" s="73"/>
      <c r="P22" s="72"/>
      <c r="Q22" s="73">
        <f t="shared" ca="1" si="2"/>
        <v>0</v>
      </c>
      <c r="R22" s="72"/>
      <c r="S22" s="73">
        <f t="shared" ca="1" si="4"/>
        <v>0</v>
      </c>
      <c r="T22" s="51"/>
      <c r="U22" s="59"/>
      <c r="V22" s="59"/>
      <c r="W22" s="96"/>
      <c r="X22" s="52"/>
      <c r="Y22" s="72"/>
    </row>
    <row r="23" spans="2:25" ht="10.5">
      <c r="B23" s="18" t="str">
        <f>IF('Data input'!$C26="","",'Data input'!$C26)</f>
        <v>Total current assets</v>
      </c>
      <c r="C23" s="74">
        <f ca="1">IFERROR(SUMIFS(OFFSET('Data input'!$C:$C,,MATCH('Summary by type of work report'!C$9,'Data input'!$8:$8,0)-3,,),'Data input'!$C:$C,'Summary by type of work report'!$B23),"")</f>
        <v>0</v>
      </c>
      <c r="D23" s="74">
        <f ca="1">IFERROR(SUMIFS(OFFSET('Data input'!$C:$C,,MATCH('Summary by type of work report'!D$9,'Data input'!$8:$8,0)-3,,),'Data input'!$C:$C,'Summary by type of work report'!$B23),"")</f>
        <v>0</v>
      </c>
      <c r="E23" s="74">
        <f ca="1">IFERROR(SUMIFS(OFFSET('Data input'!$C:$C,,MATCH('Summary by type of work report'!E$9,'Data input'!$8:$8,0)-3,,),'Data input'!$C:$C,'Summary by type of work report'!$B23),"")</f>
        <v>0</v>
      </c>
      <c r="F23" s="51"/>
      <c r="G23" s="74">
        <f>IFERROR(SUMIFS('Data input'!26:26,'Data input'!$12:$12,'Summary by type of work report'!G$9),"")</f>
        <v>0</v>
      </c>
      <c r="H23" s="74">
        <f>IFERROR(SUMIFS('Data input'!26:26,'Data input'!$12:$12,'Summary by type of work report'!H$9),"")</f>
        <v>0</v>
      </c>
      <c r="I23" s="60">
        <f>SUM(I13:I22)</f>
        <v>0</v>
      </c>
      <c r="J23" s="60">
        <f>SUM(J13:J22)</f>
        <v>0</v>
      </c>
      <c r="K23" s="74">
        <f>IFERROR(SUMIFS('Data input'!26:26,'Data input'!$12:$12,'Summary by type of work report'!K$9),"")</f>
        <v>0</v>
      </c>
      <c r="L23" s="74">
        <f>IFERROR(SUMIFS('Data input'!26:26,'Data input'!$12:$12,'Summary by type of work report'!L$9),"")</f>
        <v>0</v>
      </c>
      <c r="M23" s="51"/>
      <c r="N23" s="74">
        <f ca="1">IFERROR(C23-SUM(D23:E23,G23:H23,I23,J23,K23:L23),"")</f>
        <v>0</v>
      </c>
      <c r="O23" s="75">
        <f ca="1">IFERROR(N23/(C23-D23-E23),0)</f>
        <v>0</v>
      </c>
      <c r="P23" s="74">
        <f>SUM(K23:L23)</f>
        <v>0</v>
      </c>
      <c r="Q23" s="75">
        <f t="shared" ca="1" si="2"/>
        <v>0</v>
      </c>
      <c r="R23" s="74">
        <f>SUM(R13:R22)</f>
        <v>0</v>
      </c>
      <c r="S23" s="75">
        <f t="shared" ca="1" si="4"/>
        <v>0</v>
      </c>
      <c r="T23" s="51"/>
      <c r="U23" s="60"/>
      <c r="V23" s="60"/>
      <c r="W23" s="97"/>
      <c r="X23" s="52"/>
      <c r="Y23" s="74">
        <f ca="1">SUM(Y13:Y22)</f>
        <v>0</v>
      </c>
    </row>
    <row r="24" spans="2:25">
      <c r="B24" s="15" t="str">
        <f>IF('Data input'!$C27="","",'Data input'!$C27)</f>
        <v/>
      </c>
      <c r="C24" s="76"/>
      <c r="D24" s="76"/>
      <c r="E24" s="76"/>
      <c r="F24" s="51"/>
      <c r="G24" s="76"/>
      <c r="H24" s="76"/>
      <c r="I24" s="61"/>
      <c r="J24" s="61"/>
      <c r="K24" s="76"/>
      <c r="L24" s="76"/>
      <c r="M24" s="51"/>
      <c r="N24" s="76"/>
      <c r="O24" s="77"/>
      <c r="P24" s="76"/>
      <c r="Q24" s="76"/>
      <c r="R24" s="76"/>
      <c r="S24" s="76"/>
      <c r="T24" s="51"/>
      <c r="U24" s="61"/>
      <c r="V24" s="61"/>
      <c r="W24" s="98"/>
      <c r="X24" s="52"/>
      <c r="Y24" s="76"/>
    </row>
    <row r="25" spans="2:25">
      <c r="B25" s="23" t="str">
        <f>IF('Data input'!$C28="","",'Data input'!$C28)</f>
        <v>Debt and equity securities</v>
      </c>
      <c r="C25" s="70">
        <f ca="1">IFERROR(SUMIFS(OFFSET('Data input'!$C:$C,,MATCH('Summary by type of work report'!C$9,'Data input'!$8:$8,0)-3,,),'Data input'!$C:$C,'Summary by type of work report'!$B25),"")</f>
        <v>0</v>
      </c>
      <c r="D25" s="70">
        <f ca="1">IFERROR(SUMIFS(OFFSET('Data input'!$C:$C,,MATCH('Summary by type of work report'!D$9,'Data input'!$8:$8,0)-3,,),'Data input'!$C:$C,'Summary by type of work report'!$B25),"")</f>
        <v>0</v>
      </c>
      <c r="E25" s="70">
        <f ca="1">IFERROR(SUMIFS(OFFSET('Data input'!$C:$C,,MATCH('Summary by type of work report'!E$9,'Data input'!$8:$8,0)-3,,),'Data input'!$C:$C,'Summary by type of work report'!$B25),"")</f>
        <v>0</v>
      </c>
      <c r="F25" s="51"/>
      <c r="G25" s="70">
        <f>IFERROR(SUMIFS('Data input'!28:28,'Data input'!$12:$12,'Summary by type of work report'!G$9),"")</f>
        <v>0</v>
      </c>
      <c r="H25" s="70">
        <f>IFERROR(SUMIFS('Data input'!28:28,'Data input'!$12:$12,'Summary by type of work report'!H$9),"")</f>
        <v>0</v>
      </c>
      <c r="I25" s="58"/>
      <c r="J25" s="58"/>
      <c r="K25" s="70">
        <f>IFERROR(SUMIFS('Data input'!28:28,'Data input'!$12:$12,'Summary by type of work report'!K$9),"")</f>
        <v>0</v>
      </c>
      <c r="L25" s="70">
        <f>IFERROR(SUMIFS('Data input'!28:28,'Data input'!$12:$12,'Summary by type of work report'!L$9),"")</f>
        <v>0</v>
      </c>
      <c r="M25" s="51"/>
      <c r="N25" s="70">
        <f t="shared" ref="N25:N36" ca="1" si="6">IFERROR(C25-SUM(D25:E25,G25:H25,I25,J25,K25:L25),"")</f>
        <v>0</v>
      </c>
      <c r="O25" s="71">
        <f t="shared" ref="O25:O36" ca="1" si="7">IFERROR(N25/(C25-D25-E25),0)</f>
        <v>0</v>
      </c>
      <c r="P25" s="70">
        <f t="shared" ref="P25:P36" si="8">SUM(K25:L25)</f>
        <v>0</v>
      </c>
      <c r="Q25" s="71">
        <f t="shared" ref="Q25:Q38" ca="1" si="9">IFERROR(P25/(C25-D25-E25),0)</f>
        <v>0</v>
      </c>
      <c r="R25" s="70">
        <f t="shared" ref="R25:R38" si="10">G25+H25+I25+J25</f>
        <v>0</v>
      </c>
      <c r="S25" s="71">
        <f t="shared" ref="S25:S38" ca="1" si="11">IFERROR(R25/(C25-D25-E25),0)</f>
        <v>0</v>
      </c>
      <c r="T25" s="51"/>
      <c r="U25" s="58"/>
      <c r="V25" s="58"/>
      <c r="W25" s="95"/>
      <c r="X25" s="52"/>
      <c r="Y25" s="70">
        <f ca="1">IFERROR(SUMIFS(OFFSET('Data input'!$B:$B,,MATCH('Summary by type of work report'!Y$9,'Data input'!$9:$9,0)-2),'Data input'!$C:$C,'Summary by type of work report'!$B25),0)</f>
        <v>0</v>
      </c>
    </row>
    <row r="26" spans="2:25">
      <c r="B26" s="23" t="str">
        <f>IF('Data input'!$C29="","",'Data input'!$C29)</f>
        <v>Other investments</v>
      </c>
      <c r="C26" s="70">
        <f ca="1">IFERROR(SUMIFS(OFFSET('Data input'!$C:$C,,MATCH('Summary by type of work report'!C$9,'Data input'!$8:$8,0)-3,,),'Data input'!$C:$C,'Summary by type of work report'!$B26),"")</f>
        <v>0</v>
      </c>
      <c r="D26" s="70">
        <f ca="1">IFERROR(SUMIFS(OFFSET('Data input'!$C:$C,,MATCH('Summary by type of work report'!D$9,'Data input'!$8:$8,0)-3,,),'Data input'!$C:$C,'Summary by type of work report'!$B26),"")</f>
        <v>0</v>
      </c>
      <c r="E26" s="70">
        <f ca="1">IFERROR(SUMIFS(OFFSET('Data input'!$C:$C,,MATCH('Summary by type of work report'!E$9,'Data input'!$8:$8,0)-3,,),'Data input'!$C:$C,'Summary by type of work report'!$B26),"")</f>
        <v>0</v>
      </c>
      <c r="F26" s="51"/>
      <c r="G26" s="70">
        <f>IFERROR(SUMIFS('Data input'!29:29,'Data input'!$12:$12,'Summary by type of work report'!G$9),"")</f>
        <v>0</v>
      </c>
      <c r="H26" s="70">
        <f>IFERROR(SUMIFS('Data input'!29:29,'Data input'!$12:$12,'Summary by type of work report'!H$9),"")</f>
        <v>0</v>
      </c>
      <c r="I26" s="58"/>
      <c r="J26" s="58"/>
      <c r="K26" s="70">
        <f>IFERROR(SUMIFS('Data input'!29:29,'Data input'!$12:$12,'Summary by type of work report'!K$9),"")</f>
        <v>0</v>
      </c>
      <c r="L26" s="70">
        <f>IFERROR(SUMIFS('Data input'!29:29,'Data input'!$12:$12,'Summary by type of work report'!L$9),"")</f>
        <v>0</v>
      </c>
      <c r="M26" s="51"/>
      <c r="N26" s="70">
        <f t="shared" ca="1" si="6"/>
        <v>0</v>
      </c>
      <c r="O26" s="71">
        <f t="shared" ca="1" si="7"/>
        <v>0</v>
      </c>
      <c r="P26" s="70">
        <f t="shared" si="8"/>
        <v>0</v>
      </c>
      <c r="Q26" s="71">
        <f t="shared" ca="1" si="9"/>
        <v>0</v>
      </c>
      <c r="R26" s="70">
        <f t="shared" si="10"/>
        <v>0</v>
      </c>
      <c r="S26" s="71">
        <f t="shared" ca="1" si="11"/>
        <v>0</v>
      </c>
      <c r="T26" s="51"/>
      <c r="U26" s="58"/>
      <c r="V26" s="58"/>
      <c r="W26" s="95"/>
      <c r="X26" s="52"/>
      <c r="Y26" s="70">
        <f ca="1">IFERROR(SUMIFS(OFFSET('Data input'!$B:$B,,MATCH('Summary by type of work report'!Y$9,'Data input'!$9:$9,0)-2),'Data input'!$C:$C,'Summary by type of work report'!$B26),0)</f>
        <v>0</v>
      </c>
    </row>
    <row r="27" spans="2:25">
      <c r="B27" s="23" t="str">
        <f>IF('Data input'!$C30="","",'Data input'!$C30)</f>
        <v>Derivative assets</v>
      </c>
      <c r="C27" s="70">
        <f ca="1">IFERROR(SUMIFS(OFFSET('Data input'!$C:$C,,MATCH('Summary by type of work report'!C$9,'Data input'!$8:$8,0)-3,,),'Data input'!$C:$C,'Summary by type of work report'!$B27),"")</f>
        <v>0</v>
      </c>
      <c r="D27" s="70">
        <f ca="1">IFERROR(SUMIFS(OFFSET('Data input'!$C:$C,,MATCH('Summary by type of work report'!D$9,'Data input'!$8:$8,0)-3,,),'Data input'!$C:$C,'Summary by type of work report'!$B27),"")</f>
        <v>0</v>
      </c>
      <c r="E27" s="70">
        <f ca="1">IFERROR(SUMIFS(OFFSET('Data input'!$C:$C,,MATCH('Summary by type of work report'!E$9,'Data input'!$8:$8,0)-3,,),'Data input'!$C:$C,'Summary by type of work report'!$B27),"")</f>
        <v>0</v>
      </c>
      <c r="F27" s="51"/>
      <c r="G27" s="70">
        <f>IFERROR(SUMIFS('Data input'!30:30,'Data input'!$12:$12,'Summary by type of work report'!G$9),"")</f>
        <v>0</v>
      </c>
      <c r="H27" s="70">
        <f>IFERROR(SUMIFS('Data input'!30:30,'Data input'!$12:$12,'Summary by type of work report'!H$9),"")</f>
        <v>0</v>
      </c>
      <c r="I27" s="58"/>
      <c r="J27" s="58"/>
      <c r="K27" s="70">
        <f>IFERROR(SUMIFS('Data input'!30:30,'Data input'!$12:$12,'Summary by type of work report'!K$9),"")</f>
        <v>0</v>
      </c>
      <c r="L27" s="70">
        <f>IFERROR(SUMIFS('Data input'!30:30,'Data input'!$12:$12,'Summary by type of work report'!L$9),"")</f>
        <v>0</v>
      </c>
      <c r="M27" s="51"/>
      <c r="N27" s="70">
        <f t="shared" ca="1" si="6"/>
        <v>0</v>
      </c>
      <c r="O27" s="71">
        <f t="shared" ca="1" si="7"/>
        <v>0</v>
      </c>
      <c r="P27" s="70">
        <f t="shared" si="8"/>
        <v>0</v>
      </c>
      <c r="Q27" s="71">
        <f t="shared" ca="1" si="9"/>
        <v>0</v>
      </c>
      <c r="R27" s="70">
        <f t="shared" si="10"/>
        <v>0</v>
      </c>
      <c r="S27" s="71">
        <f t="shared" ca="1" si="11"/>
        <v>0</v>
      </c>
      <c r="T27" s="51"/>
      <c r="U27" s="58"/>
      <c r="V27" s="58"/>
      <c r="W27" s="95"/>
      <c r="X27" s="52"/>
      <c r="Y27" s="70">
        <f ca="1">IFERROR(SUMIFS(OFFSET('Data input'!$B:$B,,MATCH('Summary by type of work report'!Y$9,'Data input'!$9:$9,0)-2),'Data input'!$C:$C,'Summary by type of work report'!$B27),0)</f>
        <v>0</v>
      </c>
    </row>
    <row r="28" spans="2:25">
      <c r="B28" s="23" t="str">
        <f>IF('Data input'!$C31="","",'Data input'!$C31)</f>
        <v>Deferred income tax assets, noncurrent</v>
      </c>
      <c r="C28" s="70">
        <f ca="1">IFERROR(SUMIFS(OFFSET('Data input'!$C:$C,,MATCH('Summary by type of work report'!C$9,'Data input'!$8:$8,0)-3,,),'Data input'!$C:$C,'Summary by type of work report'!$B28),"")</f>
        <v>0</v>
      </c>
      <c r="D28" s="70">
        <f ca="1">IFERROR(SUMIFS(OFFSET('Data input'!$C:$C,,MATCH('Summary by type of work report'!D$9,'Data input'!$8:$8,0)-3,,),'Data input'!$C:$C,'Summary by type of work report'!$B28),"")</f>
        <v>0</v>
      </c>
      <c r="E28" s="70">
        <f ca="1">IFERROR(SUMIFS(OFFSET('Data input'!$C:$C,,MATCH('Summary by type of work report'!E$9,'Data input'!$8:$8,0)-3,,),'Data input'!$C:$C,'Summary by type of work report'!$B28),"")</f>
        <v>0</v>
      </c>
      <c r="F28" s="51"/>
      <c r="G28" s="70">
        <f>IFERROR(SUMIFS('Data input'!31:31,'Data input'!$12:$12,'Summary by type of work report'!G$9),"")</f>
        <v>0</v>
      </c>
      <c r="H28" s="70">
        <f>IFERROR(SUMIFS('Data input'!31:31,'Data input'!$12:$12,'Summary by type of work report'!H$9),"")</f>
        <v>0</v>
      </c>
      <c r="I28" s="58"/>
      <c r="J28" s="58"/>
      <c r="K28" s="70">
        <f>IFERROR(SUMIFS('Data input'!31:31,'Data input'!$12:$12,'Summary by type of work report'!K$9),"")</f>
        <v>0</v>
      </c>
      <c r="L28" s="70">
        <f>IFERROR(SUMIFS('Data input'!31:31,'Data input'!$12:$12,'Summary by type of work report'!L$9),"")</f>
        <v>0</v>
      </c>
      <c r="M28" s="51"/>
      <c r="N28" s="70">
        <f t="shared" ca="1" si="6"/>
        <v>0</v>
      </c>
      <c r="O28" s="71">
        <f t="shared" ca="1" si="7"/>
        <v>0</v>
      </c>
      <c r="P28" s="70">
        <f t="shared" si="8"/>
        <v>0</v>
      </c>
      <c r="Q28" s="71">
        <f t="shared" ca="1" si="9"/>
        <v>0</v>
      </c>
      <c r="R28" s="70">
        <f t="shared" si="10"/>
        <v>0</v>
      </c>
      <c r="S28" s="71">
        <f t="shared" ca="1" si="11"/>
        <v>0</v>
      </c>
      <c r="T28" s="51"/>
      <c r="U28" s="58"/>
      <c r="V28" s="58"/>
      <c r="W28" s="95"/>
      <c r="X28" s="52"/>
      <c r="Y28" s="70">
        <f ca="1">IFERROR(SUMIFS(OFFSET('Data input'!$B:$B,,MATCH('Summary by type of work report'!Y$9,'Data input'!$9:$9,0)-2),'Data input'!$C:$C,'Summary by type of work report'!$B28),0)</f>
        <v>0</v>
      </c>
    </row>
    <row r="29" spans="2:25">
      <c r="B29" s="23" t="str">
        <f>IF('Data input'!$C32="","",'Data input'!$C32)</f>
        <v>Property, plant and equipment, net</v>
      </c>
      <c r="C29" s="70">
        <f ca="1">IFERROR(SUMIFS(OFFSET('Data input'!$C:$C,,MATCH('Summary by type of work report'!C$9,'Data input'!$8:$8,0)-3,,),'Data input'!$C:$C,'Summary by type of work report'!$B29),"")</f>
        <v>0</v>
      </c>
      <c r="D29" s="70">
        <f ca="1">IFERROR(SUMIFS(OFFSET('Data input'!$C:$C,,MATCH('Summary by type of work report'!D$9,'Data input'!$8:$8,0)-3,,),'Data input'!$C:$C,'Summary by type of work report'!$B29),"")</f>
        <v>0</v>
      </c>
      <c r="E29" s="70">
        <f ca="1">IFERROR(SUMIFS(OFFSET('Data input'!$C:$C,,MATCH('Summary by type of work report'!E$9,'Data input'!$8:$8,0)-3,,),'Data input'!$C:$C,'Summary by type of work report'!$B29),"")</f>
        <v>0</v>
      </c>
      <c r="F29" s="51"/>
      <c r="G29" s="70">
        <f>IFERROR(SUMIFS('Data input'!32:32,'Data input'!$12:$12,'Summary by type of work report'!G$9),"")</f>
        <v>0</v>
      </c>
      <c r="H29" s="70">
        <f>IFERROR(SUMIFS('Data input'!32:32,'Data input'!$12:$12,'Summary by type of work report'!H$9),"")</f>
        <v>0</v>
      </c>
      <c r="I29" s="58"/>
      <c r="J29" s="58"/>
      <c r="K29" s="70">
        <f>IFERROR(SUMIFS('Data input'!32:32,'Data input'!$12:$12,'Summary by type of work report'!K$9),"")</f>
        <v>0</v>
      </c>
      <c r="L29" s="70">
        <f>IFERROR(SUMIFS('Data input'!32:32,'Data input'!$12:$12,'Summary by type of work report'!L$9),"")</f>
        <v>0</v>
      </c>
      <c r="M29" s="51"/>
      <c r="N29" s="70">
        <f t="shared" ca="1" si="6"/>
        <v>0</v>
      </c>
      <c r="O29" s="71">
        <f t="shared" ca="1" si="7"/>
        <v>0</v>
      </c>
      <c r="P29" s="70">
        <f t="shared" si="8"/>
        <v>0</v>
      </c>
      <c r="Q29" s="71">
        <f t="shared" ca="1" si="9"/>
        <v>0</v>
      </c>
      <c r="R29" s="70">
        <f t="shared" si="10"/>
        <v>0</v>
      </c>
      <c r="S29" s="71">
        <f t="shared" ca="1" si="11"/>
        <v>0</v>
      </c>
      <c r="T29" s="51"/>
      <c r="U29" s="58"/>
      <c r="V29" s="58"/>
      <c r="W29" s="95"/>
      <c r="X29" s="52"/>
      <c r="Y29" s="70">
        <f ca="1">IFERROR(SUMIFS(OFFSET('Data input'!$B:$B,,MATCH('Summary by type of work report'!Y$9,'Data input'!$9:$9,0)-2),'Data input'!$C:$C,'Summary by type of work report'!$B29),0)</f>
        <v>0</v>
      </c>
    </row>
    <row r="30" spans="2:25">
      <c r="B30" s="23" t="str">
        <f>IF('Data input'!$C33="","",'Data input'!$C33)</f>
        <v>Intangible assets, net</v>
      </c>
      <c r="C30" s="70">
        <f ca="1">IFERROR(SUMIFS(OFFSET('Data input'!$C:$C,,MATCH('Summary by type of work report'!C$9,'Data input'!$8:$8,0)-3,,),'Data input'!$C:$C,'Summary by type of work report'!$B30),"")</f>
        <v>0</v>
      </c>
      <c r="D30" s="70">
        <f ca="1">IFERROR(SUMIFS(OFFSET('Data input'!$C:$C,,MATCH('Summary by type of work report'!D$9,'Data input'!$8:$8,0)-3,,),'Data input'!$C:$C,'Summary by type of work report'!$B30),"")</f>
        <v>0</v>
      </c>
      <c r="E30" s="70">
        <f ca="1">IFERROR(SUMIFS(OFFSET('Data input'!$C:$C,,MATCH('Summary by type of work report'!E$9,'Data input'!$8:$8,0)-3,,),'Data input'!$C:$C,'Summary by type of work report'!$B30),"")</f>
        <v>0</v>
      </c>
      <c r="F30" s="51"/>
      <c r="G30" s="70">
        <f>IFERROR(SUMIFS('Data input'!33:33,'Data input'!$12:$12,'Summary by type of work report'!G$9),"")</f>
        <v>0</v>
      </c>
      <c r="H30" s="70">
        <f>IFERROR(SUMIFS('Data input'!33:33,'Data input'!$12:$12,'Summary by type of work report'!H$9),"")</f>
        <v>0</v>
      </c>
      <c r="I30" s="58"/>
      <c r="J30" s="58"/>
      <c r="K30" s="70">
        <f>IFERROR(SUMIFS('Data input'!33:33,'Data input'!$12:$12,'Summary by type of work report'!K$9),"")</f>
        <v>0</v>
      </c>
      <c r="L30" s="70">
        <f>IFERROR(SUMIFS('Data input'!33:33,'Data input'!$12:$12,'Summary by type of work report'!L$9),"")</f>
        <v>0</v>
      </c>
      <c r="M30" s="51"/>
      <c r="N30" s="70">
        <f t="shared" ca="1" si="6"/>
        <v>0</v>
      </c>
      <c r="O30" s="71">
        <f t="shared" ca="1" si="7"/>
        <v>0</v>
      </c>
      <c r="P30" s="70">
        <f t="shared" si="8"/>
        <v>0</v>
      </c>
      <c r="Q30" s="71">
        <f t="shared" ca="1" si="9"/>
        <v>0</v>
      </c>
      <c r="R30" s="70">
        <f t="shared" si="10"/>
        <v>0</v>
      </c>
      <c r="S30" s="71">
        <f t="shared" ca="1" si="11"/>
        <v>0</v>
      </c>
      <c r="T30" s="51"/>
      <c r="U30" s="58"/>
      <c r="V30" s="58"/>
      <c r="W30" s="95"/>
      <c r="X30" s="52"/>
      <c r="Y30" s="70">
        <f ca="1">IFERROR(SUMIFS(OFFSET('Data input'!$B:$B,,MATCH('Summary by type of work report'!Y$9,'Data input'!$9:$9,0)-2),'Data input'!$C:$C,'Summary by type of work report'!$B30),0)</f>
        <v>0</v>
      </c>
    </row>
    <row r="31" spans="2:25">
      <c r="B31" s="23" t="str">
        <f>IF('Data input'!$C34="","",'Data input'!$C34)</f>
        <v>Goodwill</v>
      </c>
      <c r="C31" s="70">
        <f ca="1">IFERROR(SUMIFS(OFFSET('Data input'!$C:$C,,MATCH('Summary by type of work report'!C$9,'Data input'!$8:$8,0)-3,,),'Data input'!$C:$C,'Summary by type of work report'!$B31),"")</f>
        <v>0</v>
      </c>
      <c r="D31" s="70">
        <f ca="1">IFERROR(SUMIFS(OFFSET('Data input'!$C:$C,,MATCH('Summary by type of work report'!D$9,'Data input'!$8:$8,0)-3,,),'Data input'!$C:$C,'Summary by type of work report'!$B31),"")</f>
        <v>0</v>
      </c>
      <c r="E31" s="70">
        <f ca="1">IFERROR(SUMIFS(OFFSET('Data input'!$C:$C,,MATCH('Summary by type of work report'!E$9,'Data input'!$8:$8,0)-3,,),'Data input'!$C:$C,'Summary by type of work report'!$B31),"")</f>
        <v>0</v>
      </c>
      <c r="F31" s="51"/>
      <c r="G31" s="70">
        <f>IFERROR(SUMIFS('Data input'!34:34,'Data input'!$12:$12,'Summary by type of work report'!G$9),"")</f>
        <v>0</v>
      </c>
      <c r="H31" s="70">
        <f>IFERROR(SUMIFS('Data input'!34:34,'Data input'!$12:$12,'Summary by type of work report'!H$9),"")</f>
        <v>0</v>
      </c>
      <c r="I31" s="58"/>
      <c r="J31" s="58"/>
      <c r="K31" s="70">
        <f>IFERROR(SUMIFS('Data input'!34:34,'Data input'!$12:$12,'Summary by type of work report'!K$9),"")</f>
        <v>0</v>
      </c>
      <c r="L31" s="70">
        <f>IFERROR(SUMIFS('Data input'!34:34,'Data input'!$12:$12,'Summary by type of work report'!L$9),"")</f>
        <v>0</v>
      </c>
      <c r="M31" s="51"/>
      <c r="N31" s="70">
        <f t="shared" ca="1" si="6"/>
        <v>0</v>
      </c>
      <c r="O31" s="71">
        <f t="shared" ca="1" si="7"/>
        <v>0</v>
      </c>
      <c r="P31" s="70">
        <f t="shared" si="8"/>
        <v>0</v>
      </c>
      <c r="Q31" s="71">
        <f t="shared" ca="1" si="9"/>
        <v>0</v>
      </c>
      <c r="R31" s="70">
        <f t="shared" si="10"/>
        <v>0</v>
      </c>
      <c r="S31" s="71">
        <f t="shared" ca="1" si="11"/>
        <v>0</v>
      </c>
      <c r="T31" s="51"/>
      <c r="U31" s="58"/>
      <c r="V31" s="58"/>
      <c r="W31" s="95"/>
      <c r="X31" s="52"/>
      <c r="Y31" s="70">
        <f ca="1">IFERROR(SUMIFS(OFFSET('Data input'!$B:$B,,MATCH('Summary by type of work report'!Y$9,'Data input'!$9:$9,0)-2),'Data input'!$C:$C,'Summary by type of work report'!$B31),0)</f>
        <v>0</v>
      </c>
    </row>
    <row r="32" spans="2:25">
      <c r="B32" s="23" t="str">
        <f>IF('Data input'!$C35="","",'Data input'!$C35)</f>
        <v>Assets of businesses held for sale</v>
      </c>
      <c r="C32" s="70">
        <f ca="1">IFERROR(SUMIFS(OFFSET('Data input'!$C:$C,,MATCH('Summary by type of work report'!C$9,'Data input'!$8:$8,0)-3,,),'Data input'!$C:$C,'Summary by type of work report'!$B32),"")</f>
        <v>0</v>
      </c>
      <c r="D32" s="105">
        <f ca="1">IFERROR(SUMIFS(OFFSET('Data input'!$C:$C,,MATCH('Summary by type of work report'!D$9,'Data input'!$8:$8,0)-3,,),'Data input'!$C:$C,'Summary by type of work report'!$B32),"")</f>
        <v>0</v>
      </c>
      <c r="E32" s="105">
        <f ca="1">IFERROR(SUMIFS(OFFSET('Data input'!$C:$C,,MATCH('Summary by type of work report'!E$9,'Data input'!$8:$8,0)-3,,),'Data input'!$C:$C,'Summary by type of work report'!$B32),"")</f>
        <v>0</v>
      </c>
      <c r="F32" s="51"/>
      <c r="G32" s="105">
        <f>IFERROR(SUMIFS('Data input'!35:35,'Data input'!$12:$12,'Summary by type of work report'!G$9),"")</f>
        <v>0</v>
      </c>
      <c r="H32" s="105">
        <f>IFERROR(SUMIFS('Data input'!35:35,'Data input'!$12:$12,'Summary by type of work report'!H$9),"")</f>
        <v>0</v>
      </c>
      <c r="I32" s="58"/>
      <c r="J32" s="58"/>
      <c r="K32" s="70">
        <f>IFERROR(SUMIFS('Data input'!35:35,'Data input'!$12:$12,'Summary by type of work report'!K$9),"")</f>
        <v>0</v>
      </c>
      <c r="L32" s="70">
        <f>IFERROR(SUMIFS('Data input'!35:35,'Data input'!$12:$12,'Summary by type of work report'!L$9),"")</f>
        <v>0</v>
      </c>
      <c r="M32" s="51"/>
      <c r="N32" s="70">
        <f t="shared" ca="1" si="6"/>
        <v>0</v>
      </c>
      <c r="O32" s="71">
        <f t="shared" ca="1" si="7"/>
        <v>0</v>
      </c>
      <c r="P32" s="70">
        <f t="shared" si="8"/>
        <v>0</v>
      </c>
      <c r="Q32" s="71">
        <f t="shared" ca="1" si="9"/>
        <v>0</v>
      </c>
      <c r="R32" s="70">
        <f t="shared" si="10"/>
        <v>0</v>
      </c>
      <c r="S32" s="71">
        <f t="shared" ca="1" si="11"/>
        <v>0</v>
      </c>
      <c r="T32" s="51"/>
      <c r="U32" s="58"/>
      <c r="V32" s="58"/>
      <c r="W32" s="95"/>
      <c r="X32" s="52"/>
      <c r="Y32" s="70">
        <f ca="1">IFERROR(SUMIFS(OFFSET('Data input'!$B:$B,,MATCH('Summary by type of work report'!Y$9,'Data input'!$9:$9,0)-2),'Data input'!$C:$C,'Summary by type of work report'!$B32),0)</f>
        <v>0</v>
      </c>
    </row>
    <row r="33" spans="2:26" s="48" customFormat="1">
      <c r="B33" s="49" t="str">
        <f>IF('Data input'!$C36="","",'Data input'!$C36)</f>
        <v>Assets of discontinued operations</v>
      </c>
      <c r="C33" s="70">
        <f ca="1">IFERROR(SUMIFS(OFFSET('Data input'!$C:$C,,MATCH('Summary by type of work report'!C$9,'Data input'!$8:$8,0)-3,,),'Data input'!$C:$C,'Summary by type of work report'!$B33),"")</f>
        <v>0</v>
      </c>
      <c r="D33" s="70">
        <f ca="1">IFERROR(SUMIFS(OFFSET('Data input'!$C:$C,,MATCH('Summary by type of work report'!D$9,'Data input'!$8:$8,0)-3,,),'Data input'!$C:$C,'Summary by type of work report'!$B33),"")</f>
        <v>0</v>
      </c>
      <c r="E33" s="70">
        <f ca="1">IFERROR(SUMIFS(OFFSET('Data input'!$C:$C,,MATCH('Summary by type of work report'!E$9,'Data input'!$8:$8,0)-3,,),'Data input'!$C:$C,'Summary by type of work report'!$B33),"")</f>
        <v>0</v>
      </c>
      <c r="F33" s="51"/>
      <c r="G33" s="70">
        <f>IFERROR(SUMIFS('Data input'!36:36,'Data input'!$12:$12,'Summary by type of work report'!G$9),"")</f>
        <v>0</v>
      </c>
      <c r="H33" s="70">
        <f>IFERROR(SUMIFS('Data input'!36:36,'Data input'!$12:$12,'Summary by type of work report'!H$9),"")</f>
        <v>0</v>
      </c>
      <c r="I33" s="58"/>
      <c r="J33" s="58"/>
      <c r="K33" s="70">
        <f>IFERROR(SUMIFS('Data input'!36:36,'Data input'!$12:$12,'Summary by type of work report'!K$9),"")</f>
        <v>0</v>
      </c>
      <c r="L33" s="70">
        <f>IFERROR(SUMIFS('Data input'!36:36,'Data input'!$12:$12,'Summary by type of work report'!L$9),"")</f>
        <v>0</v>
      </c>
      <c r="M33" s="51"/>
      <c r="N33" s="70">
        <f t="shared" ca="1" si="6"/>
        <v>0</v>
      </c>
      <c r="O33" s="71">
        <f t="shared" ca="1" si="7"/>
        <v>0</v>
      </c>
      <c r="P33" s="70">
        <f t="shared" si="8"/>
        <v>0</v>
      </c>
      <c r="Q33" s="71">
        <f t="shared" ca="1" si="9"/>
        <v>0</v>
      </c>
      <c r="R33" s="70">
        <f t="shared" si="10"/>
        <v>0</v>
      </c>
      <c r="S33" s="71">
        <f t="shared" ca="1" si="11"/>
        <v>0</v>
      </c>
      <c r="T33" s="51"/>
      <c r="U33" s="58"/>
      <c r="V33" s="58"/>
      <c r="W33" s="95"/>
      <c r="X33" s="52"/>
      <c r="Y33" s="70">
        <f ca="1">IFERROR(SUMIFS(OFFSET('Data input'!$B:$B,,MATCH('Summary by type of work report'!Y$9,'Data input'!$9:$9,0)-2),'Data input'!$C:$C,'Summary by type of work report'!$B33),0)</f>
        <v>0</v>
      </c>
      <c r="Z33"/>
    </row>
    <row r="34" spans="2:26" s="48" customFormat="1">
      <c r="B34" s="49" t="str">
        <f>IF('Data input'!$C37="","",'Data input'!$C37)</f>
        <v>Related party receivables, noncurrent</v>
      </c>
      <c r="C34" s="70">
        <f ca="1">IFERROR(SUMIFS(OFFSET('Data input'!$C:$C,,MATCH('Summary by type of work report'!C$9,'Data input'!$8:$8,0)-3,,),'Data input'!$C:$C,'Summary by type of work report'!$B34),"")</f>
        <v>0</v>
      </c>
      <c r="D34" s="70">
        <f ca="1">IFERROR(SUMIFS(OFFSET('Data input'!$C:$C,,MATCH('Summary by type of work report'!D$9,'Data input'!$8:$8,0)-3,,),'Data input'!$C:$C,'Summary by type of work report'!$B34),"")</f>
        <v>0</v>
      </c>
      <c r="E34" s="70">
        <f ca="1">IFERROR(SUMIFS(OFFSET('Data input'!$C:$C,,MATCH('Summary by type of work report'!E$9,'Data input'!$8:$8,0)-3,,),'Data input'!$C:$C,'Summary by type of work report'!$B34),"")</f>
        <v>0</v>
      </c>
      <c r="F34" s="51"/>
      <c r="G34" s="70">
        <f>IFERROR(SUMIFS('Data input'!37:37,'Data input'!$12:$12,'Summary by type of work report'!G$9),"")</f>
        <v>0</v>
      </c>
      <c r="H34" s="70">
        <f>IFERROR(SUMIFS('Data input'!37:37,'Data input'!$12:$12,'Summary by type of work report'!H$9),"")</f>
        <v>0</v>
      </c>
      <c r="I34" s="58"/>
      <c r="J34" s="58"/>
      <c r="K34" s="70">
        <f>IFERROR(SUMIFS('Data input'!37:37,'Data input'!$12:$12,'Summary by type of work report'!K$9),"")</f>
        <v>0</v>
      </c>
      <c r="L34" s="70">
        <f>IFERROR(SUMIFS('Data input'!37:37,'Data input'!$12:$12,'Summary by type of work report'!L$9),"")</f>
        <v>0</v>
      </c>
      <c r="M34" s="51"/>
      <c r="N34" s="70">
        <f t="shared" ca="1" si="6"/>
        <v>0</v>
      </c>
      <c r="O34" s="71">
        <f t="shared" ca="1" si="7"/>
        <v>0</v>
      </c>
      <c r="P34" s="70">
        <f t="shared" si="8"/>
        <v>0</v>
      </c>
      <c r="Q34" s="71">
        <f t="shared" ca="1" si="9"/>
        <v>0</v>
      </c>
      <c r="R34" s="70">
        <f t="shared" si="10"/>
        <v>0</v>
      </c>
      <c r="S34" s="71">
        <f t="shared" ca="1" si="11"/>
        <v>0</v>
      </c>
      <c r="T34" s="51"/>
      <c r="U34" s="58"/>
      <c r="V34" s="58"/>
      <c r="W34" s="95"/>
      <c r="X34" s="52"/>
      <c r="Y34" s="70">
        <f ca="1">IFERROR(SUMIFS(OFFSET('Data input'!$B:$B,,MATCH('Summary by type of work report'!Y$9,'Data input'!$9:$9,0)-2),'Data input'!$C:$C,'Summary by type of work report'!$B34),0)</f>
        <v>0</v>
      </c>
      <c r="Z34"/>
    </row>
    <row r="35" spans="2:26" s="48" customFormat="1">
      <c r="B35" s="49" t="str">
        <f>IF('Data input'!$C38="","",'Data input'!$C38)</f>
        <v>Investments in subsidiaries</v>
      </c>
      <c r="C35" s="70">
        <f ca="1">IFERROR(SUMIFS(OFFSET('Data input'!$C:$C,,MATCH('Summary by type of work report'!C$9,'Data input'!$8:$8,0)-3,,),'Data input'!$C:$C,'Summary by type of work report'!$B35),"")</f>
        <v>0</v>
      </c>
      <c r="D35" s="70">
        <f ca="1">IFERROR(SUMIFS(OFFSET('Data input'!$C:$C,,MATCH('Summary by type of work report'!D$9,'Data input'!$8:$8,0)-3,,),'Data input'!$C:$C,'Summary by type of work report'!$B35),"")</f>
        <v>0</v>
      </c>
      <c r="E35" s="70">
        <f ca="1">IFERROR(SUMIFS(OFFSET('Data input'!$C:$C,,MATCH('Summary by type of work report'!E$9,'Data input'!$8:$8,0)-3,,),'Data input'!$C:$C,'Summary by type of work report'!$B35),"")</f>
        <v>0</v>
      </c>
      <c r="F35" s="51"/>
      <c r="G35" s="70">
        <f>IFERROR(SUMIFS('Data input'!38:38,'Data input'!$12:$12,'Summary by type of work report'!G$9),"")</f>
        <v>0</v>
      </c>
      <c r="H35" s="70">
        <f>IFERROR(SUMIFS('Data input'!38:38,'Data input'!$12:$12,'Summary by type of work report'!H$9),"")</f>
        <v>0</v>
      </c>
      <c r="I35" s="58"/>
      <c r="J35" s="58"/>
      <c r="K35" s="70">
        <f>IFERROR(SUMIFS('Data input'!38:38,'Data input'!$12:$12,'Summary by type of work report'!K$9),"")</f>
        <v>0</v>
      </c>
      <c r="L35" s="70">
        <f>IFERROR(SUMIFS('Data input'!38:38,'Data input'!$12:$12,'Summary by type of work report'!L$9),"")</f>
        <v>0</v>
      </c>
      <c r="M35" s="51"/>
      <c r="N35" s="70">
        <f t="shared" ca="1" si="6"/>
        <v>0</v>
      </c>
      <c r="O35" s="71">
        <f t="shared" ca="1" si="7"/>
        <v>0</v>
      </c>
      <c r="P35" s="70">
        <f t="shared" si="8"/>
        <v>0</v>
      </c>
      <c r="Q35" s="71">
        <f t="shared" ca="1" si="9"/>
        <v>0</v>
      </c>
      <c r="R35" s="70">
        <f t="shared" si="10"/>
        <v>0</v>
      </c>
      <c r="S35" s="71">
        <f t="shared" ca="1" si="11"/>
        <v>0</v>
      </c>
      <c r="T35" s="51"/>
      <c r="U35" s="58"/>
      <c r="V35" s="58"/>
      <c r="W35" s="95"/>
      <c r="X35" s="52"/>
      <c r="Y35" s="70">
        <f ca="1">IFERROR(SUMIFS(OFFSET('Data input'!$B:$B,,MATCH('Summary by type of work report'!Y$9,'Data input'!$9:$9,0)-2),'Data input'!$C:$C,'Summary by type of work report'!$B35),0)</f>
        <v>0</v>
      </c>
      <c r="Z35"/>
    </row>
    <row r="36" spans="2:26">
      <c r="B36" s="23" t="str">
        <f>IF('Data input'!$C39="","",'Data input'!$C39)</f>
        <v>Other assets</v>
      </c>
      <c r="C36" s="70">
        <f ca="1">IFERROR(SUMIFS(OFFSET('Data input'!$C:$C,,MATCH('Summary by type of work report'!C$9,'Data input'!$8:$8,0)-3,,),'Data input'!$C:$C,'Summary by type of work report'!$B36),"")</f>
        <v>0</v>
      </c>
      <c r="D36" s="70">
        <f ca="1">IFERROR(SUMIFS(OFFSET('Data input'!$C:$C,,MATCH('Summary by type of work report'!D$9,'Data input'!$8:$8,0)-3,,),'Data input'!$C:$C,'Summary by type of work report'!$B36),"")</f>
        <v>0</v>
      </c>
      <c r="E36" s="70">
        <f ca="1">IFERROR(SUMIFS(OFFSET('Data input'!$C:$C,,MATCH('Summary by type of work report'!E$9,'Data input'!$8:$8,0)-3,,),'Data input'!$C:$C,'Summary by type of work report'!$B36),"")</f>
        <v>0</v>
      </c>
      <c r="F36" s="51"/>
      <c r="G36" s="70">
        <f>IFERROR(SUMIFS('Data input'!39:39,'Data input'!$12:$12,'Summary by type of work report'!G$9),"")</f>
        <v>0</v>
      </c>
      <c r="H36" s="70">
        <f>IFERROR(SUMIFS('Data input'!39:39,'Data input'!$12:$12,'Summary by type of work report'!H$9),"")</f>
        <v>0</v>
      </c>
      <c r="I36" s="58"/>
      <c r="J36" s="58"/>
      <c r="K36" s="70">
        <f>IFERROR(SUMIFS('Data input'!39:39,'Data input'!$12:$12,'Summary by type of work report'!K$9),"")</f>
        <v>0</v>
      </c>
      <c r="L36" s="70">
        <f>IFERROR(SUMIFS('Data input'!39:39,'Data input'!$12:$12,'Summary by type of work report'!L$9),"")</f>
        <v>0</v>
      </c>
      <c r="M36" s="51"/>
      <c r="N36" s="70">
        <f t="shared" ca="1" si="6"/>
        <v>0</v>
      </c>
      <c r="O36" s="71">
        <f t="shared" ca="1" si="7"/>
        <v>0</v>
      </c>
      <c r="P36" s="70">
        <f t="shared" si="8"/>
        <v>0</v>
      </c>
      <c r="Q36" s="71">
        <f t="shared" ca="1" si="9"/>
        <v>0</v>
      </c>
      <c r="R36" s="70">
        <f t="shared" si="10"/>
        <v>0</v>
      </c>
      <c r="S36" s="71">
        <f t="shared" ca="1" si="11"/>
        <v>0</v>
      </c>
      <c r="T36" s="51"/>
      <c r="U36" s="58"/>
      <c r="V36" s="58"/>
      <c r="W36" s="95"/>
      <c r="X36" s="52"/>
      <c r="Y36" s="70">
        <f ca="1">IFERROR(SUMIFS(OFFSET('Data input'!$B:$B,,MATCH('Summary by type of work report'!Y$9,'Data input'!$9:$9,0)-2),'Data input'!$C:$C,'Summary by type of work report'!$B36),0)</f>
        <v>0</v>
      </c>
    </row>
    <row r="37" spans="2:26" hidden="1">
      <c r="B37" s="17" t="str">
        <f>IF('Data input'!$C40="","",'Data input'!$C40)</f>
        <v>Intentionally hidden</v>
      </c>
      <c r="C37" s="72">
        <f ca="1">IFERROR(SUMIFS(OFFSET('Data input'!$C:$C,,MATCH('Summary by type of work report'!C$9,'Data input'!$8:$8,0)-3,,),'Data input'!$C:$C,'Summary by type of work report'!$B37),"")</f>
        <v>0</v>
      </c>
      <c r="D37" s="72">
        <f ca="1">IFERROR(SUMIFS(OFFSET('Data input'!$C:$C,,MATCH('Summary by type of work report'!D$9,'Data input'!$8:$8,0)-3,,),'Data input'!$C:$C,'Summary by type of work report'!$B37),"")</f>
        <v>0</v>
      </c>
      <c r="E37" s="72">
        <f ca="1">IFERROR(SUMIFS(OFFSET('Data input'!$C:$C,,MATCH('Summary by type of work report'!E$9,'Data input'!$8:$8,0)-3,,),'Data input'!$C:$C,'Summary by type of work report'!$B37),"")</f>
        <v>0</v>
      </c>
      <c r="F37" s="51"/>
      <c r="G37" s="72">
        <f>IFERROR(SUMIFS('Data input'!40:40,'Data input'!$12:$12,'Summary by type of work report'!G$9),"")</f>
        <v>0</v>
      </c>
      <c r="H37" s="72">
        <f>IFERROR(SUMIFS('Data input'!40:40,'Data input'!$12:$12,'Summary by type of work report'!H$9),"")</f>
        <v>0</v>
      </c>
      <c r="I37" s="59"/>
      <c r="J37" s="59"/>
      <c r="K37" s="72">
        <f>IFERROR(SUMIFS('Data input'!40:40,'Data input'!$12:$12,'Summary by type of work report'!K$9),"")</f>
        <v>0</v>
      </c>
      <c r="L37" s="72">
        <f>IFERROR(SUMIFS('Data input'!40:40,'Data input'!$12:$12,'Summary by type of work report'!L$9),"")</f>
        <v>0</v>
      </c>
      <c r="M37" s="51"/>
      <c r="N37" s="72"/>
      <c r="O37" s="73"/>
      <c r="P37" s="72"/>
      <c r="Q37" s="73">
        <f t="shared" ca="1" si="9"/>
        <v>0</v>
      </c>
      <c r="R37" s="72">
        <f t="shared" si="10"/>
        <v>0</v>
      </c>
      <c r="S37" s="73">
        <f t="shared" ca="1" si="11"/>
        <v>0</v>
      </c>
      <c r="T37" s="51"/>
      <c r="U37" s="59"/>
      <c r="V37" s="59"/>
      <c r="W37" s="96"/>
      <c r="X37" s="52"/>
      <c r="Y37" s="72"/>
    </row>
    <row r="38" spans="2:26" ht="10.5">
      <c r="B38" s="19" t="str">
        <f>IF('Data input'!$C41="","",'Data input'!$C41)</f>
        <v>Total assets</v>
      </c>
      <c r="C38" s="78">
        <f ca="1">IFERROR(SUMIFS(OFFSET('Data input'!$C:$C,,MATCH('Summary by type of work report'!C$9,'Data input'!$8:$8,0)-3,,),'Data input'!$C:$C,'Summary by type of work report'!$B38),"")</f>
        <v>0</v>
      </c>
      <c r="D38" s="78">
        <f ca="1">IFERROR(SUMIFS(OFFSET('Data input'!$C:$C,,MATCH('Summary by type of work report'!D$9,'Data input'!$8:$8,0)-3,,),'Data input'!$C:$C,'Summary by type of work report'!$B38),"")</f>
        <v>0</v>
      </c>
      <c r="E38" s="78">
        <f ca="1">IFERROR(SUMIFS(OFFSET('Data input'!$C:$C,,MATCH('Summary by type of work report'!E$9,'Data input'!$8:$8,0)-3,,),'Data input'!$C:$C,'Summary by type of work report'!$B38),"")</f>
        <v>0</v>
      </c>
      <c r="F38" s="51"/>
      <c r="G38" s="78">
        <f>IFERROR(SUMIFS('Data input'!41:41,'Data input'!$12:$12,'Summary by type of work report'!G$9),"")</f>
        <v>0</v>
      </c>
      <c r="H38" s="78">
        <f>IFERROR(SUMIFS('Data input'!41:41,'Data input'!$12:$12,'Summary by type of work report'!H$9),"")</f>
        <v>0</v>
      </c>
      <c r="I38" s="62">
        <f>SUM(I23:I37)</f>
        <v>0</v>
      </c>
      <c r="J38" s="62">
        <f>SUM(J23:J37)</f>
        <v>0</v>
      </c>
      <c r="K38" s="78">
        <f>IFERROR(SUMIFS('Data input'!41:41,'Data input'!$12:$12,'Summary by type of work report'!K$9),"")</f>
        <v>0</v>
      </c>
      <c r="L38" s="78">
        <f>IFERROR(SUMIFS('Data input'!41:41,'Data input'!$12:$12,'Summary by type of work report'!L$9),"")</f>
        <v>0</v>
      </c>
      <c r="M38" s="51"/>
      <c r="N38" s="78">
        <f ca="1">IFERROR(C38-SUM(D38:E38,G38:H38,I38,J38,K38:L38),"")</f>
        <v>0</v>
      </c>
      <c r="O38" s="79">
        <f ca="1">IFERROR(N38/(C38-D38-E38),0)</f>
        <v>0</v>
      </c>
      <c r="P38" s="78">
        <f>SUM(K38:L38)</f>
        <v>0</v>
      </c>
      <c r="Q38" s="79">
        <f t="shared" ca="1" si="9"/>
        <v>0</v>
      </c>
      <c r="R38" s="78">
        <f t="shared" si="10"/>
        <v>0</v>
      </c>
      <c r="S38" s="79">
        <f t="shared" ca="1" si="11"/>
        <v>0</v>
      </c>
      <c r="T38" s="51"/>
      <c r="U38" s="62"/>
      <c r="V38" s="62"/>
      <c r="W38" s="99"/>
      <c r="X38" s="52"/>
      <c r="Y38" s="78">
        <f ca="1">IFERROR(SUMIFS(OFFSET('Data input'!$B:$B,,MATCH('Summary by type of work report'!Y$9,'Data input'!$9:$9,0)-2),'Data input'!$C:$C,'Summary by type of work report'!$B38),0)</f>
        <v>0</v>
      </c>
    </row>
    <row r="39" spans="2:26">
      <c r="B39" s="15" t="str">
        <f>IF('Data input'!$C42="","",'Data input'!$C42)</f>
        <v/>
      </c>
      <c r="C39" s="76"/>
      <c r="D39" s="76"/>
      <c r="E39" s="76"/>
      <c r="F39" s="51"/>
      <c r="G39" s="76"/>
      <c r="H39" s="76"/>
      <c r="I39" s="61"/>
      <c r="J39" s="61"/>
      <c r="K39" s="76"/>
      <c r="L39" s="76"/>
      <c r="M39" s="51"/>
      <c r="N39" s="76"/>
      <c r="O39" s="77"/>
      <c r="P39" s="76"/>
      <c r="Q39" s="76"/>
      <c r="R39" s="76"/>
      <c r="S39" s="76"/>
      <c r="T39" s="51"/>
      <c r="U39" s="61"/>
      <c r="V39" s="61"/>
      <c r="W39" s="98"/>
      <c r="X39" s="52"/>
      <c r="Y39" s="76"/>
    </row>
    <row r="40" spans="2:26" ht="10.5">
      <c r="B40" s="16" t="str">
        <f>IF('Data input'!$C43="","",'Data input'!$C43)</f>
        <v>Liabilities and stockholders' equity</v>
      </c>
      <c r="C40" s="80"/>
      <c r="D40" s="80"/>
      <c r="E40" s="80"/>
      <c r="F40" s="51"/>
      <c r="G40" s="80"/>
      <c r="H40" s="80"/>
      <c r="I40" s="63"/>
      <c r="J40" s="63"/>
      <c r="K40" s="80"/>
      <c r="L40" s="80"/>
      <c r="M40" s="51"/>
      <c r="N40" s="80"/>
      <c r="O40" s="81"/>
      <c r="P40" s="80"/>
      <c r="Q40" s="80"/>
      <c r="R40" s="80"/>
      <c r="S40" s="80"/>
      <c r="T40" s="51"/>
      <c r="U40" s="63"/>
      <c r="V40" s="63"/>
      <c r="W40" s="100"/>
      <c r="X40" s="52"/>
      <c r="Y40" s="80"/>
    </row>
    <row r="41" spans="2:26" ht="10.5">
      <c r="B41" s="16" t="str">
        <f>IF('Data input'!$C44="","",'Data input'!$C44)</f>
        <v>Liabilities</v>
      </c>
      <c r="C41" s="80"/>
      <c r="D41" s="80"/>
      <c r="E41" s="80"/>
      <c r="F41" s="51"/>
      <c r="G41" s="80"/>
      <c r="H41" s="80"/>
      <c r="I41" s="63"/>
      <c r="J41" s="63"/>
      <c r="K41" s="80"/>
      <c r="L41" s="80"/>
      <c r="M41" s="51"/>
      <c r="N41" s="80"/>
      <c r="O41" s="81"/>
      <c r="P41" s="80"/>
      <c r="Q41" s="80"/>
      <c r="R41" s="80"/>
      <c r="S41" s="80"/>
      <c r="T41" s="51"/>
      <c r="U41" s="63"/>
      <c r="V41" s="63"/>
      <c r="W41" s="100"/>
      <c r="X41" s="52"/>
      <c r="Y41" s="80"/>
    </row>
    <row r="42" spans="2:26" ht="10.5">
      <c r="B42" s="16" t="str">
        <f>IF('Data input'!$C45="","",'Data input'!$C45)</f>
        <v>Current liabilities</v>
      </c>
      <c r="C42" s="80"/>
      <c r="D42" s="80"/>
      <c r="E42" s="80"/>
      <c r="F42" s="51"/>
      <c r="G42" s="80"/>
      <c r="H42" s="80"/>
      <c r="I42" s="63"/>
      <c r="J42" s="63"/>
      <c r="K42" s="80"/>
      <c r="L42" s="80"/>
      <c r="M42" s="51"/>
      <c r="N42" s="80"/>
      <c r="O42" s="81"/>
      <c r="P42" s="80"/>
      <c r="Q42" s="80"/>
      <c r="R42" s="80"/>
      <c r="S42" s="80"/>
      <c r="T42" s="51"/>
      <c r="U42" s="63"/>
      <c r="V42" s="63"/>
      <c r="W42" s="100"/>
      <c r="X42" s="52"/>
      <c r="Y42" s="80"/>
    </row>
    <row r="43" spans="2:26">
      <c r="B43" s="23" t="str">
        <f>IF('Data input'!$C46="","",'Data input'!$C46)</f>
        <v>Accounts payable</v>
      </c>
      <c r="C43" s="70">
        <f ca="1">IFERROR(SUMIFS(OFFSET('Data input'!$C:$C,,MATCH('Summary by type of work report'!C$9,'Data input'!$8:$8,0)-3,,),'Data input'!$C:$C,'Summary by type of work report'!$B43),"")</f>
        <v>0</v>
      </c>
      <c r="D43" s="70">
        <f ca="1">IFERROR(SUMIFS(OFFSET('Data input'!$C:$C,,MATCH('Summary by type of work report'!D$9,'Data input'!$8:$8,0)-3,,),'Data input'!$C:$C,'Summary by type of work report'!$B43),"")</f>
        <v>0</v>
      </c>
      <c r="E43" s="70">
        <f ca="1">IFERROR(SUMIFS(OFFSET('Data input'!$C:$C,,MATCH('Summary by type of work report'!E$9,'Data input'!$8:$8,0)-3,,),'Data input'!$C:$C,'Summary by type of work report'!$B43),"")</f>
        <v>0</v>
      </c>
      <c r="F43" s="51"/>
      <c r="G43" s="70">
        <f>IFERROR(SUMIFS('Data input'!46:46,'Data input'!$12:$12,'Summary by type of work report'!G$9),"")</f>
        <v>0</v>
      </c>
      <c r="H43" s="70">
        <f>IFERROR(SUMIFS('Data input'!46:46,'Data input'!$12:$12,'Summary by type of work report'!H$9),"")</f>
        <v>0</v>
      </c>
      <c r="I43" s="58"/>
      <c r="J43" s="58"/>
      <c r="K43" s="70">
        <f>IFERROR(SUMIFS('Data input'!46:46,'Data input'!$12:$12,'Summary by type of work report'!K$9),"")</f>
        <v>0</v>
      </c>
      <c r="L43" s="70">
        <f>IFERROR(SUMIFS('Data input'!46:46,'Data input'!$12:$12,'Summary by type of work report'!L$9),"")</f>
        <v>0</v>
      </c>
      <c r="M43" s="51"/>
      <c r="N43" s="70">
        <f t="shared" ref="N43:N52" ca="1" si="12">IFERROR(C43-SUM(D43:E43,G43:H43,I43,J43,K43:L43),"")</f>
        <v>0</v>
      </c>
      <c r="O43" s="71">
        <f t="shared" ref="O43:O52" ca="1" si="13">IFERROR(N43/(C43-D43-E43),0)</f>
        <v>0</v>
      </c>
      <c r="P43" s="70">
        <f t="shared" ref="P43:P52" si="14">SUM(K43:L43)</f>
        <v>0</v>
      </c>
      <c r="Q43" s="71">
        <f t="shared" ref="Q43:Q54" ca="1" si="15">IFERROR(P43/(C43-D43-E43),0)</f>
        <v>0</v>
      </c>
      <c r="R43" s="70">
        <f t="shared" ref="R43:R54" si="16">G43+H43+I43+J43</f>
        <v>0</v>
      </c>
      <c r="S43" s="71">
        <f t="shared" ref="S43:S54" ca="1" si="17">IFERROR(R43/(C43-D43-E43),0)</f>
        <v>0</v>
      </c>
      <c r="T43" s="51"/>
      <c r="U43" s="58"/>
      <c r="V43" s="58"/>
      <c r="W43" s="95"/>
      <c r="X43" s="52"/>
      <c r="Y43" s="70">
        <f ca="1">IFERROR(SUMIFS(OFFSET('Data input'!$B:$B,,MATCH('Summary by type of work report'!Y$9,'Data input'!$9:$9,0)-2),'Data input'!$C:$C,'Summary by type of work report'!$B43),0)</f>
        <v>0</v>
      </c>
    </row>
    <row r="44" spans="2:26" s="48" customFormat="1">
      <c r="B44" s="49" t="str">
        <f>IF('Data input'!$C47="","",'Data input'!$C47)</f>
        <v>Accrued expenses</v>
      </c>
      <c r="C44" s="70">
        <f ca="1">IFERROR(SUMIFS(OFFSET('Data input'!$C:$C,,MATCH('Summary by type of work report'!C$9,'Data input'!$8:$8,0)-3,,),'Data input'!$C:$C,'Summary by type of work report'!$B44),"")</f>
        <v>0</v>
      </c>
      <c r="D44" s="70">
        <f ca="1">IFERROR(SUMIFS(OFFSET('Data input'!$C:$C,,MATCH('Summary by type of work report'!D$9,'Data input'!$8:$8,0)-3,,),'Data input'!$C:$C,'Summary by type of work report'!$B44),"")</f>
        <v>0</v>
      </c>
      <c r="E44" s="70">
        <f ca="1">IFERROR(SUMIFS(OFFSET('Data input'!$C:$C,,MATCH('Summary by type of work report'!E$9,'Data input'!$8:$8,0)-3,,),'Data input'!$C:$C,'Summary by type of work report'!$B44),"")</f>
        <v>0</v>
      </c>
      <c r="F44" s="51"/>
      <c r="G44" s="70">
        <f>IFERROR(SUMIFS('Data input'!47:47,'Data input'!$12:$12,'Summary by type of work report'!G$9),"")</f>
        <v>0</v>
      </c>
      <c r="H44" s="70">
        <f>IFERROR(SUMIFS('Data input'!47:47,'Data input'!$12:$12,'Summary by type of work report'!H$9),"")</f>
        <v>0</v>
      </c>
      <c r="I44" s="58"/>
      <c r="J44" s="58"/>
      <c r="K44" s="70">
        <f>IFERROR(SUMIFS('Data input'!47:47,'Data input'!$12:$12,'Summary by type of work report'!K$9),"")</f>
        <v>0</v>
      </c>
      <c r="L44" s="70">
        <f>IFERROR(SUMIFS('Data input'!47:47,'Data input'!$12:$12,'Summary by type of work report'!L$9),"")</f>
        <v>0</v>
      </c>
      <c r="M44" s="51"/>
      <c r="N44" s="70">
        <f t="shared" ca="1" si="12"/>
        <v>0</v>
      </c>
      <c r="O44" s="71">
        <f t="shared" ca="1" si="13"/>
        <v>0</v>
      </c>
      <c r="P44" s="70">
        <f t="shared" si="14"/>
        <v>0</v>
      </c>
      <c r="Q44" s="71">
        <f t="shared" ca="1" si="15"/>
        <v>0</v>
      </c>
      <c r="R44" s="70">
        <f t="shared" si="16"/>
        <v>0</v>
      </c>
      <c r="S44" s="71">
        <f t="shared" ca="1" si="17"/>
        <v>0</v>
      </c>
      <c r="T44" s="51"/>
      <c r="U44" s="58"/>
      <c r="V44" s="58"/>
      <c r="W44" s="95"/>
      <c r="X44" s="52"/>
      <c r="Y44" s="70">
        <f ca="1">IFERROR(SUMIFS(OFFSET('Data input'!$B:$B,,MATCH('Summary by type of work report'!Y$9,'Data input'!$9:$9,0)-2),'Data input'!$C:$C,'Summary by type of work report'!$B44),0)</f>
        <v>0</v>
      </c>
      <c r="Z44"/>
    </row>
    <row r="45" spans="2:26">
      <c r="B45" s="23" t="str">
        <f>IF('Data input'!$C48="","",'Data input'!$C48)</f>
        <v>Current portion of long-term debt</v>
      </c>
      <c r="C45" s="70">
        <f ca="1">IFERROR(SUMIFS(OFFSET('Data input'!$C:$C,,MATCH('Summary by type of work report'!C$9,'Data input'!$8:$8,0)-3,,),'Data input'!$C:$C,'Summary by type of work report'!$B45),"")</f>
        <v>0</v>
      </c>
      <c r="D45" s="70">
        <f ca="1">IFERROR(SUMIFS(OFFSET('Data input'!$C:$C,,MATCH('Summary by type of work report'!D$9,'Data input'!$8:$8,0)-3,,),'Data input'!$C:$C,'Summary by type of work report'!$B45),"")</f>
        <v>0</v>
      </c>
      <c r="E45" s="70">
        <f ca="1">IFERROR(SUMIFS(OFFSET('Data input'!$C:$C,,MATCH('Summary by type of work report'!E$9,'Data input'!$8:$8,0)-3,,),'Data input'!$C:$C,'Summary by type of work report'!$B45),"")</f>
        <v>0</v>
      </c>
      <c r="F45" s="51"/>
      <c r="G45" s="70">
        <f>IFERROR(SUMIFS('Data input'!48:48,'Data input'!$12:$12,'Summary by type of work report'!G$9),"")</f>
        <v>0</v>
      </c>
      <c r="H45" s="70">
        <f>IFERROR(SUMIFS('Data input'!48:48,'Data input'!$12:$12,'Summary by type of work report'!H$9),"")</f>
        <v>0</v>
      </c>
      <c r="I45" s="58"/>
      <c r="J45" s="58"/>
      <c r="K45" s="70">
        <f>IFERROR(SUMIFS('Data input'!48:48,'Data input'!$12:$12,'Summary by type of work report'!K$9),"")</f>
        <v>0</v>
      </c>
      <c r="L45" s="70">
        <f>IFERROR(SUMIFS('Data input'!48:48,'Data input'!$12:$12,'Summary by type of work report'!L$9),"")</f>
        <v>0</v>
      </c>
      <c r="M45" s="51"/>
      <c r="N45" s="70">
        <f t="shared" ca="1" si="12"/>
        <v>0</v>
      </c>
      <c r="O45" s="71">
        <f t="shared" ca="1" si="13"/>
        <v>0</v>
      </c>
      <c r="P45" s="70">
        <f t="shared" si="14"/>
        <v>0</v>
      </c>
      <c r="Q45" s="71">
        <f t="shared" ca="1" si="15"/>
        <v>0</v>
      </c>
      <c r="R45" s="70">
        <f t="shared" si="16"/>
        <v>0</v>
      </c>
      <c r="S45" s="71">
        <f t="shared" ca="1" si="17"/>
        <v>0</v>
      </c>
      <c r="T45" s="51"/>
      <c r="U45" s="58"/>
      <c r="V45" s="58"/>
      <c r="W45" s="95"/>
      <c r="X45" s="52"/>
      <c r="Y45" s="70">
        <f ca="1">IFERROR(SUMIFS(OFFSET('Data input'!$B:$B,,MATCH('Summary by type of work report'!Y$9,'Data input'!$9:$9,0)-2),'Data input'!$C:$C,'Summary by type of work report'!$B45),0)</f>
        <v>0</v>
      </c>
    </row>
    <row r="46" spans="2:26">
      <c r="B46" s="23" t="str">
        <f>IF('Data input'!$C49="","",'Data input'!$C49)</f>
        <v>Capital lease obligations, current</v>
      </c>
      <c r="C46" s="70">
        <f ca="1">IFERROR(SUMIFS(OFFSET('Data input'!$C:$C,,MATCH('Summary by type of work report'!C$9,'Data input'!$8:$8,0)-3,,),'Data input'!$C:$C,'Summary by type of work report'!$B46),"")</f>
        <v>0</v>
      </c>
      <c r="D46" s="70">
        <f ca="1">IFERROR(SUMIFS(OFFSET('Data input'!$C:$C,,MATCH('Summary by type of work report'!D$9,'Data input'!$8:$8,0)-3,,),'Data input'!$C:$C,'Summary by type of work report'!$B46),"")</f>
        <v>0</v>
      </c>
      <c r="E46" s="70">
        <f ca="1">IFERROR(SUMIFS(OFFSET('Data input'!$C:$C,,MATCH('Summary by type of work report'!E$9,'Data input'!$8:$8,0)-3,,),'Data input'!$C:$C,'Summary by type of work report'!$B46),"")</f>
        <v>0</v>
      </c>
      <c r="F46" s="51"/>
      <c r="G46" s="70">
        <f>IFERROR(SUMIFS('Data input'!49:49,'Data input'!$12:$12,'Summary by type of work report'!G$9),"")</f>
        <v>0</v>
      </c>
      <c r="H46" s="70">
        <f>IFERROR(SUMIFS('Data input'!49:49,'Data input'!$12:$12,'Summary by type of work report'!H$9),"")</f>
        <v>0</v>
      </c>
      <c r="I46" s="58"/>
      <c r="J46" s="58"/>
      <c r="K46" s="70">
        <f>IFERROR(SUMIFS('Data input'!49:49,'Data input'!$12:$12,'Summary by type of work report'!K$9),"")</f>
        <v>0</v>
      </c>
      <c r="L46" s="70">
        <f>IFERROR(SUMIFS('Data input'!49:49,'Data input'!$12:$12,'Summary by type of work report'!L$9),"")</f>
        <v>0</v>
      </c>
      <c r="M46" s="51"/>
      <c r="N46" s="70">
        <f t="shared" ca="1" si="12"/>
        <v>0</v>
      </c>
      <c r="O46" s="71">
        <f t="shared" ca="1" si="13"/>
        <v>0</v>
      </c>
      <c r="P46" s="70">
        <f t="shared" si="14"/>
        <v>0</v>
      </c>
      <c r="Q46" s="71">
        <f t="shared" ca="1" si="15"/>
        <v>0</v>
      </c>
      <c r="R46" s="70">
        <f t="shared" si="16"/>
        <v>0</v>
      </c>
      <c r="S46" s="71">
        <f t="shared" ca="1" si="17"/>
        <v>0</v>
      </c>
      <c r="T46" s="51"/>
      <c r="U46" s="58"/>
      <c r="V46" s="58"/>
      <c r="W46" s="95"/>
      <c r="X46" s="52"/>
      <c r="Y46" s="70">
        <f ca="1">IFERROR(SUMIFS(OFFSET('Data input'!$B:$B,,MATCH('Summary by type of work report'!Y$9,'Data input'!$9:$9,0)-2),'Data input'!$C:$C,'Summary by type of work report'!$B46),0)</f>
        <v>0</v>
      </c>
    </row>
    <row r="47" spans="2:26">
      <c r="B47" s="23" t="str">
        <f>IF('Data input'!$C50="","",'Data input'!$C50)</f>
        <v>Income taxes payable</v>
      </c>
      <c r="C47" s="70">
        <f ca="1">IFERROR(SUMIFS(OFFSET('Data input'!$C:$C,,MATCH('Summary by type of work report'!C$9,'Data input'!$8:$8,0)-3,,),'Data input'!$C:$C,'Summary by type of work report'!$B47),"")</f>
        <v>0</v>
      </c>
      <c r="D47" s="70">
        <f ca="1">IFERROR(SUMIFS(OFFSET('Data input'!$C:$C,,MATCH('Summary by type of work report'!D$9,'Data input'!$8:$8,0)-3,,),'Data input'!$C:$C,'Summary by type of work report'!$B47),"")</f>
        <v>0</v>
      </c>
      <c r="E47" s="70">
        <f ca="1">IFERROR(SUMIFS(OFFSET('Data input'!$C:$C,,MATCH('Summary by type of work report'!E$9,'Data input'!$8:$8,0)-3,,),'Data input'!$C:$C,'Summary by type of work report'!$B47),"")</f>
        <v>0</v>
      </c>
      <c r="F47" s="51"/>
      <c r="G47" s="70">
        <f>IFERROR(SUMIFS('Data input'!50:50,'Data input'!$12:$12,'Summary by type of work report'!G$9),"")</f>
        <v>0</v>
      </c>
      <c r="H47" s="70">
        <f>IFERROR(SUMIFS('Data input'!50:50,'Data input'!$12:$12,'Summary by type of work report'!H$9),"")</f>
        <v>0</v>
      </c>
      <c r="I47" s="58"/>
      <c r="J47" s="58"/>
      <c r="K47" s="70">
        <f>IFERROR(SUMIFS('Data input'!50:50,'Data input'!$12:$12,'Summary by type of work report'!K$9),"")</f>
        <v>0</v>
      </c>
      <c r="L47" s="70">
        <f>IFERROR(SUMIFS('Data input'!50:50,'Data input'!$12:$12,'Summary by type of work report'!L$9),"")</f>
        <v>0</v>
      </c>
      <c r="M47" s="51"/>
      <c r="N47" s="70">
        <f t="shared" ca="1" si="12"/>
        <v>0</v>
      </c>
      <c r="O47" s="71">
        <f t="shared" ca="1" si="13"/>
        <v>0</v>
      </c>
      <c r="P47" s="70">
        <f t="shared" si="14"/>
        <v>0</v>
      </c>
      <c r="Q47" s="71">
        <f t="shared" ca="1" si="15"/>
        <v>0</v>
      </c>
      <c r="R47" s="70">
        <f t="shared" si="16"/>
        <v>0</v>
      </c>
      <c r="S47" s="71">
        <f t="shared" ca="1" si="17"/>
        <v>0</v>
      </c>
      <c r="T47" s="51"/>
      <c r="U47" s="58"/>
      <c r="V47" s="58"/>
      <c r="W47" s="95"/>
      <c r="X47" s="52"/>
      <c r="Y47" s="70">
        <f ca="1">IFERROR(SUMIFS(OFFSET('Data input'!$B:$B,,MATCH('Summary by type of work report'!Y$9,'Data input'!$9:$9,0)-2),'Data input'!$C:$C,'Summary by type of work report'!$B47),0)</f>
        <v>0</v>
      </c>
    </row>
    <row r="48" spans="2:26">
      <c r="B48" s="23" t="str">
        <f>IF('Data input'!$C51="","",'Data input'!$C51)</f>
        <v>Derivative liabilities</v>
      </c>
      <c r="C48" s="70">
        <f ca="1">IFERROR(SUMIFS(OFFSET('Data input'!$C:$C,,MATCH('Summary by type of work report'!C$9,'Data input'!$8:$8,0)-3,,),'Data input'!$C:$C,'Summary by type of work report'!$B48),"")</f>
        <v>0</v>
      </c>
      <c r="D48" s="70">
        <f ca="1">IFERROR(SUMIFS(OFFSET('Data input'!$C:$C,,MATCH('Summary by type of work report'!D$9,'Data input'!$8:$8,0)-3,,),'Data input'!$C:$C,'Summary by type of work report'!$B48),"")</f>
        <v>0</v>
      </c>
      <c r="E48" s="70">
        <f ca="1">IFERROR(SUMIFS(OFFSET('Data input'!$C:$C,,MATCH('Summary by type of work report'!E$9,'Data input'!$8:$8,0)-3,,),'Data input'!$C:$C,'Summary by type of work report'!$B48),"")</f>
        <v>0</v>
      </c>
      <c r="F48" s="51"/>
      <c r="G48" s="70">
        <f>IFERROR(SUMIFS('Data input'!51:51,'Data input'!$12:$12,'Summary by type of work report'!G$9),"")</f>
        <v>0</v>
      </c>
      <c r="H48" s="70">
        <f>IFERROR(SUMIFS('Data input'!51:51,'Data input'!$12:$12,'Summary by type of work report'!H$9),"")</f>
        <v>0</v>
      </c>
      <c r="I48" s="58"/>
      <c r="J48" s="58"/>
      <c r="K48" s="70">
        <f>IFERROR(SUMIFS('Data input'!51:51,'Data input'!$12:$12,'Summary by type of work report'!K$9),"")</f>
        <v>0</v>
      </c>
      <c r="L48" s="70">
        <f>IFERROR(SUMIFS('Data input'!51:51,'Data input'!$12:$12,'Summary by type of work report'!L$9),"")</f>
        <v>0</v>
      </c>
      <c r="M48" s="51"/>
      <c r="N48" s="70">
        <f t="shared" ca="1" si="12"/>
        <v>0</v>
      </c>
      <c r="O48" s="71">
        <f t="shared" ca="1" si="13"/>
        <v>0</v>
      </c>
      <c r="P48" s="70">
        <f t="shared" si="14"/>
        <v>0</v>
      </c>
      <c r="Q48" s="71">
        <f t="shared" ca="1" si="15"/>
        <v>0</v>
      </c>
      <c r="R48" s="70">
        <f t="shared" si="16"/>
        <v>0</v>
      </c>
      <c r="S48" s="71">
        <f t="shared" ca="1" si="17"/>
        <v>0</v>
      </c>
      <c r="T48" s="51"/>
      <c r="U48" s="58"/>
      <c r="V48" s="58"/>
      <c r="W48" s="95"/>
      <c r="X48" s="52"/>
      <c r="Y48" s="70">
        <f ca="1">IFERROR(SUMIFS(OFFSET('Data input'!$B:$B,,MATCH('Summary by type of work report'!Y$9,'Data input'!$9:$9,0)-2),'Data input'!$C:$C,'Summary by type of work report'!$B48),0)</f>
        <v>0</v>
      </c>
    </row>
    <row r="49" spans="2:26">
      <c r="B49" s="23" t="str">
        <f>IF('Data input'!$C52="","",'Data input'!$C52)</f>
        <v>Deferred credits, current</v>
      </c>
      <c r="C49" s="70">
        <f ca="1">IFERROR(SUMIFS(OFFSET('Data input'!$C:$C,,MATCH('Summary by type of work report'!C$9,'Data input'!$8:$8,0)-3,,),'Data input'!$C:$C,'Summary by type of work report'!$B49),"")</f>
        <v>0</v>
      </c>
      <c r="D49" s="70">
        <f ca="1">IFERROR(SUMIFS(OFFSET('Data input'!$C:$C,,MATCH('Summary by type of work report'!D$9,'Data input'!$8:$8,0)-3,,),'Data input'!$C:$C,'Summary by type of work report'!$B49),"")</f>
        <v>0</v>
      </c>
      <c r="E49" s="70">
        <f ca="1">IFERROR(SUMIFS(OFFSET('Data input'!$C:$C,,MATCH('Summary by type of work report'!E$9,'Data input'!$8:$8,0)-3,,),'Data input'!$C:$C,'Summary by type of work report'!$B49),"")</f>
        <v>0</v>
      </c>
      <c r="F49" s="51"/>
      <c r="G49" s="70">
        <f>IFERROR(SUMIFS('Data input'!52:52,'Data input'!$12:$12,'Summary by type of work report'!G$9),"")</f>
        <v>0</v>
      </c>
      <c r="H49" s="70">
        <f>IFERROR(SUMIFS('Data input'!52:52,'Data input'!$12:$12,'Summary by type of work report'!H$9),"")</f>
        <v>0</v>
      </c>
      <c r="I49" s="58"/>
      <c r="J49" s="58"/>
      <c r="K49" s="70">
        <f>IFERROR(SUMIFS('Data input'!52:52,'Data input'!$12:$12,'Summary by type of work report'!K$9),"")</f>
        <v>0</v>
      </c>
      <c r="L49" s="70">
        <f>IFERROR(SUMIFS('Data input'!52:52,'Data input'!$12:$12,'Summary by type of work report'!L$9),"")</f>
        <v>0</v>
      </c>
      <c r="M49" s="51"/>
      <c r="N49" s="70">
        <f t="shared" ca="1" si="12"/>
        <v>0</v>
      </c>
      <c r="O49" s="71">
        <f t="shared" ca="1" si="13"/>
        <v>0</v>
      </c>
      <c r="P49" s="70">
        <f t="shared" si="14"/>
        <v>0</v>
      </c>
      <c r="Q49" s="71">
        <f t="shared" ca="1" si="15"/>
        <v>0</v>
      </c>
      <c r="R49" s="70">
        <f t="shared" si="16"/>
        <v>0</v>
      </c>
      <c r="S49" s="71">
        <f t="shared" ca="1" si="17"/>
        <v>0</v>
      </c>
      <c r="T49" s="51"/>
      <c r="U49" s="58"/>
      <c r="V49" s="58"/>
      <c r="W49" s="95"/>
      <c r="X49" s="52"/>
      <c r="Y49" s="70">
        <f ca="1">IFERROR(SUMIFS(OFFSET('Data input'!$B:$B,,MATCH('Summary by type of work report'!Y$9,'Data input'!$9:$9,0)-2),'Data input'!$C:$C,'Summary by type of work report'!$B49),0)</f>
        <v>0</v>
      </c>
    </row>
    <row r="50" spans="2:26">
      <c r="B50" s="23" t="str">
        <f>IF('Data input'!$C53="","",'Data input'!$C53)</f>
        <v>Dividends payable</v>
      </c>
      <c r="C50" s="70">
        <f ca="1">IFERROR(SUMIFS(OFFSET('Data input'!$C:$C,,MATCH('Summary by type of work report'!C$9,'Data input'!$8:$8,0)-3,,),'Data input'!$C:$C,'Summary by type of work report'!$B50),"")</f>
        <v>0</v>
      </c>
      <c r="D50" s="70">
        <f ca="1">IFERROR(SUMIFS(OFFSET('Data input'!$C:$C,,MATCH('Summary by type of work report'!D$9,'Data input'!$8:$8,0)-3,,),'Data input'!$C:$C,'Summary by type of work report'!$B50),"")</f>
        <v>0</v>
      </c>
      <c r="E50" s="70">
        <f ca="1">IFERROR(SUMIFS(OFFSET('Data input'!$C:$C,,MATCH('Summary by type of work report'!E$9,'Data input'!$8:$8,0)-3,,),'Data input'!$C:$C,'Summary by type of work report'!$B50),"")</f>
        <v>0</v>
      </c>
      <c r="F50" s="51"/>
      <c r="G50" s="70">
        <f>IFERROR(SUMIFS('Data input'!53:53,'Data input'!$12:$12,'Summary by type of work report'!G$9),"")</f>
        <v>0</v>
      </c>
      <c r="H50" s="70">
        <f>IFERROR(SUMIFS('Data input'!53:53,'Data input'!$12:$12,'Summary by type of work report'!H$9),"")</f>
        <v>0</v>
      </c>
      <c r="I50" s="58"/>
      <c r="J50" s="58"/>
      <c r="K50" s="70">
        <f>IFERROR(SUMIFS('Data input'!53:53,'Data input'!$12:$12,'Summary by type of work report'!K$9),"")</f>
        <v>0</v>
      </c>
      <c r="L50" s="70">
        <f>IFERROR(SUMIFS('Data input'!53:53,'Data input'!$12:$12,'Summary by type of work report'!L$9),"")</f>
        <v>0</v>
      </c>
      <c r="M50" s="51"/>
      <c r="N50" s="70">
        <f t="shared" ca="1" si="12"/>
        <v>0</v>
      </c>
      <c r="O50" s="71">
        <f t="shared" ca="1" si="13"/>
        <v>0</v>
      </c>
      <c r="P50" s="70">
        <f t="shared" si="14"/>
        <v>0</v>
      </c>
      <c r="Q50" s="71">
        <f t="shared" ca="1" si="15"/>
        <v>0</v>
      </c>
      <c r="R50" s="70">
        <f t="shared" si="16"/>
        <v>0</v>
      </c>
      <c r="S50" s="71">
        <f t="shared" ca="1" si="17"/>
        <v>0</v>
      </c>
      <c r="T50" s="51"/>
      <c r="U50" s="58"/>
      <c r="V50" s="58"/>
      <c r="W50" s="95"/>
      <c r="X50" s="52"/>
      <c r="Y50" s="70">
        <f ca="1">IFERROR(SUMIFS(OFFSET('Data input'!$B:$B,,MATCH('Summary by type of work report'!Y$9,'Data input'!$9:$9,0)-2),'Data input'!$C:$C,'Summary by type of work report'!$B50),0)</f>
        <v>0</v>
      </c>
    </row>
    <row r="51" spans="2:26">
      <c r="B51" s="23" t="str">
        <f>IF('Data input'!$C54="","",'Data input'!$C54)</f>
        <v>Contract liabilities</v>
      </c>
      <c r="C51" s="70">
        <f ca="1">IFERROR(SUMIFS(OFFSET('Data input'!$C:$C,,MATCH('Summary by type of work report'!C$9,'Data input'!$8:$8,0)-3,,),'Data input'!$C:$C,'Summary by type of work report'!$B51),"")</f>
        <v>0</v>
      </c>
      <c r="D51" s="70">
        <f ca="1">IFERROR(SUMIFS(OFFSET('Data input'!$C:$C,,MATCH('Summary by type of work report'!D$9,'Data input'!$8:$8,0)-3,,),'Data input'!$C:$C,'Summary by type of work report'!$B51),"")</f>
        <v>0</v>
      </c>
      <c r="E51" s="70">
        <f ca="1">IFERROR(SUMIFS(OFFSET('Data input'!$C:$C,,MATCH('Summary by type of work report'!E$9,'Data input'!$8:$8,0)-3,,),'Data input'!$C:$C,'Summary by type of work report'!$B51),"")</f>
        <v>0</v>
      </c>
      <c r="F51" s="51"/>
      <c r="G51" s="70">
        <f>IFERROR(SUMIFS('Data input'!54:54,'Data input'!$12:$12,'Summary by type of work report'!G$9),"")</f>
        <v>0</v>
      </c>
      <c r="H51" s="70">
        <f>IFERROR(SUMIFS('Data input'!54:54,'Data input'!$12:$12,'Summary by type of work report'!H$9),"")</f>
        <v>0</v>
      </c>
      <c r="I51" s="58"/>
      <c r="J51" s="58"/>
      <c r="K51" s="70">
        <f>IFERROR(SUMIFS('Data input'!54:54,'Data input'!$12:$12,'Summary by type of work report'!K$9),"")</f>
        <v>0</v>
      </c>
      <c r="L51" s="70">
        <f>IFERROR(SUMIFS('Data input'!54:54,'Data input'!$12:$12,'Summary by type of work report'!L$9),"")</f>
        <v>0</v>
      </c>
      <c r="M51" s="51"/>
      <c r="N51" s="70">
        <f t="shared" ca="1" si="12"/>
        <v>0</v>
      </c>
      <c r="O51" s="71">
        <f t="shared" ca="1" si="13"/>
        <v>0</v>
      </c>
      <c r="P51" s="70">
        <f t="shared" si="14"/>
        <v>0</v>
      </c>
      <c r="Q51" s="71">
        <f t="shared" ca="1" si="15"/>
        <v>0</v>
      </c>
      <c r="R51" s="70">
        <f t="shared" si="16"/>
        <v>0</v>
      </c>
      <c r="S51" s="71">
        <f t="shared" ca="1" si="17"/>
        <v>0</v>
      </c>
      <c r="T51" s="51"/>
      <c r="U51" s="58"/>
      <c r="V51" s="58"/>
      <c r="W51" s="95"/>
      <c r="X51" s="52"/>
      <c r="Y51" s="70">
        <f ca="1">IFERROR(SUMIFS(OFFSET('Data input'!$B:$B,,MATCH('Summary by type of work report'!Y$9,'Data input'!$9:$9,0)-2),'Data input'!$C:$C,'Summary by type of work report'!$B51),0)</f>
        <v>0</v>
      </c>
    </row>
    <row r="52" spans="2:26">
      <c r="B52" s="23" t="str">
        <f>IF('Data input'!$C55="","",'Data input'!$C55)</f>
        <v>Other current liabilities</v>
      </c>
      <c r="C52" s="70">
        <f ca="1">IFERROR(SUMIFS(OFFSET('Data input'!$C:$C,,MATCH('Summary by type of work report'!C$9,'Data input'!$8:$8,0)-3,,),'Data input'!$C:$C,'Summary by type of work report'!$B52),"")</f>
        <v>0</v>
      </c>
      <c r="D52" s="70">
        <f ca="1">IFERROR(SUMIFS(OFFSET('Data input'!$C:$C,,MATCH('Summary by type of work report'!D$9,'Data input'!$8:$8,0)-3,,),'Data input'!$C:$C,'Summary by type of work report'!$B52),"")</f>
        <v>0</v>
      </c>
      <c r="E52" s="70">
        <f ca="1">IFERROR(SUMIFS(OFFSET('Data input'!$C:$C,,MATCH('Summary by type of work report'!E$9,'Data input'!$8:$8,0)-3,,),'Data input'!$C:$C,'Summary by type of work report'!$B52),"")</f>
        <v>0</v>
      </c>
      <c r="F52" s="51"/>
      <c r="G52" s="70">
        <f>IFERROR(SUMIFS('Data input'!55:55,'Data input'!$12:$12,'Summary by type of work report'!G$9),"")</f>
        <v>0</v>
      </c>
      <c r="H52" s="70">
        <f>IFERROR(SUMIFS('Data input'!55:55,'Data input'!$12:$12,'Summary by type of work report'!H$9),"")</f>
        <v>0</v>
      </c>
      <c r="I52" s="58"/>
      <c r="J52" s="58"/>
      <c r="K52" s="70">
        <f>IFERROR(SUMIFS('Data input'!55:55,'Data input'!$12:$12,'Summary by type of work report'!K$9),"")</f>
        <v>0</v>
      </c>
      <c r="L52" s="70">
        <f>IFERROR(SUMIFS('Data input'!55:55,'Data input'!$12:$12,'Summary by type of work report'!L$9),"")</f>
        <v>0</v>
      </c>
      <c r="M52" s="51"/>
      <c r="N52" s="70">
        <f t="shared" ca="1" si="12"/>
        <v>0</v>
      </c>
      <c r="O52" s="71">
        <f t="shared" ca="1" si="13"/>
        <v>0</v>
      </c>
      <c r="P52" s="70">
        <f t="shared" si="14"/>
        <v>0</v>
      </c>
      <c r="Q52" s="71">
        <f t="shared" ca="1" si="15"/>
        <v>0</v>
      </c>
      <c r="R52" s="70">
        <f t="shared" si="16"/>
        <v>0</v>
      </c>
      <c r="S52" s="71">
        <f t="shared" ca="1" si="17"/>
        <v>0</v>
      </c>
      <c r="T52" s="51"/>
      <c r="U52" s="58"/>
      <c r="V52" s="58"/>
      <c r="W52" s="95"/>
      <c r="X52" s="52"/>
      <c r="Y52" s="70">
        <f ca="1">IFERROR(SUMIFS(OFFSET('Data input'!$B:$B,,MATCH('Summary by type of work report'!Y$9,'Data input'!$9:$9,0)-2),'Data input'!$C:$C,'Summary by type of work report'!$B52),0)</f>
        <v>0</v>
      </c>
    </row>
    <row r="53" spans="2:26" hidden="1">
      <c r="B53" s="17" t="str">
        <f>IF('Data input'!$C56="","",'Data input'!$C56)</f>
        <v>Intentionally hidden</v>
      </c>
      <c r="C53" s="72">
        <f ca="1">IFERROR(SUMIFS(OFFSET('Data input'!$C:$C,,MATCH('Summary by type of work report'!C$9,'Data input'!$8:$8,0)-3,,),'Data input'!$C:$C,'Summary by type of work report'!$B53),"")</f>
        <v>0</v>
      </c>
      <c r="D53" s="72">
        <f ca="1">IFERROR(SUMIFS(OFFSET('Data input'!$C:$C,,MATCH('Summary by type of work report'!D$9,'Data input'!$8:$8,0)-3,,),'Data input'!$C:$C,'Summary by type of work report'!$B53),"")</f>
        <v>0</v>
      </c>
      <c r="E53" s="72">
        <f ca="1">IFERROR(SUMIFS(OFFSET('Data input'!$C:$C,,MATCH('Summary by type of work report'!E$9,'Data input'!$8:$8,0)-3,,),'Data input'!$C:$C,'Summary by type of work report'!$B53),"")</f>
        <v>0</v>
      </c>
      <c r="F53" s="51"/>
      <c r="G53" s="72">
        <f>IFERROR(SUMIFS('Data input'!56:56,'Data input'!$12:$12,'Summary by type of work report'!G$9),"")</f>
        <v>0</v>
      </c>
      <c r="H53" s="72">
        <f>IFERROR(SUMIFS('Data input'!56:56,'Data input'!$12:$12,'Summary by type of work report'!H$9),"")</f>
        <v>0</v>
      </c>
      <c r="I53" s="59"/>
      <c r="J53" s="59"/>
      <c r="K53" s="72">
        <f>IFERROR(SUMIFS('Data input'!56:56,'Data input'!$12:$12,'Summary by type of work report'!K$9),"")</f>
        <v>0</v>
      </c>
      <c r="L53" s="72">
        <f>IFERROR(SUMIFS('Data input'!56:56,'Data input'!$12:$12,'Summary by type of work report'!L$9),"")</f>
        <v>0</v>
      </c>
      <c r="M53" s="51"/>
      <c r="N53" s="72"/>
      <c r="O53" s="73"/>
      <c r="P53" s="72"/>
      <c r="Q53" s="73">
        <f t="shared" ca="1" si="15"/>
        <v>0</v>
      </c>
      <c r="R53" s="72">
        <f t="shared" si="16"/>
        <v>0</v>
      </c>
      <c r="S53" s="73">
        <f t="shared" ca="1" si="17"/>
        <v>0</v>
      </c>
      <c r="T53" s="51"/>
      <c r="U53" s="59"/>
      <c r="V53" s="59"/>
      <c r="W53" s="96"/>
      <c r="X53" s="52"/>
      <c r="Y53" s="72">
        <f ca="1">IFERROR(SUMIFS(OFFSET('Data input'!$B:$B,,MATCH('Summary by type of work report'!Y$9,'Data input'!$9:$9,0)-2),'Data input'!$C:$C,'Summary by type of work report'!$B53),0)</f>
        <v>0</v>
      </c>
    </row>
    <row r="54" spans="2:26" ht="10.5">
      <c r="B54" s="18" t="str">
        <f>IF('Data input'!$C57="","",'Data input'!$C57)</f>
        <v>Total current liabilities</v>
      </c>
      <c r="C54" s="74">
        <f ca="1">IFERROR(SUMIFS(OFFSET('Data input'!$C:$C,,MATCH('Summary by type of work report'!C$9,'Data input'!$8:$8,0)-3,,),'Data input'!$C:$C,'Summary by type of work report'!$B54),"")</f>
        <v>0</v>
      </c>
      <c r="D54" s="74">
        <f ca="1">IFERROR(SUMIFS(OFFSET('Data input'!$C:$C,,MATCH('Summary by type of work report'!D$9,'Data input'!$8:$8,0)-3,,),'Data input'!$C:$C,'Summary by type of work report'!$B54),"")</f>
        <v>0</v>
      </c>
      <c r="E54" s="74">
        <f ca="1">IFERROR(SUMIFS(OFFSET('Data input'!$C:$C,,MATCH('Summary by type of work report'!E$9,'Data input'!$8:$8,0)-3,,),'Data input'!$C:$C,'Summary by type of work report'!$B54),"")</f>
        <v>0</v>
      </c>
      <c r="F54" s="51"/>
      <c r="G54" s="74">
        <f>IFERROR(SUMIFS('Data input'!57:57,'Data input'!$12:$12,'Summary by type of work report'!G$9),"")</f>
        <v>0</v>
      </c>
      <c r="H54" s="74">
        <f>IFERROR(SUMIFS('Data input'!57:57,'Data input'!$12:$12,'Summary by type of work report'!H$9),"")</f>
        <v>0</v>
      </c>
      <c r="I54" s="60">
        <f>SUM(I43:I53)</f>
        <v>0</v>
      </c>
      <c r="J54" s="60">
        <f>SUM(J43:J53)</f>
        <v>0</v>
      </c>
      <c r="K54" s="74">
        <f>IFERROR(SUMIFS('Data input'!57:57,'Data input'!$12:$12,'Summary by type of work report'!K$9),"")</f>
        <v>0</v>
      </c>
      <c r="L54" s="74">
        <f>IFERROR(SUMIFS('Data input'!57:57,'Data input'!$12:$12,'Summary by type of work report'!L$9),"")</f>
        <v>0</v>
      </c>
      <c r="M54" s="51"/>
      <c r="N54" s="74">
        <f ca="1">IFERROR(C54-SUM(D54:E54,G54:H54,I54,J54,K54:L54),"")</f>
        <v>0</v>
      </c>
      <c r="O54" s="75">
        <f ca="1">IFERROR(N54/(C54-D54-E54),0)</f>
        <v>0</v>
      </c>
      <c r="P54" s="74">
        <f>SUM(K54:L54)</f>
        <v>0</v>
      </c>
      <c r="Q54" s="75">
        <f t="shared" ca="1" si="15"/>
        <v>0</v>
      </c>
      <c r="R54" s="74">
        <f t="shared" si="16"/>
        <v>0</v>
      </c>
      <c r="S54" s="75">
        <f t="shared" ca="1" si="17"/>
        <v>0</v>
      </c>
      <c r="T54" s="51"/>
      <c r="U54" s="60"/>
      <c r="V54" s="60"/>
      <c r="W54" s="97"/>
      <c r="X54" s="52"/>
      <c r="Y54" s="74">
        <f ca="1">IFERROR(SUMIFS(OFFSET('Data input'!$B:$B,,MATCH('Summary by type of work report'!Y$9,'Data input'!$9:$9,0)-2),'Data input'!$C:$C,'Summary by type of work report'!$B54),0)</f>
        <v>0</v>
      </c>
    </row>
    <row r="55" spans="2:26">
      <c r="B55" s="23" t="str">
        <f>IF('Data input'!$C58="","",'Data input'!$C58)</f>
        <v/>
      </c>
      <c r="C55" s="70"/>
      <c r="D55" s="70"/>
      <c r="E55" s="70"/>
      <c r="F55" s="51"/>
      <c r="G55" s="70"/>
      <c r="H55" s="70"/>
      <c r="I55" s="58"/>
      <c r="J55" s="58"/>
      <c r="K55" s="70"/>
      <c r="L55" s="70"/>
      <c r="M55" s="51"/>
      <c r="N55" s="70"/>
      <c r="O55" s="71"/>
      <c r="P55" s="70"/>
      <c r="Q55" s="70"/>
      <c r="R55" s="70"/>
      <c r="S55" s="70"/>
      <c r="T55" s="51"/>
      <c r="U55" s="58"/>
      <c r="V55" s="58"/>
      <c r="W55" s="95"/>
      <c r="X55" s="52"/>
      <c r="Y55" s="70"/>
    </row>
    <row r="56" spans="2:26">
      <c r="B56" s="23" t="str">
        <f>IF('Data input'!$C59="","",'Data input'!$C59)</f>
        <v>Long-term debt, net</v>
      </c>
      <c r="C56" s="70">
        <f ca="1">IFERROR(SUMIFS(OFFSET('Data input'!$C:$C,,MATCH('Summary by type of work report'!C$9,'Data input'!$8:$8,0)-3,,),'Data input'!$C:$C,'Summary by type of work report'!$B56),"")</f>
        <v>0</v>
      </c>
      <c r="D56" s="70">
        <f ca="1">IFERROR(SUMIFS(OFFSET('Data input'!$C:$C,,MATCH('Summary by type of work report'!D$9,'Data input'!$8:$8,0)-3,,),'Data input'!$C:$C,'Summary by type of work report'!$B56),"")</f>
        <v>0</v>
      </c>
      <c r="E56" s="70">
        <f ca="1">IFERROR(SUMIFS(OFFSET('Data input'!$C:$C,,MATCH('Summary by type of work report'!E$9,'Data input'!$8:$8,0)-3,,),'Data input'!$C:$C,'Summary by type of work report'!$B56),"")</f>
        <v>0</v>
      </c>
      <c r="F56" s="51"/>
      <c r="G56" s="70">
        <f>IFERROR(SUMIFS('Data input'!59:59,'Data input'!$12:$12,'Summary by type of work report'!G$9),"")</f>
        <v>0</v>
      </c>
      <c r="H56" s="70">
        <f>IFERROR(SUMIFS('Data input'!59:59,'Data input'!$12:$12,'Summary by type of work report'!H$9),"")</f>
        <v>0</v>
      </c>
      <c r="I56" s="58"/>
      <c r="J56" s="58"/>
      <c r="K56" s="70">
        <f>IFERROR(SUMIFS('Data input'!59:59,'Data input'!$12:$12,'Summary by type of work report'!K$9),"")</f>
        <v>0</v>
      </c>
      <c r="L56" s="70">
        <f>IFERROR(SUMIFS('Data input'!59:59,'Data input'!$12:$12,'Summary by type of work report'!L$9),"")</f>
        <v>0</v>
      </c>
      <c r="M56" s="51"/>
      <c r="N56" s="70">
        <f t="shared" ref="N56:N64" ca="1" si="18">IFERROR(C56-SUM(D56:E56,G56:H56,I56,J56,K56:L56),"")</f>
        <v>0</v>
      </c>
      <c r="O56" s="71">
        <f t="shared" ref="O56:O64" ca="1" si="19">IFERROR(N56/(C56-D56-E56),0)</f>
        <v>0</v>
      </c>
      <c r="P56" s="70">
        <f t="shared" ref="P56:P64" si="20">SUM(K56:L56)</f>
        <v>0</v>
      </c>
      <c r="Q56" s="71">
        <f t="shared" ref="Q56:Q66" ca="1" si="21">IFERROR(P56/(C56-D56-E56),0)</f>
        <v>0</v>
      </c>
      <c r="R56" s="70">
        <f t="shared" ref="R56:R66" si="22">G56+H56+I56+J56</f>
        <v>0</v>
      </c>
      <c r="S56" s="71">
        <f t="shared" ref="S56:S66" ca="1" si="23">IFERROR(R56/(C56-D56-E56),0)</f>
        <v>0</v>
      </c>
      <c r="T56" s="51"/>
      <c r="U56" s="58"/>
      <c r="V56" s="58"/>
      <c r="W56" s="95"/>
      <c r="X56" s="52"/>
      <c r="Y56" s="70">
        <f ca="1">IFERROR(SUMIFS(OFFSET('Data input'!$B:$B,,MATCH('Summary by type of work report'!Y$9,'Data input'!$9:$9,0)-2),'Data input'!$C:$C,'Summary by type of work report'!$B56),0)</f>
        <v>0</v>
      </c>
    </row>
    <row r="57" spans="2:26">
      <c r="B57" s="23" t="str">
        <f>IF('Data input'!$C60="","",'Data input'!$C60)</f>
        <v>Capital lease obligations, noncurrent</v>
      </c>
      <c r="C57" s="70">
        <f ca="1">IFERROR(SUMIFS(OFFSET('Data input'!$C:$C,,MATCH('Summary by type of work report'!C$9,'Data input'!$8:$8,0)-3,,),'Data input'!$C:$C,'Summary by type of work report'!$B57),"")</f>
        <v>0</v>
      </c>
      <c r="D57" s="70">
        <f ca="1">IFERROR(SUMIFS(OFFSET('Data input'!$C:$C,,MATCH('Summary by type of work report'!D$9,'Data input'!$8:$8,0)-3,,),'Data input'!$C:$C,'Summary by type of work report'!$B57),"")</f>
        <v>0</v>
      </c>
      <c r="E57" s="70">
        <f ca="1">IFERROR(SUMIFS(OFFSET('Data input'!$C:$C,,MATCH('Summary by type of work report'!E$9,'Data input'!$8:$8,0)-3,,),'Data input'!$C:$C,'Summary by type of work report'!$B57),"")</f>
        <v>0</v>
      </c>
      <c r="F57" s="51"/>
      <c r="G57" s="70">
        <f>IFERROR(SUMIFS('Data input'!60:60,'Data input'!$12:$12,'Summary by type of work report'!G$9),"")</f>
        <v>0</v>
      </c>
      <c r="H57" s="70">
        <f>IFERROR(SUMIFS('Data input'!60:60,'Data input'!$12:$12,'Summary by type of work report'!H$9),"")</f>
        <v>0</v>
      </c>
      <c r="I57" s="58"/>
      <c r="J57" s="58"/>
      <c r="K57" s="70">
        <f>IFERROR(SUMIFS('Data input'!60:60,'Data input'!$12:$12,'Summary by type of work report'!K$9),"")</f>
        <v>0</v>
      </c>
      <c r="L57" s="70">
        <f>IFERROR(SUMIFS('Data input'!60:60,'Data input'!$12:$12,'Summary by type of work report'!L$9),"")</f>
        <v>0</v>
      </c>
      <c r="M57" s="51"/>
      <c r="N57" s="70">
        <f t="shared" ca="1" si="18"/>
        <v>0</v>
      </c>
      <c r="O57" s="71">
        <f t="shared" ca="1" si="19"/>
        <v>0</v>
      </c>
      <c r="P57" s="70">
        <f t="shared" si="20"/>
        <v>0</v>
      </c>
      <c r="Q57" s="71">
        <f t="shared" ca="1" si="21"/>
        <v>0</v>
      </c>
      <c r="R57" s="70">
        <f t="shared" si="22"/>
        <v>0</v>
      </c>
      <c r="S57" s="71">
        <f t="shared" ca="1" si="23"/>
        <v>0</v>
      </c>
      <c r="T57" s="51"/>
      <c r="U57" s="58"/>
      <c r="V57" s="58"/>
      <c r="W57" s="95"/>
      <c r="X57" s="52"/>
      <c r="Y57" s="70">
        <f ca="1">IFERROR(SUMIFS(OFFSET('Data input'!$B:$B,,MATCH('Summary by type of work report'!Y$9,'Data input'!$9:$9,0)-2),'Data input'!$C:$C,'Summary by type of work report'!$B57),0)</f>
        <v>0</v>
      </c>
    </row>
    <row r="58" spans="2:26">
      <c r="B58" s="23" t="str">
        <f>IF('Data input'!$C61="","",'Data input'!$C61)</f>
        <v>Due to related parties, noncurrent</v>
      </c>
      <c r="C58" s="70">
        <f ca="1">IFERROR(SUMIFS(OFFSET('Data input'!$C:$C,,MATCH('Summary by type of work report'!C$9,'Data input'!$8:$8,0)-3,,),'Data input'!$C:$C,'Summary by type of work report'!$B58),"")</f>
        <v>0</v>
      </c>
      <c r="D58" s="70">
        <f ca="1">IFERROR(SUMIFS(OFFSET('Data input'!$C:$C,,MATCH('Summary by type of work report'!D$9,'Data input'!$8:$8,0)-3,,),'Data input'!$C:$C,'Summary by type of work report'!$B58),"")</f>
        <v>0</v>
      </c>
      <c r="E58" s="70">
        <f ca="1">IFERROR(SUMIFS(OFFSET('Data input'!$C:$C,,MATCH('Summary by type of work report'!E$9,'Data input'!$8:$8,0)-3,,),'Data input'!$C:$C,'Summary by type of work report'!$B58),"")</f>
        <v>0</v>
      </c>
      <c r="F58" s="51"/>
      <c r="G58" s="70">
        <f>IFERROR(SUMIFS('Data input'!61:61,'Data input'!$12:$12,'Summary by type of work report'!G$9),"")</f>
        <v>0</v>
      </c>
      <c r="H58" s="70">
        <f>IFERROR(SUMIFS('Data input'!61:61,'Data input'!$12:$12,'Summary by type of work report'!H$9),"")</f>
        <v>0</v>
      </c>
      <c r="I58" s="58"/>
      <c r="J58" s="58"/>
      <c r="K58" s="70">
        <f>IFERROR(SUMIFS('Data input'!61:61,'Data input'!$12:$12,'Summary by type of work report'!K$9),"")</f>
        <v>0</v>
      </c>
      <c r="L58" s="70">
        <f>IFERROR(SUMIFS('Data input'!61:61,'Data input'!$12:$12,'Summary by type of work report'!L$9),"")</f>
        <v>0</v>
      </c>
      <c r="M58" s="51"/>
      <c r="N58" s="70">
        <f t="shared" ca="1" si="18"/>
        <v>0</v>
      </c>
      <c r="O58" s="71">
        <f t="shared" ca="1" si="19"/>
        <v>0</v>
      </c>
      <c r="P58" s="70">
        <f t="shared" si="20"/>
        <v>0</v>
      </c>
      <c r="Q58" s="71">
        <f t="shared" ca="1" si="21"/>
        <v>0</v>
      </c>
      <c r="R58" s="70">
        <f t="shared" si="22"/>
        <v>0</v>
      </c>
      <c r="S58" s="71">
        <f t="shared" ca="1" si="23"/>
        <v>0</v>
      </c>
      <c r="T58" s="51"/>
      <c r="U58" s="58"/>
      <c r="V58" s="58"/>
      <c r="W58" s="95"/>
      <c r="X58" s="52"/>
      <c r="Y58" s="70">
        <f ca="1">IFERROR(SUMIFS(OFFSET('Data input'!$B:$B,,MATCH('Summary by type of work report'!Y$9,'Data input'!$9:$9,0)-2),'Data input'!$C:$C,'Summary by type of work report'!$B58),0)</f>
        <v>0</v>
      </c>
    </row>
    <row r="59" spans="2:26">
      <c r="B59" s="23" t="str">
        <f>IF('Data input'!$C62="","",'Data input'!$C62)</f>
        <v>Employee benefit plan obligations</v>
      </c>
      <c r="C59" s="70">
        <f ca="1">IFERROR(SUMIFS(OFFSET('Data input'!$C:$C,,MATCH('Summary by type of work report'!C$9,'Data input'!$8:$8,0)-3,,),'Data input'!$C:$C,'Summary by type of work report'!$B59),"")</f>
        <v>0</v>
      </c>
      <c r="D59" s="70">
        <f ca="1">IFERROR(SUMIFS(OFFSET('Data input'!$C:$C,,MATCH('Summary by type of work report'!D$9,'Data input'!$8:$8,0)-3,,),'Data input'!$C:$C,'Summary by type of work report'!$B59),"")</f>
        <v>0</v>
      </c>
      <c r="E59" s="70">
        <f ca="1">IFERROR(SUMIFS(OFFSET('Data input'!$C:$C,,MATCH('Summary by type of work report'!E$9,'Data input'!$8:$8,0)-3,,),'Data input'!$C:$C,'Summary by type of work report'!$B59),"")</f>
        <v>0</v>
      </c>
      <c r="F59" s="51"/>
      <c r="G59" s="70">
        <f>IFERROR(SUMIFS('Data input'!62:62,'Data input'!$12:$12,'Summary by type of work report'!G$9),"")</f>
        <v>0</v>
      </c>
      <c r="H59" s="70">
        <f>IFERROR(SUMIFS('Data input'!62:62,'Data input'!$12:$12,'Summary by type of work report'!H$9),"")</f>
        <v>0</v>
      </c>
      <c r="I59" s="58"/>
      <c r="J59" s="58"/>
      <c r="K59" s="70">
        <f>IFERROR(SUMIFS('Data input'!62:62,'Data input'!$12:$12,'Summary by type of work report'!K$9),"")</f>
        <v>0</v>
      </c>
      <c r="L59" s="70">
        <f>IFERROR(SUMIFS('Data input'!62:62,'Data input'!$12:$12,'Summary by type of work report'!L$9),"")</f>
        <v>0</v>
      </c>
      <c r="M59" s="51"/>
      <c r="N59" s="70">
        <f t="shared" ca="1" si="18"/>
        <v>0</v>
      </c>
      <c r="O59" s="71">
        <f t="shared" ca="1" si="19"/>
        <v>0</v>
      </c>
      <c r="P59" s="70">
        <f t="shared" si="20"/>
        <v>0</v>
      </c>
      <c r="Q59" s="71">
        <f t="shared" ca="1" si="21"/>
        <v>0</v>
      </c>
      <c r="R59" s="70">
        <f t="shared" si="22"/>
        <v>0</v>
      </c>
      <c r="S59" s="71">
        <f t="shared" ca="1" si="23"/>
        <v>0</v>
      </c>
      <c r="T59" s="51"/>
      <c r="U59" s="58"/>
      <c r="V59" s="58"/>
      <c r="W59" s="95"/>
      <c r="X59" s="52"/>
      <c r="Y59" s="70">
        <f ca="1">IFERROR(SUMIFS(OFFSET('Data input'!$B:$B,,MATCH('Summary by type of work report'!Y$9,'Data input'!$9:$9,0)-2),'Data input'!$C:$C,'Summary by type of work report'!$B59),0)</f>
        <v>0</v>
      </c>
    </row>
    <row r="60" spans="2:26">
      <c r="B60" s="23" t="str">
        <f>IF('Data input'!$C63="","",'Data input'!$C63)</f>
        <v>Deferred credits, noncurrent</v>
      </c>
      <c r="C60" s="70">
        <f ca="1">IFERROR(SUMIFS(OFFSET('Data input'!$C:$C,,MATCH('Summary by type of work report'!C$9,'Data input'!$8:$8,0)-3,,),'Data input'!$C:$C,'Summary by type of work report'!$B60),"")</f>
        <v>0</v>
      </c>
      <c r="D60" s="70">
        <f ca="1">IFERROR(SUMIFS(OFFSET('Data input'!$C:$C,,MATCH('Summary by type of work report'!D$9,'Data input'!$8:$8,0)-3,,),'Data input'!$C:$C,'Summary by type of work report'!$B60),"")</f>
        <v>0</v>
      </c>
      <c r="E60" s="70">
        <f ca="1">IFERROR(SUMIFS(OFFSET('Data input'!$C:$C,,MATCH('Summary by type of work report'!E$9,'Data input'!$8:$8,0)-3,,),'Data input'!$C:$C,'Summary by type of work report'!$B60),"")</f>
        <v>0</v>
      </c>
      <c r="F60" s="51"/>
      <c r="G60" s="70">
        <f>IFERROR(SUMIFS('Data input'!63:63,'Data input'!$12:$12,'Summary by type of work report'!G$9),"")</f>
        <v>0</v>
      </c>
      <c r="H60" s="70">
        <f>IFERROR(SUMIFS('Data input'!63:63,'Data input'!$12:$12,'Summary by type of work report'!H$9),"")</f>
        <v>0</v>
      </c>
      <c r="I60" s="58"/>
      <c r="J60" s="58"/>
      <c r="K60" s="70">
        <f>IFERROR(SUMIFS('Data input'!63:63,'Data input'!$12:$12,'Summary by type of work report'!K$9),"")</f>
        <v>0</v>
      </c>
      <c r="L60" s="70">
        <f>IFERROR(SUMIFS('Data input'!63:63,'Data input'!$12:$12,'Summary by type of work report'!L$9),"")</f>
        <v>0</v>
      </c>
      <c r="M60" s="51"/>
      <c r="N60" s="70">
        <f t="shared" ca="1" si="18"/>
        <v>0</v>
      </c>
      <c r="O60" s="71">
        <f t="shared" ca="1" si="19"/>
        <v>0</v>
      </c>
      <c r="P60" s="70">
        <f t="shared" si="20"/>
        <v>0</v>
      </c>
      <c r="Q60" s="71">
        <f t="shared" ca="1" si="21"/>
        <v>0</v>
      </c>
      <c r="R60" s="70">
        <f t="shared" si="22"/>
        <v>0</v>
      </c>
      <c r="S60" s="71">
        <f t="shared" ca="1" si="23"/>
        <v>0</v>
      </c>
      <c r="T60" s="51"/>
      <c r="U60" s="58"/>
      <c r="V60" s="58"/>
      <c r="W60" s="95"/>
      <c r="X60" s="52"/>
      <c r="Y60" s="70">
        <f ca="1">IFERROR(SUMIFS(OFFSET('Data input'!$B:$B,,MATCH('Summary by type of work report'!Y$9,'Data input'!$9:$9,0)-2),'Data input'!$C:$C,'Summary by type of work report'!$B60),0)</f>
        <v>0</v>
      </c>
    </row>
    <row r="61" spans="2:26">
      <c r="B61" s="23" t="str">
        <f>IF('Data input'!$C64="","",'Data input'!$C64)</f>
        <v>Deferred tax liabilities, noncurrent</v>
      </c>
      <c r="C61" s="70">
        <f ca="1">IFERROR(SUMIFS(OFFSET('Data input'!$C:$C,,MATCH('Summary by type of work report'!C$9,'Data input'!$8:$8,0)-3,,),'Data input'!$C:$C,'Summary by type of work report'!$B61),"")</f>
        <v>0</v>
      </c>
      <c r="D61" s="70">
        <f ca="1">IFERROR(SUMIFS(OFFSET('Data input'!$C:$C,,MATCH('Summary by type of work report'!D$9,'Data input'!$8:$8,0)-3,,),'Data input'!$C:$C,'Summary by type of work report'!$B61),"")</f>
        <v>0</v>
      </c>
      <c r="E61" s="70">
        <f ca="1">IFERROR(SUMIFS(OFFSET('Data input'!$C:$C,,MATCH('Summary by type of work report'!E$9,'Data input'!$8:$8,0)-3,,),'Data input'!$C:$C,'Summary by type of work report'!$B61),"")</f>
        <v>0</v>
      </c>
      <c r="F61" s="51"/>
      <c r="G61" s="70">
        <f>IFERROR(SUMIFS('Data input'!64:64,'Data input'!$12:$12,'Summary by type of work report'!G$9),"")</f>
        <v>0</v>
      </c>
      <c r="H61" s="70">
        <f>IFERROR(SUMIFS('Data input'!64:64,'Data input'!$12:$12,'Summary by type of work report'!H$9),"")</f>
        <v>0</v>
      </c>
      <c r="I61" s="58"/>
      <c r="J61" s="58"/>
      <c r="K61" s="70">
        <f>IFERROR(SUMIFS('Data input'!64:64,'Data input'!$12:$12,'Summary by type of work report'!K$9),"")</f>
        <v>0</v>
      </c>
      <c r="L61" s="70">
        <f>IFERROR(SUMIFS('Data input'!64:64,'Data input'!$12:$12,'Summary by type of work report'!L$9),"")</f>
        <v>0</v>
      </c>
      <c r="M61" s="51"/>
      <c r="N61" s="70">
        <f t="shared" ca="1" si="18"/>
        <v>0</v>
      </c>
      <c r="O61" s="71">
        <f t="shared" ca="1" si="19"/>
        <v>0</v>
      </c>
      <c r="P61" s="70">
        <f t="shared" si="20"/>
        <v>0</v>
      </c>
      <c r="Q61" s="71">
        <f t="shared" ca="1" si="21"/>
        <v>0</v>
      </c>
      <c r="R61" s="70">
        <f t="shared" si="22"/>
        <v>0</v>
      </c>
      <c r="S61" s="71">
        <f t="shared" ca="1" si="23"/>
        <v>0</v>
      </c>
      <c r="T61" s="51"/>
      <c r="U61" s="58"/>
      <c r="V61" s="58"/>
      <c r="W61" s="95"/>
      <c r="X61" s="52"/>
      <c r="Y61" s="70">
        <f ca="1">IFERROR(SUMIFS(OFFSET('Data input'!$B:$B,,MATCH('Summary by type of work report'!Y$9,'Data input'!$9:$9,0)-2),'Data input'!$C:$C,'Summary by type of work report'!$B61),0)</f>
        <v>0</v>
      </c>
    </row>
    <row r="62" spans="2:26">
      <c r="B62" s="23" t="str">
        <f>IF('Data input'!$C65="","",'Data input'!$C65)</f>
        <v>Liabilities of businesses held for sale</v>
      </c>
      <c r="C62" s="70">
        <f ca="1">IFERROR(SUMIFS(OFFSET('Data input'!$C:$C,,MATCH('Summary by type of work report'!C$9,'Data input'!$8:$8,0)-3,,),'Data input'!$C:$C,'Summary by type of work report'!$B62),"")</f>
        <v>0</v>
      </c>
      <c r="D62" s="105">
        <f ca="1">IFERROR(SUMIFS(OFFSET('Data input'!$C:$C,,MATCH('Summary by type of work report'!D$9,'Data input'!$8:$8,0)-3,,),'Data input'!$C:$C,'Summary by type of work report'!$B62),"")</f>
        <v>0</v>
      </c>
      <c r="E62" s="105">
        <f ca="1">IFERROR(SUMIFS(OFFSET('Data input'!$C:$C,,MATCH('Summary by type of work report'!E$9,'Data input'!$8:$8,0)-3,,),'Data input'!$C:$C,'Summary by type of work report'!$B62),"")</f>
        <v>0</v>
      </c>
      <c r="F62" s="51"/>
      <c r="G62" s="70">
        <f>IFERROR(SUMIFS('Data input'!65:65,'Data input'!$12:$12,'Summary by type of work report'!G$9),"")</f>
        <v>0</v>
      </c>
      <c r="H62" s="70">
        <f>IFERROR(SUMIFS('Data input'!65:65,'Data input'!$12:$12,'Summary by type of work report'!H$9),"")</f>
        <v>0</v>
      </c>
      <c r="I62" s="58"/>
      <c r="J62" s="58"/>
      <c r="K62" s="70">
        <f>IFERROR(SUMIFS('Data input'!65:65,'Data input'!$12:$12,'Summary by type of work report'!K$9),"")</f>
        <v>0</v>
      </c>
      <c r="L62" s="70">
        <f>IFERROR(SUMIFS('Data input'!65:65,'Data input'!$12:$12,'Summary by type of work report'!L$9),"")</f>
        <v>0</v>
      </c>
      <c r="M62" s="51"/>
      <c r="N62" s="70">
        <f t="shared" ca="1" si="18"/>
        <v>0</v>
      </c>
      <c r="O62" s="71">
        <f t="shared" ca="1" si="19"/>
        <v>0</v>
      </c>
      <c r="P62" s="70">
        <f t="shared" si="20"/>
        <v>0</v>
      </c>
      <c r="Q62" s="71">
        <f t="shared" ca="1" si="21"/>
        <v>0</v>
      </c>
      <c r="R62" s="70">
        <f t="shared" si="22"/>
        <v>0</v>
      </c>
      <c r="S62" s="71">
        <f t="shared" ca="1" si="23"/>
        <v>0</v>
      </c>
      <c r="T62" s="51"/>
      <c r="U62" s="58"/>
      <c r="V62" s="58"/>
      <c r="W62" s="95"/>
      <c r="X62" s="52"/>
      <c r="Y62" s="70">
        <f ca="1">IFERROR(SUMIFS(OFFSET('Data input'!$B:$B,,MATCH('Summary by type of work report'!Y$9,'Data input'!$9:$9,0)-2),'Data input'!$C:$C,'Summary by type of work report'!$B62),0)</f>
        <v>0</v>
      </c>
    </row>
    <row r="63" spans="2:26" s="48" customFormat="1">
      <c r="B63" s="49" t="str">
        <f>IF('Data input'!$C66="","",'Data input'!$C66)</f>
        <v>Liabilities of discontinued operations</v>
      </c>
      <c r="C63" s="70">
        <f ca="1">IFERROR(SUMIFS(OFFSET('Data input'!$C:$C,,MATCH('Summary by type of work report'!C$9,'Data input'!$8:$8,0)-3,,),'Data input'!$C:$C,'Summary by type of work report'!$B63),"")</f>
        <v>0</v>
      </c>
      <c r="D63" s="70">
        <f ca="1">IFERROR(SUMIFS(OFFSET('Data input'!$C:$C,,MATCH('Summary by type of work report'!D$9,'Data input'!$8:$8,0)-3,,),'Data input'!$C:$C,'Summary by type of work report'!$B63),"")</f>
        <v>0</v>
      </c>
      <c r="E63" s="70">
        <f ca="1">IFERROR(SUMIFS(OFFSET('Data input'!$C:$C,,MATCH('Summary by type of work report'!E$9,'Data input'!$8:$8,0)-3,,),'Data input'!$C:$C,'Summary by type of work report'!$B63),"")</f>
        <v>0</v>
      </c>
      <c r="F63" s="51"/>
      <c r="G63" s="70">
        <f>IFERROR(SUMIFS('Data input'!66:66,'Data input'!$12:$12,'Summary by type of work report'!G$9),"")</f>
        <v>0</v>
      </c>
      <c r="H63" s="70">
        <f>IFERROR(SUMIFS('Data input'!66:66,'Data input'!$12:$12,'Summary by type of work report'!H$9),"")</f>
        <v>0</v>
      </c>
      <c r="I63" s="58"/>
      <c r="J63" s="58"/>
      <c r="K63" s="70">
        <f>IFERROR(SUMIFS('Data input'!66:66,'Data input'!$12:$12,'Summary by type of work report'!K$9),"")</f>
        <v>0</v>
      </c>
      <c r="L63" s="70">
        <f>IFERROR(SUMIFS('Data input'!66:66,'Data input'!$12:$12,'Summary by type of work report'!L$9),"")</f>
        <v>0</v>
      </c>
      <c r="M63" s="51"/>
      <c r="N63" s="70">
        <f t="shared" ca="1" si="18"/>
        <v>0</v>
      </c>
      <c r="O63" s="71">
        <f t="shared" ca="1" si="19"/>
        <v>0</v>
      </c>
      <c r="P63" s="70">
        <f t="shared" si="20"/>
        <v>0</v>
      </c>
      <c r="Q63" s="71">
        <f t="shared" ca="1" si="21"/>
        <v>0</v>
      </c>
      <c r="R63" s="70">
        <f t="shared" si="22"/>
        <v>0</v>
      </c>
      <c r="S63" s="71">
        <f t="shared" ca="1" si="23"/>
        <v>0</v>
      </c>
      <c r="T63" s="51"/>
      <c r="U63" s="58"/>
      <c r="V63" s="58"/>
      <c r="W63" s="95"/>
      <c r="X63" s="52"/>
      <c r="Y63" s="70">
        <f ca="1">IFERROR(SUMIFS(OFFSET('Data input'!$B:$B,,MATCH('Summary by type of work report'!Y$9,'Data input'!$9:$9,0)-2),'Data input'!$C:$C,'Summary by type of work report'!$B63),0)</f>
        <v>0</v>
      </c>
      <c r="Z63"/>
    </row>
    <row r="64" spans="2:26">
      <c r="B64" s="23" t="str">
        <f>IF('Data input'!$C67="","",'Data input'!$C67)</f>
        <v>Other liabilities</v>
      </c>
      <c r="C64" s="70">
        <f ca="1">IFERROR(SUMIFS(OFFSET('Data input'!$C:$C,,MATCH('Summary by type of work report'!C$9,'Data input'!$8:$8,0)-3,,),'Data input'!$C:$C,'Summary by type of work report'!$B64),"")</f>
        <v>0</v>
      </c>
      <c r="D64" s="70">
        <f ca="1">IFERROR(SUMIFS(OFFSET('Data input'!$C:$C,,MATCH('Summary by type of work report'!D$9,'Data input'!$8:$8,0)-3,,),'Data input'!$C:$C,'Summary by type of work report'!$B64),"")</f>
        <v>0</v>
      </c>
      <c r="E64" s="70">
        <f ca="1">IFERROR(SUMIFS(OFFSET('Data input'!$C:$C,,MATCH('Summary by type of work report'!E$9,'Data input'!$8:$8,0)-3,,),'Data input'!$C:$C,'Summary by type of work report'!$B64),"")</f>
        <v>0</v>
      </c>
      <c r="F64" s="51"/>
      <c r="G64" s="70">
        <f>IFERROR(SUMIFS('Data input'!67:67,'Data input'!$12:$12,'Summary by type of work report'!G$9),"")</f>
        <v>0</v>
      </c>
      <c r="H64" s="70">
        <f>IFERROR(SUMIFS('Data input'!67:67,'Data input'!$12:$12,'Summary by type of work report'!H$9),"")</f>
        <v>0</v>
      </c>
      <c r="I64" s="58"/>
      <c r="J64" s="58"/>
      <c r="K64" s="70">
        <f>IFERROR(SUMIFS('Data input'!67:67,'Data input'!$12:$12,'Summary by type of work report'!K$9),"")</f>
        <v>0</v>
      </c>
      <c r="L64" s="70">
        <f>IFERROR(SUMIFS('Data input'!67:67,'Data input'!$12:$12,'Summary by type of work report'!L$9),"")</f>
        <v>0</v>
      </c>
      <c r="M64" s="51"/>
      <c r="N64" s="70">
        <f t="shared" ca="1" si="18"/>
        <v>0</v>
      </c>
      <c r="O64" s="71">
        <f t="shared" ca="1" si="19"/>
        <v>0</v>
      </c>
      <c r="P64" s="70">
        <f t="shared" si="20"/>
        <v>0</v>
      </c>
      <c r="Q64" s="71">
        <f t="shared" ca="1" si="21"/>
        <v>0</v>
      </c>
      <c r="R64" s="70">
        <f t="shared" si="22"/>
        <v>0</v>
      </c>
      <c r="S64" s="71">
        <f t="shared" ca="1" si="23"/>
        <v>0</v>
      </c>
      <c r="T64" s="51"/>
      <c r="U64" s="58"/>
      <c r="V64" s="58"/>
      <c r="W64" s="95"/>
      <c r="X64" s="52"/>
      <c r="Y64" s="70">
        <f ca="1">IFERROR(SUMIFS(OFFSET('Data input'!$B:$B,,MATCH('Summary by type of work report'!Y$9,'Data input'!$9:$9,0)-2),'Data input'!$C:$C,'Summary by type of work report'!$B64),0)</f>
        <v>0</v>
      </c>
    </row>
    <row r="65" spans="2:25" hidden="1">
      <c r="B65" s="17" t="str">
        <f>IF('Data input'!$C68="","",'Data input'!$C68)</f>
        <v>Intentionally hidden</v>
      </c>
      <c r="C65" s="72">
        <f ca="1">IFERROR(SUMIFS(OFFSET('Data input'!$C:$C,,MATCH('Summary by type of work report'!C$9,'Data input'!$8:$8,0)-3,,),'Data input'!$C:$C,'Summary by type of work report'!$B65),"")</f>
        <v>0</v>
      </c>
      <c r="D65" s="72">
        <f ca="1">IFERROR(SUMIFS(OFFSET('Data input'!$C:$C,,MATCH('Summary by type of work report'!D$9,'Data input'!$8:$8,0)-3,,),'Data input'!$C:$C,'Summary by type of work report'!$B65),"")</f>
        <v>0</v>
      </c>
      <c r="E65" s="72">
        <f ca="1">IFERROR(SUMIFS(OFFSET('Data input'!$C:$C,,MATCH('Summary by type of work report'!E$9,'Data input'!$8:$8,0)-3,,),'Data input'!$C:$C,'Summary by type of work report'!$B65),"")</f>
        <v>0</v>
      </c>
      <c r="F65" s="51"/>
      <c r="G65" s="72">
        <f>IFERROR(SUMIFS('Data input'!68:68,'Data input'!$12:$12,'Summary by type of work report'!G$9),"")</f>
        <v>0</v>
      </c>
      <c r="H65" s="72">
        <f>IFERROR(SUMIFS('Data input'!68:68,'Data input'!$12:$12,'Summary by type of work report'!H$9),"")</f>
        <v>0</v>
      </c>
      <c r="I65" s="59"/>
      <c r="J65" s="59"/>
      <c r="K65" s="72">
        <f>IFERROR(SUMIFS('Data input'!68:68,'Data input'!$12:$12,'Summary by type of work report'!K$9),"")</f>
        <v>0</v>
      </c>
      <c r="L65" s="72">
        <f>IFERROR(SUMIFS('Data input'!68:68,'Data input'!$12:$12,'Summary by type of work report'!L$9),"")</f>
        <v>0</v>
      </c>
      <c r="M65" s="51"/>
      <c r="N65" s="72"/>
      <c r="O65" s="73"/>
      <c r="P65" s="72"/>
      <c r="Q65" s="73">
        <f t="shared" ca="1" si="21"/>
        <v>0</v>
      </c>
      <c r="R65" s="72">
        <f t="shared" si="22"/>
        <v>0</v>
      </c>
      <c r="S65" s="73">
        <f t="shared" ca="1" si="23"/>
        <v>0</v>
      </c>
      <c r="T65" s="51"/>
      <c r="U65" s="59"/>
      <c r="V65" s="59"/>
      <c r="W65" s="96"/>
      <c r="X65" s="52"/>
      <c r="Y65" s="72">
        <f ca="1">IFERROR(SUMIFS(OFFSET('Data input'!$B:$B,,MATCH('Summary by type of work report'!Y$9,'Data input'!$9:$9,0)-2),'Data input'!$C:$C,'Summary by type of work report'!$B65),0)</f>
        <v>0</v>
      </c>
    </row>
    <row r="66" spans="2:25" ht="10.5">
      <c r="B66" s="19" t="str">
        <f>IF('Data input'!$C69="","",'Data input'!$C69)</f>
        <v>Total liabilities</v>
      </c>
      <c r="C66" s="78">
        <f ca="1">IFERROR(SUMIFS(OFFSET('Data input'!$C:$C,,MATCH('Summary by type of work report'!C$9,'Data input'!$8:$8,0)-3,,),'Data input'!$C:$C,'Summary by type of work report'!$B66),"")</f>
        <v>0</v>
      </c>
      <c r="D66" s="78">
        <f ca="1">IFERROR(SUMIFS(OFFSET('Data input'!$C:$C,,MATCH('Summary by type of work report'!D$9,'Data input'!$8:$8,0)-3,,),'Data input'!$C:$C,'Summary by type of work report'!$B66),"")</f>
        <v>0</v>
      </c>
      <c r="E66" s="78">
        <f ca="1">IFERROR(SUMIFS(OFFSET('Data input'!$C:$C,,MATCH('Summary by type of work report'!E$9,'Data input'!$8:$8,0)-3,,),'Data input'!$C:$C,'Summary by type of work report'!$B66),"")</f>
        <v>0</v>
      </c>
      <c r="F66" s="51"/>
      <c r="G66" s="78">
        <f>IFERROR(SUMIFS('Data input'!69:69,'Data input'!$12:$12,'Summary by type of work report'!G$9),"")</f>
        <v>0</v>
      </c>
      <c r="H66" s="78">
        <f>IFERROR(SUMIFS('Data input'!69:69,'Data input'!$12:$12,'Summary by type of work report'!H$9),"")</f>
        <v>0</v>
      </c>
      <c r="I66" s="62">
        <f>SUM(I54:I65)</f>
        <v>0</v>
      </c>
      <c r="J66" s="62">
        <f>SUM(J54:J65)</f>
        <v>0</v>
      </c>
      <c r="K66" s="78">
        <f>IFERROR(SUMIFS('Data input'!69:69,'Data input'!$12:$12,'Summary by type of work report'!K$9),"")</f>
        <v>0</v>
      </c>
      <c r="L66" s="78">
        <f>IFERROR(SUMIFS('Data input'!69:69,'Data input'!$12:$12,'Summary by type of work report'!L$9),"")</f>
        <v>0</v>
      </c>
      <c r="M66" s="51"/>
      <c r="N66" s="78">
        <f ca="1">IFERROR(C66-SUM(D66:E66,G66:H66,I66,J66,K66:L66),"")</f>
        <v>0</v>
      </c>
      <c r="O66" s="79">
        <f ca="1">IFERROR(N66/(C66-D66-E66),0)</f>
        <v>0</v>
      </c>
      <c r="P66" s="78">
        <f>SUM(K66:L66)</f>
        <v>0</v>
      </c>
      <c r="Q66" s="79">
        <f t="shared" ca="1" si="21"/>
        <v>0</v>
      </c>
      <c r="R66" s="78">
        <f t="shared" si="22"/>
        <v>0</v>
      </c>
      <c r="S66" s="79">
        <f t="shared" ca="1" si="23"/>
        <v>0</v>
      </c>
      <c r="T66" s="51"/>
      <c r="U66" s="62"/>
      <c r="V66" s="62"/>
      <c r="W66" s="99"/>
      <c r="X66" s="52"/>
      <c r="Y66" s="78">
        <f ca="1">IFERROR(SUMIFS(OFFSET('Data input'!$B:$B,,MATCH('Summary by type of work report'!Y$9,'Data input'!$9:$9,0)-2),'Data input'!$C:$C,'Summary by type of work report'!$B66),0)</f>
        <v>0</v>
      </c>
    </row>
    <row r="67" spans="2:25">
      <c r="B67" s="15" t="str">
        <f>IF('Data input'!$C70="","",'Data input'!$C70)</f>
        <v/>
      </c>
      <c r="C67" s="76"/>
      <c r="D67" s="76"/>
      <c r="E67" s="76"/>
      <c r="F67" s="51"/>
      <c r="G67" s="76"/>
      <c r="H67" s="76"/>
      <c r="I67" s="61"/>
      <c r="J67" s="61"/>
      <c r="K67" s="76"/>
      <c r="L67" s="76"/>
      <c r="M67" s="51"/>
      <c r="N67" s="76"/>
      <c r="O67" s="77"/>
      <c r="P67" s="76"/>
      <c r="Q67" s="76"/>
      <c r="R67" s="76"/>
      <c r="S67" s="76"/>
      <c r="T67" s="51"/>
      <c r="U67" s="61"/>
      <c r="V67" s="61"/>
      <c r="W67" s="98"/>
      <c r="X67" s="52"/>
      <c r="Y67" s="76"/>
    </row>
    <row r="68" spans="2:25" ht="10.5">
      <c r="B68" s="16" t="str">
        <f>IF('Data input'!$C71="","",'Data input'!$C71)</f>
        <v>Stockholders' equity</v>
      </c>
      <c r="C68" s="80"/>
      <c r="D68" s="80"/>
      <c r="E68" s="80"/>
      <c r="F68" s="51"/>
      <c r="G68" s="80"/>
      <c r="H68" s="80"/>
      <c r="I68" s="63"/>
      <c r="J68" s="63"/>
      <c r="K68" s="80"/>
      <c r="L68" s="80"/>
      <c r="M68" s="51"/>
      <c r="N68" s="80"/>
      <c r="O68" s="81"/>
      <c r="P68" s="80"/>
      <c r="Q68" s="80"/>
      <c r="R68" s="80"/>
      <c r="S68" s="80"/>
      <c r="T68" s="51"/>
      <c r="U68" s="63"/>
      <c r="V68" s="63"/>
      <c r="W68" s="100"/>
      <c r="X68" s="52"/>
      <c r="Y68" s="80"/>
    </row>
    <row r="69" spans="2:25">
      <c r="B69" s="23" t="str">
        <f>IF('Data input'!$C72="","",'Data input'!$C72)</f>
        <v>Preferred stock</v>
      </c>
      <c r="C69" s="70">
        <f ca="1">IFERROR(SUMIFS(OFFSET('Data input'!$C:$C,,MATCH('Summary by type of work report'!C$9,'Data input'!$8:$8,0)-3,,),'Data input'!$C:$C,'Summary by type of work report'!$B69),"")</f>
        <v>0</v>
      </c>
      <c r="D69" s="70">
        <f ca="1">IFERROR(SUMIFS(OFFSET('Data input'!$C:$C,,MATCH('Summary by type of work report'!D$9,'Data input'!$8:$8,0)-3,,),'Data input'!$C:$C,'Summary by type of work report'!$B69),"")</f>
        <v>0</v>
      </c>
      <c r="E69" s="70">
        <f ca="1">IFERROR(SUMIFS(OFFSET('Data input'!$C:$C,,MATCH('Summary by type of work report'!E$9,'Data input'!$8:$8,0)-3,,),'Data input'!$C:$C,'Summary by type of work report'!$B69),"")</f>
        <v>0</v>
      </c>
      <c r="F69" s="51"/>
      <c r="G69" s="70">
        <f>IFERROR(SUMIFS('Data input'!72:72,'Data input'!$12:$12,'Summary by type of work report'!G$9),"")</f>
        <v>0</v>
      </c>
      <c r="H69" s="70">
        <f>IFERROR(SUMIFS('Data input'!72:72,'Data input'!$12:$12,'Summary by type of work report'!H$9),"")</f>
        <v>0</v>
      </c>
      <c r="I69" s="58"/>
      <c r="J69" s="58"/>
      <c r="K69" s="70">
        <f>IFERROR(SUMIFS('Data input'!72:72,'Data input'!$12:$12,'Summary by type of work report'!K$9),"")</f>
        <v>0</v>
      </c>
      <c r="L69" s="70">
        <f>IFERROR(SUMIFS('Data input'!72:72,'Data input'!$12:$12,'Summary by type of work report'!L$9),"")</f>
        <v>0</v>
      </c>
      <c r="M69" s="51"/>
      <c r="N69" s="70">
        <f t="shared" ref="N69:N74" ca="1" si="24">IFERROR(C69-SUM(D69:E69,G69:H69,I69,J69,K69:L69),"")</f>
        <v>0</v>
      </c>
      <c r="O69" s="71">
        <f t="shared" ref="O69:O74" ca="1" si="25">IFERROR(N69/(C69-D69-E69),0)</f>
        <v>0</v>
      </c>
      <c r="P69" s="70">
        <f t="shared" ref="P69:P74" si="26">SUM(K69:L69)</f>
        <v>0</v>
      </c>
      <c r="Q69" s="71">
        <f t="shared" ref="Q69:Q76" ca="1" si="27">IFERROR(P69/(C69-D69-E69),0)</f>
        <v>0</v>
      </c>
      <c r="R69" s="70">
        <f t="shared" ref="R69:R76" si="28">G69+H69+I69+J69</f>
        <v>0</v>
      </c>
      <c r="S69" s="71">
        <f t="shared" ref="S69:S76" ca="1" si="29">IFERROR(R69/(C69-D69-E69),0)</f>
        <v>0</v>
      </c>
      <c r="T69" s="51"/>
      <c r="U69" s="58"/>
      <c r="V69" s="58"/>
      <c r="W69" s="95"/>
      <c r="X69" s="52"/>
      <c r="Y69" s="70">
        <f ca="1">IFERROR(SUMIFS(OFFSET('Data input'!$B:$B,,MATCH('Summary by type of work report'!Y$9,'Data input'!$9:$9,0)-2),'Data input'!$C:$C,'Summary by type of work report'!$B69),0)</f>
        <v>0</v>
      </c>
    </row>
    <row r="70" spans="2:25">
      <c r="B70" s="23" t="str">
        <f>IF('Data input'!$C73="","",'Data input'!$C73)</f>
        <v>Common stock</v>
      </c>
      <c r="C70" s="70">
        <f ca="1">IFERROR(SUMIFS(OFFSET('Data input'!$C:$C,,MATCH('Summary by type of work report'!C$9,'Data input'!$8:$8,0)-3,,),'Data input'!$C:$C,'Summary by type of work report'!$B70),"")</f>
        <v>0</v>
      </c>
      <c r="D70" s="70">
        <f ca="1">IFERROR(SUMIFS(OFFSET('Data input'!$C:$C,,MATCH('Summary by type of work report'!D$9,'Data input'!$8:$8,0)-3,,),'Data input'!$C:$C,'Summary by type of work report'!$B70),"")</f>
        <v>0</v>
      </c>
      <c r="E70" s="70">
        <f ca="1">IFERROR(SUMIFS(OFFSET('Data input'!$C:$C,,MATCH('Summary by type of work report'!E$9,'Data input'!$8:$8,0)-3,,),'Data input'!$C:$C,'Summary by type of work report'!$B70),"")</f>
        <v>0</v>
      </c>
      <c r="F70" s="51"/>
      <c r="G70" s="70">
        <f>IFERROR(SUMIFS('Data input'!73:73,'Data input'!$12:$12,'Summary by type of work report'!G$9),"")</f>
        <v>0</v>
      </c>
      <c r="H70" s="70">
        <f>IFERROR(SUMIFS('Data input'!73:73,'Data input'!$12:$12,'Summary by type of work report'!H$9),"")</f>
        <v>0</v>
      </c>
      <c r="I70" s="58"/>
      <c r="J70" s="58"/>
      <c r="K70" s="70">
        <f>IFERROR(SUMIFS('Data input'!73:73,'Data input'!$12:$12,'Summary by type of work report'!K$9),"")</f>
        <v>0</v>
      </c>
      <c r="L70" s="70">
        <f>IFERROR(SUMIFS('Data input'!73:73,'Data input'!$12:$12,'Summary by type of work report'!L$9),"")</f>
        <v>0</v>
      </c>
      <c r="M70" s="51"/>
      <c r="N70" s="70">
        <f t="shared" ca="1" si="24"/>
        <v>0</v>
      </c>
      <c r="O70" s="71">
        <f t="shared" ca="1" si="25"/>
        <v>0</v>
      </c>
      <c r="P70" s="70">
        <f t="shared" si="26"/>
        <v>0</v>
      </c>
      <c r="Q70" s="71">
        <f t="shared" ca="1" si="27"/>
        <v>0</v>
      </c>
      <c r="R70" s="70">
        <f t="shared" si="28"/>
        <v>0</v>
      </c>
      <c r="S70" s="71">
        <f t="shared" ca="1" si="29"/>
        <v>0</v>
      </c>
      <c r="T70" s="51"/>
      <c r="U70" s="58"/>
      <c r="V70" s="58"/>
      <c r="W70" s="95"/>
      <c r="X70" s="52"/>
      <c r="Y70" s="70">
        <f ca="1">IFERROR(SUMIFS(OFFSET('Data input'!$B:$B,,MATCH('Summary by type of work report'!Y$9,'Data input'!$9:$9,0)-2),'Data input'!$C:$C,'Summary by type of work report'!$B70),0)</f>
        <v>0</v>
      </c>
    </row>
    <row r="71" spans="2:25">
      <c r="B71" s="23" t="str">
        <f>IF('Data input'!$C74="","",'Data input'!$C74)</f>
        <v>Treasury stock</v>
      </c>
      <c r="C71" s="70">
        <f ca="1">IFERROR(SUMIFS(OFFSET('Data input'!$C:$C,,MATCH('Summary by type of work report'!C$9,'Data input'!$8:$8,0)-3,,),'Data input'!$C:$C,'Summary by type of work report'!$B71),"")</f>
        <v>0</v>
      </c>
      <c r="D71" s="70">
        <f ca="1">IFERROR(SUMIFS(OFFSET('Data input'!$C:$C,,MATCH('Summary by type of work report'!D$9,'Data input'!$8:$8,0)-3,,),'Data input'!$C:$C,'Summary by type of work report'!$B71),"")</f>
        <v>0</v>
      </c>
      <c r="E71" s="70">
        <f ca="1">IFERROR(SUMIFS(OFFSET('Data input'!$C:$C,,MATCH('Summary by type of work report'!E$9,'Data input'!$8:$8,0)-3,,),'Data input'!$C:$C,'Summary by type of work report'!$B71),"")</f>
        <v>0</v>
      </c>
      <c r="F71" s="51"/>
      <c r="G71" s="70">
        <f>IFERROR(SUMIFS('Data input'!74:74,'Data input'!$12:$12,'Summary by type of work report'!G$9),"")</f>
        <v>0</v>
      </c>
      <c r="H71" s="70">
        <f>IFERROR(SUMIFS('Data input'!74:74,'Data input'!$12:$12,'Summary by type of work report'!H$9),"")</f>
        <v>0</v>
      </c>
      <c r="I71" s="58"/>
      <c r="J71" s="58"/>
      <c r="K71" s="70">
        <f>IFERROR(SUMIFS('Data input'!74:74,'Data input'!$12:$12,'Summary by type of work report'!K$9),"")</f>
        <v>0</v>
      </c>
      <c r="L71" s="70">
        <f>IFERROR(SUMIFS('Data input'!74:74,'Data input'!$12:$12,'Summary by type of work report'!L$9),"")</f>
        <v>0</v>
      </c>
      <c r="M71" s="51"/>
      <c r="N71" s="70">
        <f t="shared" ca="1" si="24"/>
        <v>0</v>
      </c>
      <c r="O71" s="71">
        <f t="shared" ca="1" si="25"/>
        <v>0</v>
      </c>
      <c r="P71" s="70">
        <f t="shared" si="26"/>
        <v>0</v>
      </c>
      <c r="Q71" s="71">
        <f t="shared" ca="1" si="27"/>
        <v>0</v>
      </c>
      <c r="R71" s="70">
        <f t="shared" si="28"/>
        <v>0</v>
      </c>
      <c r="S71" s="71">
        <f t="shared" ca="1" si="29"/>
        <v>0</v>
      </c>
      <c r="T71" s="51"/>
      <c r="U71" s="58"/>
      <c r="V71" s="58"/>
      <c r="W71" s="95"/>
      <c r="X71" s="52"/>
      <c r="Y71" s="70">
        <f ca="1">IFERROR(SUMIFS(OFFSET('Data input'!$B:$B,,MATCH('Summary by type of work report'!Y$9,'Data input'!$9:$9,0)-2),'Data input'!$C:$C,'Summary by type of work report'!$B71),0)</f>
        <v>0</v>
      </c>
    </row>
    <row r="72" spans="2:25">
      <c r="B72" s="23" t="str">
        <f>IF('Data input'!$C75="","",'Data input'!$C75)</f>
        <v>Additional paid-in capital</v>
      </c>
      <c r="C72" s="70">
        <f ca="1">IFERROR(SUMIFS(OFFSET('Data input'!$C:$C,,MATCH('Summary by type of work report'!C$9,'Data input'!$8:$8,0)-3,,),'Data input'!$C:$C,'Summary by type of work report'!$B72),"")</f>
        <v>0</v>
      </c>
      <c r="D72" s="70">
        <f ca="1">IFERROR(SUMIFS(OFFSET('Data input'!$C:$C,,MATCH('Summary by type of work report'!D$9,'Data input'!$8:$8,0)-3,,),'Data input'!$C:$C,'Summary by type of work report'!$B72),"")</f>
        <v>0</v>
      </c>
      <c r="E72" s="70">
        <f ca="1">IFERROR(SUMIFS(OFFSET('Data input'!$C:$C,,MATCH('Summary by type of work report'!E$9,'Data input'!$8:$8,0)-3,,),'Data input'!$C:$C,'Summary by type of work report'!$B72),"")</f>
        <v>0</v>
      </c>
      <c r="F72" s="51"/>
      <c r="G72" s="70">
        <f>IFERROR(SUMIFS('Data input'!75:75,'Data input'!$12:$12,'Summary by type of work report'!G$9),"")</f>
        <v>0</v>
      </c>
      <c r="H72" s="70">
        <f>IFERROR(SUMIFS('Data input'!75:75,'Data input'!$12:$12,'Summary by type of work report'!H$9),"")</f>
        <v>0</v>
      </c>
      <c r="I72" s="58"/>
      <c r="J72" s="58"/>
      <c r="K72" s="70">
        <f>IFERROR(SUMIFS('Data input'!75:75,'Data input'!$12:$12,'Summary by type of work report'!K$9),"")</f>
        <v>0</v>
      </c>
      <c r="L72" s="70">
        <f>IFERROR(SUMIFS('Data input'!75:75,'Data input'!$12:$12,'Summary by type of work report'!L$9),"")</f>
        <v>0</v>
      </c>
      <c r="M72" s="51"/>
      <c r="N72" s="70">
        <f t="shared" ca="1" si="24"/>
        <v>0</v>
      </c>
      <c r="O72" s="71">
        <f t="shared" ca="1" si="25"/>
        <v>0</v>
      </c>
      <c r="P72" s="70">
        <f t="shared" si="26"/>
        <v>0</v>
      </c>
      <c r="Q72" s="71">
        <f t="shared" ca="1" si="27"/>
        <v>0</v>
      </c>
      <c r="R72" s="70">
        <f t="shared" si="28"/>
        <v>0</v>
      </c>
      <c r="S72" s="71">
        <f t="shared" ca="1" si="29"/>
        <v>0</v>
      </c>
      <c r="T72" s="51"/>
      <c r="U72" s="58"/>
      <c r="V72" s="58"/>
      <c r="W72" s="95"/>
      <c r="X72" s="52"/>
      <c r="Y72" s="70">
        <f ca="1">IFERROR(SUMIFS(OFFSET('Data input'!$B:$B,,MATCH('Summary by type of work report'!Y$9,'Data input'!$9:$9,0)-2),'Data input'!$C:$C,'Summary by type of work report'!$B72),0)</f>
        <v>0</v>
      </c>
    </row>
    <row r="73" spans="2:25" ht="20.100000000000001">
      <c r="B73" s="23" t="str">
        <f>IF('Data input'!$C76="","",'Data input'!$C76)</f>
        <v>Accumulated other comprehensive income (loss)</v>
      </c>
      <c r="C73" s="70">
        <f ca="1">IFERROR(SUMIFS(OFFSET('Data input'!$C:$C,,MATCH('Summary by type of work report'!C$9,'Data input'!$8:$8,0)-3,,),'Data input'!$C:$C,'Summary by type of work report'!$B73),"")</f>
        <v>0</v>
      </c>
      <c r="D73" s="70">
        <f ca="1">IFERROR(SUMIFS(OFFSET('Data input'!$C:$C,,MATCH('Summary by type of work report'!D$9,'Data input'!$8:$8,0)-3,,),'Data input'!$C:$C,'Summary by type of work report'!$B73),"")</f>
        <v>0</v>
      </c>
      <c r="E73" s="70">
        <f ca="1">IFERROR(SUMIFS(OFFSET('Data input'!$C:$C,,MATCH('Summary by type of work report'!E$9,'Data input'!$8:$8,0)-3,,),'Data input'!$C:$C,'Summary by type of work report'!$B73),"")</f>
        <v>0</v>
      </c>
      <c r="F73" s="51"/>
      <c r="G73" s="70">
        <f>IFERROR(SUMIFS('Data input'!76:76,'Data input'!$12:$12,'Summary by type of work report'!G$9),"")</f>
        <v>0</v>
      </c>
      <c r="H73" s="70">
        <f>IFERROR(SUMIFS('Data input'!76:76,'Data input'!$12:$12,'Summary by type of work report'!H$9),"")</f>
        <v>0</v>
      </c>
      <c r="I73" s="58"/>
      <c r="J73" s="58"/>
      <c r="K73" s="70">
        <f>IFERROR(SUMIFS('Data input'!76:76,'Data input'!$12:$12,'Summary by type of work report'!K$9),"")</f>
        <v>0</v>
      </c>
      <c r="L73" s="70">
        <f>IFERROR(SUMIFS('Data input'!76:76,'Data input'!$12:$12,'Summary by type of work report'!L$9),"")</f>
        <v>0</v>
      </c>
      <c r="M73" s="51"/>
      <c r="N73" s="70">
        <f t="shared" ca="1" si="24"/>
        <v>0</v>
      </c>
      <c r="O73" s="71">
        <f t="shared" ca="1" si="25"/>
        <v>0</v>
      </c>
      <c r="P73" s="70">
        <f t="shared" si="26"/>
        <v>0</v>
      </c>
      <c r="Q73" s="71">
        <f t="shared" ca="1" si="27"/>
        <v>0</v>
      </c>
      <c r="R73" s="70">
        <f t="shared" si="28"/>
        <v>0</v>
      </c>
      <c r="S73" s="71">
        <f t="shared" ca="1" si="29"/>
        <v>0</v>
      </c>
      <c r="T73" s="51"/>
      <c r="U73" s="58"/>
      <c r="V73" s="58"/>
      <c r="W73" s="95"/>
      <c r="X73" s="52"/>
      <c r="Y73" s="70">
        <f ca="1">IFERROR(SUMIFS(OFFSET('Data input'!$B:$B,,MATCH('Summary by type of work report'!Y$9,'Data input'!$9:$9,0)-2),'Data input'!$C:$C,'Summary by type of work report'!$B73),0)</f>
        <v>0</v>
      </c>
    </row>
    <row r="74" spans="2:25">
      <c r="B74" s="23" t="str">
        <f>IF('Data input'!$C77="","",'Data input'!$C77)</f>
        <v>Retained earnings</v>
      </c>
      <c r="C74" s="70">
        <f ca="1">IFERROR(SUMIFS(OFFSET('Data input'!$C:$C,,MATCH('Summary by type of work report'!C$9,'Data input'!$8:$8,0)-3,,),'Data input'!$C:$C,'Summary by type of work report'!$B74),"")</f>
        <v>0</v>
      </c>
      <c r="D74" s="70">
        <f ca="1">IFERROR(SUMIFS(OFFSET('Data input'!$C:$C,,MATCH('Summary by type of work report'!D$9,'Data input'!$8:$8,0)-3,,),'Data input'!$C:$C,'Summary by type of work report'!$B74),"")</f>
        <v>0</v>
      </c>
      <c r="E74" s="70">
        <f ca="1">IFERROR(SUMIFS(OFFSET('Data input'!$C:$C,,MATCH('Summary by type of work report'!E$9,'Data input'!$8:$8,0)-3,,),'Data input'!$C:$C,'Summary by type of work report'!$B74),"")</f>
        <v>0</v>
      </c>
      <c r="F74" s="51"/>
      <c r="G74" s="70">
        <f>IFERROR(SUMIFS('Data input'!77:77,'Data input'!$12:$12,'Summary by type of work report'!G$9),"")</f>
        <v>0</v>
      </c>
      <c r="H74" s="70">
        <f>IFERROR(SUMIFS('Data input'!77:77,'Data input'!$12:$12,'Summary by type of work report'!H$9),"")</f>
        <v>0</v>
      </c>
      <c r="I74" s="58"/>
      <c r="J74" s="58"/>
      <c r="K74" s="70">
        <f>IFERROR(SUMIFS('Data input'!77:77,'Data input'!$12:$12,'Summary by type of work report'!K$9),"")</f>
        <v>0</v>
      </c>
      <c r="L74" s="70">
        <f>IFERROR(SUMIFS('Data input'!77:77,'Data input'!$12:$12,'Summary by type of work report'!L$9),"")</f>
        <v>0</v>
      </c>
      <c r="M74" s="51"/>
      <c r="N74" s="70">
        <f t="shared" ca="1" si="24"/>
        <v>0</v>
      </c>
      <c r="O74" s="71">
        <f t="shared" ca="1" si="25"/>
        <v>0</v>
      </c>
      <c r="P74" s="70">
        <f t="shared" si="26"/>
        <v>0</v>
      </c>
      <c r="Q74" s="71">
        <f t="shared" ca="1" si="27"/>
        <v>0</v>
      </c>
      <c r="R74" s="70">
        <f t="shared" si="28"/>
        <v>0</v>
      </c>
      <c r="S74" s="71">
        <f t="shared" ca="1" si="29"/>
        <v>0</v>
      </c>
      <c r="T74" s="51"/>
      <c r="U74" s="58"/>
      <c r="V74" s="58"/>
      <c r="W74" s="95"/>
      <c r="X74" s="52"/>
      <c r="Y74" s="70">
        <f ca="1">IFERROR(SUMIFS(OFFSET('Data input'!$B:$B,,MATCH('Summary by type of work report'!Y$9,'Data input'!$9:$9,0)-2),'Data input'!$C:$C,'Summary by type of work report'!$B74),0)</f>
        <v>0</v>
      </c>
    </row>
    <row r="75" spans="2:25" hidden="1">
      <c r="B75" s="17" t="str">
        <f>IF('Data input'!$C78="","",'Data input'!$C78)</f>
        <v>Intentionally hidden</v>
      </c>
      <c r="C75" s="72">
        <f ca="1">IFERROR(SUMIFS(OFFSET('Data input'!$C:$C,,MATCH('Summary by type of work report'!C$9,'Data input'!$8:$8,0)-3,,),'Data input'!$C:$C,'Summary by type of work report'!$B75),"")</f>
        <v>0</v>
      </c>
      <c r="D75" s="72">
        <f ca="1">IFERROR(SUMIFS(OFFSET('Data input'!$C:$C,,MATCH('Summary by type of work report'!D$9,'Data input'!$8:$8,0)-3,,),'Data input'!$C:$C,'Summary by type of work report'!$B75),"")</f>
        <v>0</v>
      </c>
      <c r="E75" s="72">
        <f ca="1">IFERROR(SUMIFS(OFFSET('Data input'!$C:$C,,MATCH('Summary by type of work report'!E$9,'Data input'!$8:$8,0)-3,,),'Data input'!$C:$C,'Summary by type of work report'!$B75),"")</f>
        <v>0</v>
      </c>
      <c r="F75" s="51"/>
      <c r="G75" s="72">
        <f>IFERROR(SUMIFS('Data input'!78:78,'Data input'!$12:$12,'Summary by type of work report'!G$9),"")</f>
        <v>0</v>
      </c>
      <c r="H75" s="72">
        <f>IFERROR(SUMIFS('Data input'!78:78,'Data input'!$12:$12,'Summary by type of work report'!H$9),"")</f>
        <v>0</v>
      </c>
      <c r="I75" s="59"/>
      <c r="J75" s="59"/>
      <c r="K75" s="72">
        <f>IFERROR(SUMIFS('Data input'!78:78,'Data input'!$12:$12,'Summary by type of work report'!K$9),"")</f>
        <v>0</v>
      </c>
      <c r="L75" s="72">
        <f>IFERROR(SUMIFS('Data input'!78:78,'Data input'!$12:$12,'Summary by type of work report'!L$9),"")</f>
        <v>0</v>
      </c>
      <c r="M75" s="51"/>
      <c r="N75" s="72"/>
      <c r="O75" s="73"/>
      <c r="P75" s="72"/>
      <c r="Q75" s="73">
        <f t="shared" ca="1" si="27"/>
        <v>0</v>
      </c>
      <c r="R75" s="72">
        <f t="shared" si="28"/>
        <v>0</v>
      </c>
      <c r="S75" s="73">
        <f t="shared" ca="1" si="29"/>
        <v>0</v>
      </c>
      <c r="T75" s="51"/>
      <c r="U75" s="59"/>
      <c r="V75" s="59"/>
      <c r="W75" s="96"/>
      <c r="X75" s="52"/>
      <c r="Y75" s="72">
        <f ca="1">IFERROR(SUMIFS(OFFSET('Data input'!$B:$B,,MATCH('Summary by type of work report'!Y$9,'Data input'!$9:$9,0)-2),'Data input'!$C:$C,'Summary by type of work report'!$B75),0)</f>
        <v>0</v>
      </c>
    </row>
    <row r="76" spans="2:25" ht="21">
      <c r="B76" s="18" t="str">
        <f>IF('Data input'!$C79="","",'Data input'!$C79)</f>
        <v>Total stockholders' equity attributable to parent co stockholders</v>
      </c>
      <c r="C76" s="74">
        <f ca="1">IFERROR(SUMIFS(OFFSET('Data input'!$C:$C,,MATCH('Summary by type of work report'!C$9,'Data input'!$8:$8,0)-3,,),'Data input'!$C:$C,'Summary by type of work report'!$B76),"")</f>
        <v>0</v>
      </c>
      <c r="D76" s="74">
        <f ca="1">IFERROR(SUMIFS(OFFSET('Data input'!$C:$C,,MATCH('Summary by type of work report'!D$9,'Data input'!$8:$8,0)-3,,),'Data input'!$C:$C,'Summary by type of work report'!$B76),"")</f>
        <v>0</v>
      </c>
      <c r="E76" s="74">
        <f ca="1">IFERROR(SUMIFS(OFFSET('Data input'!$C:$C,,MATCH('Summary by type of work report'!E$9,'Data input'!$8:$8,0)-3,,),'Data input'!$C:$C,'Summary by type of work report'!$B76),"")</f>
        <v>0</v>
      </c>
      <c r="F76" s="51"/>
      <c r="G76" s="74">
        <f>IFERROR(SUMIFS('Data input'!79:79,'Data input'!$12:$12,'Summary by type of work report'!G$9),"")</f>
        <v>0</v>
      </c>
      <c r="H76" s="74">
        <f>IFERROR(SUMIFS('Data input'!79:79,'Data input'!$12:$12,'Summary by type of work report'!H$9),"")</f>
        <v>0</v>
      </c>
      <c r="I76" s="60">
        <f>SUM(I69:I75)</f>
        <v>0</v>
      </c>
      <c r="J76" s="60">
        <f>SUM(J69:J75)</f>
        <v>0</v>
      </c>
      <c r="K76" s="74">
        <f>IFERROR(SUMIFS('Data input'!79:79,'Data input'!$12:$12,'Summary by type of work report'!K$9),"")</f>
        <v>0</v>
      </c>
      <c r="L76" s="74">
        <f>IFERROR(SUMIFS('Data input'!79:79,'Data input'!$12:$12,'Summary by type of work report'!L$9),"")</f>
        <v>0</v>
      </c>
      <c r="M76" s="51"/>
      <c r="N76" s="74">
        <f ca="1">IFERROR(C76-SUM(D76:E76,G76:H76,I76,J76,K76:L76),"")</f>
        <v>0</v>
      </c>
      <c r="O76" s="75">
        <f ca="1">IFERROR(N76/(C76-D76-E76),0)</f>
        <v>0</v>
      </c>
      <c r="P76" s="74">
        <f>SUM(K76:L76)</f>
        <v>0</v>
      </c>
      <c r="Q76" s="75">
        <f t="shared" ca="1" si="27"/>
        <v>0</v>
      </c>
      <c r="R76" s="74">
        <f t="shared" si="28"/>
        <v>0</v>
      </c>
      <c r="S76" s="75">
        <f t="shared" ca="1" si="29"/>
        <v>0</v>
      </c>
      <c r="T76" s="51"/>
      <c r="U76" s="60"/>
      <c r="V76" s="60"/>
      <c r="W76" s="97"/>
      <c r="X76" s="52"/>
      <c r="Y76" s="74">
        <f ca="1">IFERROR(SUMIFS(OFFSET('Data input'!$B:$B,,MATCH('Summary by type of work report'!Y$9,'Data input'!$9:$9,0)-2),'Data input'!$C:$C,'Summary by type of work report'!$B76),0)</f>
        <v>0</v>
      </c>
    </row>
    <row r="77" spans="2:25">
      <c r="B77" s="23" t="str">
        <f>IF('Data input'!$C80="","",'Data input'!$C80)</f>
        <v/>
      </c>
      <c r="C77" s="70"/>
      <c r="D77" s="70"/>
      <c r="E77" s="70"/>
      <c r="F77" s="51"/>
      <c r="G77" s="70"/>
      <c r="H77" s="70"/>
      <c r="I77" s="58"/>
      <c r="J77" s="58"/>
      <c r="K77" s="70"/>
      <c r="L77" s="70"/>
      <c r="M77" s="51"/>
      <c r="N77" s="70"/>
      <c r="O77" s="71"/>
      <c r="P77" s="70"/>
      <c r="Q77" s="70"/>
      <c r="R77" s="70"/>
      <c r="S77" s="70"/>
      <c r="T77" s="51"/>
      <c r="U77" s="58"/>
      <c r="V77" s="58"/>
      <c r="W77" s="95"/>
      <c r="X77" s="52"/>
      <c r="Y77" s="70"/>
    </row>
    <row r="78" spans="2:25">
      <c r="B78" s="23" t="str">
        <f>IF('Data input'!$C81="","",'Data input'!$C81)</f>
        <v>Noncontrolling interests</v>
      </c>
      <c r="C78" s="70">
        <f ca="1">IFERROR(SUMIFS(OFFSET('Data input'!$C:$C,,MATCH('Summary by type of work report'!C$9,'Data input'!$8:$8,0)-3,,),'Data input'!$C:$C,'Summary by type of work report'!$B78),"")</f>
        <v>0</v>
      </c>
      <c r="D78" s="70">
        <f ca="1">IFERROR(SUMIFS(OFFSET('Data input'!$C:$C,,MATCH('Summary by type of work report'!D$9,'Data input'!$8:$8,0)-3,,),'Data input'!$C:$C,'Summary by type of work report'!$B78),"")</f>
        <v>0</v>
      </c>
      <c r="E78" s="70">
        <f ca="1">IFERROR(SUMIFS(OFFSET('Data input'!$C:$C,,MATCH('Summary by type of work report'!E$9,'Data input'!$8:$8,0)-3,,),'Data input'!$C:$C,'Summary by type of work report'!$B78),"")</f>
        <v>0</v>
      </c>
      <c r="F78" s="51"/>
      <c r="G78" s="70">
        <f>IFERROR(SUMIFS('Data input'!81:81,'Data input'!$12:$12,'Summary by type of work report'!G$9),"")</f>
        <v>0</v>
      </c>
      <c r="H78" s="70">
        <f>IFERROR(SUMIFS('Data input'!81:81,'Data input'!$12:$12,'Summary by type of work report'!H$9),"")</f>
        <v>0</v>
      </c>
      <c r="I78" s="58"/>
      <c r="J78" s="58"/>
      <c r="K78" s="70">
        <f>IFERROR(SUMIFS('Data input'!81:81,'Data input'!$12:$12,'Summary by type of work report'!K$9),"")</f>
        <v>0</v>
      </c>
      <c r="L78" s="70">
        <f>IFERROR(SUMIFS('Data input'!81:81,'Data input'!$12:$12,'Summary by type of work report'!L$9),"")</f>
        <v>0</v>
      </c>
      <c r="M78" s="51"/>
      <c r="N78" s="70">
        <f ca="1">IFERROR(C78-SUM(D78:E78,G78:H78,I78,J78,K78:L78),"")</f>
        <v>0</v>
      </c>
      <c r="O78" s="71">
        <f ca="1">IFERROR(N78/(C78-D78-E78),0)</f>
        <v>0</v>
      </c>
      <c r="P78" s="70">
        <f>SUM(K78:L78)</f>
        <v>0</v>
      </c>
      <c r="Q78" s="71">
        <f ca="1">IFERROR(P78/(C78-D78-E78),0)</f>
        <v>0</v>
      </c>
      <c r="R78" s="70">
        <f>G78+H78+I78+J78</f>
        <v>0</v>
      </c>
      <c r="S78" s="71">
        <f ca="1">IFERROR(R78/(C78-D78-E78),0)</f>
        <v>0</v>
      </c>
      <c r="T78" s="51"/>
      <c r="U78" s="58"/>
      <c r="V78" s="58"/>
      <c r="W78" s="95"/>
      <c r="X78" s="52"/>
      <c r="Y78" s="70">
        <f ca="1">IFERROR(SUMIFS(OFFSET('Data input'!$B:$B,,MATCH('Summary by type of work report'!Y$9,'Data input'!$9:$9,0)-2),'Data input'!$C:$C,'Summary by type of work report'!$B78),0)</f>
        <v>0</v>
      </c>
    </row>
    <row r="79" spans="2:25" hidden="1">
      <c r="B79" s="17" t="str">
        <f>IF('Data input'!$C82="","",'Data input'!$C82)</f>
        <v>Intentionally hidden</v>
      </c>
      <c r="C79" s="72">
        <f ca="1">IFERROR(SUMIFS(OFFSET('Data input'!$C:$C,,MATCH('Summary by type of work report'!C$9,'Data input'!$8:$8,0)-3,,),'Data input'!$C:$C,'Summary by type of work report'!$B79),"")</f>
        <v>0</v>
      </c>
      <c r="D79" s="72">
        <f ca="1">IFERROR(SUMIFS(OFFSET('Data input'!$C:$C,,MATCH('Summary by type of work report'!D$9,'Data input'!$8:$8,0)-3,,),'Data input'!$C:$C,'Summary by type of work report'!$B79),"")</f>
        <v>0</v>
      </c>
      <c r="E79" s="72">
        <f ca="1">IFERROR(SUMIFS(OFFSET('Data input'!$C:$C,,MATCH('Summary by type of work report'!E$9,'Data input'!$8:$8,0)-3,,),'Data input'!$C:$C,'Summary by type of work report'!$B79),"")</f>
        <v>0</v>
      </c>
      <c r="F79" s="51"/>
      <c r="G79" s="72"/>
      <c r="H79" s="72"/>
      <c r="I79" s="59"/>
      <c r="J79" s="59"/>
      <c r="K79" s="72"/>
      <c r="L79" s="72"/>
      <c r="M79" s="51"/>
      <c r="N79" s="72"/>
      <c r="O79" s="73"/>
      <c r="P79" s="72"/>
      <c r="Q79" s="72"/>
      <c r="R79" s="72">
        <f>G79+H79+I79+J79</f>
        <v>0</v>
      </c>
      <c r="S79" s="72"/>
      <c r="T79" s="51"/>
      <c r="U79" s="59"/>
      <c r="V79" s="59"/>
      <c r="W79" s="96"/>
      <c r="X79" s="52"/>
      <c r="Y79" s="72">
        <f ca="1">IFERROR(SUMIFS(OFFSET('Data input'!$B:$B,,MATCH('Summary by type of work report'!Y$9,'Data input'!$9:$9,0)-2),'Data input'!$C:$C,'Summary by type of work report'!$B79),0)</f>
        <v>0</v>
      </c>
    </row>
    <row r="80" spans="2:25" ht="10.5">
      <c r="B80" s="19" t="str">
        <f>IF('Data input'!$C83="","",'Data input'!$C83)</f>
        <v>Total stockholders' equity</v>
      </c>
      <c r="C80" s="78">
        <f ca="1">IFERROR(SUMIFS(OFFSET('Data input'!$C:$C,,MATCH('Summary by type of work report'!C$9,'Data input'!$8:$8,0)-3,,),'Data input'!$C:$C,'Summary by type of work report'!$B80),"")</f>
        <v>0</v>
      </c>
      <c r="D80" s="78">
        <f ca="1">IFERROR(SUMIFS(OFFSET('Data input'!$C:$C,,MATCH('Summary by type of work report'!D$9,'Data input'!$8:$8,0)-3,,),'Data input'!$C:$C,'Summary by type of work report'!$B80),"")</f>
        <v>0</v>
      </c>
      <c r="E80" s="78">
        <f ca="1">IFERROR(SUMIFS(OFFSET('Data input'!$C:$C,,MATCH('Summary by type of work report'!E$9,'Data input'!$8:$8,0)-3,,),'Data input'!$C:$C,'Summary by type of work report'!$B80),"")</f>
        <v>0</v>
      </c>
      <c r="F80" s="51"/>
      <c r="G80" s="78">
        <f>IFERROR(SUMIFS('Data input'!83:83,'Data input'!$12:$12,'Summary by type of work report'!G$9),"")</f>
        <v>0</v>
      </c>
      <c r="H80" s="78">
        <f>IFERROR(SUMIFS('Data input'!83:83,'Data input'!$12:$12,'Summary by type of work report'!H$9),"")</f>
        <v>0</v>
      </c>
      <c r="I80" s="62">
        <f>SUM(I76:I79)</f>
        <v>0</v>
      </c>
      <c r="J80" s="62">
        <f>SUM(J76:J79)</f>
        <v>0</v>
      </c>
      <c r="K80" s="78">
        <f>IFERROR(SUMIFS('Data input'!83:83,'Data input'!$12:$12,'Summary by type of work report'!K$9),"")</f>
        <v>0</v>
      </c>
      <c r="L80" s="78">
        <f>IFERROR(SUMIFS('Data input'!83:83,'Data input'!$12:$12,'Summary by type of work report'!L$9),"")</f>
        <v>0</v>
      </c>
      <c r="M80" s="51"/>
      <c r="N80" s="78">
        <f ca="1">IFERROR(C80-SUM(D80:E80,G80:H80,I80,J80,K80:L80),"")</f>
        <v>0</v>
      </c>
      <c r="O80" s="79">
        <f ca="1">IFERROR(N80/(C80-D80-E80),0)</f>
        <v>0</v>
      </c>
      <c r="P80" s="78">
        <f>SUM(K80:L80)</f>
        <v>0</v>
      </c>
      <c r="Q80" s="79">
        <f ca="1">IFERROR(P80/(C80-D80-E80),0)</f>
        <v>0</v>
      </c>
      <c r="R80" s="78">
        <f>G80+H80+I80+J80</f>
        <v>0</v>
      </c>
      <c r="S80" s="79">
        <f ca="1">IFERROR(R80/(C80-D80-E80),0)</f>
        <v>0</v>
      </c>
      <c r="T80" s="51"/>
      <c r="U80" s="62"/>
      <c r="V80" s="62"/>
      <c r="W80" s="99"/>
      <c r="X80" s="52"/>
      <c r="Y80" s="78">
        <f ca="1">IFERROR(SUMIFS(OFFSET('Data input'!$B:$B,,MATCH('Summary by type of work report'!Y$9,'Data input'!$9:$9,0)-2),'Data input'!$C:$C,'Summary by type of work report'!$B80),0)</f>
        <v>0</v>
      </c>
    </row>
    <row r="81" spans="2:26">
      <c r="B81" s="20" t="str">
        <f>IF('Data input'!$C84="","",'Data input'!$C84)</f>
        <v/>
      </c>
      <c r="C81" s="82"/>
      <c r="D81" s="82"/>
      <c r="E81" s="82"/>
      <c r="F81" s="51"/>
      <c r="G81" s="82"/>
      <c r="H81" s="82"/>
      <c r="I81" s="64"/>
      <c r="J81" s="64"/>
      <c r="K81" s="82"/>
      <c r="L81" s="82"/>
      <c r="M81" s="51"/>
      <c r="N81" s="82"/>
      <c r="O81" s="83"/>
      <c r="P81" s="82"/>
      <c r="Q81" s="82"/>
      <c r="R81" s="82"/>
      <c r="S81" s="82"/>
      <c r="T81" s="51"/>
      <c r="U81" s="64"/>
      <c r="V81" s="64"/>
      <c r="W81" s="101"/>
      <c r="X81" s="52"/>
      <c r="Y81" s="82"/>
    </row>
    <row r="82" spans="2:26" ht="11.1" thickBot="1">
      <c r="B82" s="21" t="str">
        <f>IF('Data input'!$C85="","",'Data input'!$C85)</f>
        <v>Total liabilities and equity</v>
      </c>
      <c r="C82" s="84">
        <f ca="1">IFERROR(SUMIFS(OFFSET('Data input'!$C:$C,,MATCH('Summary by type of work report'!C$9,'Data input'!$8:$8,0)-3,,),'Data input'!$C:$C,'Summary by type of work report'!$B82),"")</f>
        <v>0</v>
      </c>
      <c r="D82" s="84">
        <f ca="1">IFERROR(SUMIFS(OFFSET('Data input'!$C:$C,,MATCH('Summary by type of work report'!D$9,'Data input'!$8:$8,0)-3,,),'Data input'!$C:$C,'Summary by type of work report'!$B82),"")</f>
        <v>0</v>
      </c>
      <c r="E82" s="84">
        <f ca="1">IFERROR(SUMIFS(OFFSET('Data input'!$C:$C,,MATCH('Summary by type of work report'!E$9,'Data input'!$8:$8,0)-3,,),'Data input'!$C:$C,'Summary by type of work report'!$B80),"")</f>
        <v>0</v>
      </c>
      <c r="F82" s="51"/>
      <c r="G82" s="84">
        <f>IFERROR(SUMIFS('Data input'!85:85,'Data input'!$12:$12,'Summary by type of work report'!G$9),"")</f>
        <v>0</v>
      </c>
      <c r="H82" s="84">
        <f>IFERROR(SUMIFS('Data input'!85:85,'Data input'!$12:$12,'Summary by type of work report'!H$9),"")</f>
        <v>0</v>
      </c>
      <c r="I82" s="65">
        <f>SUM(I66,I80)</f>
        <v>0</v>
      </c>
      <c r="J82" s="65">
        <f>SUM(J66,J80)</f>
        <v>0</v>
      </c>
      <c r="K82" s="84">
        <f>IFERROR(SUMIFS('Data input'!85:85,'Data input'!$12:$12,'Summary by type of work report'!K$9),"")</f>
        <v>0</v>
      </c>
      <c r="L82" s="84">
        <f>IFERROR(SUMIFS('Data input'!85:85,'Data input'!$12:$12,'Summary by type of work report'!L$9),"")</f>
        <v>0</v>
      </c>
      <c r="M82" s="51"/>
      <c r="N82" s="84">
        <f ca="1">IFERROR(C82-SUM(D82:E82,G82:H82,I82,J82,K82:L82),"")</f>
        <v>0</v>
      </c>
      <c r="O82" s="85">
        <f ca="1">IFERROR(N82/(C82-D82-E82),0)</f>
        <v>0</v>
      </c>
      <c r="P82" s="84">
        <f>SUM(K82:L82)</f>
        <v>0</v>
      </c>
      <c r="Q82" s="85">
        <f ca="1">IFERROR(P82/(C82-D82-E82),0)</f>
        <v>0</v>
      </c>
      <c r="R82" s="84">
        <f>G82+H82+I82+J82</f>
        <v>0</v>
      </c>
      <c r="S82" s="85">
        <f ca="1">IFERROR(R82/(C82-D82-E82),0)</f>
        <v>0</v>
      </c>
      <c r="T82" s="51"/>
      <c r="U82" s="65"/>
      <c r="V82" s="65"/>
      <c r="W82" s="102"/>
      <c r="X82" s="52"/>
      <c r="Y82" s="84">
        <f ca="1">IFERROR(SUMIFS(OFFSET('Data input'!$B:$B,,MATCH('Summary by type of work report'!Y$9,'Data input'!$9:$9,0)-2),'Data input'!$C:$C,'Summary by type of work report'!$B82),0)</f>
        <v>0</v>
      </c>
    </row>
    <row r="83" spans="2:26" ht="5.0999999999999996" customHeight="1" thickTop="1">
      <c r="B83" s="108"/>
      <c r="C83" s="86"/>
      <c r="D83" s="86"/>
      <c r="E83" s="86"/>
      <c r="F83" s="53"/>
      <c r="G83" s="86"/>
      <c r="H83" s="86"/>
      <c r="I83" s="86"/>
      <c r="J83" s="86"/>
      <c r="K83" s="86"/>
      <c r="L83" s="86"/>
      <c r="M83" s="53"/>
      <c r="N83" s="86"/>
      <c r="O83" s="87"/>
      <c r="P83" s="86"/>
      <c r="Q83" s="86"/>
      <c r="R83" s="86"/>
      <c r="S83" s="86"/>
      <c r="T83" s="53"/>
      <c r="U83" s="86"/>
      <c r="V83" s="86"/>
      <c r="W83" s="106"/>
      <c r="X83" s="111"/>
      <c r="Y83" s="86"/>
    </row>
    <row r="84" spans="2:26">
      <c r="B84" s="8" t="str">
        <f>IF('Data input'!$C87="","",'Data input'!$C87)</f>
        <v/>
      </c>
      <c r="C84" s="88"/>
      <c r="D84" s="88"/>
      <c r="E84" s="88"/>
      <c r="F84" s="51"/>
      <c r="G84" s="88"/>
      <c r="H84" s="88"/>
      <c r="I84" s="56"/>
      <c r="J84" s="56"/>
      <c r="K84" s="88"/>
      <c r="L84" s="88"/>
      <c r="M84" s="51"/>
      <c r="N84" s="88"/>
      <c r="O84" s="89"/>
      <c r="P84" s="88"/>
      <c r="Q84" s="88"/>
      <c r="R84" s="88"/>
      <c r="S84" s="88"/>
      <c r="T84" s="51"/>
      <c r="U84" s="56"/>
      <c r="V84" s="56"/>
      <c r="W84" s="54"/>
      <c r="X84" s="52"/>
      <c r="Y84" s="88"/>
    </row>
    <row r="85" spans="2:26" ht="15.95" thickBot="1">
      <c r="B85" s="14" t="str">
        <f>IF('Data input'!$C88="","",'Data input'!$C88)</f>
        <v>Statement of operations</v>
      </c>
      <c r="C85" s="90"/>
      <c r="D85" s="90"/>
      <c r="E85" s="90"/>
      <c r="F85" s="51"/>
      <c r="G85" s="90"/>
      <c r="H85" s="90"/>
      <c r="I85" s="66"/>
      <c r="J85" s="66"/>
      <c r="K85" s="90"/>
      <c r="L85" s="90"/>
      <c r="M85" s="51"/>
      <c r="N85" s="90"/>
      <c r="O85" s="91"/>
      <c r="P85" s="90"/>
      <c r="Q85" s="90"/>
      <c r="R85" s="90"/>
      <c r="S85" s="90"/>
      <c r="T85" s="51"/>
      <c r="U85" s="66"/>
      <c r="V85" s="66"/>
      <c r="W85" s="103"/>
      <c r="X85" s="52"/>
      <c r="Y85" s="90"/>
    </row>
    <row r="86" spans="2:26">
      <c r="B86" s="23" t="str">
        <f>IF('Data input'!$C89="","",'Data input'!$C89)</f>
        <v/>
      </c>
      <c r="C86" s="70"/>
      <c r="D86" s="70"/>
      <c r="E86" s="70"/>
      <c r="F86" s="51"/>
      <c r="G86" s="70"/>
      <c r="H86" s="70"/>
      <c r="I86" s="58"/>
      <c r="J86" s="58"/>
      <c r="K86" s="70"/>
      <c r="L86" s="70"/>
      <c r="M86" s="51"/>
      <c r="N86" s="70"/>
      <c r="O86" s="71"/>
      <c r="P86" s="70"/>
      <c r="Q86" s="70"/>
      <c r="R86" s="70"/>
      <c r="S86" s="70"/>
      <c r="T86" s="51"/>
      <c r="U86" s="58"/>
      <c r="V86" s="58"/>
      <c r="W86" s="95"/>
      <c r="X86" s="52"/>
      <c r="Y86" s="70"/>
    </row>
    <row r="87" spans="2:26">
      <c r="B87" s="23" t="str">
        <f>IF('Data input'!$C90="","",'Data input'!$C90)</f>
        <v>Net sales</v>
      </c>
      <c r="C87" s="70">
        <f ca="1">IFERROR(SUMIFS(OFFSET('Data input'!$C:$C,,MATCH('Summary by type of work report'!C$9,'Data input'!$8:$8,0)-3,,),'Data input'!$C:$C,'Summary by type of work report'!$B87),"")</f>
        <v>0</v>
      </c>
      <c r="D87" s="70">
        <f ca="1">IFERROR(SUMIFS(OFFSET('Data input'!$C:$C,,MATCH('Summary by type of work report'!D$9,'Data input'!$8:$8,0)-3,,),'Data input'!$C:$C,'Summary by type of work report'!$B87),"")</f>
        <v>0</v>
      </c>
      <c r="E87" s="70">
        <f ca="1">IFERROR(SUMIFS(OFFSET('Data input'!$C:$C,,MATCH('Summary by type of work report'!E$9,'Data input'!$8:$8,0)-3,,),'Data input'!$C:$C,'Summary by type of work report'!$B87),"")</f>
        <v>0</v>
      </c>
      <c r="F87" s="51"/>
      <c r="G87" s="70">
        <f>IFERROR(SUMIFS('Data input'!90:90,'Data input'!$12:$12,'Summary by type of work report'!G$9),"")</f>
        <v>0</v>
      </c>
      <c r="H87" s="70">
        <f>IFERROR(SUMIFS('Data input'!90:90,'Data input'!$12:$12,'Summary by type of work report'!H$9),"")</f>
        <v>0</v>
      </c>
      <c r="I87" s="58"/>
      <c r="J87" s="58"/>
      <c r="K87" s="70">
        <f>IFERROR(SUMIFS('Data input'!90:90,'Data input'!$12:$12,'Summary by type of work report'!K$9),"")</f>
        <v>0</v>
      </c>
      <c r="L87" s="70">
        <f>IFERROR(SUMIFS('Data input'!90:90,'Data input'!$12:$12,'Summary by type of work report'!L$9),"")</f>
        <v>0</v>
      </c>
      <c r="M87" s="51"/>
      <c r="N87" s="70">
        <f ca="1">IFERROR(C87-SUM(D87:E87,G87:H87,I87,J87,K87:L87),"")</f>
        <v>0</v>
      </c>
      <c r="O87" s="71">
        <f ca="1">IFERROR(N87/(C87-D87-E87),0)</f>
        <v>0</v>
      </c>
      <c r="P87" s="70">
        <f t="shared" ref="P87:P92" si="30">SUM(K87:L87)</f>
        <v>0</v>
      </c>
      <c r="Q87" s="71">
        <f ca="1">IFERROR(P87/(C87-D87-E87),0)</f>
        <v>0</v>
      </c>
      <c r="R87" s="70">
        <f>G87+H87+I87+J87</f>
        <v>0</v>
      </c>
      <c r="S87" s="71">
        <f ca="1">IFERROR(R87/(C87-D87-E87),0)</f>
        <v>0</v>
      </c>
      <c r="T87" s="51"/>
      <c r="U87" s="58"/>
      <c r="V87" s="58"/>
      <c r="W87" s="95"/>
      <c r="X87" s="52"/>
      <c r="Y87" s="70">
        <f ca="1">IFERROR(SUMIFS(OFFSET('Data input'!$B:$B,,MATCH('Summary by type of work report'!Y$9,'Data input'!$9:$9,0)-2),'Data input'!$C:$C,'Summary by type of work report'!$B87),0)</f>
        <v>0</v>
      </c>
    </row>
    <row r="88" spans="2:26" s="48" customFormat="1">
      <c r="B88" s="49" t="str">
        <f>IF('Data input'!$C91="","",'Data input'!$C91)</f>
        <v>Other revenue</v>
      </c>
      <c r="C88" s="70">
        <f ca="1">IFERROR(SUMIFS(OFFSET('Data input'!$C:$C,,MATCH('Summary by type of work report'!C$9,'Data input'!$8:$8,0)-3,,),'Data input'!$C:$C,'Summary by type of work report'!$B88),"")</f>
        <v>0</v>
      </c>
      <c r="D88" s="70">
        <f ca="1">IFERROR(SUMIFS(OFFSET('Data input'!$C:$C,,MATCH('Summary by type of work report'!D$9,'Data input'!$8:$8,0)-3,,),'Data input'!$C:$C,'Summary by type of work report'!$B88),"")</f>
        <v>0</v>
      </c>
      <c r="E88" s="70">
        <f ca="1">IFERROR(SUMIFS(OFFSET('Data input'!$C:$C,,MATCH('Summary by type of work report'!E$9,'Data input'!$8:$8,0)-3,,),'Data input'!$C:$C,'Summary by type of work report'!$B88),"")</f>
        <v>0</v>
      </c>
      <c r="F88" s="51"/>
      <c r="G88" s="70">
        <f>IFERROR(SUMIFS('Data input'!91:91,'Data input'!$12:$12,'Summary by type of work report'!G$9),"")</f>
        <v>0</v>
      </c>
      <c r="H88" s="70">
        <f>IFERROR(SUMIFS('Data input'!91:91,'Data input'!$12:$12,'Summary by type of work report'!H$9),"")</f>
        <v>0</v>
      </c>
      <c r="I88" s="58"/>
      <c r="J88" s="58"/>
      <c r="K88" s="70">
        <f>IFERROR(SUMIFS('Data input'!91:91,'Data input'!$12:$12,'Summary by type of work report'!K$9),"")</f>
        <v>0</v>
      </c>
      <c r="L88" s="70">
        <f>IFERROR(SUMIFS('Data input'!91:91,'Data input'!$12:$12,'Summary by type of work report'!L$9),"")</f>
        <v>0</v>
      </c>
      <c r="M88" s="51"/>
      <c r="N88" s="70">
        <f ca="1">IFERROR(C88-SUM(D88:E88,G88:H88,I88,J88,K88:L88),"")</f>
        <v>0</v>
      </c>
      <c r="O88" s="71">
        <f ca="1">IFERROR(N88/(C88-D88-E88),0)</f>
        <v>0</v>
      </c>
      <c r="P88" s="70">
        <f t="shared" si="30"/>
        <v>0</v>
      </c>
      <c r="Q88" s="71">
        <f ca="1">IFERROR(P88/(C88-D88-E88),0)</f>
        <v>0</v>
      </c>
      <c r="R88" s="70">
        <f>G88+H88+I88+J88</f>
        <v>0</v>
      </c>
      <c r="S88" s="71">
        <f ca="1">IFERROR(R88/(C88-D88-E88),0)</f>
        <v>0</v>
      </c>
      <c r="T88" s="51"/>
      <c r="U88" s="58"/>
      <c r="V88" s="58"/>
      <c r="W88" s="95"/>
      <c r="X88" s="52"/>
      <c r="Y88" s="70">
        <f ca="1">IFERROR(SUMIFS(OFFSET('Data input'!$B:$B,,MATCH('Summary by type of work report'!Y$9,'Data input'!$9:$9,0)-2),'Data input'!$C:$C,'Summary by type of work report'!$B88),0)</f>
        <v>0</v>
      </c>
      <c r="Z88"/>
    </row>
    <row r="89" spans="2:26" hidden="1">
      <c r="B89" s="17" t="str">
        <f>IF('Data input'!$C92="","",'Data input'!$C92)</f>
        <v>Intentionally hidden</v>
      </c>
      <c r="C89" s="72">
        <f ca="1">IFERROR(SUMIFS(OFFSET('Data input'!$C:$C,,MATCH('Summary by type of work report'!C$9,'Data input'!$8:$8,0)-3,,),'Data input'!$C:$C,'Summary by type of work report'!$B89),"")</f>
        <v>0</v>
      </c>
      <c r="D89" s="72">
        <f ca="1">IFERROR(SUMIFS(OFFSET('Data input'!$C:$C,,MATCH('Summary by type of work report'!D$9,'Data input'!$8:$8,0)-3,,),'Data input'!$C:$C,'Summary by type of work report'!$B89),"")</f>
        <v>0</v>
      </c>
      <c r="E89" s="72">
        <f ca="1">IFERROR(SUMIFS(OFFSET('Data input'!$C:$C,,MATCH('Summary by type of work report'!E$9,'Data input'!$8:$8,0)-3,,),'Data input'!$C:$C,'Summary by type of work report'!$B89),"")</f>
        <v>0</v>
      </c>
      <c r="F89" s="51"/>
      <c r="G89" s="72">
        <f>IFERROR(SUMIFS('Data input'!92:92,'Data input'!$12:$12,'Summary by type of work report'!G$9),"")</f>
        <v>0</v>
      </c>
      <c r="H89" s="72">
        <f>IFERROR(SUMIFS('Data input'!92:92,'Data input'!$12:$12,'Summary by type of work report'!H$9),"")</f>
        <v>0</v>
      </c>
      <c r="I89" s="59"/>
      <c r="J89" s="59"/>
      <c r="K89" s="72">
        <f>IFERROR(SUMIFS('Data input'!92:92,'Data input'!$12:$12,'Summary by type of work report'!K$9),"")</f>
        <v>0</v>
      </c>
      <c r="L89" s="72">
        <f>IFERROR(SUMIFS('Data input'!92:92,'Data input'!$12:$12,'Summary by type of work report'!L$9),"")</f>
        <v>0</v>
      </c>
      <c r="M89" s="51"/>
      <c r="N89" s="72">
        <f ca="1">IFERROR(C89-SUM(D89:E89,G89:H89,I89,J89,K89:L89),"")</f>
        <v>0</v>
      </c>
      <c r="O89" s="73">
        <f ca="1">IFERROR(N89/(C89-D89-E89),0)</f>
        <v>0</v>
      </c>
      <c r="P89" s="72">
        <f t="shared" si="30"/>
        <v>0</v>
      </c>
      <c r="Q89" s="73">
        <f ca="1">IFERROR(P89/(C89-D89-E89),0)</f>
        <v>0</v>
      </c>
      <c r="R89" s="72">
        <f>G89+H89+I89+J89</f>
        <v>0</v>
      </c>
      <c r="S89" s="73">
        <f ca="1">IFERROR(R89/(C89-D89-E89),0)</f>
        <v>0</v>
      </c>
      <c r="T89" s="51"/>
      <c r="U89" s="59"/>
      <c r="V89" s="59"/>
      <c r="W89" s="96"/>
      <c r="X89" s="52"/>
      <c r="Y89" s="72">
        <f ca="1">IFERROR(SUMIFS(OFFSET('Data input'!$B:$B,,MATCH('Summary by type of work report'!Y$9,'Data input'!$9:$9,0)-2),'Data input'!$C:$C,'Summary by type of work report'!$B89),0)</f>
        <v>0</v>
      </c>
    </row>
    <row r="90" spans="2:26" s="48" customFormat="1" ht="10.5">
      <c r="B90" s="122" t="str">
        <f>IF('Data input'!$C93="","",'Data input'!$C93)</f>
        <v>Total revenue</v>
      </c>
      <c r="C90" s="74">
        <f ca="1">IFERROR(SUMIFS(OFFSET('Data input'!$C:$C,,MATCH('Summary by type of work report'!C$9,'Data input'!$8:$8,0)-3,,),'Data input'!$C:$C,'Summary by type of work report'!$B90),"")</f>
        <v>0</v>
      </c>
      <c r="D90" s="74">
        <f ca="1">IFERROR(SUMIFS(OFFSET('Data input'!$C:$C,,MATCH('Summary by type of work report'!D$9,'Data input'!$8:$8,0)-3,,),'Data input'!$C:$C,'Summary by type of work report'!$B90),"")</f>
        <v>0</v>
      </c>
      <c r="E90" s="74">
        <f ca="1">IFERROR(SUMIFS(OFFSET('Data input'!$C:$C,,MATCH('Summary by type of work report'!E$9,'Data input'!$8:$8,0)-3,,),'Data input'!$C:$C,'Summary by type of work report'!$B90),"")</f>
        <v>0</v>
      </c>
      <c r="F90" s="51"/>
      <c r="G90" s="74">
        <f>IFERROR(SUMIFS('Data input'!93:93,'Data input'!$12:$12,'Summary by type of work report'!G$9),"")</f>
        <v>0</v>
      </c>
      <c r="H90" s="74">
        <f>IFERROR(SUMIFS('Data input'!93:93,'Data input'!$12:$12,'Summary by type of work report'!H$9),"")</f>
        <v>0</v>
      </c>
      <c r="I90" s="60">
        <f>SUM(I87:I89)</f>
        <v>0</v>
      </c>
      <c r="J90" s="60">
        <f>SUM(J87:J89)</f>
        <v>0</v>
      </c>
      <c r="K90" s="74">
        <f>IFERROR(SUMIFS('Data input'!93:93,'Data input'!$12:$12,'Summary by type of work report'!K$9),"")</f>
        <v>0</v>
      </c>
      <c r="L90" s="74">
        <f>IFERROR(SUMIFS('Data input'!93:93,'Data input'!$12:$12,'Summary by type of work report'!L$9),"")</f>
        <v>0</v>
      </c>
      <c r="M90" s="51"/>
      <c r="N90" s="74">
        <f ca="1">IFERROR(C90-SUM(D90:E90,G90:H90,I90,J90,K90:L90),"")</f>
        <v>0</v>
      </c>
      <c r="O90" s="75">
        <f ca="1">IFERROR(N90/(C90-D90-E90),0)</f>
        <v>0</v>
      </c>
      <c r="P90" s="74">
        <f t="shared" si="30"/>
        <v>0</v>
      </c>
      <c r="Q90" s="75">
        <f ca="1">IFERROR(P90/(C90-D90-E90),0)</f>
        <v>0</v>
      </c>
      <c r="R90" s="124">
        <f>G90+H90+I90+J90</f>
        <v>0</v>
      </c>
      <c r="S90" s="75">
        <f ca="1">IFERROR(R90/(C90-D90-E90),0)</f>
        <v>0</v>
      </c>
      <c r="T90" s="51"/>
      <c r="U90" s="123"/>
      <c r="V90" s="123"/>
      <c r="W90" s="125"/>
      <c r="X90" s="52"/>
      <c r="Y90" s="74">
        <f ca="1">IFERROR(SUMIFS(OFFSET('Data input'!$B:$B,,MATCH('Summary by type of work report'!Y$9,'Data input'!$9:$9,0)-2),'Data input'!$C:$C,'Summary by type of work report'!$B90),0)</f>
        <v>0</v>
      </c>
      <c r="Z90"/>
    </row>
    <row r="91" spans="2:26" s="48" customFormat="1">
      <c r="B91" s="49"/>
      <c r="C91" s="70"/>
      <c r="D91" s="70"/>
      <c r="E91" s="70"/>
      <c r="F91" s="51"/>
      <c r="G91" s="70"/>
      <c r="H91" s="70"/>
      <c r="I91" s="58"/>
      <c r="J91" s="58"/>
      <c r="K91" s="70"/>
      <c r="L91" s="70"/>
      <c r="M91" s="51"/>
      <c r="N91" s="70"/>
      <c r="O91" s="71"/>
      <c r="P91" s="70"/>
      <c r="Q91" s="71"/>
      <c r="R91" s="70"/>
      <c r="S91" s="71"/>
      <c r="T91" s="51"/>
      <c r="U91" s="58"/>
      <c r="V91" s="58"/>
      <c r="W91" s="95"/>
      <c r="X91" s="52"/>
      <c r="Y91" s="70"/>
      <c r="Z91"/>
    </row>
    <row r="92" spans="2:26">
      <c r="B92" s="22" t="str">
        <f>IF('Data input'!$C95="","",'Data input'!$C95)</f>
        <v>Cost of sales</v>
      </c>
      <c r="C92" s="92">
        <f ca="1">IFERROR(SUMIFS(OFFSET('Data input'!$C:$C,,MATCH('Summary by type of work report'!C$9,'Data input'!$8:$8,0)-3,,),'Data input'!$C:$C,'Summary by type of work report'!$B92),"")</f>
        <v>0</v>
      </c>
      <c r="D92" s="92">
        <f ca="1">IFERROR(SUMIFS(OFFSET('Data input'!$C:$C,,MATCH('Summary by type of work report'!D$9,'Data input'!$8:$8,0)-3,,),'Data input'!$C:$C,'Summary by type of work report'!$B92),"")</f>
        <v>0</v>
      </c>
      <c r="E92" s="92">
        <f ca="1">IFERROR(SUMIFS(OFFSET('Data input'!$C:$C,,MATCH('Summary by type of work report'!E$9,'Data input'!$8:$8,0)-3,,),'Data input'!$C:$C,'Summary by type of work report'!$B92),"")</f>
        <v>0</v>
      </c>
      <c r="F92" s="51"/>
      <c r="G92" s="92">
        <f>IFERROR(SUMIFS('Data input'!95:95,'Data input'!$12:$12,'Summary by type of work report'!G$9),"")</f>
        <v>0</v>
      </c>
      <c r="H92" s="92">
        <f>IFERROR(SUMIFS('Data input'!95:95,'Data input'!$12:$12,'Summary by type of work report'!H$9),"")</f>
        <v>0</v>
      </c>
      <c r="I92" s="67"/>
      <c r="J92" s="67"/>
      <c r="K92" s="92">
        <f>IFERROR(SUMIFS('Data input'!95:95,'Data input'!$12:$12,'Summary by type of work report'!K$9),"")</f>
        <v>0</v>
      </c>
      <c r="L92" s="92">
        <f>IFERROR(SUMIFS('Data input'!95:95,'Data input'!$12:$12,'Summary by type of work report'!L$9),"")</f>
        <v>0</v>
      </c>
      <c r="M92" s="51"/>
      <c r="N92" s="70">
        <f ca="1">IFERROR(C92-SUM(D92:E92,G92:H92,I92,J92,K92:L92),"")</f>
        <v>0</v>
      </c>
      <c r="O92" s="93">
        <f ca="1">IFERROR(N92/(C92-D92-E92),0)</f>
        <v>0</v>
      </c>
      <c r="P92" s="70">
        <f t="shared" si="30"/>
        <v>0</v>
      </c>
      <c r="Q92" s="93">
        <f ca="1">IFERROR(P92/(C92-D92-E92),0)</f>
        <v>0</v>
      </c>
      <c r="R92" s="70">
        <f>G92+H92+I92+J92</f>
        <v>0</v>
      </c>
      <c r="S92" s="93">
        <f ca="1">IFERROR(R92/(C92-D92-E92),0)</f>
        <v>0</v>
      </c>
      <c r="T92" s="51"/>
      <c r="U92" s="67"/>
      <c r="V92" s="67"/>
      <c r="W92" s="104"/>
      <c r="X92" s="52"/>
      <c r="Y92" s="92">
        <f ca="1">IFERROR(SUMIFS(OFFSET('Data input'!$B:$B,,MATCH('Summary by type of work report'!Y$9,'Data input'!$9:$9,0)-2),'Data input'!$C:$C,'Summary by type of work report'!$B92),0)</f>
        <v>0</v>
      </c>
    </row>
    <row r="93" spans="2:26" hidden="1">
      <c r="B93" s="17" t="str">
        <f>IF('Data input'!$C96="","",'Data input'!$C96)</f>
        <v>Intentionally hidden</v>
      </c>
      <c r="C93" s="72">
        <f ca="1">IFERROR(SUMIFS(OFFSET('Data input'!$C:$C,,MATCH('Summary by type of work report'!C$9,'Data input'!$8:$8,0)-3,,),'Data input'!$C:$C,'Summary by type of work report'!$B93),"")</f>
        <v>0</v>
      </c>
      <c r="D93" s="72">
        <f ca="1">IFERROR(SUMIFS(OFFSET('Data input'!$C:$C,,MATCH('Summary by type of work report'!D$9,'Data input'!$8:$8,0)-3,,),'Data input'!$C:$C,'Summary by type of work report'!$B93),"")</f>
        <v>0</v>
      </c>
      <c r="E93" s="72">
        <f ca="1">IFERROR(SUMIFS(OFFSET('Data input'!$C:$C,,MATCH('Summary by type of work report'!E$9,'Data input'!$8:$8,0)-3,,),'Data input'!$C:$C,'Summary by type of work report'!$B93),"")</f>
        <v>0</v>
      </c>
      <c r="F93" s="51"/>
      <c r="G93" s="72">
        <f>IFERROR(SUMIFS('Data input'!96:96,'Data input'!$12:$12,'Summary by type of work report'!G$9),"")</f>
        <v>0</v>
      </c>
      <c r="H93" s="72">
        <f>IFERROR(SUMIFS('Data input'!96:96,'Data input'!$12:$12,'Summary by type of work report'!H$9),"")</f>
        <v>0</v>
      </c>
      <c r="I93" s="59"/>
      <c r="J93" s="59"/>
      <c r="K93" s="72">
        <f>IFERROR(SUMIFS('Data input'!96:96,'Data input'!$12:$12,'Summary by type of work report'!K$9),"")</f>
        <v>0</v>
      </c>
      <c r="L93" s="72">
        <f>IFERROR(SUMIFS('Data input'!96:96,'Data input'!$12:$12,'Summary by type of work report'!L$9),"")</f>
        <v>0</v>
      </c>
      <c r="M93" s="51"/>
      <c r="N93" s="72"/>
      <c r="O93" s="73"/>
      <c r="P93" s="72"/>
      <c r="Q93" s="73">
        <f ca="1">IFERROR(P93/(C93-D93-E93),0)</f>
        <v>0</v>
      </c>
      <c r="R93" s="72">
        <f>G93+H93+I93+J93</f>
        <v>0</v>
      </c>
      <c r="S93" s="73">
        <f ca="1">IFERROR(R93/(C93-D93-E93),0)</f>
        <v>0</v>
      </c>
      <c r="T93" s="51"/>
      <c r="U93" s="59"/>
      <c r="V93" s="59"/>
      <c r="W93" s="96"/>
      <c r="X93" s="52"/>
      <c r="Y93" s="72">
        <f ca="1">IFERROR(SUMIFS(OFFSET('Data input'!$B:$B,,MATCH('Summary by type of work report'!Y$9,'Data input'!$9:$9,0)-2),'Data input'!$C:$C,'Summary by type of work report'!$B93),0)</f>
        <v>0</v>
      </c>
    </row>
    <row r="94" spans="2:26" ht="10.5">
      <c r="B94" s="18" t="str">
        <f>IF('Data input'!$C97="","",'Data input'!$C97)</f>
        <v>Gross profit</v>
      </c>
      <c r="C94" s="74">
        <f ca="1">IFERROR(SUMIFS(OFFSET('Data input'!$C:$C,,MATCH('Summary by type of work report'!C$9,'Data input'!$8:$8,0)-3,,),'Data input'!$C:$C,'Summary by type of work report'!$B94),"")</f>
        <v>0</v>
      </c>
      <c r="D94" s="74">
        <f ca="1">IFERROR(SUMIFS(OFFSET('Data input'!$C:$C,,MATCH('Summary by type of work report'!D$9,'Data input'!$8:$8,0)-3,,),'Data input'!$C:$C,'Summary by type of work report'!$B94),"")</f>
        <v>0</v>
      </c>
      <c r="E94" s="74">
        <f ca="1">IFERROR(SUMIFS(OFFSET('Data input'!$C:$C,,MATCH('Summary by type of work report'!E$9,'Data input'!$8:$8,0)-3,,),'Data input'!$C:$C,'Summary by type of work report'!$B94),"")</f>
        <v>0</v>
      </c>
      <c r="F94" s="51"/>
      <c r="G94" s="74">
        <f>IFERROR(SUMIFS('Data input'!97:97,'Data input'!$12:$12,'Summary by type of work report'!G$9),"")</f>
        <v>0</v>
      </c>
      <c r="H94" s="74">
        <f>IFERROR(SUMIFS('Data input'!97:97,'Data input'!$12:$12,'Summary by type of work report'!H$9),"")</f>
        <v>0</v>
      </c>
      <c r="I94" s="36">
        <f>I90-SUM(I91:I93)</f>
        <v>0</v>
      </c>
      <c r="J94" s="36">
        <f>J90-SUM(J91:J93)</f>
        <v>0</v>
      </c>
      <c r="K94" s="74">
        <f>IFERROR(SUMIFS('Data input'!97:97,'Data input'!$12:$12,'Summary by type of work report'!K$9),"")</f>
        <v>0</v>
      </c>
      <c r="L94" s="74">
        <f>IFERROR(SUMIFS('Data input'!97:97,'Data input'!$12:$12,'Summary by type of work report'!L$9),"")</f>
        <v>0</v>
      </c>
      <c r="M94" s="51"/>
      <c r="N94" s="74">
        <f ca="1">IFERROR(C94-SUM(D94:E94,G94:H94,I94,J94,K94:L94),"")</f>
        <v>0</v>
      </c>
      <c r="O94" s="75">
        <f ca="1">IFERROR(N94/(C94-D94-E94),0)</f>
        <v>0</v>
      </c>
      <c r="P94" s="74">
        <f>SUM(K94:L94)</f>
        <v>0</v>
      </c>
      <c r="Q94" s="75">
        <f ca="1">IFERROR(P94/(C94-D94-E94),0)</f>
        <v>0</v>
      </c>
      <c r="R94" s="74">
        <f>G94+H94+I94+J94</f>
        <v>0</v>
      </c>
      <c r="S94" s="75">
        <f ca="1">IFERROR(R94/(C94-D94-E94),0)</f>
        <v>0</v>
      </c>
      <c r="T94" s="51"/>
      <c r="U94" s="60"/>
      <c r="V94" s="60"/>
      <c r="W94" s="97"/>
      <c r="X94" s="52"/>
      <c r="Y94" s="74">
        <f ca="1">IFERROR(SUMIFS(OFFSET('Data input'!$B:$B,,MATCH('Summary by type of work report'!Y$9,'Data input'!$9:$9,0)-2),'Data input'!$C:$C,'Summary by type of work report'!$B94),0)</f>
        <v>0</v>
      </c>
    </row>
    <row r="95" spans="2:26">
      <c r="B95" s="23" t="str">
        <f>IF('Data input'!$C98="","",'Data input'!$C98)</f>
        <v/>
      </c>
      <c r="C95" s="70"/>
      <c r="D95" s="70"/>
      <c r="E95" s="70"/>
      <c r="F95" s="51"/>
      <c r="G95" s="70"/>
      <c r="H95" s="70"/>
      <c r="I95" s="58"/>
      <c r="J95" s="58"/>
      <c r="K95" s="70"/>
      <c r="L95" s="70"/>
      <c r="M95" s="51"/>
      <c r="N95" s="70"/>
      <c r="O95" s="71"/>
      <c r="P95" s="70"/>
      <c r="Q95" s="70"/>
      <c r="R95" s="70"/>
      <c r="S95" s="70"/>
      <c r="T95" s="51"/>
      <c r="U95" s="58"/>
      <c r="V95" s="58"/>
      <c r="W95" s="95"/>
      <c r="X95" s="52"/>
      <c r="Y95" s="70"/>
    </row>
    <row r="96" spans="2:26">
      <c r="B96" s="23" t="str">
        <f>IF('Data input'!$C99="","",'Data input'!$C99)</f>
        <v>Other operating expenses</v>
      </c>
      <c r="C96" s="70">
        <f ca="1">IFERROR(SUMIFS(OFFSET('Data input'!$C:$C,,MATCH('Summary by type of work report'!C$9,'Data input'!$8:$8,0)-3,,),'Data input'!$C:$C,'Summary by type of work report'!$B96),"")</f>
        <v>0</v>
      </c>
      <c r="D96" s="70">
        <f ca="1">IFERROR(SUMIFS(OFFSET('Data input'!$C:$C,,MATCH('Summary by type of work report'!D$9,'Data input'!$8:$8,0)-3,,),'Data input'!$C:$C,'Summary by type of work report'!$B96),"")</f>
        <v>0</v>
      </c>
      <c r="E96" s="70">
        <f ca="1">IFERROR(SUMIFS(OFFSET('Data input'!$C:$C,,MATCH('Summary by type of work report'!E$9,'Data input'!$8:$8,0)-3,,),'Data input'!$C:$C,'Summary by type of work report'!$B96),"")</f>
        <v>0</v>
      </c>
      <c r="F96" s="51"/>
      <c r="G96" s="70">
        <f>IFERROR(SUMIFS('Data input'!99:99,'Data input'!$12:$12,'Summary by type of work report'!G$9),"")</f>
        <v>0</v>
      </c>
      <c r="H96" s="70">
        <f>IFERROR(SUMIFS('Data input'!99:99,'Data input'!$12:$12,'Summary by type of work report'!H$9),"")</f>
        <v>0</v>
      </c>
      <c r="I96" s="58"/>
      <c r="J96" s="58"/>
      <c r="K96" s="70">
        <f>IFERROR(SUMIFS('Data input'!99:99,'Data input'!$12:$12,'Summary by type of work report'!K$9),"")</f>
        <v>0</v>
      </c>
      <c r="L96" s="70">
        <f>IFERROR(SUMIFS('Data input'!99:99,'Data input'!$12:$12,'Summary by type of work report'!L$9),"")</f>
        <v>0</v>
      </c>
      <c r="M96" s="51"/>
      <c r="N96" s="70">
        <f t="shared" ref="N96:N104" ca="1" si="31">IFERROR(C96-SUM(D96:E96,G96:H96,I96,J96,K96:L96),"")</f>
        <v>0</v>
      </c>
      <c r="O96" s="71">
        <f t="shared" ref="O96:O104" ca="1" si="32">IFERROR(N96/(C96-D96-E96),0)</f>
        <v>0</v>
      </c>
      <c r="P96" s="70">
        <f t="shared" ref="P96:P104" si="33">SUM(K96:L96)</f>
        <v>0</v>
      </c>
      <c r="Q96" s="71">
        <f t="shared" ref="Q96:Q104" ca="1" si="34">IFERROR(P96/(C96-D96-E96),0)</f>
        <v>0</v>
      </c>
      <c r="R96" s="70">
        <f t="shared" ref="R96:R104" si="35">G96+H96+I96+J96</f>
        <v>0</v>
      </c>
      <c r="S96" s="71">
        <f t="shared" ref="S96:S104" ca="1" si="36">IFERROR(R96/(C96-D96-E96),0)</f>
        <v>0</v>
      </c>
      <c r="T96" s="51"/>
      <c r="U96" s="58"/>
      <c r="V96" s="58"/>
      <c r="W96" s="95"/>
      <c r="X96" s="52"/>
      <c r="Y96" s="70">
        <f ca="1">IFERROR(SUMIFS(OFFSET('Data input'!$B:$B,,MATCH('Summary by type of work report'!Y$9,'Data input'!$9:$9,0)-2),'Data input'!$C:$C,'Summary by type of work report'!$B96),0)</f>
        <v>0</v>
      </c>
    </row>
    <row r="97" spans="2:26">
      <c r="B97" s="23" t="str">
        <f>IF('Data input'!$C100="","",'Data input'!$C100)</f>
        <v>Selling, general, &amp; administrative expenses</v>
      </c>
      <c r="C97" s="70">
        <f ca="1">IFERROR(SUMIFS(OFFSET('Data input'!$C:$C,,MATCH('Summary by type of work report'!C$9,'Data input'!$8:$8,0)-3,,),'Data input'!$C:$C,'Summary by type of work report'!$B97),"")</f>
        <v>0</v>
      </c>
      <c r="D97" s="70">
        <f ca="1">IFERROR(SUMIFS(OFFSET('Data input'!$C:$C,,MATCH('Summary by type of work report'!D$9,'Data input'!$8:$8,0)-3,,),'Data input'!$C:$C,'Summary by type of work report'!$B97),"")</f>
        <v>0</v>
      </c>
      <c r="E97" s="70">
        <f ca="1">IFERROR(SUMIFS(OFFSET('Data input'!$C:$C,,MATCH('Summary by type of work report'!E$9,'Data input'!$8:$8,0)-3,,),'Data input'!$C:$C,'Summary by type of work report'!$B97),"")</f>
        <v>0</v>
      </c>
      <c r="F97" s="51"/>
      <c r="G97" s="70">
        <f>IFERROR(SUMIFS('Data input'!100:100,'Data input'!$12:$12,'Summary by type of work report'!G$9),"")</f>
        <v>0</v>
      </c>
      <c r="H97" s="70">
        <f>IFERROR(SUMIFS('Data input'!100:100,'Data input'!$12:$12,'Summary by type of work report'!H$9),"")</f>
        <v>0</v>
      </c>
      <c r="I97" s="58"/>
      <c r="J97" s="58"/>
      <c r="K97" s="70">
        <f>IFERROR(SUMIFS('Data input'!100:100,'Data input'!$12:$12,'Summary by type of work report'!K$9),"")</f>
        <v>0</v>
      </c>
      <c r="L97" s="70">
        <f>IFERROR(SUMIFS('Data input'!100:100,'Data input'!$12:$12,'Summary by type of work report'!L$9),"")</f>
        <v>0</v>
      </c>
      <c r="M97" s="51"/>
      <c r="N97" s="70">
        <f t="shared" ca="1" si="31"/>
        <v>0</v>
      </c>
      <c r="O97" s="71">
        <f t="shared" ca="1" si="32"/>
        <v>0</v>
      </c>
      <c r="P97" s="70">
        <f t="shared" si="33"/>
        <v>0</v>
      </c>
      <c r="Q97" s="71">
        <f t="shared" ca="1" si="34"/>
        <v>0</v>
      </c>
      <c r="R97" s="70">
        <f t="shared" si="35"/>
        <v>0</v>
      </c>
      <c r="S97" s="71">
        <f t="shared" ca="1" si="36"/>
        <v>0</v>
      </c>
      <c r="T97" s="51"/>
      <c r="U97" s="58"/>
      <c r="V97" s="58"/>
      <c r="W97" s="95"/>
      <c r="X97" s="52"/>
      <c r="Y97" s="70">
        <f ca="1">IFERROR(SUMIFS(OFFSET('Data input'!$B:$B,,MATCH('Summary by type of work report'!Y$9,'Data input'!$9:$9,0)-2),'Data input'!$C:$C,'Summary by type of work report'!$B97),0)</f>
        <v>0</v>
      </c>
    </row>
    <row r="98" spans="2:26">
      <c r="B98" s="23" t="str">
        <f>IF('Data input'!$C101="","",'Data input'!$C101)</f>
        <v>Depreciation expense</v>
      </c>
      <c r="C98" s="70">
        <f ca="1">IFERROR(SUMIFS(OFFSET('Data input'!$C:$C,,MATCH('Summary by type of work report'!C$9,'Data input'!$8:$8,0)-3,,),'Data input'!$C:$C,'Summary by type of work report'!$B98),"")</f>
        <v>0</v>
      </c>
      <c r="D98" s="70">
        <f ca="1">IFERROR(SUMIFS(OFFSET('Data input'!$C:$C,,MATCH('Summary by type of work report'!D$9,'Data input'!$8:$8,0)-3,,),'Data input'!$C:$C,'Summary by type of work report'!$B98),"")</f>
        <v>0</v>
      </c>
      <c r="E98" s="70">
        <f ca="1">IFERROR(SUMIFS(OFFSET('Data input'!$C:$C,,MATCH('Summary by type of work report'!E$9,'Data input'!$8:$8,0)-3,,),'Data input'!$C:$C,'Summary by type of work report'!$B98),"")</f>
        <v>0</v>
      </c>
      <c r="F98" s="51"/>
      <c r="G98" s="70">
        <f>IFERROR(SUMIFS('Data input'!101:101,'Data input'!$12:$12,'Summary by type of work report'!G$9),"")</f>
        <v>0</v>
      </c>
      <c r="H98" s="70">
        <f>IFERROR(SUMIFS('Data input'!101:101,'Data input'!$12:$12,'Summary by type of work report'!H$9),"")</f>
        <v>0</v>
      </c>
      <c r="I98" s="58"/>
      <c r="J98" s="58"/>
      <c r="K98" s="70">
        <f>IFERROR(SUMIFS('Data input'!101:101,'Data input'!$12:$12,'Summary by type of work report'!K$9),"")</f>
        <v>0</v>
      </c>
      <c r="L98" s="70">
        <f>IFERROR(SUMIFS('Data input'!101:101,'Data input'!$12:$12,'Summary by type of work report'!L$9),"")</f>
        <v>0</v>
      </c>
      <c r="M98" s="51"/>
      <c r="N98" s="70">
        <f t="shared" ca="1" si="31"/>
        <v>0</v>
      </c>
      <c r="O98" s="71">
        <f t="shared" ca="1" si="32"/>
        <v>0</v>
      </c>
      <c r="P98" s="70">
        <f t="shared" si="33"/>
        <v>0</v>
      </c>
      <c r="Q98" s="71">
        <f t="shared" ca="1" si="34"/>
        <v>0</v>
      </c>
      <c r="R98" s="70">
        <f t="shared" si="35"/>
        <v>0</v>
      </c>
      <c r="S98" s="71">
        <f t="shared" ca="1" si="36"/>
        <v>0</v>
      </c>
      <c r="T98" s="51"/>
      <c r="U98" s="58"/>
      <c r="V98" s="58"/>
      <c r="W98" s="95"/>
      <c r="X98" s="52"/>
      <c r="Y98" s="70">
        <f ca="1">IFERROR(SUMIFS(OFFSET('Data input'!$B:$B,,MATCH('Summary by type of work report'!Y$9,'Data input'!$9:$9,0)-2),'Data input'!$C:$C,'Summary by type of work report'!$B98),0)</f>
        <v>0</v>
      </c>
    </row>
    <row r="99" spans="2:26" s="48" customFormat="1">
      <c r="B99" s="49" t="str">
        <f>IF('Data input'!$C102="","",'Data input'!$C102)</f>
        <v>Amortization expense</v>
      </c>
      <c r="C99" s="70">
        <f ca="1">IFERROR(SUMIFS(OFFSET('Data input'!$C:$C,,MATCH('Summary by type of work report'!C$9,'Data input'!$8:$8,0)-3,,),'Data input'!$C:$C,'Summary by type of work report'!$B99),"")</f>
        <v>0</v>
      </c>
      <c r="D99" s="70">
        <f ca="1">IFERROR(SUMIFS(OFFSET('Data input'!$C:$C,,MATCH('Summary by type of work report'!D$9,'Data input'!$8:$8,0)-3,,),'Data input'!$C:$C,'Summary by type of work report'!$B99),"")</f>
        <v>0</v>
      </c>
      <c r="E99" s="70">
        <f ca="1">IFERROR(SUMIFS(OFFSET('Data input'!$C:$C,,MATCH('Summary by type of work report'!E$9,'Data input'!$8:$8,0)-3,,),'Data input'!$C:$C,'Summary by type of work report'!$B99),"")</f>
        <v>0</v>
      </c>
      <c r="F99" s="51"/>
      <c r="G99" s="70">
        <f>IFERROR(SUMIFS('Data input'!102:102,'Data input'!$12:$12,'Summary by type of work report'!G$9),"")</f>
        <v>0</v>
      </c>
      <c r="H99" s="70">
        <f>IFERROR(SUMIFS('Data input'!102:102,'Data input'!$12:$12,'Summary by type of work report'!H$9),"")</f>
        <v>0</v>
      </c>
      <c r="I99" s="58"/>
      <c r="J99" s="58"/>
      <c r="K99" s="70">
        <f>IFERROR(SUMIFS('Data input'!102:102,'Data input'!$12:$12,'Summary by type of work report'!K$9),"")</f>
        <v>0</v>
      </c>
      <c r="L99" s="70">
        <f>IFERROR(SUMIFS('Data input'!102:102,'Data input'!$12:$12,'Summary by type of work report'!L$9),"")</f>
        <v>0</v>
      </c>
      <c r="M99" s="51"/>
      <c r="N99" s="70">
        <f t="shared" ca="1" si="31"/>
        <v>0</v>
      </c>
      <c r="O99" s="71">
        <f t="shared" ca="1" si="32"/>
        <v>0</v>
      </c>
      <c r="P99" s="70">
        <f t="shared" si="33"/>
        <v>0</v>
      </c>
      <c r="Q99" s="71">
        <f t="shared" ca="1" si="34"/>
        <v>0</v>
      </c>
      <c r="R99" s="70">
        <f t="shared" si="35"/>
        <v>0</v>
      </c>
      <c r="S99" s="71">
        <f t="shared" ca="1" si="36"/>
        <v>0</v>
      </c>
      <c r="T99" s="51"/>
      <c r="U99" s="58"/>
      <c r="V99" s="58"/>
      <c r="W99" s="95"/>
      <c r="X99" s="52"/>
      <c r="Y99" s="70">
        <f ca="1">IFERROR(SUMIFS(OFFSET('Data input'!$B:$B,,MATCH('Summary by type of work report'!Y$9,'Data input'!$9:$9,0)-2),'Data input'!$C:$C,'Summary by type of work report'!$B99),0)</f>
        <v>0</v>
      </c>
      <c r="Z99"/>
    </row>
    <row r="100" spans="2:26">
      <c r="B100" s="23" t="str">
        <f>IF('Data input'!$C103="","",'Data input'!$C103)</f>
        <v>Impairment loss</v>
      </c>
      <c r="C100" s="70">
        <f ca="1">IFERROR(SUMIFS(OFFSET('Data input'!$C:$C,,MATCH('Summary by type of work report'!C$9,'Data input'!$8:$8,0)-3,,),'Data input'!$C:$C,'Summary by type of work report'!$B100),"")</f>
        <v>0</v>
      </c>
      <c r="D100" s="70">
        <f ca="1">IFERROR(SUMIFS(OFFSET('Data input'!$C:$C,,MATCH('Summary by type of work report'!D$9,'Data input'!$8:$8,0)-3,,),'Data input'!$C:$C,'Summary by type of work report'!$B100),"")</f>
        <v>0</v>
      </c>
      <c r="E100" s="70">
        <f ca="1">IFERROR(SUMIFS(OFFSET('Data input'!$C:$C,,MATCH('Summary by type of work report'!E$9,'Data input'!$8:$8,0)-3,,),'Data input'!$C:$C,'Summary by type of work report'!$B100),"")</f>
        <v>0</v>
      </c>
      <c r="F100" s="51"/>
      <c r="G100" s="70">
        <f>IFERROR(SUMIFS('Data input'!103:103,'Data input'!$12:$12,'Summary by type of work report'!G$9),"")</f>
        <v>0</v>
      </c>
      <c r="H100" s="70">
        <f>IFERROR(SUMIFS('Data input'!103:103,'Data input'!$12:$12,'Summary by type of work report'!H$9),"")</f>
        <v>0</v>
      </c>
      <c r="I100" s="58"/>
      <c r="J100" s="58"/>
      <c r="K100" s="70">
        <f>IFERROR(SUMIFS('Data input'!103:103,'Data input'!$12:$12,'Summary by type of work report'!K$9),"")</f>
        <v>0</v>
      </c>
      <c r="L100" s="70">
        <f>IFERROR(SUMIFS('Data input'!103:103,'Data input'!$12:$12,'Summary by type of work report'!L$9),"")</f>
        <v>0</v>
      </c>
      <c r="M100" s="51"/>
      <c r="N100" s="70">
        <f t="shared" ca="1" si="31"/>
        <v>0</v>
      </c>
      <c r="O100" s="71">
        <f t="shared" ca="1" si="32"/>
        <v>0</v>
      </c>
      <c r="P100" s="70">
        <f t="shared" si="33"/>
        <v>0</v>
      </c>
      <c r="Q100" s="71">
        <f t="shared" ca="1" si="34"/>
        <v>0</v>
      </c>
      <c r="R100" s="70">
        <f t="shared" si="35"/>
        <v>0</v>
      </c>
      <c r="S100" s="71">
        <f t="shared" ca="1" si="36"/>
        <v>0</v>
      </c>
      <c r="T100" s="51"/>
      <c r="U100" s="58"/>
      <c r="V100" s="58"/>
      <c r="W100" s="95"/>
      <c r="X100" s="52"/>
      <c r="Y100" s="70">
        <f ca="1">IFERROR(SUMIFS(OFFSET('Data input'!$B:$B,,MATCH('Summary by type of work report'!Y$9,'Data input'!$9:$9,0)-2),'Data input'!$C:$C,'Summary by type of work report'!$B100),0)</f>
        <v>0</v>
      </c>
    </row>
    <row r="101" spans="2:26">
      <c r="B101" s="23" t="str">
        <f>IF('Data input'!$C104="","",'Data input'!$C104)</f>
        <v>Restructuring expense</v>
      </c>
      <c r="C101" s="70">
        <f ca="1">IFERROR(SUMIFS(OFFSET('Data input'!$C:$C,,MATCH('Summary by type of work report'!C$9,'Data input'!$8:$8,0)-3,,),'Data input'!$C:$C,'Summary by type of work report'!$B101),"")</f>
        <v>0</v>
      </c>
      <c r="D101" s="70">
        <f ca="1">IFERROR(SUMIFS(OFFSET('Data input'!$C:$C,,MATCH('Summary by type of work report'!D$9,'Data input'!$8:$8,0)-3,,),'Data input'!$C:$C,'Summary by type of work report'!$B101),"")</f>
        <v>0</v>
      </c>
      <c r="E101" s="70">
        <f ca="1">IFERROR(SUMIFS(OFFSET('Data input'!$C:$C,,MATCH('Summary by type of work report'!E$9,'Data input'!$8:$8,0)-3,,),'Data input'!$C:$C,'Summary by type of work report'!$B101),"")</f>
        <v>0</v>
      </c>
      <c r="F101" s="51"/>
      <c r="G101" s="70">
        <f>IFERROR(SUMIFS('Data input'!104:104,'Data input'!$12:$12,'Summary by type of work report'!G$9),"")</f>
        <v>0</v>
      </c>
      <c r="H101" s="70">
        <f>IFERROR(SUMIFS('Data input'!104:104,'Data input'!$12:$12,'Summary by type of work report'!H$9),"")</f>
        <v>0</v>
      </c>
      <c r="I101" s="58"/>
      <c r="J101" s="58"/>
      <c r="K101" s="70">
        <f>IFERROR(SUMIFS('Data input'!104:104,'Data input'!$12:$12,'Summary by type of work report'!K$9),"")</f>
        <v>0</v>
      </c>
      <c r="L101" s="70">
        <f>IFERROR(SUMIFS('Data input'!104:104,'Data input'!$12:$12,'Summary by type of work report'!L$9),"")</f>
        <v>0</v>
      </c>
      <c r="M101" s="51"/>
      <c r="N101" s="70">
        <f t="shared" ca="1" si="31"/>
        <v>0</v>
      </c>
      <c r="O101" s="71">
        <f t="shared" ca="1" si="32"/>
        <v>0</v>
      </c>
      <c r="P101" s="70">
        <f t="shared" si="33"/>
        <v>0</v>
      </c>
      <c r="Q101" s="71">
        <f t="shared" ca="1" si="34"/>
        <v>0</v>
      </c>
      <c r="R101" s="70">
        <f t="shared" si="35"/>
        <v>0</v>
      </c>
      <c r="S101" s="71">
        <f t="shared" ca="1" si="36"/>
        <v>0</v>
      </c>
      <c r="T101" s="51"/>
      <c r="U101" s="58"/>
      <c r="V101" s="58"/>
      <c r="W101" s="95"/>
      <c r="X101" s="52"/>
      <c r="Y101" s="70">
        <f ca="1">IFERROR(SUMIFS(OFFSET('Data input'!$B:$B,,MATCH('Summary by type of work report'!Y$9,'Data input'!$9:$9,0)-2),'Data input'!$C:$C,'Summary by type of work report'!$B101),0)</f>
        <v>0</v>
      </c>
    </row>
    <row r="102" spans="2:26">
      <c r="B102" s="23" t="str">
        <f>IF('Data input'!$C105="","",'Data input'!$C105)</f>
        <v>Other general expenses</v>
      </c>
      <c r="C102" s="70">
        <f ca="1">IFERROR(SUMIFS(OFFSET('Data input'!$C:$C,,MATCH('Summary by type of work report'!C$9,'Data input'!$8:$8,0)-3,,),'Data input'!$C:$C,'Summary by type of work report'!$B102),"")</f>
        <v>0</v>
      </c>
      <c r="D102" s="70">
        <f ca="1">IFERROR(SUMIFS(OFFSET('Data input'!$C:$C,,MATCH('Summary by type of work report'!D$9,'Data input'!$8:$8,0)-3,,),'Data input'!$C:$C,'Summary by type of work report'!$B102),"")</f>
        <v>0</v>
      </c>
      <c r="E102" s="70">
        <f ca="1">IFERROR(SUMIFS(OFFSET('Data input'!$C:$C,,MATCH('Summary by type of work report'!E$9,'Data input'!$8:$8,0)-3,,),'Data input'!$C:$C,'Summary by type of work report'!$B102),"")</f>
        <v>0</v>
      </c>
      <c r="F102" s="51"/>
      <c r="G102" s="70">
        <f>IFERROR(SUMIFS('Data input'!105:105,'Data input'!$12:$12,'Summary by type of work report'!G$9),"")</f>
        <v>0</v>
      </c>
      <c r="H102" s="70">
        <f>IFERROR(SUMIFS('Data input'!105:105,'Data input'!$12:$12,'Summary by type of work report'!H$9),"")</f>
        <v>0</v>
      </c>
      <c r="I102" s="58"/>
      <c r="J102" s="58"/>
      <c r="K102" s="70">
        <f>IFERROR(SUMIFS('Data input'!105:105,'Data input'!$12:$12,'Summary by type of work report'!K$9),"")</f>
        <v>0</v>
      </c>
      <c r="L102" s="70">
        <f>IFERROR(SUMIFS('Data input'!105:105,'Data input'!$12:$12,'Summary by type of work report'!L$9),"")</f>
        <v>0</v>
      </c>
      <c r="M102" s="51"/>
      <c r="N102" s="70">
        <f t="shared" ca="1" si="31"/>
        <v>0</v>
      </c>
      <c r="O102" s="71">
        <f t="shared" ca="1" si="32"/>
        <v>0</v>
      </c>
      <c r="P102" s="70">
        <f t="shared" si="33"/>
        <v>0</v>
      </c>
      <c r="Q102" s="71">
        <f t="shared" ca="1" si="34"/>
        <v>0</v>
      </c>
      <c r="R102" s="70">
        <f t="shared" si="35"/>
        <v>0</v>
      </c>
      <c r="S102" s="71">
        <f t="shared" ca="1" si="36"/>
        <v>0</v>
      </c>
      <c r="T102" s="51"/>
      <c r="U102" s="58"/>
      <c r="V102" s="58"/>
      <c r="W102" s="95"/>
      <c r="X102" s="52"/>
      <c r="Y102" s="70">
        <f ca="1">IFERROR(SUMIFS(OFFSET('Data input'!$B:$B,,MATCH('Summary by type of work report'!Y$9,'Data input'!$9:$9,0)-2),'Data input'!$C:$C,'Summary by type of work report'!$B102),0)</f>
        <v>0</v>
      </c>
    </row>
    <row r="103" spans="2:26" hidden="1">
      <c r="B103" s="17" t="str">
        <f>IF('Data input'!$C106="","",'Data input'!$C106)</f>
        <v>Intentionally hidden</v>
      </c>
      <c r="C103" s="72">
        <f ca="1">IFERROR(SUMIFS(OFFSET('Data input'!$C:$C,,MATCH('Summary by type of work report'!C$9,'Data input'!$8:$8,0)-3,,),'Data input'!$C:$C,'Summary by type of work report'!$B103),"")</f>
        <v>0</v>
      </c>
      <c r="D103" s="72">
        <f ca="1">IFERROR(SUMIFS(OFFSET('Data input'!$C:$C,,MATCH('Summary by type of work report'!D$9,'Data input'!$8:$8,0)-3,,),'Data input'!$C:$C,'Summary by type of work report'!$B103),"")</f>
        <v>0</v>
      </c>
      <c r="E103" s="72">
        <f ca="1">IFERROR(SUMIFS(OFFSET('Data input'!$C:$C,,MATCH('Summary by type of work report'!E$9,'Data input'!$8:$8,0)-3,,),'Data input'!$C:$C,'Summary by type of work report'!$B103),"")</f>
        <v>0</v>
      </c>
      <c r="F103" s="51"/>
      <c r="G103" s="72">
        <f>IFERROR(SUMIFS('Data input'!106:106,'Data input'!$12:$12,'Summary by type of work report'!G$9),"")</f>
        <v>0</v>
      </c>
      <c r="H103" s="72">
        <f>IFERROR(SUMIFS('Data input'!106:106,'Data input'!$12:$12,'Summary by type of work report'!H$9),"")</f>
        <v>0</v>
      </c>
      <c r="I103" s="59"/>
      <c r="J103" s="59"/>
      <c r="K103" s="72">
        <f>IFERROR(SUMIFS('Data input'!106:106,'Data input'!$12:$12,'Summary by type of work report'!K$9),"")</f>
        <v>0</v>
      </c>
      <c r="L103" s="72">
        <f>IFERROR(SUMIFS('Data input'!106:106,'Data input'!$12:$12,'Summary by type of work report'!L$9),"")</f>
        <v>0</v>
      </c>
      <c r="M103" s="51"/>
      <c r="N103" s="72">
        <f t="shared" ca="1" si="31"/>
        <v>0</v>
      </c>
      <c r="O103" s="73">
        <f t="shared" ca="1" si="32"/>
        <v>0</v>
      </c>
      <c r="P103" s="72">
        <f t="shared" si="33"/>
        <v>0</v>
      </c>
      <c r="Q103" s="73">
        <f t="shared" ca="1" si="34"/>
        <v>0</v>
      </c>
      <c r="R103" s="72">
        <f t="shared" si="35"/>
        <v>0</v>
      </c>
      <c r="S103" s="73">
        <f t="shared" ca="1" si="36"/>
        <v>0</v>
      </c>
      <c r="T103" s="51"/>
      <c r="U103" s="59"/>
      <c r="V103" s="59"/>
      <c r="W103" s="96"/>
      <c r="X103" s="52"/>
      <c r="Y103" s="72">
        <f ca="1">IFERROR(SUMIFS(OFFSET('Data input'!$B:$B,,MATCH('Summary by type of work report'!Y$9,'Data input'!$9:$9,0)-2),'Data input'!$C:$C,'Summary by type of work report'!$B103),0)</f>
        <v>0</v>
      </c>
    </row>
    <row r="104" spans="2:26" s="48" customFormat="1" ht="10.5">
      <c r="B104" s="122" t="str">
        <f>IF('Data input'!$C107="","",'Data input'!$C107)</f>
        <v>Income (loss) from operations</v>
      </c>
      <c r="C104" s="74">
        <f ca="1">IFERROR(SUMIFS(OFFSET('Data input'!$C:$C,,MATCH('Summary by type of work report'!C$9,'Data input'!$8:$8,0)-3,,),'Data input'!$C:$C,'Summary by type of work report'!$B104),"")</f>
        <v>0</v>
      </c>
      <c r="D104" s="74">
        <f ca="1">IFERROR(SUMIFS(OFFSET('Data input'!$C:$C,,MATCH('Summary by type of work report'!D$9,'Data input'!$8:$8,0)-3,,),'Data input'!$C:$C,'Summary by type of work report'!$B104),"")</f>
        <v>0</v>
      </c>
      <c r="E104" s="74">
        <f ca="1">IFERROR(SUMIFS(OFFSET('Data input'!$C:$C,,MATCH('Summary by type of work report'!E$9,'Data input'!$8:$8,0)-3,,),'Data input'!$C:$C,'Summary by type of work report'!$B104),"")</f>
        <v>0</v>
      </c>
      <c r="F104" s="129"/>
      <c r="G104" s="74">
        <f>IFERROR(SUMIFS('Data input'!107:107,'Data input'!$12:$12,'Summary by type of work report'!G$9),"")</f>
        <v>0</v>
      </c>
      <c r="H104" s="74">
        <f>IFERROR(SUMIFS('Data input'!107:107,'Data input'!$12:$12,'Summary by type of work report'!H$9),"")</f>
        <v>0</v>
      </c>
      <c r="I104" s="36">
        <f>I94-SUM(I95:I103)</f>
        <v>0</v>
      </c>
      <c r="J104" s="36">
        <f>J94-SUM(J95:J103)</f>
        <v>0</v>
      </c>
      <c r="K104" s="74">
        <f>IFERROR(SUMIFS('Data input'!107:107,'Data input'!$12:$12,'Summary by type of work report'!K$9),"")</f>
        <v>0</v>
      </c>
      <c r="L104" s="74">
        <f>IFERROR(SUMIFS('Data input'!107:107,'Data input'!$12:$12,'Summary by type of work report'!L$9),"")</f>
        <v>0</v>
      </c>
      <c r="M104" s="51"/>
      <c r="N104" s="74">
        <f t="shared" ca="1" si="31"/>
        <v>0</v>
      </c>
      <c r="O104" s="75">
        <f t="shared" ca="1" si="32"/>
        <v>0</v>
      </c>
      <c r="P104" s="74">
        <f t="shared" si="33"/>
        <v>0</v>
      </c>
      <c r="Q104" s="75">
        <f t="shared" ca="1" si="34"/>
        <v>0</v>
      </c>
      <c r="R104" s="74">
        <f t="shared" si="35"/>
        <v>0</v>
      </c>
      <c r="S104" s="75">
        <f t="shared" ca="1" si="36"/>
        <v>0</v>
      </c>
      <c r="T104" s="51"/>
      <c r="U104" s="60"/>
      <c r="V104" s="60"/>
      <c r="W104" s="97"/>
      <c r="X104" s="128"/>
      <c r="Y104" s="74">
        <f ca="1">IFERROR(SUMIFS(OFFSET('Data input'!$B:$B,,MATCH('Summary by type of work report'!Y$9,'Data input'!$9:$9,0)-2),'Data input'!$C:$C,'Summary by type of work report'!$B104),0)</f>
        <v>0</v>
      </c>
      <c r="Z104"/>
    </row>
    <row r="105" spans="2:26" s="48" customFormat="1">
      <c r="B105" s="49" t="str">
        <f>IF('Data input'!$C108="","",'Data input'!$C108)</f>
        <v/>
      </c>
      <c r="C105" s="70"/>
      <c r="D105" s="70"/>
      <c r="E105" s="70"/>
      <c r="F105" s="51"/>
      <c r="G105" s="70"/>
      <c r="H105" s="70"/>
      <c r="I105" s="34"/>
      <c r="J105" s="58"/>
      <c r="K105" s="70"/>
      <c r="L105" s="70"/>
      <c r="M105" s="51"/>
      <c r="N105" s="70"/>
      <c r="O105" s="71"/>
      <c r="P105" s="70"/>
      <c r="Q105" s="70"/>
      <c r="R105" s="70"/>
      <c r="S105" s="70"/>
      <c r="T105" s="51"/>
      <c r="U105" s="58"/>
      <c r="V105" s="58"/>
      <c r="W105" s="95"/>
      <c r="X105" s="52"/>
      <c r="Y105" s="70"/>
      <c r="Z105"/>
    </row>
    <row r="106" spans="2:26">
      <c r="B106" s="23" t="str">
        <f>IF('Data input'!$C109="","",'Data input'!$C109)</f>
        <v>Non-operating income (expense)</v>
      </c>
      <c r="C106" s="70">
        <f ca="1">IFERROR(SUMIFS(OFFSET('Data input'!$C:$C,,MATCH('Summary by type of work report'!C$9,'Data input'!$8:$8,0)-3,,),'Data input'!$C:$C,'Summary by type of work report'!$B106),"")</f>
        <v>0</v>
      </c>
      <c r="D106" s="70">
        <f ca="1">IFERROR(SUMIFS(OFFSET('Data input'!$C:$C,,MATCH('Summary by type of work report'!D$9,'Data input'!$8:$8,0)-3,,),'Data input'!$C:$C,'Summary by type of work report'!$B106),"")</f>
        <v>0</v>
      </c>
      <c r="E106" s="70">
        <f ca="1">IFERROR(SUMIFS(OFFSET('Data input'!$C:$C,,MATCH('Summary by type of work report'!E$9,'Data input'!$8:$8,0)-3,,),'Data input'!$C:$C,'Summary by type of work report'!$B106),"")</f>
        <v>0</v>
      </c>
      <c r="F106" s="51"/>
      <c r="G106" s="70">
        <f>IFERROR(SUMIFS('Data input'!109:109,'Data input'!$12:$12,'Summary by type of work report'!G$9),"")</f>
        <v>0</v>
      </c>
      <c r="H106" s="70">
        <f>IFERROR(SUMIFS('Data input'!109:109,'Data input'!$12:$12,'Summary by type of work report'!H$9),"")</f>
        <v>0</v>
      </c>
      <c r="I106" s="34"/>
      <c r="J106" s="58"/>
      <c r="K106" s="70">
        <f>IFERROR(SUMIFS('Data input'!109:109,'Data input'!$12:$12,'Summary by type of work report'!K$9),"")</f>
        <v>0</v>
      </c>
      <c r="L106" s="70">
        <f>IFERROR(SUMIFS('Data input'!109:109,'Data input'!$12:$12,'Summary by type of work report'!L$9),"")</f>
        <v>0</v>
      </c>
      <c r="M106" s="51"/>
      <c r="N106" s="70">
        <f ca="1">IFERROR(C106-SUM(D106:E106,G106:H106,I106,J106,K106:L106),"")</f>
        <v>0</v>
      </c>
      <c r="O106" s="71">
        <f ca="1">IFERROR(N106/(C106-D106-E106),0)</f>
        <v>0</v>
      </c>
      <c r="P106" s="70">
        <f t="shared" ref="P106:P107" si="37">SUM(K106:L106)</f>
        <v>0</v>
      </c>
      <c r="Q106" s="71">
        <f ca="1">IFERROR(P106/(C106-D106-E106),0)</f>
        <v>0</v>
      </c>
      <c r="R106" s="70">
        <f>G106+H106+I106+J106</f>
        <v>0</v>
      </c>
      <c r="S106" s="71">
        <f ca="1">IFERROR(R106/(C106-D106-E106),0)</f>
        <v>0</v>
      </c>
      <c r="T106" s="51"/>
      <c r="U106" s="58"/>
      <c r="V106" s="58"/>
      <c r="W106" s="95"/>
      <c r="X106" s="52"/>
      <c r="Y106" s="70">
        <f ca="1">IFERROR(SUMIFS(OFFSET('Data input'!$B:$B,,MATCH('Summary by type of work report'!Y$9,'Data input'!$9:$9,0)-2),'Data input'!$C:$C,'Summary by type of work report'!$B106),0)</f>
        <v>0</v>
      </c>
    </row>
    <row r="107" spans="2:26">
      <c r="B107" s="23" t="str">
        <f>IF('Data input'!$C110="","",'Data input'!$C110)</f>
        <v>Interest income (expense)</v>
      </c>
      <c r="C107" s="70">
        <f ca="1">IFERROR(SUMIFS(OFFSET('Data input'!$C:$C,,MATCH('Summary by type of work report'!C$9,'Data input'!$8:$8,0)-3,,),'Data input'!$C:$C,'Summary by type of work report'!$B107),"")</f>
        <v>0</v>
      </c>
      <c r="D107" s="70">
        <f ca="1">IFERROR(SUMIFS(OFFSET('Data input'!$C:$C,,MATCH('Summary by type of work report'!D$9,'Data input'!$8:$8,0)-3,,),'Data input'!$C:$C,'Summary by type of work report'!$B107),"")</f>
        <v>0</v>
      </c>
      <c r="E107" s="70">
        <f ca="1">IFERROR(SUMIFS(OFFSET('Data input'!$C:$C,,MATCH('Summary by type of work report'!E$9,'Data input'!$8:$8,0)-3,,),'Data input'!$C:$C,'Summary by type of work report'!$B107),"")</f>
        <v>0</v>
      </c>
      <c r="F107" s="51"/>
      <c r="G107" s="70">
        <f>IFERROR(SUMIFS('Data input'!110:110,'Data input'!$12:$12,'Summary by type of work report'!G$9),"")</f>
        <v>0</v>
      </c>
      <c r="H107" s="70">
        <f>IFERROR(SUMIFS('Data input'!110:110,'Data input'!$12:$12,'Summary by type of work report'!H$9),"")</f>
        <v>0</v>
      </c>
      <c r="I107" s="45"/>
      <c r="J107" s="58"/>
      <c r="K107" s="70">
        <f>IFERROR(SUMIFS('Data input'!110:110,'Data input'!$12:$12,'Summary by type of work report'!K$9),"")</f>
        <v>0</v>
      </c>
      <c r="L107" s="70">
        <f>IFERROR(SUMIFS('Data input'!110:110,'Data input'!$12:$12,'Summary by type of work report'!L$9),"")</f>
        <v>0</v>
      </c>
      <c r="M107" s="51"/>
      <c r="N107" s="70">
        <f ca="1">IFERROR(C107-SUM(D107:E107,G107:H107,I107,J107,K107:L107),"")</f>
        <v>0</v>
      </c>
      <c r="O107" s="71">
        <f ca="1">IFERROR(N107/(C107-D107-E107),0)</f>
        <v>0</v>
      </c>
      <c r="P107" s="70">
        <f t="shared" si="37"/>
        <v>0</v>
      </c>
      <c r="Q107" s="71">
        <f ca="1">IFERROR(P107/(C107-D107-E107),0)</f>
        <v>0</v>
      </c>
      <c r="R107" s="70">
        <f>G107+H107+I107+J107</f>
        <v>0</v>
      </c>
      <c r="S107" s="71">
        <f ca="1">IFERROR(R107/(C107-D107-E107),0)</f>
        <v>0</v>
      </c>
      <c r="T107" s="51"/>
      <c r="U107" s="58"/>
      <c r="V107" s="58"/>
      <c r="W107" s="95"/>
      <c r="X107" s="52"/>
      <c r="Y107" s="70">
        <f ca="1">IFERROR(SUMIFS(OFFSET('Data input'!$B:$B,,MATCH('Summary by type of work report'!Y$9,'Data input'!$9:$9,0)-2),'Data input'!$C:$C,'Summary by type of work report'!$B107),0)</f>
        <v>0</v>
      </c>
    </row>
    <row r="108" spans="2:26" hidden="1">
      <c r="B108" s="17" t="str">
        <f>IF('Data input'!$C111="","",'Data input'!$C111)</f>
        <v>Intentionally hidden</v>
      </c>
      <c r="C108" s="72">
        <f ca="1">IFERROR(SUMIFS(OFFSET('Data input'!$C:$C,,MATCH('Summary by type of work report'!C$9,'Data input'!$8:$8,0)-3,,),'Data input'!$C:$C,'Summary by type of work report'!$B108),"")</f>
        <v>0</v>
      </c>
      <c r="D108" s="72">
        <f ca="1">IFERROR(SUMIFS(OFFSET('Data input'!$C:$C,,MATCH('Summary by type of work report'!D$9,'Data input'!$8:$8,0)-3,,),'Data input'!$C:$C,'Summary by type of work report'!$B108),"")</f>
        <v>0</v>
      </c>
      <c r="E108" s="72">
        <f ca="1">IFERROR(SUMIFS(OFFSET('Data input'!$C:$C,,MATCH('Summary by type of work report'!E$9,'Data input'!$8:$8,0)-3,,),'Data input'!$C:$C,'Summary by type of work report'!$B108),"")</f>
        <v>0</v>
      </c>
      <c r="F108" s="51"/>
      <c r="G108" s="72">
        <f>IFERROR(SUMIFS('Data input'!111:111,'Data input'!$12:$12,'Summary by type of work report'!G$9),"")</f>
        <v>0</v>
      </c>
      <c r="H108" s="72">
        <f>IFERROR(SUMIFS('Data input'!111:111,'Data input'!$12:$12,'Summary by type of work report'!H$9),"")</f>
        <v>0</v>
      </c>
      <c r="I108" s="7"/>
      <c r="J108" s="59"/>
      <c r="K108" s="72">
        <f>IFERROR(SUMIFS('Data input'!111:111,'Data input'!$12:$12,'Summary by type of work report'!K$9),"")</f>
        <v>0</v>
      </c>
      <c r="L108" s="72">
        <f>IFERROR(SUMIFS('Data input'!111:111,'Data input'!$12:$12,'Summary by type of work report'!L$9),"")</f>
        <v>0</v>
      </c>
      <c r="M108" s="51"/>
      <c r="N108" s="72"/>
      <c r="O108" s="73"/>
      <c r="P108" s="72"/>
      <c r="Q108" s="73">
        <f ca="1">IFERROR(P108/(C108-D108-E108),0)</f>
        <v>0</v>
      </c>
      <c r="R108" s="72">
        <f>G108+H108+I108+J108</f>
        <v>0</v>
      </c>
      <c r="S108" s="73">
        <f ca="1">IFERROR(R108/(C108-D108-E108),0)</f>
        <v>0</v>
      </c>
      <c r="T108" s="51"/>
      <c r="U108" s="59"/>
      <c r="V108" s="59"/>
      <c r="W108" s="96"/>
      <c r="X108" s="52"/>
      <c r="Y108" s="72">
        <f ca="1">IFERROR(SUMIFS(OFFSET('Data input'!$B:$B,,MATCH('Summary by type of work report'!Y$9,'Data input'!$9:$9,0)-2),'Data input'!$C:$C,'Summary by type of work report'!$B108),0)</f>
        <v>0</v>
      </c>
    </row>
    <row r="109" spans="2:26" ht="21">
      <c r="B109" s="18" t="str">
        <f>IF('Data input'!$C112="","",'Data input'!$C112)</f>
        <v>Income (loss) before income tax expense</v>
      </c>
      <c r="C109" s="74">
        <f ca="1">IFERROR(SUMIFS(OFFSET('Data input'!$C:$C,,MATCH('Summary by type of work report'!C$9,'Data input'!$8:$8,0)-3,,),'Data input'!$C:$C,'Summary by type of work report'!$B109),"")</f>
        <v>0</v>
      </c>
      <c r="D109" s="74">
        <f ca="1">IFERROR(SUMIFS(OFFSET('Data input'!$C:$C,,MATCH('Summary by type of work report'!D$9,'Data input'!$8:$8,0)-3,,),'Data input'!$C:$C,'Summary by type of work report'!$B109),"")</f>
        <v>0</v>
      </c>
      <c r="E109" s="74">
        <f ca="1">IFERROR(SUMIFS(OFFSET('Data input'!$C:$C,,MATCH('Summary by type of work report'!E$9,'Data input'!$8:$8,0)-3,,),'Data input'!$C:$C,'Summary by type of work report'!$B109),"")</f>
        <v>0</v>
      </c>
      <c r="F109" s="51"/>
      <c r="G109" s="74">
        <f>IFERROR(SUMIFS('Data input'!112:112,'Data input'!$12:$12,'Summary by type of work report'!G$9),"")</f>
        <v>0</v>
      </c>
      <c r="H109" s="74">
        <f>IFERROR(SUMIFS('Data input'!112:112,'Data input'!$12:$12,'Summary by type of work report'!H$9),"")</f>
        <v>0</v>
      </c>
      <c r="I109" s="36">
        <f>I104+SUM(I105:I108)</f>
        <v>0</v>
      </c>
      <c r="J109" s="36">
        <f>J104+SUM(J105:J108)</f>
        <v>0</v>
      </c>
      <c r="K109" s="74">
        <f>IFERROR(SUMIFS('Data input'!112:112,'Data input'!$12:$12,'Summary by type of work report'!K$9),"")</f>
        <v>0</v>
      </c>
      <c r="L109" s="74">
        <f>IFERROR(SUMIFS('Data input'!112:112,'Data input'!$12:$12,'Summary by type of work report'!L$9),"")</f>
        <v>0</v>
      </c>
      <c r="M109" s="51"/>
      <c r="N109" s="74">
        <f ca="1">IFERROR(C109-SUM(D109:E109,G109:H109,I109,J109,K109:L109),"")</f>
        <v>0</v>
      </c>
      <c r="O109" s="75">
        <f ca="1">IFERROR(N109/(C109-D109-E109),0)</f>
        <v>0</v>
      </c>
      <c r="P109" s="74">
        <f>SUM(K109:L109)</f>
        <v>0</v>
      </c>
      <c r="Q109" s="75">
        <f ca="1">IFERROR(P109/(C109-D109-E109),0)</f>
        <v>0</v>
      </c>
      <c r="R109" s="74">
        <f>G109+H109+I109+J109</f>
        <v>0</v>
      </c>
      <c r="S109" s="75">
        <f ca="1">IFERROR(R109/(C109-D109-E109),0)</f>
        <v>0</v>
      </c>
      <c r="T109" s="51"/>
      <c r="U109" s="60"/>
      <c r="V109" s="60"/>
      <c r="W109" s="97"/>
      <c r="X109" s="52"/>
      <c r="Y109" s="74">
        <f ca="1">IFERROR(SUMIFS(OFFSET('Data input'!$B:$B,,MATCH('Summary by type of work report'!Y$9,'Data input'!$9:$9,0)-2),'Data input'!$C:$C,'Summary by type of work report'!$B109),0)</f>
        <v>0</v>
      </c>
    </row>
    <row r="110" spans="2:26">
      <c r="B110" s="23" t="str">
        <f>IF('Data input'!$C113="","",'Data input'!$C113)</f>
        <v/>
      </c>
      <c r="C110" s="70"/>
      <c r="D110" s="70"/>
      <c r="E110" s="70"/>
      <c r="F110" s="51"/>
      <c r="G110" s="70"/>
      <c r="H110" s="70"/>
      <c r="I110" s="34"/>
      <c r="J110" s="34"/>
      <c r="K110" s="70"/>
      <c r="L110" s="70"/>
      <c r="M110" s="51"/>
      <c r="N110" s="70"/>
      <c r="O110" s="71"/>
      <c r="P110" s="70"/>
      <c r="Q110" s="70"/>
      <c r="R110" s="70"/>
      <c r="S110" s="70"/>
      <c r="T110" s="51"/>
      <c r="U110" s="58"/>
      <c r="V110" s="58"/>
      <c r="W110" s="95"/>
      <c r="X110" s="52"/>
      <c r="Y110" s="70"/>
    </row>
    <row r="111" spans="2:26">
      <c r="B111" s="23" t="str">
        <f>IF('Data input'!$C114="","",'Data input'!$C114)</f>
        <v>Income tax benefit (expense)</v>
      </c>
      <c r="C111" s="70">
        <f ca="1">IFERROR(SUMIFS(OFFSET('Data input'!$C:$C,,MATCH('Summary by type of work report'!C$9,'Data input'!$8:$8,0)-3,,),'Data input'!$C:$C,'Summary by type of work report'!$B111),"")</f>
        <v>0</v>
      </c>
      <c r="D111" s="70">
        <f ca="1">IFERROR(SUMIFS(OFFSET('Data input'!$C:$C,,MATCH('Summary by type of work report'!D$9,'Data input'!$8:$8,0)-3,,),'Data input'!$C:$C,'Summary by type of work report'!$B111),"")</f>
        <v>0</v>
      </c>
      <c r="E111" s="70">
        <f ca="1">IFERROR(SUMIFS(OFFSET('Data input'!$C:$C,,MATCH('Summary by type of work report'!E$9,'Data input'!$8:$8,0)-3,,),'Data input'!$C:$C,'Summary by type of work report'!$B111),"")</f>
        <v>0</v>
      </c>
      <c r="F111" s="51"/>
      <c r="G111" s="70">
        <f>IFERROR(SUMIFS('Data input'!114:114,'Data input'!$12:$12,'Summary by type of work report'!G$9),"")</f>
        <v>0</v>
      </c>
      <c r="H111" s="70">
        <f>IFERROR(SUMIFS('Data input'!114:114,'Data input'!$12:$12,'Summary by type of work report'!H$9),"")</f>
        <v>0</v>
      </c>
      <c r="I111" s="34"/>
      <c r="J111" s="34"/>
      <c r="K111" s="70">
        <f>IFERROR(SUMIFS('Data input'!114:114,'Data input'!$12:$12,'Summary by type of work report'!K$9),"")</f>
        <v>0</v>
      </c>
      <c r="L111" s="70">
        <f>IFERROR(SUMIFS('Data input'!114:114,'Data input'!$12:$12,'Summary by type of work report'!L$9),"")</f>
        <v>0</v>
      </c>
      <c r="M111" s="51"/>
      <c r="N111" s="70">
        <f ca="1">IFERROR(C111-SUM(D111:E111,G111:H111,I111,J111,K111:L111),"")</f>
        <v>0</v>
      </c>
      <c r="O111" s="71">
        <f ca="1">IFERROR(N111/(C111-D111-E111),0)</f>
        <v>0</v>
      </c>
      <c r="P111" s="70">
        <f t="shared" ref="P111:P112" si="38">SUM(K111:L111)</f>
        <v>0</v>
      </c>
      <c r="Q111" s="71">
        <f ca="1">IFERROR(P111/(C111-D111-E111),0)</f>
        <v>0</v>
      </c>
      <c r="R111" s="70">
        <f>G111+H111+I111+J111</f>
        <v>0</v>
      </c>
      <c r="S111" s="71">
        <f ca="1">IFERROR(R111/(C111-D111-E111),0)</f>
        <v>0</v>
      </c>
      <c r="T111" s="51"/>
      <c r="U111" s="58"/>
      <c r="V111" s="58"/>
      <c r="W111" s="95"/>
      <c r="X111" s="52"/>
      <c r="Y111" s="70">
        <f ca="1">IFERROR(SUMIFS(OFFSET('Data input'!$B:$B,,MATCH('Summary by type of work report'!Y$9,'Data input'!$9:$9,0)-2),'Data input'!$C:$C,'Summary by type of work report'!$B111),0)</f>
        <v>0</v>
      </c>
    </row>
    <row r="112" spans="2:26">
      <c r="B112" s="22" t="str">
        <f>IF('Data input'!$C115="","",'Data input'!$C115)</f>
        <v>Equity in earnings (losses) of subsidiaries</v>
      </c>
      <c r="C112" s="92">
        <f ca="1">IFERROR(SUMIFS(OFFSET('Data input'!$C:$C,,MATCH('Summary by type of work report'!C$9,'Data input'!$8:$8,0)-3,,),'Data input'!$C:$C,'Summary by type of work report'!$B112),"")</f>
        <v>0</v>
      </c>
      <c r="D112" s="92">
        <f ca="1">IFERROR(SUMIFS(OFFSET('Data input'!$C:$C,,MATCH('Summary by type of work report'!D$9,'Data input'!$8:$8,0)-3,,),'Data input'!$C:$C,'Summary by type of work report'!$B112),"")</f>
        <v>0</v>
      </c>
      <c r="E112" s="92">
        <f ca="1">IFERROR(SUMIFS(OFFSET('Data input'!$C:$C,,MATCH('Summary by type of work report'!E$9,'Data input'!$8:$8,0)-3,,),'Data input'!$C:$C,'Summary by type of work report'!$B112),"")</f>
        <v>0</v>
      </c>
      <c r="F112" s="51"/>
      <c r="G112" s="92">
        <f>IFERROR(SUMIFS('Data input'!115:115,'Data input'!$12:$12,'Summary by type of work report'!G$9),"")</f>
        <v>0</v>
      </c>
      <c r="H112" s="92">
        <f>IFERROR(SUMIFS('Data input'!115:115,'Data input'!$12:$12,'Summary by type of work report'!H$9),"")</f>
        <v>0</v>
      </c>
      <c r="I112" s="45"/>
      <c r="J112" s="45"/>
      <c r="K112" s="92">
        <f>IFERROR(SUMIFS('Data input'!115:115,'Data input'!$12:$12,'Summary by type of work report'!K$9),"")</f>
        <v>0</v>
      </c>
      <c r="L112" s="92">
        <f>IFERROR(SUMIFS('Data input'!115:115,'Data input'!$12:$12,'Summary by type of work report'!L$9),"")</f>
        <v>0</v>
      </c>
      <c r="M112" s="51"/>
      <c r="N112" s="70">
        <f ca="1">IFERROR(C112-SUM(D112:E112,G112:H112,I112,J112,K112:L112),"")</f>
        <v>0</v>
      </c>
      <c r="O112" s="93">
        <f ca="1">IFERROR(N112/(C112-D112-E112),0)</f>
        <v>0</v>
      </c>
      <c r="P112" s="70">
        <f t="shared" si="38"/>
        <v>0</v>
      </c>
      <c r="Q112" s="93">
        <f ca="1">IFERROR(P112/(C112-D112-E112),0)</f>
        <v>0</v>
      </c>
      <c r="R112" s="70">
        <f>G112+H112+I112+J112</f>
        <v>0</v>
      </c>
      <c r="S112" s="93">
        <f ca="1">IFERROR(R112/(C112-D112-E112),0)</f>
        <v>0</v>
      </c>
      <c r="T112" s="51"/>
      <c r="U112" s="67"/>
      <c r="V112" s="67"/>
      <c r="W112" s="104"/>
      <c r="X112" s="52"/>
      <c r="Y112" s="92">
        <f ca="1">IFERROR(SUMIFS(OFFSET('Data input'!$B:$B,,MATCH('Summary by type of work report'!Y$9,'Data input'!$9:$9,0)-2),'Data input'!$C:$C,'Summary by type of work report'!$B112),0)</f>
        <v>0</v>
      </c>
    </row>
    <row r="113" spans="2:25" hidden="1">
      <c r="B113" s="17" t="str">
        <f>IF('Data input'!$C116="","",'Data input'!$C116)</f>
        <v>Intentionally hidden</v>
      </c>
      <c r="C113" s="72">
        <f ca="1">IFERROR(SUMIFS(OFFSET('Data input'!$C:$C,,MATCH('Summary by type of work report'!C$9,'Data input'!$8:$8,0)-3,,),'Data input'!$C:$C,'Summary by type of work report'!$B113),"")</f>
        <v>0</v>
      </c>
      <c r="D113" s="72">
        <f ca="1">IFERROR(SUMIFS(OFFSET('Data input'!$C:$C,,MATCH('Summary by type of work report'!D$9,'Data input'!$8:$8,0)-3,,),'Data input'!$C:$C,'Summary by type of work report'!$B113),"")</f>
        <v>0</v>
      </c>
      <c r="E113" s="72">
        <f ca="1">IFERROR(SUMIFS(OFFSET('Data input'!$C:$C,,MATCH('Summary by type of work report'!E$9,'Data input'!$8:$8,0)-3,,),'Data input'!$C:$C,'Summary by type of work report'!$B113),"")</f>
        <v>0</v>
      </c>
      <c r="F113" s="51"/>
      <c r="G113" s="72">
        <f>IFERROR(SUMIFS('Data input'!116:116,'Data input'!$12:$12,'Summary by type of work report'!G$9),"")</f>
        <v>0</v>
      </c>
      <c r="H113" s="72">
        <f>IFERROR(SUMIFS('Data input'!116:116,'Data input'!$12:$12,'Summary by type of work report'!H$9),"")</f>
        <v>0</v>
      </c>
      <c r="I113" s="7"/>
      <c r="J113" s="7"/>
      <c r="K113" s="72">
        <f>IFERROR(SUMIFS('Data input'!116:116,'Data input'!$12:$12,'Summary by type of work report'!K$9),"")</f>
        <v>0</v>
      </c>
      <c r="L113" s="72">
        <f>IFERROR(SUMIFS('Data input'!116:116,'Data input'!$12:$12,'Summary by type of work report'!L$9),"")</f>
        <v>0</v>
      </c>
      <c r="M113" s="51"/>
      <c r="N113" s="72"/>
      <c r="O113" s="73"/>
      <c r="P113" s="72"/>
      <c r="Q113" s="73">
        <f ca="1">IFERROR(P113/(C113-D113-E113),0)</f>
        <v>0</v>
      </c>
      <c r="R113" s="72">
        <f>G113+H113+I113+J113</f>
        <v>0</v>
      </c>
      <c r="S113" s="73">
        <f ca="1">IFERROR(R113/(C113-D113-E113),0)</f>
        <v>0</v>
      </c>
      <c r="T113" s="51"/>
      <c r="U113" s="59"/>
      <c r="V113" s="59"/>
      <c r="W113" s="96"/>
      <c r="X113" s="52"/>
      <c r="Y113" s="72">
        <f ca="1">IFERROR(SUMIFS(OFFSET('Data input'!$B:$B,,MATCH('Summary by type of work report'!Y$9,'Data input'!$9:$9,0)-2),'Data input'!$C:$C,'Summary by type of work report'!$B113),0)</f>
        <v>0</v>
      </c>
    </row>
    <row r="114" spans="2:25" ht="21">
      <c r="B114" s="18" t="str">
        <f>IF('Data input'!$C117="","",'Data input'!$C117)</f>
        <v>Income (loss) from continuing operations</v>
      </c>
      <c r="C114" s="74">
        <f ca="1">IFERROR(SUMIFS(OFFSET('Data input'!$C:$C,,MATCH('Summary by type of work report'!C$9,'Data input'!$8:$8,0)-3,,),'Data input'!$C:$C,'Summary by type of work report'!$B114),"")</f>
        <v>0</v>
      </c>
      <c r="D114" s="74">
        <f ca="1">IFERROR(SUMIFS(OFFSET('Data input'!$C:$C,,MATCH('Summary by type of work report'!D$9,'Data input'!$8:$8,0)-3,,),'Data input'!$C:$C,'Summary by type of work report'!$B114),"")</f>
        <v>0</v>
      </c>
      <c r="E114" s="74">
        <f ca="1">IFERROR(SUMIFS(OFFSET('Data input'!$C:$C,,MATCH('Summary by type of work report'!E$9,'Data input'!$8:$8,0)-3,,),'Data input'!$C:$C,'Summary by type of work report'!$B114),"")</f>
        <v>0</v>
      </c>
      <c r="F114" s="51"/>
      <c r="G114" s="74">
        <f>IFERROR(SUMIFS('Data input'!117:117,'Data input'!$12:$12,'Summary by type of work report'!G$9),"")</f>
        <v>0</v>
      </c>
      <c r="H114" s="74">
        <f>IFERROR(SUMIFS('Data input'!117:117,'Data input'!$12:$12,'Summary by type of work report'!H$9),"")</f>
        <v>0</v>
      </c>
      <c r="I114" s="36">
        <f>I109+SUM(I110:I113)</f>
        <v>0</v>
      </c>
      <c r="J114" s="36">
        <f>J109+SUM(J110:J113)</f>
        <v>0</v>
      </c>
      <c r="K114" s="74">
        <f>IFERROR(SUMIFS('Data input'!117:117,'Data input'!$12:$12,'Summary by type of work report'!K$9),"")</f>
        <v>0</v>
      </c>
      <c r="L114" s="74">
        <f>IFERROR(SUMIFS('Data input'!117:117,'Data input'!$12:$12,'Summary by type of work report'!L$9),"")</f>
        <v>0</v>
      </c>
      <c r="M114" s="51"/>
      <c r="N114" s="74">
        <f ca="1">IFERROR(C114-SUM(D114:E114,G114:H114,I114,J114,K114:L114),"")</f>
        <v>0</v>
      </c>
      <c r="O114" s="75">
        <f ca="1">IFERROR(N114/(C114-D114-E114),0)</f>
        <v>0</v>
      </c>
      <c r="P114" s="74">
        <f>SUM(K114:L114)</f>
        <v>0</v>
      </c>
      <c r="Q114" s="75">
        <f ca="1">IFERROR(P114/(C114-D114-E114),0)</f>
        <v>0</v>
      </c>
      <c r="R114" s="74">
        <f>G114+H114+I114+J114</f>
        <v>0</v>
      </c>
      <c r="S114" s="75">
        <f ca="1">IFERROR(R114/(C114-D114-E114),0)</f>
        <v>0</v>
      </c>
      <c r="T114" s="51"/>
      <c r="U114" s="60"/>
      <c r="V114" s="60"/>
      <c r="W114" s="97"/>
      <c r="X114" s="52"/>
      <c r="Y114" s="74">
        <f ca="1">IFERROR(SUMIFS(OFFSET('Data input'!$B:$B,,MATCH('Summary by type of work report'!Y$9,'Data input'!$9:$9,0)-2),'Data input'!$C:$C,'Summary by type of work report'!$B114),0)</f>
        <v>0</v>
      </c>
    </row>
    <row r="115" spans="2:25">
      <c r="B115" s="23" t="str">
        <f>IF('Data input'!$C118="","",'Data input'!$C118)</f>
        <v/>
      </c>
      <c r="C115" s="70"/>
      <c r="D115" s="70"/>
      <c r="E115" s="70"/>
      <c r="F115" s="51"/>
      <c r="G115" s="70"/>
      <c r="H115" s="70"/>
      <c r="I115" s="34"/>
      <c r="J115" s="34"/>
      <c r="K115" s="70"/>
      <c r="L115" s="70"/>
      <c r="M115" s="51"/>
      <c r="N115" s="70"/>
      <c r="O115" s="71"/>
      <c r="P115" s="70"/>
      <c r="Q115" s="70"/>
      <c r="R115" s="70"/>
      <c r="S115" s="70"/>
      <c r="T115" s="51"/>
      <c r="U115" s="58"/>
      <c r="V115" s="58"/>
      <c r="W115" s="95"/>
      <c r="X115" s="52"/>
      <c r="Y115" s="70"/>
    </row>
    <row r="116" spans="2:25">
      <c r="B116" s="23" t="str">
        <f>IF('Data input'!$C119="","",'Data input'!$C119)</f>
        <v>Income (loss) from discontinued operations</v>
      </c>
      <c r="C116" s="70">
        <f ca="1">IFERROR(SUMIFS(OFFSET('Data input'!$C:$C,,MATCH('Summary by type of work report'!C$9,'Data input'!$8:$8,0)-3,,),'Data input'!$C:$C,'Summary by type of work report'!$B116),"")</f>
        <v>0</v>
      </c>
      <c r="D116" s="70">
        <f ca="1">IFERROR(SUMIFS(OFFSET('Data input'!$C:$C,,MATCH('Summary by type of work report'!D$9,'Data input'!$8:$8,0)-3,,),'Data input'!$C:$C,'Summary by type of work report'!$B116),"")</f>
        <v>0</v>
      </c>
      <c r="E116" s="70">
        <f ca="1">IFERROR(SUMIFS(OFFSET('Data input'!$C:$C,,MATCH('Summary by type of work report'!E$9,'Data input'!$8:$8,0)-3,,),'Data input'!$C:$C,'Summary by type of work report'!$B116),"")</f>
        <v>0</v>
      </c>
      <c r="F116" s="51"/>
      <c r="G116" s="70">
        <f>IFERROR(SUMIFS('Data input'!119:119,'Data input'!$12:$12,'Summary by type of work report'!G$9),"")</f>
        <v>0</v>
      </c>
      <c r="H116" s="70">
        <f>IFERROR(SUMIFS('Data input'!119:119,'Data input'!$12:$12,'Summary by type of work report'!H$9),"")</f>
        <v>0</v>
      </c>
      <c r="I116" s="34"/>
      <c r="J116" s="34"/>
      <c r="K116" s="70">
        <f>IFERROR(SUMIFS('Data input'!119:119,'Data input'!$12:$12,'Summary by type of work report'!K$9),"")</f>
        <v>0</v>
      </c>
      <c r="L116" s="70">
        <f>IFERROR(SUMIFS('Data input'!119:119,'Data input'!$12:$12,'Summary by type of work report'!L$9),"")</f>
        <v>0</v>
      </c>
      <c r="M116" s="51"/>
      <c r="N116" s="70">
        <f ca="1">IFERROR(C116-SUM(D116:E116,G116:H116,I116,J116,K116:L116),"")</f>
        <v>0</v>
      </c>
      <c r="O116" s="71">
        <f ca="1">IFERROR(N116/(C116-D116-E116),0)</f>
        <v>0</v>
      </c>
      <c r="P116" s="70">
        <f>SUM(K116:L116)</f>
        <v>0</v>
      </c>
      <c r="Q116" s="71">
        <f ca="1">IFERROR(P116/(C116-D116-E116),0)</f>
        <v>0</v>
      </c>
      <c r="R116" s="70">
        <f>G116+H116+I116+J116</f>
        <v>0</v>
      </c>
      <c r="S116" s="71">
        <f ca="1">IFERROR(R116/(C116-D116-E116),0)</f>
        <v>0</v>
      </c>
      <c r="T116" s="51"/>
      <c r="U116" s="58"/>
      <c r="V116" s="58"/>
      <c r="W116" s="95"/>
      <c r="X116" s="52"/>
      <c r="Y116" s="70">
        <f ca="1">IFERROR(SUMIFS(OFFSET('Data input'!$B:$B,,MATCH('Summary by type of work report'!Y$9,'Data input'!$9:$9,0)-2),'Data input'!$C:$C,'Summary by type of work report'!$B116),0)</f>
        <v>0</v>
      </c>
    </row>
    <row r="117" spans="2:25" hidden="1">
      <c r="B117" s="17" t="str">
        <f>IF('Data input'!$C120="","",'Data input'!$C120)</f>
        <v>Intentionally hidden</v>
      </c>
      <c r="C117" s="72">
        <f ca="1">IFERROR(SUMIFS(OFFSET('Data input'!$C:$C,,MATCH('Summary by type of work report'!C$9,'Data input'!$8:$8,0)-3,,),'Data input'!$C:$C,'Summary by type of work report'!$B117),"")</f>
        <v>0</v>
      </c>
      <c r="D117" s="72">
        <f ca="1">IFERROR(SUMIFS(OFFSET('Data input'!$C:$C,,MATCH('Summary by type of work report'!D$9,'Data input'!$8:$8,0)-3,,),'Data input'!$C:$C,'Summary by type of work report'!$B117),"")</f>
        <v>0</v>
      </c>
      <c r="E117" s="72">
        <f ca="1">IFERROR(SUMIFS(OFFSET('Data input'!$C:$C,,MATCH('Summary by type of work report'!E$9,'Data input'!$8:$8,0)-3,,),'Data input'!$C:$C,'Summary by type of work report'!$B117),"")</f>
        <v>0</v>
      </c>
      <c r="F117" s="51"/>
      <c r="G117" s="72">
        <f>IFERROR(SUMIFS('Data input'!120:120,'Data input'!$12:$12,'Summary by type of work report'!G$9),"")</f>
        <v>0</v>
      </c>
      <c r="H117" s="72">
        <f>IFERROR(SUMIFS('Data input'!120:120,'Data input'!$12:$12,'Summary by type of work report'!H$9),"")</f>
        <v>0</v>
      </c>
      <c r="I117" s="7"/>
      <c r="J117" s="7"/>
      <c r="K117" s="72">
        <f>IFERROR(SUMIFS('Data input'!120:120,'Data input'!$12:$12,'Summary by type of work report'!K$9),"")</f>
        <v>0</v>
      </c>
      <c r="L117" s="72">
        <f>IFERROR(SUMIFS('Data input'!120:120,'Data input'!$12:$12,'Summary by type of work report'!L$9),"")</f>
        <v>0</v>
      </c>
      <c r="M117" s="51"/>
      <c r="N117" s="72"/>
      <c r="O117" s="73"/>
      <c r="P117" s="72"/>
      <c r="Q117" s="73">
        <f ca="1">IFERROR(P117/(C117-D117-E117),0)</f>
        <v>0</v>
      </c>
      <c r="R117" s="72">
        <f>G117+H117+I117+J117</f>
        <v>0</v>
      </c>
      <c r="S117" s="73">
        <f ca="1">IFERROR(R117/(C117-D117-E117),0)</f>
        <v>0</v>
      </c>
      <c r="T117" s="51"/>
      <c r="U117" s="59"/>
      <c r="V117" s="59"/>
      <c r="W117" s="96"/>
      <c r="X117" s="52"/>
      <c r="Y117" s="72">
        <f ca="1">IFERROR(SUMIFS(OFFSET('Data input'!$B:$B,,MATCH('Summary by type of work report'!Y$9,'Data input'!$9:$9,0)-2),'Data input'!$C:$C,'Summary by type of work report'!$B117),0)</f>
        <v>0</v>
      </c>
    </row>
    <row r="118" spans="2:25" ht="21">
      <c r="B118" s="18" t="str">
        <f>IF('Data input'!$C121="","",'Data input'!$C121)</f>
        <v>Income (loss) before cumulative effects of changes in accounting principles</v>
      </c>
      <c r="C118" s="74">
        <f ca="1">IFERROR(SUMIFS(OFFSET('Data input'!$C:$C,,MATCH('Summary by type of work report'!C$9,'Data input'!$8:$8,0)-3,,),'Data input'!$C:$C,'Summary by type of work report'!$B118),"")</f>
        <v>0</v>
      </c>
      <c r="D118" s="74">
        <f ca="1">IFERROR(SUMIFS(OFFSET('Data input'!$C:$C,,MATCH('Summary by type of work report'!D$9,'Data input'!$8:$8,0)-3,,),'Data input'!$C:$C,'Summary by type of work report'!$B118),"")</f>
        <v>0</v>
      </c>
      <c r="E118" s="74">
        <f ca="1">IFERROR(SUMIFS(OFFSET('Data input'!$C:$C,,MATCH('Summary by type of work report'!E$9,'Data input'!$8:$8,0)-3,,),'Data input'!$C:$C,'Summary by type of work report'!$B118),"")</f>
        <v>0</v>
      </c>
      <c r="F118" s="51"/>
      <c r="G118" s="74">
        <f>IFERROR(SUMIFS('Data input'!121:121,'Data input'!$12:$12,'Summary by type of work report'!G$9),"")</f>
        <v>0</v>
      </c>
      <c r="H118" s="74">
        <f>IFERROR(SUMIFS('Data input'!121:121,'Data input'!$12:$12,'Summary by type of work report'!H$9),"")</f>
        <v>0</v>
      </c>
      <c r="I118" s="36">
        <f>I114+SUM(I115:I117)</f>
        <v>0</v>
      </c>
      <c r="J118" s="36">
        <f>J114+SUM(J115:J117)</f>
        <v>0</v>
      </c>
      <c r="K118" s="74">
        <f>IFERROR(SUMIFS('Data input'!121:121,'Data input'!$12:$12,'Summary by type of work report'!K$9),"")</f>
        <v>0</v>
      </c>
      <c r="L118" s="74">
        <f>IFERROR(SUMIFS('Data input'!121:121,'Data input'!$12:$12,'Summary by type of work report'!L$9),"")</f>
        <v>0</v>
      </c>
      <c r="M118" s="51"/>
      <c r="N118" s="74">
        <f ca="1">IFERROR(C118-SUM(D118:E118,G118:H118,I118,J118,K118:L118),"")</f>
        <v>0</v>
      </c>
      <c r="O118" s="75">
        <f ca="1">IFERROR(N118/(C118-D118-E118),0)</f>
        <v>0</v>
      </c>
      <c r="P118" s="74">
        <f>SUM(K118:L118)</f>
        <v>0</v>
      </c>
      <c r="Q118" s="75">
        <f ca="1">IFERROR(P118/(C118-D118-E118),0)</f>
        <v>0</v>
      </c>
      <c r="R118" s="74">
        <f>G118+H118+I118+J118</f>
        <v>0</v>
      </c>
      <c r="S118" s="75">
        <f ca="1">IFERROR(R118/(C118-D118-E118),0)</f>
        <v>0</v>
      </c>
      <c r="T118" s="51"/>
      <c r="U118" s="60"/>
      <c r="V118" s="60"/>
      <c r="W118" s="97"/>
      <c r="X118" s="52"/>
      <c r="Y118" s="74">
        <f ca="1">IFERROR(SUMIFS(OFFSET('Data input'!$B:$B,,MATCH('Summary by type of work report'!Y$9,'Data input'!$9:$9,0)-2),'Data input'!$C:$C,'Summary by type of work report'!$B118),0)</f>
        <v>0</v>
      </c>
    </row>
    <row r="119" spans="2:25">
      <c r="B119" s="23" t="str">
        <f>IF('Data input'!$C122="","",'Data input'!$C122)</f>
        <v/>
      </c>
      <c r="C119" s="70"/>
      <c r="D119" s="70"/>
      <c r="E119" s="70"/>
      <c r="F119" s="51"/>
      <c r="G119" s="70"/>
      <c r="H119" s="70"/>
      <c r="I119" s="34"/>
      <c r="J119" s="34"/>
      <c r="K119" s="70"/>
      <c r="L119" s="70"/>
      <c r="M119" s="51"/>
      <c r="N119" s="70"/>
      <c r="O119" s="71"/>
      <c r="P119" s="70"/>
      <c r="Q119" s="70"/>
      <c r="R119" s="70"/>
      <c r="S119" s="70"/>
      <c r="T119" s="51"/>
      <c r="U119" s="58"/>
      <c r="V119" s="58"/>
      <c r="W119" s="95"/>
      <c r="X119" s="52"/>
      <c r="Y119" s="70"/>
    </row>
    <row r="120" spans="2:25" ht="20.100000000000001">
      <c r="B120" s="23" t="str">
        <f>IF('Data input'!$C123="","",'Data input'!$C123)</f>
        <v>Gain (loss) from cumulative effects of changes in accounting principles</v>
      </c>
      <c r="C120" s="70">
        <f ca="1">IFERROR(SUMIFS(OFFSET('Data input'!$C:$C,,MATCH('Summary by type of work report'!C$9,'Data input'!$8:$8,0)-3,,),'Data input'!$C:$C,'Summary by type of work report'!$B120),"")</f>
        <v>0</v>
      </c>
      <c r="D120" s="70">
        <f ca="1">IFERROR(SUMIFS(OFFSET('Data input'!$C:$C,,MATCH('Summary by type of work report'!D$9,'Data input'!$8:$8,0)-3,,),'Data input'!$C:$C,'Summary by type of work report'!$B120),"")</f>
        <v>0</v>
      </c>
      <c r="E120" s="70">
        <f ca="1">IFERROR(SUMIFS(OFFSET('Data input'!$C:$C,,MATCH('Summary by type of work report'!E$9,'Data input'!$8:$8,0)-3,,),'Data input'!$C:$C,'Summary by type of work report'!$B120),"")</f>
        <v>0</v>
      </c>
      <c r="F120" s="51"/>
      <c r="G120" s="70">
        <f>IFERROR(SUMIFS('Data input'!123:123,'Data input'!$12:$12,'Summary by type of work report'!G$9),"")</f>
        <v>0</v>
      </c>
      <c r="H120" s="70">
        <f>IFERROR(SUMIFS('Data input'!123:123,'Data input'!$12:$12,'Summary by type of work report'!H$9),"")</f>
        <v>0</v>
      </c>
      <c r="I120" s="34"/>
      <c r="J120" s="34"/>
      <c r="K120" s="70">
        <f>IFERROR(SUMIFS('Data input'!123:123,'Data input'!$12:$12,'Summary by type of work report'!K$9),"")</f>
        <v>0</v>
      </c>
      <c r="L120" s="70">
        <f>IFERROR(SUMIFS('Data input'!123:123,'Data input'!$12:$12,'Summary by type of work report'!L$9),"")</f>
        <v>0</v>
      </c>
      <c r="M120" s="51"/>
      <c r="N120" s="70">
        <f ca="1">IFERROR(C120-SUM(D120:E120,G120:H120,I120,J120,K120:L120),"")</f>
        <v>0</v>
      </c>
      <c r="O120" s="71">
        <f ca="1">IFERROR(N120/(C120-D120-E120),0)</f>
        <v>0</v>
      </c>
      <c r="P120" s="70">
        <f>SUM(K120:L120)</f>
        <v>0</v>
      </c>
      <c r="Q120" s="71">
        <f ca="1">IFERROR(P120/(C120-D120-E120),0)</f>
        <v>0</v>
      </c>
      <c r="R120" s="70">
        <f>G120+H120+I120+J120</f>
        <v>0</v>
      </c>
      <c r="S120" s="71">
        <f ca="1">IFERROR(R120/(C120-D120-E120),0)</f>
        <v>0</v>
      </c>
      <c r="T120" s="51"/>
      <c r="U120" s="58"/>
      <c r="V120" s="58"/>
      <c r="W120" s="95"/>
      <c r="X120" s="52"/>
      <c r="Y120" s="70">
        <f ca="1">IFERROR(SUMIFS(OFFSET('Data input'!$B:$B,,MATCH('Summary by type of work report'!Y$9,'Data input'!$9:$9,0)-2),'Data input'!$C:$C,'Summary by type of work report'!$B120),0)</f>
        <v>0</v>
      </c>
    </row>
    <row r="121" spans="2:25" hidden="1">
      <c r="B121" s="17" t="str">
        <f>IF('Data input'!$C124="","",'Data input'!$C124)</f>
        <v>Intentionally hidden</v>
      </c>
      <c r="C121" s="72">
        <f ca="1">IFERROR(SUMIFS(OFFSET('Data input'!$C:$C,,MATCH('Summary by type of work report'!C$9,'Data input'!$8:$8,0)-3,,),'Data input'!$C:$C,'Summary by type of work report'!$B121),"")</f>
        <v>0</v>
      </c>
      <c r="D121" s="72">
        <f ca="1">IFERROR(SUMIFS(OFFSET('Data input'!$C:$C,,MATCH('Summary by type of work report'!D$9,'Data input'!$8:$8,0)-3,,),'Data input'!$C:$C,'Summary by type of work report'!$B121),"")</f>
        <v>0</v>
      </c>
      <c r="E121" s="72">
        <f ca="1">IFERROR(SUMIFS(OFFSET('Data input'!$C:$C,,MATCH('Summary by type of work report'!E$9,'Data input'!$8:$8,0)-3,,),'Data input'!$C:$C,'Summary by type of work report'!$B121),"")</f>
        <v>0</v>
      </c>
      <c r="F121" s="51"/>
      <c r="G121" s="72">
        <f>IFERROR(SUMIFS('Data input'!124:124,'Data input'!$12:$12,'Summary by type of work report'!G$9),"")</f>
        <v>0</v>
      </c>
      <c r="H121" s="72">
        <f>IFERROR(SUMIFS('Data input'!124:124,'Data input'!$12:$12,'Summary by type of work report'!H$9),"")</f>
        <v>0</v>
      </c>
      <c r="I121" s="7"/>
      <c r="J121" s="7"/>
      <c r="K121" s="72">
        <f>IFERROR(SUMIFS('Data input'!124:124,'Data input'!$12:$12,'Summary by type of work report'!K$9),"")</f>
        <v>0</v>
      </c>
      <c r="L121" s="72">
        <f>IFERROR(SUMIFS('Data input'!124:124,'Data input'!$12:$12,'Summary by type of work report'!L$9),"")</f>
        <v>0</v>
      </c>
      <c r="M121" s="51"/>
      <c r="N121" s="72"/>
      <c r="O121" s="73"/>
      <c r="P121" s="72"/>
      <c r="Q121" s="73">
        <f ca="1">IFERROR(P121/(C121-D121-E121),0)</f>
        <v>0</v>
      </c>
      <c r="R121" s="72">
        <f>G121+H121+I121+J121</f>
        <v>0</v>
      </c>
      <c r="S121" s="73">
        <f ca="1">IFERROR(R121/(C121-D121-E121),0)</f>
        <v>0</v>
      </c>
      <c r="T121" s="51"/>
      <c r="U121" s="59"/>
      <c r="V121" s="59"/>
      <c r="W121" s="96"/>
      <c r="X121" s="52"/>
      <c r="Y121" s="72">
        <f ca="1">IFERROR(SUMIFS(OFFSET('Data input'!$B:$B,,MATCH('Summary by type of work report'!Y$9,'Data input'!$9:$9,0)-2),'Data input'!$C:$C,'Summary by type of work report'!$B121),0)</f>
        <v>0</v>
      </c>
    </row>
    <row r="122" spans="2:25" ht="10.5">
      <c r="B122" s="19" t="str">
        <f>IF('Data input'!$C125="","",'Data input'!$C125)</f>
        <v>Net income (loss)</v>
      </c>
      <c r="C122" s="78">
        <f ca="1">IFERROR(SUMIFS(OFFSET('Data input'!$C:$C,,MATCH('Summary by type of work report'!C$9,'Data input'!$8:$8,0)-3,,),'Data input'!$C:$C,'Summary by type of work report'!$B122),"")</f>
        <v>0</v>
      </c>
      <c r="D122" s="78">
        <f ca="1">IFERROR(SUMIFS(OFFSET('Data input'!$C:$C,,MATCH('Summary by type of work report'!D$9,'Data input'!$8:$8,0)-3,,),'Data input'!$C:$C,'Summary by type of work report'!$B122),"")</f>
        <v>0</v>
      </c>
      <c r="E122" s="78">
        <f ca="1">IFERROR(SUMIFS(OFFSET('Data input'!$C:$C,,MATCH('Summary by type of work report'!E$9,'Data input'!$8:$8,0)-3,,),'Data input'!$C:$C,'Summary by type of work report'!$B122),"")</f>
        <v>0</v>
      </c>
      <c r="F122" s="51"/>
      <c r="G122" s="78">
        <f>IFERROR(SUMIFS('Data input'!125:125,'Data input'!$12:$12,'Summary by type of work report'!G$9),"")</f>
        <v>0</v>
      </c>
      <c r="H122" s="78">
        <f>IFERROR(SUMIFS('Data input'!125:125,'Data input'!$12:$12,'Summary by type of work report'!H$9),"")</f>
        <v>0</v>
      </c>
      <c r="I122" s="38">
        <f>I118+SUM(I119:I121)</f>
        <v>0</v>
      </c>
      <c r="J122" s="38">
        <f>J118+SUM(J119:J121)</f>
        <v>0</v>
      </c>
      <c r="K122" s="78">
        <f>IFERROR(SUMIFS('Data input'!125:125,'Data input'!$12:$12,'Summary by type of work report'!K$9),"")</f>
        <v>0</v>
      </c>
      <c r="L122" s="78">
        <f>IFERROR(SUMIFS('Data input'!125:125,'Data input'!$12:$12,'Summary by type of work report'!L$9),"")</f>
        <v>0</v>
      </c>
      <c r="M122" s="51"/>
      <c r="N122" s="78">
        <f ca="1">IFERROR(C122-SUM(D122:E122,G122:H122,I122,J122,K122:L122),"")</f>
        <v>0</v>
      </c>
      <c r="O122" s="79">
        <f ca="1">IFERROR(N122/(C122-D122-E122),0)</f>
        <v>0</v>
      </c>
      <c r="P122" s="78">
        <f>SUM(K122:L122)</f>
        <v>0</v>
      </c>
      <c r="Q122" s="79">
        <f ca="1">IFERROR(P122/(C122-D122-E122),0)</f>
        <v>0</v>
      </c>
      <c r="R122" s="78">
        <f>G122+H122+I122+J122</f>
        <v>0</v>
      </c>
      <c r="S122" s="79">
        <f ca="1">IFERROR(R122/(C122-D122-E122),0)</f>
        <v>0</v>
      </c>
      <c r="T122" s="51"/>
      <c r="U122" s="62"/>
      <c r="V122" s="62"/>
      <c r="W122" s="99"/>
      <c r="X122" s="52"/>
      <c r="Y122" s="78">
        <f ca="1">IFERROR(SUMIFS(OFFSET('Data input'!$B:$B,,MATCH('Summary by type of work report'!Y$9,'Data input'!$9:$9,0)-2),'Data input'!$C:$C,'Summary by type of work report'!$B122),0)</f>
        <v>0</v>
      </c>
    </row>
    <row r="123" spans="2:25">
      <c r="B123" s="15" t="str">
        <f>IF('Data input'!$C126="","",'Data input'!$C126)</f>
        <v/>
      </c>
      <c r="C123" s="76"/>
      <c r="D123" s="76"/>
      <c r="E123" s="76"/>
      <c r="F123" s="51"/>
      <c r="G123" s="76"/>
      <c r="H123" s="76"/>
      <c r="I123" s="30"/>
      <c r="J123" s="30"/>
      <c r="K123" s="76"/>
      <c r="L123" s="76"/>
      <c r="M123" s="51"/>
      <c r="N123" s="76"/>
      <c r="O123" s="77"/>
      <c r="P123" s="76"/>
      <c r="Q123" s="76"/>
      <c r="R123" s="76"/>
      <c r="S123" s="76"/>
      <c r="T123" s="51"/>
      <c r="U123" s="61"/>
      <c r="V123" s="61"/>
      <c r="W123" s="98"/>
      <c r="X123" s="52"/>
      <c r="Y123" s="76"/>
    </row>
    <row r="124" spans="2:25" ht="20.100000000000001">
      <c r="B124" s="23" t="str">
        <f>IF('Data input'!$C127="","",'Data input'!$C127)</f>
        <v>Less: Net income (loss) attributable to noncontrolling interests</v>
      </c>
      <c r="C124" s="70">
        <f ca="1">IFERROR(SUMIFS(OFFSET('Data input'!$C:$C,,MATCH('Summary by type of work report'!C$9,'Data input'!$8:$8,0)-3,,),'Data input'!$C:$C,'Summary by type of work report'!$B124),"")</f>
        <v>0</v>
      </c>
      <c r="D124" s="70">
        <f ca="1">IFERROR(SUMIFS(OFFSET('Data input'!$C:$C,,MATCH('Summary by type of work report'!D$9,'Data input'!$8:$8,0)-3,,),'Data input'!$C:$C,'Summary by type of work report'!$B124),"")</f>
        <v>0</v>
      </c>
      <c r="E124" s="70">
        <f ca="1">IFERROR(SUMIFS(OFFSET('Data input'!$C:$C,,MATCH('Summary by type of work report'!E$9,'Data input'!$8:$8,0)-3,,),'Data input'!$C:$C,'Summary by type of work report'!$B124),"")</f>
        <v>0</v>
      </c>
      <c r="F124" s="51"/>
      <c r="G124" s="70">
        <f>IFERROR(SUMIFS('Data input'!127:127,'Data input'!$12:$12,'Summary by type of work report'!G$9),"")</f>
        <v>0</v>
      </c>
      <c r="H124" s="70">
        <f>IFERROR(SUMIFS('Data input'!127:127,'Data input'!$12:$12,'Summary by type of work report'!H$9),"")</f>
        <v>0</v>
      </c>
      <c r="I124" s="34"/>
      <c r="J124" s="34"/>
      <c r="K124" s="70">
        <f>IFERROR(SUMIFS('Data input'!127:127,'Data input'!$12:$12,'Summary by type of work report'!K$9),"")</f>
        <v>0</v>
      </c>
      <c r="L124" s="70">
        <f>IFERROR(SUMIFS('Data input'!127:127,'Data input'!$12:$12,'Summary by type of work report'!L$9),"")</f>
        <v>0</v>
      </c>
      <c r="M124" s="51"/>
      <c r="N124" s="70">
        <f ca="1">IFERROR(C124-SUM(D124:E124,G124:H124,I124,J124,K124:L124),"")</f>
        <v>0</v>
      </c>
      <c r="O124" s="71">
        <f ca="1">IFERROR(N124/(C124-D124-E124),0)</f>
        <v>0</v>
      </c>
      <c r="P124" s="70">
        <f>SUM(K124:L124)</f>
        <v>0</v>
      </c>
      <c r="Q124" s="71">
        <f ca="1">IFERROR(P124/(C124-D124-E124),0)</f>
        <v>0</v>
      </c>
      <c r="R124" s="70">
        <f>G124+H124+I124+J124</f>
        <v>0</v>
      </c>
      <c r="S124" s="71">
        <f ca="1">IFERROR(R124/(C124-D124-E124),0)</f>
        <v>0</v>
      </c>
      <c r="T124" s="51"/>
      <c r="U124" s="58"/>
      <c r="V124" s="58"/>
      <c r="W124" s="95"/>
      <c r="X124" s="52"/>
      <c r="Y124" s="70">
        <f ca="1">IFERROR(SUMIFS(OFFSET('Data input'!$B:$B,,MATCH('Summary by type of work report'!Y$9,'Data input'!$9:$9,0)-2),'Data input'!$C:$C,'Summary by type of work report'!$B124),0)</f>
        <v>0</v>
      </c>
    </row>
    <row r="125" spans="2:25" ht="11.25" hidden="1" customHeight="1">
      <c r="B125" s="112" t="str">
        <f>IF('Data input'!$C128="","",'Data input'!$C128)</f>
        <v>Intentionally hidden</v>
      </c>
      <c r="C125" s="82">
        <f ca="1">IFERROR(SUMIFS(OFFSET('Data input'!$C:$C,,MATCH('Summary by type of work report'!C$9,'Data input'!$8:$8,0)-3,,),'Data input'!$C:$C,'Summary by type of work report'!$B125),"")</f>
        <v>0</v>
      </c>
      <c r="D125" s="82">
        <f ca="1">IFERROR(SUMIFS(OFFSET('Data input'!$C:$C,,MATCH('Summary by type of work report'!D$9,'Data input'!$8:$8,0)-3,,),'Data input'!$C:$C,'Summary by type of work report'!$B125),"")</f>
        <v>0</v>
      </c>
      <c r="E125" s="82">
        <f ca="1">IFERROR(SUMIFS(OFFSET('Data input'!$C:$C,,MATCH('Summary by type of work report'!E$9,'Data input'!$8:$8,0)-3,,),'Data input'!$C:$C,'Summary by type of work report'!$B125),"")</f>
        <v>0</v>
      </c>
      <c r="F125" s="51"/>
      <c r="G125" s="82">
        <f>IFERROR(SUMIFS('Data input'!128:128,'Data input'!$12:$12,'Summary by type of work report'!G$9),"")</f>
        <v>0</v>
      </c>
      <c r="H125" s="82">
        <f>IFERROR(SUMIFS('Data input'!128:128,'Data input'!$12:$12,'Summary by type of work report'!H$9),"")</f>
        <v>0</v>
      </c>
      <c r="I125" s="7"/>
      <c r="J125" s="7"/>
      <c r="K125" s="82">
        <f>IFERROR(SUMIFS('Data input'!128:128,'Data input'!$12:$12,'Summary by type of work report'!K$9),"")</f>
        <v>0</v>
      </c>
      <c r="L125" s="82">
        <f>IFERROR(SUMIFS('Data input'!128:128,'Data input'!$12:$12,'Summary by type of work report'!L$9),"")</f>
        <v>0</v>
      </c>
      <c r="M125" s="51"/>
      <c r="N125" s="82"/>
      <c r="O125" s="83"/>
      <c r="P125" s="82"/>
      <c r="Q125" s="83">
        <f ca="1">IFERROR(P125/(C125-D125-E125),0)</f>
        <v>0</v>
      </c>
      <c r="R125" s="82">
        <f>G125+H125+I125+J125</f>
        <v>0</v>
      </c>
      <c r="S125" s="83">
        <f ca="1">IFERROR(R125/(C125-D125-E125),0)</f>
        <v>0</v>
      </c>
      <c r="T125" s="51"/>
      <c r="U125" s="64"/>
      <c r="V125" s="64"/>
      <c r="W125" s="101"/>
      <c r="X125" s="52"/>
      <c r="Y125" s="82">
        <f ca="1">IFERROR(SUMIFS(OFFSET('Data input'!$B:$B,,MATCH('Summary by type of work report'!Y$9,'Data input'!$9:$9,0)-2),'Data input'!$C:$C,'Summary by type of work report'!$B125),0)</f>
        <v>0</v>
      </c>
    </row>
    <row r="126" spans="2:25" ht="11.1" thickBot="1">
      <c r="B126" s="21" t="str">
        <f>IF('Data input'!$C129="","",'Data input'!$C129)</f>
        <v>Net income (loss) attributable to parent</v>
      </c>
      <c r="C126" s="84">
        <f ca="1">IFERROR(SUMIFS(OFFSET('Data input'!$C:$C,,MATCH('Summary by type of work report'!C$9,'Data input'!$8:$8,0)-3,,),'Data input'!$C:$C,'Summary by type of work report'!$B126),"")</f>
        <v>0</v>
      </c>
      <c r="D126" s="84">
        <f ca="1">IFERROR(SUMIFS(OFFSET('Data input'!$C:$C,,MATCH('Summary by type of work report'!D$9,'Data input'!$8:$8,0)-3,,),'Data input'!$C:$C,'Summary by type of work report'!$B126),"")</f>
        <v>0</v>
      </c>
      <c r="E126" s="84">
        <f ca="1">IFERROR(SUMIFS(OFFSET('Data input'!$C:$C,,MATCH('Summary by type of work report'!E$9,'Data input'!$8:$8,0)-3,,),'Data input'!$C:$C,'Summary by type of work report'!$B126),"")</f>
        <v>0</v>
      </c>
      <c r="F126" s="51"/>
      <c r="G126" s="84">
        <f>IFERROR(SUMIFS('Data input'!129:129,'Data input'!$12:$12,'Summary by type of work report'!G$9),"")</f>
        <v>0</v>
      </c>
      <c r="H126" s="84">
        <f>IFERROR(SUMIFS('Data input'!129:129,'Data input'!$12:$12,'Summary by type of work report'!H$9),"")</f>
        <v>0</v>
      </c>
      <c r="I126" s="42">
        <f>I122-SUM(I123:I125)</f>
        <v>0</v>
      </c>
      <c r="J126" s="42">
        <f>J122-SUM(J123:J125)</f>
        <v>0</v>
      </c>
      <c r="K126" s="84">
        <f>IFERROR(SUMIFS('Data input'!129:129,'Data input'!$12:$12,'Summary by type of work report'!K$9),"")</f>
        <v>0</v>
      </c>
      <c r="L126" s="84">
        <f>IFERROR(SUMIFS('Data input'!129:129,'Data input'!$12:$12,'Summary by type of work report'!L$9),"")</f>
        <v>0</v>
      </c>
      <c r="M126" s="51"/>
      <c r="N126" s="84">
        <f ca="1">IFERROR(C126-SUM(D126:E126,G126:H126,I126,J126,K126:L126),"")</f>
        <v>0</v>
      </c>
      <c r="O126" s="85">
        <f ca="1">IFERROR(N126/(C126-D126-E126),0)</f>
        <v>0</v>
      </c>
      <c r="P126" s="84">
        <f>SUM(K126:L126)</f>
        <v>0</v>
      </c>
      <c r="Q126" s="85">
        <f ca="1">IFERROR(P126/(C126-D126-E126),0)</f>
        <v>0</v>
      </c>
      <c r="R126" s="84">
        <f>G126+H126+I126+J126</f>
        <v>0</v>
      </c>
      <c r="S126" s="85">
        <f ca="1">IFERROR(R126/(C126-D126-E126),0)</f>
        <v>0</v>
      </c>
      <c r="T126" s="51"/>
      <c r="U126" s="65"/>
      <c r="V126" s="65"/>
      <c r="W126" s="102"/>
      <c r="X126" s="52"/>
      <c r="Y126" s="84">
        <f ca="1">IFERROR(SUMIFS(OFFSET('Data input'!$B:$B,,MATCH('Summary by type of work report'!Y$9,'Data input'!$9:$9,0)-2),'Data input'!$C:$C,'Summary by type of work report'!$B126),0)</f>
        <v>0</v>
      </c>
    </row>
    <row r="127" spans="2:25" ht="10.5" thickTop="1">
      <c r="C127" s="94"/>
      <c r="D127" s="55"/>
      <c r="E127" s="55"/>
      <c r="F127" s="51"/>
      <c r="G127" s="94"/>
      <c r="H127" s="94"/>
      <c r="I127" s="68"/>
      <c r="J127" s="68"/>
      <c r="K127" s="94"/>
      <c r="L127" s="94"/>
      <c r="M127" s="51"/>
      <c r="N127" s="94"/>
      <c r="O127" s="94"/>
      <c r="P127" s="94"/>
      <c r="Q127" s="94"/>
      <c r="R127" s="94"/>
      <c r="S127" s="94"/>
      <c r="T127" s="51"/>
      <c r="U127" s="57"/>
      <c r="V127" s="57"/>
      <c r="W127" s="52"/>
      <c r="X127" s="52"/>
      <c r="Y127" s="94"/>
    </row>
    <row r="128" spans="2:25" hidden="1">
      <c r="B128" s="23" t="str">
        <f>IF('Data input'!$C131="","",'Data input'!$C131)</f>
        <v/>
      </c>
      <c r="C128" s="70">
        <f ca="1">IFERROR(SUMIFS(OFFSET('Data input'!$C:$C,,MATCH('Summary by type of work report'!C$9,'Data input'!$8:$8,0)-3,,),'Data input'!$C:$C,'Summary by type of work report'!$B128),"")</f>
        <v>0</v>
      </c>
      <c r="D128" s="70">
        <f ca="1">IFERROR(SUMIFS(OFFSET('Data input'!$C:$C,,MATCH('Summary by type of work report'!D$9,'Data input'!$8:$8,0)-3,,),'Data input'!$C:$C,'Summary by type of work report'!$B128),"")</f>
        <v>0</v>
      </c>
      <c r="E128" s="70">
        <f ca="1">IFERROR(SUMIFS(OFFSET('Data input'!$C:$C,,MATCH('Summary by type of work report'!E$9,'Data input'!$8:$8,0)-3,,),'Data input'!$C:$C,'Summary by type of work report'!$B128),"")</f>
        <v>0</v>
      </c>
      <c r="F128" s="51"/>
      <c r="G128" s="70">
        <f>IFERROR(SUMIFS('Data input'!131:131,'Data input'!$12:$12,'Summary by type of work report'!G$9),"")</f>
        <v>0</v>
      </c>
      <c r="H128" s="70">
        <f>IFERROR(SUMIFS('Data input'!131:131,'Data input'!$12:$12,'Summary by type of work report'!H$9),"")</f>
        <v>0</v>
      </c>
      <c r="I128" s="58"/>
      <c r="J128" s="58"/>
      <c r="K128" s="70">
        <f>IFERROR(SUMIFS('Data input'!131:131,'Data input'!$12:$12,'Summary by type of work report'!K$9),"")</f>
        <v>0</v>
      </c>
      <c r="L128" s="70">
        <f>IFERROR(SUMIFS('Data input'!131:131,'Data input'!$12:$12,'Summary by type of work report'!L$9),"")</f>
        <v>0</v>
      </c>
      <c r="M128" s="51"/>
      <c r="N128" s="70">
        <f ca="1">IFERROR(C128-SUM(D128:E128,G128:H128,I128,J128,K128:L128),"")</f>
        <v>0</v>
      </c>
      <c r="O128" s="71">
        <f ca="1">IFERROR(N128/(C128-D128-E128),0)</f>
        <v>0</v>
      </c>
      <c r="P128" s="70">
        <f>SUM(K128:L128)</f>
        <v>0</v>
      </c>
      <c r="Q128" s="71">
        <f ca="1">IFERROR(P128/(C128-D128-E128),0)</f>
        <v>0</v>
      </c>
      <c r="R128" s="70">
        <f>G128+H128+I128+J128</f>
        <v>0</v>
      </c>
      <c r="S128" s="71">
        <f ca="1">IFERROR(R128/(C128-D128-E128),0)</f>
        <v>0</v>
      </c>
      <c r="T128" s="51"/>
      <c r="U128" s="58"/>
      <c r="V128" s="58"/>
      <c r="W128" s="95"/>
      <c r="X128" s="52"/>
      <c r="Y128" s="70">
        <f ca="1">IFERROR(SUMIFS(OFFSET('Data input'!$B:$B,,MATCH('Summary by type of work report'!Y$9,'Data input'!$9:$9,0)-2),'Data input'!$C:$C,'Summary by type of work report'!$B128),0)</f>
        <v>0</v>
      </c>
    </row>
    <row r="129" spans="3:24">
      <c r="C129" s="48"/>
      <c r="D129" s="48"/>
      <c r="E129" s="48"/>
      <c r="G129" s="48"/>
      <c r="H129" s="48"/>
      <c r="I129" s="48"/>
      <c r="J129" s="48"/>
      <c r="K129" s="48"/>
      <c r="L129" s="48"/>
      <c r="N129" s="48"/>
      <c r="O129" s="48"/>
      <c r="P129" s="48"/>
      <c r="Q129" s="48"/>
      <c r="R129" s="48"/>
      <c r="S129" s="48"/>
      <c r="U129" s="48"/>
      <c r="V129" s="48"/>
      <c r="W129" s="48"/>
      <c r="X129" s="48"/>
    </row>
  </sheetData>
  <sheetProtection algorithmName="SHA-512" hashValue="4JKSPZAqiPEpcUy9bmeBi6OyVnIwlFMGN4TGZDcJPEeymvbpPm/HHSyzUibD0YFOb9pYJEhxryRcTNGaXqXseQ==" saltValue="deYR7DEIyqGTXMvfdjICog==" spinCount="100000" sheet="1" objects="1" scenarios="1" formatCells="0" formatRows="0" insertRows="0" deleteRows="0"/>
  <mergeCells count="6">
    <mergeCell ref="C4:D4"/>
    <mergeCell ref="C5:D5"/>
    <mergeCell ref="U8:W8"/>
    <mergeCell ref="N5:O8"/>
    <mergeCell ref="P5:Q8"/>
    <mergeCell ref="R5:S8"/>
  </mergeCells>
  <dataValidations count="2">
    <dataValidation allowBlank="1" showInputMessage="1" showErrorMessage="1" prompt="The group engagement team may also refer to a separate workpaper that documents significant professional judgments, if any." sqref="W7" xr:uid="{00000000-0002-0000-0400-000000000000}"/>
    <dataValidation allowBlank="1" showInputMessage="1" showErrorMessage="1" prompt="Document the amounts that are in-scope by financial statement caption by entering the amounts manually or by summing the amounts from the applicable components using the columns to the right." sqref="I8:J8" xr:uid="{00000000-0002-0000-0400-000001000000}"/>
  </dataValidations>
  <pageMargins left="0.7" right="0.7" top="0.75" bottom="0.75" header="0.3" footer="0.3"/>
  <pageSetup orientation="portrait" r:id="rId1"/>
  <ignoredErrors>
    <ignoredError sqref="I23:J23 I38:J38"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6235-D78D-4E79-8E71-518BB3A9F4A3}">
  <sheetPr codeName="sheetContentTranslation"/>
  <dimension ref="A3:B210"/>
  <sheetViews>
    <sheetView workbookViewId="0">
      <selection activeCell="A24" sqref="A24"/>
    </sheetView>
  </sheetViews>
  <sheetFormatPr defaultRowHeight="9.9499999999999993"/>
  <cols>
    <col min="1" max="1" width="80.33203125" style="156" customWidth="1"/>
    <col min="2" max="2" width="80.33203125" style="158" customWidth="1"/>
  </cols>
  <sheetData>
    <row r="3" spans="1:2">
      <c r="A3" s="156" t="s">
        <v>3</v>
      </c>
      <c r="B3" s="158" t="s">
        <v>3</v>
      </c>
    </row>
    <row r="4" spans="1:2" ht="90">
      <c r="A4" s="156" t="s">
        <v>4</v>
      </c>
      <c r="B4" s="158" t="s">
        <v>4</v>
      </c>
    </row>
    <row r="5" spans="1:2">
      <c r="A5" s="156" t="s">
        <v>5</v>
      </c>
      <c r="B5" s="158" t="s">
        <v>5</v>
      </c>
    </row>
    <row r="6" spans="1:2">
      <c r="A6" s="157">
        <v>44348</v>
      </c>
      <c r="B6" s="159">
        <v>44348</v>
      </c>
    </row>
    <row r="7" spans="1:2">
      <c r="A7" s="156" t="s">
        <v>6</v>
      </c>
      <c r="B7" s="158" t="s">
        <v>6</v>
      </c>
    </row>
    <row r="8" spans="1:2" ht="39.950000000000003">
      <c r="A8" s="156" t="s">
        <v>7</v>
      </c>
      <c r="B8" s="158" t="s">
        <v>7</v>
      </c>
    </row>
    <row r="9" spans="1:2" ht="60">
      <c r="A9" s="156" t="s">
        <v>8</v>
      </c>
      <c r="B9" s="158" t="s">
        <v>8</v>
      </c>
    </row>
    <row r="10" spans="1:2">
      <c r="A10" s="156" t="s">
        <v>9</v>
      </c>
      <c r="B10" s="158" t="s">
        <v>9</v>
      </c>
    </row>
    <row r="11" spans="1:2">
      <c r="A11" s="156" t="s">
        <v>10</v>
      </c>
      <c r="B11" s="158" t="s">
        <v>10</v>
      </c>
    </row>
    <row r="12" spans="1:2">
      <c r="A12" s="156" t="s">
        <v>11</v>
      </c>
      <c r="B12" s="158" t="s">
        <v>11</v>
      </c>
    </row>
    <row r="13" spans="1:2">
      <c r="A13" s="156" t="s">
        <v>12</v>
      </c>
      <c r="B13" s="158" t="s">
        <v>12</v>
      </c>
    </row>
    <row r="14" spans="1:2">
      <c r="A14" s="156" t="s">
        <v>13</v>
      </c>
      <c r="B14" s="158" t="s">
        <v>13</v>
      </c>
    </row>
    <row r="15" spans="1:2" ht="30">
      <c r="A15" s="156" t="s">
        <v>14</v>
      </c>
      <c r="B15" s="158" t="s">
        <v>14</v>
      </c>
    </row>
    <row r="16" spans="1:2" ht="60">
      <c r="A16" s="156" t="s">
        <v>15</v>
      </c>
      <c r="B16" s="158" t="s">
        <v>15</v>
      </c>
    </row>
    <row r="17" spans="1:2" ht="50.1">
      <c r="A17" s="156" t="s">
        <v>16</v>
      </c>
      <c r="B17" s="158" t="s">
        <v>16</v>
      </c>
    </row>
    <row r="18" spans="1:2" ht="50.1">
      <c r="A18" s="156" t="s">
        <v>17</v>
      </c>
      <c r="B18" s="158" t="s">
        <v>17</v>
      </c>
    </row>
    <row r="19" spans="1:2">
      <c r="A19" s="156" t="s">
        <v>18</v>
      </c>
      <c r="B19" s="158" t="s">
        <v>18</v>
      </c>
    </row>
    <row r="20" spans="1:2" ht="99.95">
      <c r="A20" s="156" t="s">
        <v>19</v>
      </c>
      <c r="B20" s="158" t="s">
        <v>19</v>
      </c>
    </row>
    <row r="21" spans="1:2" ht="99.95">
      <c r="A21" s="156" t="s">
        <v>20</v>
      </c>
      <c r="B21" s="158" t="s">
        <v>20</v>
      </c>
    </row>
    <row r="22" spans="1:2">
      <c r="A22" s="156" t="s">
        <v>21</v>
      </c>
      <c r="B22" s="158" t="s">
        <v>21</v>
      </c>
    </row>
    <row r="23" spans="1:2" ht="240">
      <c r="A23" s="156" t="s">
        <v>22</v>
      </c>
      <c r="B23" s="158" t="s">
        <v>22</v>
      </c>
    </row>
    <row r="24" spans="1:2" ht="120.6">
      <c r="A24" s="156" t="s">
        <v>23</v>
      </c>
      <c r="B24" s="158" t="s">
        <v>24</v>
      </c>
    </row>
    <row r="25" spans="1:2" ht="220.5">
      <c r="A25" s="156" t="s">
        <v>25</v>
      </c>
      <c r="B25" s="158" t="s">
        <v>26</v>
      </c>
    </row>
    <row r="26" spans="1:2" ht="141">
      <c r="A26" s="156" t="s">
        <v>27</v>
      </c>
      <c r="B26" s="158" t="s">
        <v>28</v>
      </c>
    </row>
    <row r="27" spans="1:2" ht="90.6">
      <c r="A27" s="156" t="s">
        <v>29</v>
      </c>
      <c r="B27" s="158" t="s">
        <v>30</v>
      </c>
    </row>
    <row r="28" spans="1:2" ht="240.6">
      <c r="A28" s="156" t="s">
        <v>31</v>
      </c>
      <c r="B28" s="158" t="s">
        <v>32</v>
      </c>
    </row>
    <row r="29" spans="1:2" ht="160.5">
      <c r="A29" s="156" t="s">
        <v>33</v>
      </c>
      <c r="B29" s="158" t="s">
        <v>34</v>
      </c>
    </row>
    <row r="30" spans="1:2">
      <c r="A30" s="156" t="s">
        <v>35</v>
      </c>
      <c r="B30" s="158" t="s">
        <v>35</v>
      </c>
    </row>
    <row r="31" spans="1:2" ht="60">
      <c r="A31" s="156" t="s">
        <v>36</v>
      </c>
      <c r="B31" s="158" t="s">
        <v>36</v>
      </c>
    </row>
    <row r="32" spans="1:2" ht="60">
      <c r="A32" s="156" t="s">
        <v>37</v>
      </c>
      <c r="B32" s="158" t="s">
        <v>37</v>
      </c>
    </row>
    <row r="33" spans="1:2">
      <c r="A33" s="156" t="s">
        <v>38</v>
      </c>
      <c r="B33" s="158" t="s">
        <v>38</v>
      </c>
    </row>
    <row r="34" spans="1:2">
      <c r="A34" s="156" t="s">
        <v>39</v>
      </c>
      <c r="B34" s="158" t="s">
        <v>39</v>
      </c>
    </row>
    <row r="35" spans="1:2">
      <c r="A35" s="156" t="s">
        <v>40</v>
      </c>
      <c r="B35" s="158" t="s">
        <v>40</v>
      </c>
    </row>
    <row r="36" spans="1:2">
      <c r="A36" s="156" t="s">
        <v>41</v>
      </c>
      <c r="B36" s="158" t="s">
        <v>41</v>
      </c>
    </row>
    <row r="37" spans="1:2">
      <c r="A37" s="156" t="s">
        <v>42</v>
      </c>
      <c r="B37" s="158" t="s">
        <v>42</v>
      </c>
    </row>
    <row r="38" spans="1:2">
      <c r="A38" s="156" t="s">
        <v>43</v>
      </c>
      <c r="B38" s="158" t="s">
        <v>43</v>
      </c>
    </row>
    <row r="39" spans="1:2">
      <c r="A39" s="156" t="s">
        <v>44</v>
      </c>
      <c r="B39" s="158" t="s">
        <v>44</v>
      </c>
    </row>
    <row r="40" spans="1:2">
      <c r="A40" s="156" t="s">
        <v>45</v>
      </c>
      <c r="B40" s="158" t="s">
        <v>45</v>
      </c>
    </row>
    <row r="41" spans="1:2">
      <c r="A41" s="156" t="s">
        <v>46</v>
      </c>
      <c r="B41" s="158" t="s">
        <v>46</v>
      </c>
    </row>
    <row r="42" spans="1:2">
      <c r="A42" s="156" t="s">
        <v>47</v>
      </c>
      <c r="B42" s="158" t="s">
        <v>47</v>
      </c>
    </row>
    <row r="43" spans="1:2">
      <c r="A43" s="156" t="s">
        <v>48</v>
      </c>
      <c r="B43" s="158" t="s">
        <v>48</v>
      </c>
    </row>
    <row r="44" spans="1:2" ht="20.100000000000001">
      <c r="A44" s="156" t="s">
        <v>49</v>
      </c>
      <c r="B44" s="158" t="s">
        <v>49</v>
      </c>
    </row>
    <row r="45" spans="1:2" ht="20.100000000000001">
      <c r="A45" s="156" t="s">
        <v>50</v>
      </c>
      <c r="B45" s="158" t="s">
        <v>50</v>
      </c>
    </row>
    <row r="46" spans="1:2">
      <c r="A46" s="156" t="s">
        <v>51</v>
      </c>
      <c r="B46" s="158" t="s">
        <v>51</v>
      </c>
    </row>
    <row r="47" spans="1:2">
      <c r="A47" s="156" t="s">
        <v>52</v>
      </c>
      <c r="B47" s="158" t="s">
        <v>52</v>
      </c>
    </row>
    <row r="48" spans="1:2">
      <c r="A48" s="156" t="s">
        <v>53</v>
      </c>
      <c r="B48" s="158" t="s">
        <v>53</v>
      </c>
    </row>
    <row r="49" spans="1:2">
      <c r="A49" s="156" t="s">
        <v>54</v>
      </c>
      <c r="B49" s="158" t="s">
        <v>54</v>
      </c>
    </row>
    <row r="50" spans="1:2">
      <c r="A50" s="156" t="s">
        <v>55</v>
      </c>
      <c r="B50" s="158" t="s">
        <v>55</v>
      </c>
    </row>
    <row r="51" spans="1:2">
      <c r="A51" s="156" t="s">
        <v>56</v>
      </c>
      <c r="B51" s="158" t="s">
        <v>56</v>
      </c>
    </row>
    <row r="52" spans="1:2">
      <c r="A52" s="156" t="s">
        <v>57</v>
      </c>
      <c r="B52" s="158" t="s">
        <v>57</v>
      </c>
    </row>
    <row r="53" spans="1:2">
      <c r="A53" s="156" t="s">
        <v>58</v>
      </c>
      <c r="B53" s="158" t="s">
        <v>58</v>
      </c>
    </row>
    <row r="54" spans="1:2">
      <c r="A54" s="156" t="s">
        <v>59</v>
      </c>
      <c r="B54" s="158" t="s">
        <v>59</v>
      </c>
    </row>
    <row r="55" spans="1:2">
      <c r="A55" s="156" t="s">
        <v>60</v>
      </c>
      <c r="B55" s="158" t="s">
        <v>60</v>
      </c>
    </row>
    <row r="56" spans="1:2">
      <c r="A56" s="156" t="s">
        <v>61</v>
      </c>
      <c r="B56" s="158" t="s">
        <v>61</v>
      </c>
    </row>
    <row r="57" spans="1:2">
      <c r="A57" s="156" t="s">
        <v>62</v>
      </c>
      <c r="B57" s="158" t="s">
        <v>62</v>
      </c>
    </row>
    <row r="58" spans="1:2">
      <c r="A58" s="156" t="s">
        <v>63</v>
      </c>
      <c r="B58" s="158" t="s">
        <v>63</v>
      </c>
    </row>
    <row r="59" spans="1:2">
      <c r="A59" s="156" t="s">
        <v>64</v>
      </c>
      <c r="B59" s="158" t="s">
        <v>64</v>
      </c>
    </row>
    <row r="60" spans="1:2">
      <c r="A60" s="156" t="s">
        <v>65</v>
      </c>
      <c r="B60" s="158" t="s">
        <v>65</v>
      </c>
    </row>
    <row r="61" spans="1:2">
      <c r="A61" s="156" t="s">
        <v>66</v>
      </c>
      <c r="B61" s="158" t="s">
        <v>66</v>
      </c>
    </row>
    <row r="62" spans="1:2">
      <c r="A62" s="156" t="s">
        <v>67</v>
      </c>
      <c r="B62" s="158" t="s">
        <v>67</v>
      </c>
    </row>
    <row r="63" spans="1:2">
      <c r="A63" s="156" t="s">
        <v>68</v>
      </c>
      <c r="B63" s="158" t="s">
        <v>68</v>
      </c>
    </row>
    <row r="64" spans="1:2">
      <c r="A64" s="156" t="s">
        <v>69</v>
      </c>
      <c r="B64" s="158" t="s">
        <v>69</v>
      </c>
    </row>
    <row r="65" spans="1:2">
      <c r="A65" s="156" t="s">
        <v>70</v>
      </c>
      <c r="B65" s="158" t="s">
        <v>70</v>
      </c>
    </row>
    <row r="66" spans="1:2">
      <c r="A66" s="156" t="s">
        <v>71</v>
      </c>
      <c r="B66" s="158" t="s">
        <v>71</v>
      </c>
    </row>
    <row r="67" spans="1:2">
      <c r="A67" s="156" t="s">
        <v>72</v>
      </c>
      <c r="B67" s="158" t="s">
        <v>72</v>
      </c>
    </row>
    <row r="68" spans="1:2">
      <c r="A68" s="156" t="s">
        <v>73</v>
      </c>
      <c r="B68" s="158" t="s">
        <v>73</v>
      </c>
    </row>
    <row r="69" spans="1:2">
      <c r="A69" s="156" t="s">
        <v>74</v>
      </c>
      <c r="B69" s="158" t="s">
        <v>74</v>
      </c>
    </row>
    <row r="70" spans="1:2">
      <c r="A70" s="156" t="s">
        <v>75</v>
      </c>
      <c r="B70" s="158" t="s">
        <v>75</v>
      </c>
    </row>
    <row r="71" spans="1:2">
      <c r="A71" s="156" t="s">
        <v>76</v>
      </c>
      <c r="B71" s="158" t="s">
        <v>76</v>
      </c>
    </row>
    <row r="72" spans="1:2">
      <c r="A72" s="156" t="s">
        <v>77</v>
      </c>
      <c r="B72" s="158" t="s">
        <v>77</v>
      </c>
    </row>
    <row r="73" spans="1:2">
      <c r="A73" s="156" t="s">
        <v>78</v>
      </c>
      <c r="B73" s="158" t="s">
        <v>78</v>
      </c>
    </row>
    <row r="74" spans="1:2">
      <c r="A74" s="156" t="s">
        <v>79</v>
      </c>
      <c r="B74" s="158" t="s">
        <v>79</v>
      </c>
    </row>
    <row r="75" spans="1:2">
      <c r="A75" s="156" t="s">
        <v>80</v>
      </c>
      <c r="B75" s="158" t="s">
        <v>80</v>
      </c>
    </row>
    <row r="76" spans="1:2">
      <c r="A76" s="156" t="s">
        <v>81</v>
      </c>
      <c r="B76" s="158" t="s">
        <v>81</v>
      </c>
    </row>
    <row r="77" spans="1:2">
      <c r="A77" s="156" t="s">
        <v>82</v>
      </c>
      <c r="B77" s="158" t="s">
        <v>82</v>
      </c>
    </row>
    <row r="78" spans="1:2">
      <c r="A78" s="156" t="s">
        <v>83</v>
      </c>
      <c r="B78" s="158" t="s">
        <v>83</v>
      </c>
    </row>
    <row r="79" spans="1:2">
      <c r="A79" s="156" t="s">
        <v>84</v>
      </c>
      <c r="B79" s="158" t="s">
        <v>84</v>
      </c>
    </row>
    <row r="80" spans="1:2">
      <c r="A80" s="156" t="s">
        <v>85</v>
      </c>
      <c r="B80" s="158" t="s">
        <v>85</v>
      </c>
    </row>
    <row r="81" spans="1:2">
      <c r="A81" s="156" t="s">
        <v>86</v>
      </c>
      <c r="B81" s="158" t="s">
        <v>86</v>
      </c>
    </row>
    <row r="82" spans="1:2">
      <c r="A82" s="156" t="s">
        <v>87</v>
      </c>
      <c r="B82" s="158" t="s">
        <v>87</v>
      </c>
    </row>
    <row r="83" spans="1:2">
      <c r="A83" s="156" t="s">
        <v>88</v>
      </c>
      <c r="B83" s="158" t="s">
        <v>88</v>
      </c>
    </row>
    <row r="84" spans="1:2">
      <c r="A84" s="156" t="s">
        <v>89</v>
      </c>
      <c r="B84" s="158" t="s">
        <v>89</v>
      </c>
    </row>
    <row r="85" spans="1:2">
      <c r="A85" s="156" t="s">
        <v>90</v>
      </c>
      <c r="B85" s="158" t="s">
        <v>90</v>
      </c>
    </row>
    <row r="86" spans="1:2">
      <c r="A86" s="156" t="s">
        <v>91</v>
      </c>
      <c r="B86" s="158" t="s">
        <v>91</v>
      </c>
    </row>
    <row r="87" spans="1:2">
      <c r="A87" s="156" t="s">
        <v>92</v>
      </c>
      <c r="B87" s="158" t="s">
        <v>92</v>
      </c>
    </row>
    <row r="88" spans="1:2">
      <c r="A88" s="156" t="s">
        <v>93</v>
      </c>
      <c r="B88" s="158" t="s">
        <v>93</v>
      </c>
    </row>
    <row r="89" spans="1:2">
      <c r="A89" s="156" t="s">
        <v>94</v>
      </c>
      <c r="B89" s="158" t="s">
        <v>94</v>
      </c>
    </row>
    <row r="90" spans="1:2">
      <c r="A90" s="156" t="s">
        <v>95</v>
      </c>
      <c r="B90" s="158" t="s">
        <v>95</v>
      </c>
    </row>
    <row r="91" spans="1:2">
      <c r="A91" s="156" t="s">
        <v>96</v>
      </c>
      <c r="B91" s="158" t="s">
        <v>96</v>
      </c>
    </row>
    <row r="92" spans="1:2">
      <c r="A92" s="156" t="s">
        <v>97</v>
      </c>
      <c r="B92" s="158" t="s">
        <v>97</v>
      </c>
    </row>
    <row r="93" spans="1:2">
      <c r="A93" s="156" t="s">
        <v>98</v>
      </c>
      <c r="B93" s="158" t="s">
        <v>98</v>
      </c>
    </row>
    <row r="94" spans="1:2">
      <c r="A94" s="156" t="s">
        <v>99</v>
      </c>
      <c r="B94" s="158" t="s">
        <v>99</v>
      </c>
    </row>
    <row r="95" spans="1:2">
      <c r="A95" s="156" t="s">
        <v>100</v>
      </c>
      <c r="B95" s="158" t="s">
        <v>100</v>
      </c>
    </row>
    <row r="96" spans="1:2">
      <c r="A96" s="156" t="s">
        <v>101</v>
      </c>
      <c r="B96" s="158" t="s">
        <v>101</v>
      </c>
    </row>
    <row r="97" spans="1:2">
      <c r="A97" s="156" t="s">
        <v>102</v>
      </c>
      <c r="B97" s="158" t="s">
        <v>102</v>
      </c>
    </row>
    <row r="98" spans="1:2">
      <c r="A98" s="156" t="s">
        <v>103</v>
      </c>
      <c r="B98" s="158" t="s">
        <v>103</v>
      </c>
    </row>
    <row r="99" spans="1:2">
      <c r="A99" s="156" t="s">
        <v>104</v>
      </c>
      <c r="B99" s="158" t="s">
        <v>104</v>
      </c>
    </row>
    <row r="100" spans="1:2">
      <c r="A100" s="156" t="s">
        <v>105</v>
      </c>
      <c r="B100" s="158" t="s">
        <v>105</v>
      </c>
    </row>
    <row r="101" spans="1:2">
      <c r="A101" s="156" t="s">
        <v>106</v>
      </c>
      <c r="B101" s="158" t="s">
        <v>106</v>
      </c>
    </row>
    <row r="102" spans="1:2">
      <c r="A102" s="156" t="s">
        <v>107</v>
      </c>
      <c r="B102" s="158" t="s">
        <v>107</v>
      </c>
    </row>
    <row r="103" spans="1:2">
      <c r="A103" s="156" t="s">
        <v>108</v>
      </c>
      <c r="B103" s="158" t="s">
        <v>108</v>
      </c>
    </row>
    <row r="104" spans="1:2">
      <c r="A104" s="156" t="s">
        <v>109</v>
      </c>
      <c r="B104" s="158" t="s">
        <v>109</v>
      </c>
    </row>
    <row r="105" spans="1:2">
      <c r="A105" s="156" t="s">
        <v>110</v>
      </c>
      <c r="B105" s="158" t="s">
        <v>110</v>
      </c>
    </row>
    <row r="106" spans="1:2">
      <c r="A106" s="156" t="s">
        <v>111</v>
      </c>
      <c r="B106" s="158" t="s">
        <v>111</v>
      </c>
    </row>
    <row r="107" spans="1:2">
      <c r="A107" s="156" t="s">
        <v>112</v>
      </c>
      <c r="B107" s="158" t="s">
        <v>112</v>
      </c>
    </row>
    <row r="108" spans="1:2">
      <c r="A108" s="156" t="s">
        <v>113</v>
      </c>
      <c r="B108" s="158" t="s">
        <v>113</v>
      </c>
    </row>
    <row r="109" spans="1:2">
      <c r="A109" s="156" t="s">
        <v>114</v>
      </c>
      <c r="B109" s="158" t="s">
        <v>114</v>
      </c>
    </row>
    <row r="110" spans="1:2">
      <c r="A110" s="156" t="s">
        <v>115</v>
      </c>
      <c r="B110" s="158" t="s">
        <v>115</v>
      </c>
    </row>
    <row r="111" spans="1:2">
      <c r="A111" s="156" t="s">
        <v>116</v>
      </c>
      <c r="B111" s="158" t="s">
        <v>116</v>
      </c>
    </row>
    <row r="112" spans="1:2">
      <c r="A112" s="156" t="s">
        <v>117</v>
      </c>
      <c r="B112" s="158" t="s">
        <v>117</v>
      </c>
    </row>
    <row r="113" spans="1:2">
      <c r="A113" s="156" t="s">
        <v>118</v>
      </c>
      <c r="B113" s="158" t="s">
        <v>118</v>
      </c>
    </row>
    <row r="114" spans="1:2">
      <c r="A114" s="156" t="s">
        <v>119</v>
      </c>
      <c r="B114" s="158" t="s">
        <v>119</v>
      </c>
    </row>
    <row r="115" spans="1:2">
      <c r="A115" s="156" t="s">
        <v>120</v>
      </c>
      <c r="B115" s="158" t="s">
        <v>120</v>
      </c>
    </row>
    <row r="116" spans="1:2">
      <c r="A116" s="156" t="s">
        <v>121</v>
      </c>
      <c r="B116" s="158" t="s">
        <v>121</v>
      </c>
    </row>
    <row r="117" spans="1:2">
      <c r="A117" s="156" t="s">
        <v>122</v>
      </c>
      <c r="B117" s="158" t="s">
        <v>122</v>
      </c>
    </row>
    <row r="118" spans="1:2">
      <c r="A118" s="156" t="s">
        <v>123</v>
      </c>
      <c r="B118" s="158" t="s">
        <v>123</v>
      </c>
    </row>
    <row r="119" spans="1:2">
      <c r="A119" s="156" t="s">
        <v>124</v>
      </c>
      <c r="B119" s="158" t="s">
        <v>124</v>
      </c>
    </row>
    <row r="120" spans="1:2">
      <c r="A120" s="156" t="s">
        <v>125</v>
      </c>
      <c r="B120" s="158" t="s">
        <v>125</v>
      </c>
    </row>
    <row r="121" spans="1:2">
      <c r="A121" s="156" t="s">
        <v>126</v>
      </c>
      <c r="B121" s="158" t="s">
        <v>126</v>
      </c>
    </row>
    <row r="122" spans="1:2">
      <c r="A122" s="156" t="s">
        <v>127</v>
      </c>
      <c r="B122" s="158" t="s">
        <v>127</v>
      </c>
    </row>
    <row r="123" spans="1:2">
      <c r="A123" s="156" t="s">
        <v>128</v>
      </c>
      <c r="B123" s="158" t="s">
        <v>128</v>
      </c>
    </row>
    <row r="124" spans="1:2">
      <c r="A124" s="156" t="s">
        <v>129</v>
      </c>
      <c r="B124" s="158" t="s">
        <v>129</v>
      </c>
    </row>
    <row r="125" spans="1:2">
      <c r="A125" s="156" t="s">
        <v>130</v>
      </c>
      <c r="B125" s="158" t="s">
        <v>130</v>
      </c>
    </row>
    <row r="126" spans="1:2">
      <c r="A126" s="156" t="s">
        <v>131</v>
      </c>
      <c r="B126" s="158" t="s">
        <v>131</v>
      </c>
    </row>
    <row r="127" spans="1:2">
      <c r="A127" s="156" t="s">
        <v>132</v>
      </c>
      <c r="B127" s="158" t="s">
        <v>132</v>
      </c>
    </row>
    <row r="128" spans="1:2">
      <c r="A128" s="156" t="s">
        <v>133</v>
      </c>
      <c r="B128" s="158" t="s">
        <v>133</v>
      </c>
    </row>
    <row r="129" spans="1:2">
      <c r="A129" s="156" t="s">
        <v>134</v>
      </c>
      <c r="B129" s="158" t="s">
        <v>134</v>
      </c>
    </row>
    <row r="130" spans="1:2">
      <c r="A130" s="156" t="s">
        <v>135</v>
      </c>
      <c r="B130" s="158" t="s">
        <v>135</v>
      </c>
    </row>
    <row r="131" spans="1:2">
      <c r="A131" s="156" t="s">
        <v>136</v>
      </c>
      <c r="B131" s="158" t="s">
        <v>136</v>
      </c>
    </row>
    <row r="132" spans="1:2">
      <c r="A132" s="156" t="s">
        <v>137</v>
      </c>
      <c r="B132" s="158" t="s">
        <v>137</v>
      </c>
    </row>
    <row r="133" spans="1:2">
      <c r="A133" s="156" t="s">
        <v>138</v>
      </c>
      <c r="B133" s="158" t="s">
        <v>138</v>
      </c>
    </row>
    <row r="134" spans="1:2">
      <c r="A134" s="156" t="s">
        <v>139</v>
      </c>
      <c r="B134" s="158" t="s">
        <v>139</v>
      </c>
    </row>
    <row r="135" spans="1:2">
      <c r="A135" s="156" t="s">
        <v>140</v>
      </c>
      <c r="B135" s="158" t="s">
        <v>140</v>
      </c>
    </row>
    <row r="136" spans="1:2">
      <c r="A136" s="156" t="s">
        <v>141</v>
      </c>
      <c r="B136" s="158" t="s">
        <v>141</v>
      </c>
    </row>
    <row r="137" spans="1:2">
      <c r="A137" s="156" t="s">
        <v>142</v>
      </c>
      <c r="B137" s="158" t="s">
        <v>142</v>
      </c>
    </row>
    <row r="138" spans="1:2">
      <c r="A138" s="156" t="s">
        <v>143</v>
      </c>
      <c r="B138" s="158" t="s">
        <v>143</v>
      </c>
    </row>
    <row r="139" spans="1:2">
      <c r="A139" s="156" t="s">
        <v>144</v>
      </c>
      <c r="B139" s="158" t="s">
        <v>144</v>
      </c>
    </row>
    <row r="140" spans="1:2">
      <c r="A140" s="156" t="s">
        <v>145</v>
      </c>
      <c r="B140" s="158" t="s">
        <v>145</v>
      </c>
    </row>
    <row r="141" spans="1:2">
      <c r="A141" s="156" t="s">
        <v>146</v>
      </c>
      <c r="B141" s="158" t="s">
        <v>146</v>
      </c>
    </row>
    <row r="142" spans="1:2">
      <c r="A142" s="156" t="s">
        <v>147</v>
      </c>
      <c r="B142" s="158" t="s">
        <v>147</v>
      </c>
    </row>
    <row r="143" spans="1:2">
      <c r="A143" s="156" t="s">
        <v>148</v>
      </c>
      <c r="B143" s="158" t="s">
        <v>148</v>
      </c>
    </row>
    <row r="144" spans="1:2">
      <c r="A144" s="156" t="s">
        <v>149</v>
      </c>
      <c r="B144" s="158" t="s">
        <v>149</v>
      </c>
    </row>
    <row r="145" spans="1:2">
      <c r="A145" s="156" t="s">
        <v>150</v>
      </c>
      <c r="B145" s="158" t="s">
        <v>150</v>
      </c>
    </row>
    <row r="146" spans="1:2">
      <c r="A146" s="156" t="s">
        <v>151</v>
      </c>
      <c r="B146" s="158" t="s">
        <v>151</v>
      </c>
    </row>
    <row r="147" spans="1:2">
      <c r="A147" s="156" t="s">
        <v>152</v>
      </c>
      <c r="B147" s="158" t="s">
        <v>152</v>
      </c>
    </row>
    <row r="148" spans="1:2">
      <c r="A148" s="156" t="s">
        <v>153</v>
      </c>
      <c r="B148" s="158" t="s">
        <v>153</v>
      </c>
    </row>
    <row r="149" spans="1:2">
      <c r="A149" s="156" t="s">
        <v>154</v>
      </c>
      <c r="B149" s="158" t="s">
        <v>154</v>
      </c>
    </row>
    <row r="150" spans="1:2">
      <c r="A150" s="156" t="s">
        <v>155</v>
      </c>
      <c r="B150" s="158" t="s">
        <v>155</v>
      </c>
    </row>
    <row r="151" spans="1:2">
      <c r="A151" s="156" t="s">
        <v>156</v>
      </c>
      <c r="B151" s="158" t="s">
        <v>156</v>
      </c>
    </row>
    <row r="152" spans="1:2">
      <c r="A152" s="156" t="s">
        <v>157</v>
      </c>
      <c r="B152" s="158" t="s">
        <v>157</v>
      </c>
    </row>
    <row r="153" spans="1:2">
      <c r="A153" s="156" t="s">
        <v>158</v>
      </c>
      <c r="B153" s="158" t="s">
        <v>158</v>
      </c>
    </row>
    <row r="154" spans="1:2">
      <c r="A154" s="156" t="s">
        <v>159</v>
      </c>
      <c r="B154" s="158" t="s">
        <v>159</v>
      </c>
    </row>
    <row r="155" spans="1:2">
      <c r="A155" s="156" t="s">
        <v>160</v>
      </c>
      <c r="B155" s="158" t="s">
        <v>160</v>
      </c>
    </row>
    <row r="156" spans="1:2">
      <c r="A156" s="156" t="s">
        <v>161</v>
      </c>
      <c r="B156" s="158" t="s">
        <v>161</v>
      </c>
    </row>
    <row r="157" spans="1:2">
      <c r="A157" s="156" t="s">
        <v>162</v>
      </c>
      <c r="B157" s="158" t="s">
        <v>162</v>
      </c>
    </row>
    <row r="158" spans="1:2">
      <c r="A158" s="156" t="s">
        <v>2</v>
      </c>
      <c r="B158" s="158" t="s">
        <v>2</v>
      </c>
    </row>
    <row r="159" spans="1:2">
      <c r="A159" s="156" t="s">
        <v>1</v>
      </c>
      <c r="B159" s="158" t="s">
        <v>1</v>
      </c>
    </row>
    <row r="160" spans="1:2">
      <c r="A160" s="156" t="s">
        <v>163</v>
      </c>
      <c r="B160" s="158" t="s">
        <v>163</v>
      </c>
    </row>
    <row r="161" spans="1:2" ht="20.100000000000001">
      <c r="A161" s="156" t="s">
        <v>164</v>
      </c>
      <c r="B161" s="158" t="s">
        <v>164</v>
      </c>
    </row>
    <row r="162" spans="1:2">
      <c r="A162" s="156" t="s">
        <v>165</v>
      </c>
      <c r="B162" s="158" t="s">
        <v>165</v>
      </c>
    </row>
    <row r="163" spans="1:2" ht="20.100000000000001">
      <c r="A163" s="156" t="s">
        <v>166</v>
      </c>
      <c r="B163" s="158" t="s">
        <v>166</v>
      </c>
    </row>
    <row r="164" spans="1:2">
      <c r="A164" s="156" t="s">
        <v>167</v>
      </c>
      <c r="B164" s="158" t="s">
        <v>167</v>
      </c>
    </row>
    <row r="165" spans="1:2">
      <c r="A165" s="156" t="s">
        <v>168</v>
      </c>
      <c r="B165" s="158" t="s">
        <v>168</v>
      </c>
    </row>
    <row r="166" spans="1:2">
      <c r="A166" s="156" t="s">
        <v>169</v>
      </c>
      <c r="B166" s="158" t="s">
        <v>169</v>
      </c>
    </row>
    <row r="167" spans="1:2">
      <c r="A167" s="156" t="s">
        <v>170</v>
      </c>
      <c r="B167" s="158" t="s">
        <v>170</v>
      </c>
    </row>
    <row r="168" spans="1:2">
      <c r="A168" s="156" t="s">
        <v>171</v>
      </c>
      <c r="B168" s="158" t="s">
        <v>171</v>
      </c>
    </row>
    <row r="169" spans="1:2">
      <c r="A169" s="156" t="s">
        <v>172</v>
      </c>
      <c r="B169" s="158" t="s">
        <v>172</v>
      </c>
    </row>
    <row r="170" spans="1:2">
      <c r="A170" s="156" t="s">
        <v>173</v>
      </c>
      <c r="B170" s="158" t="s">
        <v>173</v>
      </c>
    </row>
    <row r="171" spans="1:2">
      <c r="A171" s="156" t="s">
        <v>174</v>
      </c>
      <c r="B171" s="158" t="s">
        <v>174</v>
      </c>
    </row>
    <row r="172" spans="1:2">
      <c r="A172" s="156" t="s">
        <v>175</v>
      </c>
      <c r="B172" s="158" t="s">
        <v>175</v>
      </c>
    </row>
    <row r="173" spans="1:2" ht="20.100000000000001">
      <c r="A173" s="156" t="s">
        <v>176</v>
      </c>
      <c r="B173" s="158" t="s">
        <v>176</v>
      </c>
    </row>
    <row r="174" spans="1:2" ht="20.100000000000001">
      <c r="A174" s="156" t="s">
        <v>177</v>
      </c>
      <c r="B174" s="158" t="s">
        <v>177</v>
      </c>
    </row>
    <row r="175" spans="1:2">
      <c r="A175" s="156" t="s">
        <v>178</v>
      </c>
      <c r="B175" s="158" t="s">
        <v>178</v>
      </c>
    </row>
    <row r="176" spans="1:2">
      <c r="A176" s="156" t="s">
        <v>179</v>
      </c>
      <c r="B176" s="158" t="s">
        <v>179</v>
      </c>
    </row>
    <row r="177" spans="1:2">
      <c r="A177" s="156" t="s">
        <v>180</v>
      </c>
      <c r="B177" s="158" t="s">
        <v>180</v>
      </c>
    </row>
    <row r="178" spans="1:2">
      <c r="A178" s="156" t="s">
        <v>181</v>
      </c>
      <c r="B178" s="158" t="s">
        <v>181</v>
      </c>
    </row>
    <row r="179" spans="1:2">
      <c r="A179" s="156" t="s">
        <v>182</v>
      </c>
      <c r="B179" s="158" t="s">
        <v>182</v>
      </c>
    </row>
    <row r="180" spans="1:2">
      <c r="A180" s="156" t="s">
        <v>183</v>
      </c>
      <c r="B180" s="158" t="s">
        <v>183</v>
      </c>
    </row>
    <row r="181" spans="1:2">
      <c r="A181" s="156" t="s">
        <v>184</v>
      </c>
      <c r="B181" s="158" t="s">
        <v>184</v>
      </c>
    </row>
    <row r="182" spans="1:2">
      <c r="A182" s="156" t="s">
        <v>185</v>
      </c>
      <c r="B182" s="158" t="s">
        <v>185</v>
      </c>
    </row>
    <row r="183" spans="1:2">
      <c r="A183" s="156" t="s">
        <v>186</v>
      </c>
      <c r="B183" s="158" t="s">
        <v>186</v>
      </c>
    </row>
    <row r="184" spans="1:2">
      <c r="A184" s="156" t="s">
        <v>187</v>
      </c>
      <c r="B184" s="158" t="s">
        <v>187</v>
      </c>
    </row>
    <row r="185" spans="1:2">
      <c r="A185" s="156" t="s">
        <v>188</v>
      </c>
      <c r="B185" s="158" t="s">
        <v>188</v>
      </c>
    </row>
    <row r="186" spans="1:2">
      <c r="A186" s="157">
        <v>44136</v>
      </c>
      <c r="B186" s="159">
        <v>44136</v>
      </c>
    </row>
    <row r="187" spans="1:2" ht="20.100000000000001">
      <c r="A187" s="156" t="s">
        <v>189</v>
      </c>
      <c r="B187" s="158" t="s">
        <v>189</v>
      </c>
    </row>
    <row r="188" spans="1:2">
      <c r="A188" s="156" t="s">
        <v>190</v>
      </c>
      <c r="B188" s="158" t="s">
        <v>190</v>
      </c>
    </row>
    <row r="189" spans="1:2">
      <c r="A189" s="156" t="s">
        <v>191</v>
      </c>
      <c r="B189" s="158" t="s">
        <v>191</v>
      </c>
    </row>
    <row r="190" spans="1:2">
      <c r="A190" s="156" t="s">
        <v>192</v>
      </c>
      <c r="B190" s="158" t="s">
        <v>192</v>
      </c>
    </row>
    <row r="191" spans="1:2">
      <c r="A191" s="156" t="s">
        <v>193</v>
      </c>
      <c r="B191" s="158" t="s">
        <v>193</v>
      </c>
    </row>
    <row r="192" spans="1:2">
      <c r="A192" s="156" t="s">
        <v>194</v>
      </c>
      <c r="B192" s="158" t="s">
        <v>194</v>
      </c>
    </row>
    <row r="193" spans="1:2" ht="20.100000000000001">
      <c r="A193" s="156" t="s">
        <v>195</v>
      </c>
      <c r="B193" s="158" t="s">
        <v>195</v>
      </c>
    </row>
    <row r="194" spans="1:2">
      <c r="A194" s="156" t="s">
        <v>196</v>
      </c>
      <c r="B194" s="158" t="s">
        <v>196</v>
      </c>
    </row>
    <row r="195" spans="1:2">
      <c r="A195" s="156" t="s">
        <v>197</v>
      </c>
      <c r="B195" s="158" t="s">
        <v>197</v>
      </c>
    </row>
    <row r="196" spans="1:2" ht="20.100000000000001">
      <c r="A196" s="156" t="s">
        <v>198</v>
      </c>
      <c r="B196" s="158" t="s">
        <v>198</v>
      </c>
    </row>
    <row r="197" spans="1:2">
      <c r="A197" s="156" t="s">
        <v>199</v>
      </c>
      <c r="B197" s="158" t="s">
        <v>200</v>
      </c>
    </row>
    <row r="198" spans="1:2">
      <c r="A198" s="156" t="s">
        <v>201</v>
      </c>
      <c r="B198" s="158" t="s">
        <v>201</v>
      </c>
    </row>
    <row r="199" spans="1:2">
      <c r="A199" s="157">
        <v>44136</v>
      </c>
      <c r="B199" s="159">
        <v>44136</v>
      </c>
    </row>
    <row r="200" spans="1:2">
      <c r="A200" s="156" t="s">
        <v>202</v>
      </c>
      <c r="B200" s="158" t="s">
        <v>202</v>
      </c>
    </row>
    <row r="201" spans="1:2">
      <c r="A201" s="156" t="s">
        <v>203</v>
      </c>
      <c r="B201" s="158" t="s">
        <v>203</v>
      </c>
    </row>
    <row r="202" spans="1:2">
      <c r="A202" s="156" t="s">
        <v>204</v>
      </c>
      <c r="B202" s="158" t="s">
        <v>204</v>
      </c>
    </row>
    <row r="203" spans="1:2">
      <c r="A203" s="156" t="s">
        <v>205</v>
      </c>
      <c r="B203" s="158" t="s">
        <v>205</v>
      </c>
    </row>
    <row r="204" spans="1:2">
      <c r="A204" s="156" t="s">
        <v>206</v>
      </c>
      <c r="B204" s="158" t="s">
        <v>206</v>
      </c>
    </row>
    <row r="205" spans="1:2">
      <c r="A205" s="156" t="s">
        <v>207</v>
      </c>
      <c r="B205" s="158" t="s">
        <v>207</v>
      </c>
    </row>
    <row r="206" spans="1:2">
      <c r="A206" s="156" t="s">
        <v>208</v>
      </c>
      <c r="B206" s="158" t="s">
        <v>208</v>
      </c>
    </row>
    <row r="207" spans="1:2">
      <c r="A207" s="157">
        <v>44136</v>
      </c>
      <c r="B207" s="159">
        <v>44136</v>
      </c>
    </row>
    <row r="208" spans="1:2">
      <c r="A208" s="157">
        <v>44136</v>
      </c>
      <c r="B208" s="159">
        <v>44136</v>
      </c>
    </row>
    <row r="209" spans="1:2">
      <c r="A209" s="156" t="s">
        <v>209</v>
      </c>
      <c r="B209" s="158" t="s">
        <v>209</v>
      </c>
    </row>
    <row r="210" spans="1:2">
      <c r="A210" s="156" t="s">
        <v>210</v>
      </c>
      <c r="B210" s="158" t="s">
        <v>210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Lists"/>
  <dimension ref="A1:H7"/>
  <sheetViews>
    <sheetView topLeftCell="B1" workbookViewId="0">
      <selection activeCell="D5" sqref="D5"/>
    </sheetView>
  </sheetViews>
  <sheetFormatPr defaultRowHeight="9.9499999999999993"/>
  <cols>
    <col min="1" max="1" width="22" bestFit="1" customWidth="1"/>
    <col min="2" max="2" width="27.6640625" customWidth="1"/>
    <col min="3" max="3" width="44.33203125" bestFit="1" customWidth="1"/>
    <col min="4" max="4" width="67.1640625" customWidth="1"/>
    <col min="5" max="5" width="67.1640625" bestFit="1" customWidth="1"/>
    <col min="6" max="6" width="47" customWidth="1"/>
    <col min="7" max="7" width="27.83203125" customWidth="1"/>
  </cols>
  <sheetData>
    <row r="1" spans="1:8">
      <c r="A1" t="str">
        <f>_sheetContentTranslation_A_176</f>
        <v>Component_Type</v>
      </c>
      <c r="B1" t="str">
        <f>_sheetContentTranslation_A_177</f>
        <v>Component_significance</v>
      </c>
      <c r="C1" t="str">
        <f>_sheetContentTranslation_A_178</f>
        <v>Individually financially significant</v>
      </c>
      <c r="D1" t="str">
        <f>_sheetContentTranslation_A_179</f>
        <v>Likely to include significant risks</v>
      </c>
      <c r="E1" t="str">
        <f>_sheetContentTranslation_A_180</f>
        <v>Not significant</v>
      </c>
      <c r="F1" t="str">
        <f>_sheetContentTranslation_A_233</f>
        <v>Other risk of material misstatement of the group</v>
      </c>
      <c r="G1" t="str">
        <f>_sheetContentTranslation_A_234</f>
        <v>Our firm</v>
      </c>
      <c r="H1" t="s">
        <v>211</v>
      </c>
    </row>
    <row r="2" spans="1:8">
      <c r="A2" t="str">
        <f>_sheetContentTranslation_A_181</f>
        <v>Parent</v>
      </c>
      <c r="B2" t="str">
        <f>_sheetContentTranslation_A_178</f>
        <v>Individually financially significant</v>
      </c>
      <c r="C2" t="str">
        <f>_sheetContentTranslation_A_165</f>
        <v>Audit of financial information - assume responsibility</v>
      </c>
      <c r="D2" t="str">
        <f>_sheetContentTranslation_A_165</f>
        <v>Audit of financial information - assume responsibility</v>
      </c>
      <c r="E2" t="str">
        <f>_sheetContentTranslation_A_170</f>
        <v>Analytical procedures at group level</v>
      </c>
      <c r="F2" t="str">
        <f>_sheetContentTranslation_A_235</f>
        <v>Sufficient appropriate audit evidence</v>
      </c>
      <c r="G2" t="str">
        <f>_sheetContentTranslation_A_236</f>
        <v>Another member firm</v>
      </c>
      <c r="H2" t="s">
        <v>212</v>
      </c>
    </row>
    <row r="3" spans="1:8">
      <c r="A3" t="str">
        <f>_sheetContentTranslation_A_182</f>
        <v>Subsidiary</v>
      </c>
      <c r="B3" t="str">
        <f>_sheetContentTranslation_A_179</f>
        <v>Likely to include significant risks</v>
      </c>
      <c r="C3" t="str">
        <f>_sheetContentTranslation_A_166</f>
        <v>Audit of financial information - make reference</v>
      </c>
      <c r="D3" t="str">
        <f>_sheetContentTranslation_A_166</f>
        <v>Audit of financial information - make reference</v>
      </c>
      <c r="E3" t="str">
        <f>_sheetContentTranslation_A_165</f>
        <v>Audit of financial information - assume responsibility</v>
      </c>
      <c r="F3" t="str">
        <f>_sheetContentTranslation_A_237</f>
        <v>Unpredictability</v>
      </c>
      <c r="G3" t="str">
        <f>_sheetContentTranslation_A_238</f>
        <v>Non-member firm</v>
      </c>
    </row>
    <row r="4" spans="1:8">
      <c r="A4" t="str">
        <f>_sheetContentTranslation_A_183</f>
        <v>Equity method investment</v>
      </c>
      <c r="B4" t="str">
        <f>_sheetContentTranslation_A_180</f>
        <v>Not significant</v>
      </c>
      <c r="D4" t="str">
        <f>_sheetContentTranslation_A_167</f>
        <v>Audit of one or more classes of transactions, account balances, or disclosures</v>
      </c>
      <c r="E4" t="str">
        <f>_sheetContentTranslation_A_166</f>
        <v>Audit of financial information - make reference</v>
      </c>
      <c r="F4" t="str">
        <f>Translation!A205</f>
        <v>N/A - analytical procedures at group level</v>
      </c>
    </row>
    <row r="5" spans="1:8">
      <c r="A5" t="str">
        <f>_sheetContentTranslation_A_184</f>
        <v>Other</v>
      </c>
      <c r="D5" t="str">
        <f>_sheetContentTranslation_A_168</f>
        <v>Specified audit procedures</v>
      </c>
      <c r="E5" t="str">
        <f>_sheetContentTranslation_A_167</f>
        <v>Audit of one or more classes of transactions, account balances, or disclosures</v>
      </c>
      <c r="F5" t="str">
        <f>_sheetContentTranslation_A_159</f>
        <v>N/A - significant component</v>
      </c>
    </row>
    <row r="6" spans="1:8">
      <c r="E6" t="str">
        <f>_sheetContentTranslation_A_168</f>
        <v>Specified audit procedures</v>
      </c>
    </row>
    <row r="7" spans="1:8">
      <c r="E7" t="str">
        <f>_sheetContentTranslation_A_169</f>
        <v>Review of financial information</v>
      </c>
    </row>
  </sheetData>
  <sheetProtection formatCells="0" formatRows="0" insertRows="0" deleteRows="0" select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3" ma:contentTypeDescription="Create a new document." ma:contentTypeScope="" ma:versionID="01ab1eac041cc811e031b37066b7fafe">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8814a818003b98a94b8ead67a3451b2c"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Versioncomments xmlns="ffe4ad93-ed6f-4535-b8d7-9f3717677e75" xsi:nil="true"/>
    <TaxCatchAll xmlns="aae29c38-5c64-4b4f-89da-042ea755fda5" xsi:nil="true"/>
    <Main_x0020_topic xmlns="aae29c38-5c64-4b4f-89da-042ea755fd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B471671-3339-4A28-97D4-331A9826F724}"/>
</file>

<file path=customXml/itemProps2.xml><?xml version="1.0" encoding="utf-8"?>
<ds:datastoreItem xmlns:ds="http://schemas.openxmlformats.org/officeDocument/2006/customXml" ds:itemID="{D22DF07C-FFFC-4619-BBFB-7B45158D160D}"/>
</file>

<file path=customXml/itemProps3.xml><?xml version="1.0" encoding="utf-8"?>
<ds:datastoreItem xmlns:ds="http://schemas.openxmlformats.org/officeDocument/2006/customXml" ds:itemID="{90707943-707F-4D83-90C4-7B7D7E7C6D66}"/>
</file>

<file path=customXml/itemProps4.xml><?xml version="1.0" encoding="utf-8"?>
<ds:datastoreItem xmlns:ds="http://schemas.openxmlformats.org/officeDocument/2006/customXml" ds:itemID="{1C17B427-F3E4-4386-8379-CFFB9C728A0E}"/>
</file>

<file path=docProps/app.xml><?xml version="1.0" encoding="utf-8"?>
<Properties xmlns="http://schemas.openxmlformats.org/officeDocument/2006/extended-properties" xmlns:vt="http://schemas.openxmlformats.org/officeDocument/2006/docPropsVTypes">
  <Application>Microsoft Excel Online</Application>
  <Manager/>
  <Company>Grant Thornton LLP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Grant Thornton LLP</dc:creator>
  <cp:keywords/>
  <dc:description/>
  <cp:lastModifiedBy>Laurel Lambert</cp:lastModifiedBy>
  <cp:revision/>
  <dcterms:created xsi:type="dcterms:W3CDTF">2019-11-25T21:43:37Z</dcterms:created>
  <dcterms:modified xsi:type="dcterms:W3CDTF">2022-01-12T14:42:04Z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08c48b29-e384-41c2-a27f-97599edf8de6</vt:lpwstr>
  </property>
  <property fmtid="{D5CDD505-2E9C-101B-9397-08002B2CF9AE}" pid="4" name="Order">
    <vt:r8>1583300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T4T5T3R555WE-636262436-15833</vt:lpwstr>
  </property>
  <property fmtid="{D5CDD505-2E9C-101B-9397-08002B2CF9AE}" pid="9" name="TriggerFlowInfo">
    <vt:lpwstr/>
  </property>
  <property fmtid="{D5CDD505-2E9C-101B-9397-08002B2CF9AE}" pid="10" name="_dlc_DocIdUrl">
    <vt:lpwstr>https://gtinetorg.sharepoint.com/sites/leapdocs/_layouts/15/DocIdRedir.aspx?ID=T4T5T3R555WE-636262436-15833, T4T5T3R555WE-636262436-15833</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ies>
</file>