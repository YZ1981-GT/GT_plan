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626"/>
  <workbookPr codeName="ThisWorkbook"/>
  <mc:AlternateContent xmlns:mc="http://schemas.openxmlformats.org/markup-compatibility/2006">
    <mc:Choice Requires="x15">
      <x15ac:absPath xmlns:x15ac="http://schemas.microsoft.com/office/spreadsheetml/2010/11/ac" url="D:\User Data\Desktop\格式转换结果\"/>
    </mc:Choice>
  </mc:AlternateContent>
  <xr:revisionPtr revIDLastSave="0" documentId="8_{B325CF89-AADE-4EF9-B609-BBF587F115EC}" xr6:coauthVersionLast="47" xr6:coauthVersionMax="47" xr10:uidLastSave="{00000000-0000-0000-0000-000000000000}"/>
  <bookViews>
    <workbookView xWindow="-120" yWindow="-120" windowWidth="29040" windowHeight="15525" tabRatio="808" firstSheet="1" activeTab="1"/>
  </bookViews>
  <sheets>
    <sheet name="temp_temp__" sheetId="45" state="veryHidden" r:id="rId1"/>
    <sheet name="说明" sheetId="47" r:id="rId2"/>
    <sheet name="参数" sheetId="2" r:id="rId3"/>
    <sheet name="报表格式" sheetId="3" r:id="rId4"/>
    <sheet name="未审BS" sheetId="4" r:id="rId5"/>
    <sheet name="未审PL" sheetId="5" r:id="rId6"/>
    <sheet name="未审CF" sheetId="6" r:id="rId7"/>
    <sheet name="期初核对BS" sheetId="46" r:id="rId8"/>
    <sheet name="期初核对PL" sheetId="62" r:id="rId9"/>
    <sheet name="账项调整" sheetId="31" r:id="rId10"/>
    <sheet name="报表调整" sheetId="32" r:id="rId11"/>
    <sheet name=" " sheetId="21" state="hidden" r:id="rId12"/>
    <sheet name="CF调整" sheetId="67" r:id="rId13"/>
    <sheet name="TB资产" sheetId="33" r:id="rId14"/>
    <sheet name="TB负债" sheetId="34" r:id="rId15"/>
    <sheet name="TB损益" sheetId="35" r:id="rId16"/>
    <sheet name="审定BS" sheetId="36" r:id="rId17"/>
    <sheet name="审定PL" sheetId="37" r:id="rId18"/>
    <sheet name="审定CF" sheetId="38" r:id="rId19"/>
    <sheet name="未审横向BS" sheetId="48" r:id="rId20"/>
    <sheet name="未审横向PL" sheetId="49" r:id="rId21"/>
    <sheet name="未审纵向BS" sheetId="50" r:id="rId22"/>
    <sheet name="未审纵向PL" sheetId="51" r:id="rId23"/>
    <sheet name="未审比率分析" sheetId="56" r:id="rId24"/>
    <sheet name="已审横向BS" sheetId="52" r:id="rId25"/>
    <sheet name="已审横向PL" sheetId="53" r:id="rId26"/>
    <sheet name="已审纵向BS" sheetId="54" r:id="rId27"/>
    <sheet name="已审纵向PL" sheetId="55" r:id="rId28"/>
    <sheet name="已审比率分析" sheetId="66" r:id="rId29"/>
    <sheet name="账项调整(期初)" sheetId="57" r:id="rId30"/>
    <sheet name="报表调整(期初)" sheetId="58" r:id="rId31"/>
    <sheet name="TB资产(期初)" sheetId="59" r:id="rId32"/>
    <sheet name="TB负债(期初)" sheetId="60" r:id="rId33"/>
    <sheet name="TB损益(期初)" sheetId="61" r:id="rId34"/>
    <sheet name="审定BS(上期)" sheetId="63" r:id="rId35"/>
    <sheet name="审定PL(上期)" sheetId="64" r:id="rId36"/>
    <sheet name="审定CF(上期)" sheetId="65"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13102">#REF!</definedName>
    <definedName name="_13302">#REF!</definedName>
    <definedName name="_13398">#REF!</definedName>
    <definedName name="_18102">#REF!</definedName>
    <definedName name="_18198">#REF!</definedName>
    <definedName name="_xlnm._FilterDatabase" localSheetId="10" hidden="1">报表调整!$A$4:$J$4</definedName>
    <definedName name="_xlnm._FilterDatabase" localSheetId="30" hidden="1">'报表调整(期初)'!$A$4:$J$4</definedName>
    <definedName name="_xlnm._FilterDatabase" localSheetId="9" hidden="1">账项调整!$A$4:$J$4</definedName>
    <definedName name="_xlnm._FilterDatabase" localSheetId="29" hidden="1">'账项调整(期初)'!$A$4:$J$4</definedName>
    <definedName name="a">#REF!</definedName>
    <definedName name="as">#REF!</definedName>
    <definedName name="AS2DocOpenMode" hidden="1">"AS2DocumentEdit"</definedName>
    <definedName name="b">#REF!</definedName>
    <definedName name="bv">#REF!</definedName>
    <definedName name="d">#REF!</definedName>
    <definedName name="_xlnm.Database">[2]B!#REF!</definedName>
    <definedName name="df">#REF!</definedName>
    <definedName name="dfs">#REF!</definedName>
    <definedName name="e">#REF!</definedName>
    <definedName name="er">#REF!</definedName>
    <definedName name="f">#REF!</definedName>
    <definedName name="fg">#REF!</definedName>
    <definedName name="fgd">#REF!</definedName>
    <definedName name="fgh">#REF!</definedName>
    <definedName name="g">#REF!</definedName>
    <definedName name="h">#REF!</definedName>
    <definedName name="hv">#REF!</definedName>
    <definedName name="i">#REF!</definedName>
    <definedName name="jk">#REF!</definedName>
    <definedName name="k">#REF!</definedName>
    <definedName name="kj">#REF!</definedName>
    <definedName name="kl">#REF!</definedName>
    <definedName name="KMDM">#REF!</definedName>
    <definedName name="l">#REF!</definedName>
    <definedName name="lk">#REF!</definedName>
    <definedName name="m">#REF!</definedName>
    <definedName name="mn">#REF!</definedName>
    <definedName name="n">#REF!</definedName>
    <definedName name="nm">#REF!</definedName>
    <definedName name="o">#REF!</definedName>
    <definedName name="op">#REF!</definedName>
    <definedName name="p">#REF!</definedName>
    <definedName name="_xlnm.Print_Area" localSheetId="14">TB负债!$A$1:$I$62</definedName>
    <definedName name="_xlnm.Print_Area" localSheetId="32">'TB负债(期初)'!$A$1:$I$62</definedName>
    <definedName name="_xlnm.Print_Area" localSheetId="15">TB损益!$A$1:$I$74</definedName>
    <definedName name="_xlnm.Print_Area" localSheetId="33">'TB损益(期初)'!$A$1:$I$75</definedName>
    <definedName name="_xlnm.Print_Area" localSheetId="13">TB资产!$A$1:$I$62</definedName>
    <definedName name="_xlnm.Print_Area" localSheetId="31">'TB资产(期初)'!$A$1:$I$62</definedName>
    <definedName name="_xlnm.Print_Area" localSheetId="10">报表调整!$A$1:$J$14</definedName>
    <definedName name="_xlnm.Print_Area" localSheetId="30">'报表调整(期初)'!$A$1:$J$14</definedName>
    <definedName name="_xlnm.Print_Area" localSheetId="2">参数!$A$1:$F$19</definedName>
    <definedName name="_xlnm.Print_Area" localSheetId="7">期初核对BS!$A$1:$L$62</definedName>
    <definedName name="_xlnm.Print_Area" localSheetId="16">审定BS!$A$1:$F$126</definedName>
    <definedName name="_xlnm.Print_Area" localSheetId="34">'审定BS(上期)'!$A$1:$F$124</definedName>
    <definedName name="_xlnm.Print_Area" localSheetId="18">审定CF!$A$1:$C$88</definedName>
    <definedName name="_xlnm.Print_Area" localSheetId="36">'审定CF(上期)'!$A$1:$C$88</definedName>
    <definedName name="_xlnm.Print_Area" localSheetId="17">审定PL!$A$1:$F$85</definedName>
    <definedName name="_xlnm.Print_Area" localSheetId="4">未审BS!$A$1:$H$63</definedName>
    <definedName name="_xlnm.Print_Area" localSheetId="6">未审CF!$A$1:$F$49</definedName>
    <definedName name="_xlnm.Print_Area" localSheetId="5">未审PL!$A$1:$D$75</definedName>
    <definedName name="_xlnm.Print_Area" localSheetId="23">未审比率分析!$A$1:$J$45</definedName>
    <definedName name="_xlnm.Print_Area" localSheetId="22">未审纵向PL!$A$1:$I$75</definedName>
    <definedName name="_xlnm.Print_Area" localSheetId="28">已审比率分析!$A$1:$J$45</definedName>
    <definedName name="_xlnm.Print_Area" localSheetId="26">已审纵向BS!$A$1:$R$63</definedName>
    <definedName name="_xlnm.Print_Area" localSheetId="29">'账项调整(期初)'!$A$1:$J$14</definedName>
    <definedName name="_xlnm.Print_Titles" localSheetId="14">TB负债!$1:$5</definedName>
    <definedName name="_xlnm.Print_Titles" localSheetId="32">'TB负债(期初)'!$1:$5</definedName>
    <definedName name="_xlnm.Print_Titles" localSheetId="15">TB损益!$1:$5</definedName>
    <definedName name="_xlnm.Print_Titles" localSheetId="33">'TB损益(期初)'!$1:$5</definedName>
    <definedName name="_xlnm.Print_Titles" localSheetId="13">TB资产!$1:$5</definedName>
    <definedName name="_xlnm.Print_Titles" localSheetId="31">'TB资产(期初)'!$1:$5</definedName>
    <definedName name="_xlnm.Print_Titles" localSheetId="3">报表格式!$1:$4</definedName>
    <definedName name="_xlnm.Print_Titles" localSheetId="7">期初核对BS!$2:$5</definedName>
    <definedName name="_xlnm.Print_Titles" localSheetId="8">期初核对PL!#REF!</definedName>
    <definedName name="_xlnm.Print_Titles" localSheetId="6">未审CF!$2:$5</definedName>
    <definedName name="_xlnm.Print_Titles" localSheetId="23">未审比率分析!$1:$5</definedName>
    <definedName name="_xlnm.Print_Titles" localSheetId="28">已审比率分析!$1:$5</definedName>
    <definedName name="q">#REF!</definedName>
    <definedName name="rt">#REF!</definedName>
    <definedName name="rty">#REF!</definedName>
    <definedName name="s">#REF!</definedName>
    <definedName name="sa">#REF!</definedName>
    <definedName name="scn">#REF!</definedName>
    <definedName name="_scn11">#REF!</definedName>
    <definedName name="_scn15">#REF!</definedName>
    <definedName name="_scn16">#REF!</definedName>
    <definedName name="_scn17">#REF!</definedName>
    <definedName name="_scn19">#REF!</definedName>
    <definedName name="_scn2">#REF!</definedName>
    <definedName name="_scn20">#REF!</definedName>
    <definedName name="_scn3">#REF!</definedName>
    <definedName name="_scn4">#REF!</definedName>
    <definedName name="_scn5">#REF!</definedName>
    <definedName name="_scn6">#REF!</definedName>
    <definedName name="_scn7">#REF!</definedName>
    <definedName name="_scn8">#REF!</definedName>
    <definedName name="_scn9">#REF!</definedName>
    <definedName name="scq">#REF!</definedName>
    <definedName name="_scq1">#REF!</definedName>
    <definedName name="_scq11">#REF!</definedName>
    <definedName name="_scq15">#REF!</definedName>
    <definedName name="_scq16">#REF!</definedName>
    <definedName name="_scq17">#REF!</definedName>
    <definedName name="_scq19">#REF!</definedName>
    <definedName name="_scq2">#REF!</definedName>
    <definedName name="_scq20">#REF!</definedName>
    <definedName name="_scq3">#REF!</definedName>
    <definedName name="_scq4">#REF!</definedName>
    <definedName name="_scq5">#REF!</definedName>
    <definedName name="_scq6">#REF!</definedName>
    <definedName name="_scq7">#REF!</definedName>
    <definedName name="_scq8">#REF!</definedName>
    <definedName name="_scq9">#REF!</definedName>
    <definedName name="sda">#REF!</definedName>
    <definedName name="ss">#REF!</definedName>
    <definedName name="t">#REF!</definedName>
    <definedName name="TextRefCopy1">#REF!</definedName>
    <definedName name="TextRefCopy10">#REF!</definedName>
    <definedName name="TextRefCopy100">#REF!</definedName>
    <definedName name="TextRefCopy101">#REF!</definedName>
    <definedName name="TextRefCopy102">#REF!</definedName>
    <definedName name="TextRefCopy103">#REF!</definedName>
    <definedName name="TextRefCopy104">#REF!</definedName>
    <definedName name="TextRefCopy105">#REF!</definedName>
    <definedName name="TextRefCopy106">#REF!</definedName>
    <definedName name="TextRefCopy107">#REF!</definedName>
    <definedName name="TextRefCopy108">#REF!</definedName>
    <definedName name="TextRefCopy109">#REF!</definedName>
    <definedName name="TextRefCopy11">#REF!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7">#REF!</definedName>
    <definedName name="TextRefCopy14">#REF!</definedName>
    <definedName name="TextRefCopy149">#REF!</definedName>
    <definedName name="TextRefCopy15">#REF!</definedName>
    <definedName name="TextRefCopy150">#REF!</definedName>
    <definedName name="TextRefCopy151">#REF!</definedName>
    <definedName name="TextRefCopy16">#REF!</definedName>
    <definedName name="TextRefCopy17">#REF!</definedName>
    <definedName name="TextRefCopy18">#REF!</definedName>
    <definedName name="TextRefCopy19">#REF!</definedName>
    <definedName name="TextRefCopy190">#REF!</definedName>
    <definedName name="TextRefCopy191">#REF!</definedName>
    <definedName name="TextRefCopy2">#REF!</definedName>
    <definedName name="TextRefCopy20">#REF!</definedName>
    <definedName name="TextRefCopy21">#REF!</definedName>
    <definedName name="TextRefCopy22">#REF!</definedName>
    <definedName name="TextRefCopy221">'[5]Investment Property'!#REF!</definedName>
    <definedName name="TextRefCopy222">'[5]Investment Property'!#REF!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93">#REF!</definedName>
    <definedName name="TextRefCopy94">#REF!</definedName>
    <definedName name="TextRefCopy95">#REF!</definedName>
    <definedName name="TextRefCopy96">#REF!</definedName>
    <definedName name="TextRefCopy97">#REF!</definedName>
    <definedName name="TextRefCopy98">#REF!</definedName>
    <definedName name="TextRefCopy99">#REF!</definedName>
    <definedName name="TextRefCopyRangeCount" hidden="1">136</definedName>
    <definedName name="ty">#REF!</definedName>
    <definedName name="u">#REF!</definedName>
    <definedName name="UFPrn20000310061247">#REF!</definedName>
    <definedName name="UFPrn20000324091925">#REF!</definedName>
    <definedName name="UFPrn20021008134934">#REF!</definedName>
    <definedName name="ui">#REF!</definedName>
    <definedName name="uio">#REF!</definedName>
    <definedName name="v">#REF!</definedName>
    <definedName name="vb">#REF!</definedName>
    <definedName name="w">#REF!</definedName>
    <definedName name="wer">#REF!</definedName>
    <definedName name="xc">#REF!</definedName>
    <definedName name="xcv">#REF!</definedName>
    <definedName name="XREF_COLUMN_1" hidden="1">#REF!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y">#REF!</definedName>
    <definedName name="yu">#REF!</definedName>
    <definedName name="Z_11225121_1664_11D5_91ED_001060808604_.wvu.PrintArea" localSheetId="16" hidden="1">审定BS!$A$1:$F$62</definedName>
    <definedName name="Z_11225121_1664_11D5_91ED_001060808604_.wvu.PrintArea" localSheetId="34" hidden="1">'审定BS(上期)'!$A$1:$F$61</definedName>
    <definedName name="Z_38A85FE0_3960_11D5_8724_5254293012F4_.wvu.PrintArea" localSheetId="16" hidden="1">审定BS!$A$1:$F$62</definedName>
    <definedName name="Z_38A85FE0_3960_11D5_8724_5254293012F4_.wvu.PrintArea" localSheetId="34" hidden="1">'审定BS(上期)'!$A$1:$F$61</definedName>
    <definedName name="Z_9A8CA204_20A8_11D5_8CC7_F77182B33125_.wvu.Cols" localSheetId="2" hidden="1">参数!$G:$I</definedName>
    <definedName name="Z_9A8CA204_20A8_11D5_8CC7_F77182B33125_.wvu.PrintArea" localSheetId="3" hidden="1">报表格式!$A$1:$W$54</definedName>
    <definedName name="Z_9A8CA204_20A8_11D5_8CC7_F77182B33125_.wvu.PrintArea" localSheetId="2" hidden="1">参数!$A$1:$F$19</definedName>
    <definedName name="Z_9A8CA204_20A8_11D5_8CC7_F77182B33125_.wvu.PrintTitles" localSheetId="3" hidden="1">报表格式!$1:$4</definedName>
    <definedName name="Z_9A8CA204_20A8_11D5_8CC7_F77182B33125_.wvu.PrintTitles" localSheetId="6" hidden="1">未审CF!$2:$5</definedName>
    <definedName name="Z_9A8CA204_20A8_11D5_8CC7_F77182B33125_.wvu.Rows" localSheetId="7" hidden="1">期初核对BS!$3:$3,期初核对BS!#REF!</definedName>
    <definedName name="Z_9A8CA204_20A8_11D5_8CC7_F77182B33125_.wvu.Rows" localSheetId="8" hidden="1">期初核对PL!#REF!,期初核对PL!#REF!</definedName>
    <definedName name="Z_9A8CA204_20A8_11D5_8CC7_F77182B33125_.wvu.Rows" localSheetId="4" hidden="1">未审BS!#REF!,未审BS!#REF!</definedName>
    <definedName name="Z_9A8CA204_20A8_11D5_8CC7_F77182B33125_.wvu.Rows" localSheetId="6" hidden="1">未审CF!$17:$18,未审CF!$45:$47</definedName>
    <definedName name="Z_9A8CA204_20A8_11D5_8CC7_F77182B33125_.wvu.Rows" localSheetId="5" hidden="1">未审PL!#REF!,未审PL!$10:$11,未审PL!$18:$18,未审PL!$27:$27</definedName>
    <definedName name="Z_9A8CA204_20A8_11D5_8CC7_F77182B33125_.wvu.Rows" localSheetId="19" hidden="1">未审横向BS!#REF!,未审横向BS!#REF!</definedName>
    <definedName name="Z_9A8CA204_20A8_11D5_8CC7_F77182B33125_.wvu.Rows" localSheetId="20" hidden="1">未审横向PL!#REF!,未审横向PL!$11:$12,未审横向PL!$19:$19,未审横向PL!$28:$28</definedName>
    <definedName name="Z_9A8CA204_20A8_11D5_8CC7_F77182B33125_.wvu.Rows" localSheetId="21" hidden="1">未审纵向BS!#REF!,未审纵向BS!#REF!</definedName>
    <definedName name="Z_9A8CA204_20A8_11D5_8CC7_F77182B33125_.wvu.Rows" localSheetId="22" hidden="1">未审纵向PL!#REF!,未审纵向PL!$11:$12,未审纵向PL!$19:$19,未审纵向PL!$28:$28</definedName>
    <definedName name="Z_9A8CA204_20A8_11D5_8CC7_F77182B33125_.wvu.Rows" localSheetId="24" hidden="1">已审横向BS!#REF!,已审横向BS!#REF!</definedName>
    <definedName name="Z_9A8CA204_20A8_11D5_8CC7_F77182B33125_.wvu.Rows" localSheetId="25" hidden="1">已审横向PL!#REF!,已审横向PL!$11:$12,已审横向PL!$19:$19,已审横向PL!$28:$28</definedName>
    <definedName name="Z_9A8CA204_20A8_11D5_8CC7_F77182B33125_.wvu.Rows" localSheetId="26" hidden="1">已审纵向BS!#REF!,已审纵向BS!#REF!</definedName>
    <definedName name="Z_9A8CA204_20A8_11D5_8CC7_F77182B33125_.wvu.Rows" localSheetId="27" hidden="1">已审纵向PL!#REF!,已审纵向PL!$11:$12,已审纵向PL!$19:$19,已审纵向PL!$28:$28</definedName>
    <definedName name="Z_B17549A0_198B_11D5_A231_0080C88DD54C_.wvu.PrintArea" localSheetId="16" hidden="1">审定BS!$A$1:$F$63</definedName>
    <definedName name="Z_B17549A0_198B_11D5_A231_0080C88DD54C_.wvu.PrintArea" localSheetId="34" hidden="1">'审定BS(上期)'!$A$1:$F$62</definedName>
    <definedName name="Z_B238A4E0_5F40_11D5_A601_00A0C939A085_.wvu.PrintArea" localSheetId="16" hidden="1">审定BS!$A$1:$F$62</definedName>
    <definedName name="Z_B238A4E0_5F40_11D5_A601_00A0C939A085_.wvu.PrintArea" localSheetId="34" hidden="1">'审定BS(上期)'!$A$1:$F$61</definedName>
    <definedName name="存货93期初">[1]企业表一!$C$7</definedName>
    <definedName name="存货93期末">[1]企业表一!$D$7</definedName>
    <definedName name="存货94期初">[1]企业表一!$E$7</definedName>
    <definedName name="存货94期末">[1]企业表一!$F$7</definedName>
    <definedName name="存货95期初">[1]企业表一!$G$7</definedName>
    <definedName name="存货95期末">[1]企业表一!$H$7</definedName>
    <definedName name="待处理固定资产净损失明细表">#REF!</definedName>
    <definedName name="短期投资_债券_明细表">#REF!</definedName>
    <definedName name="负债合计93期末">[1]企业表一!$D$17</definedName>
    <definedName name="负债合计94期末">[1]企业表一!$F$17</definedName>
    <definedName name="负债合计95期末">[1]企业表一!$H$17</definedName>
    <definedName name="管理费用明细表">#REF!</definedName>
    <definedName name="合并价差明细表">#REF!</definedName>
    <definedName name="汇率">#REF!</definedName>
    <definedName name="净_利_润93">'[1]M-5C'!$B$24</definedName>
    <definedName name="净_利_润94">'[1]M-5C'!$D$24</definedName>
    <definedName name="净_利_润95">'[1]M-5C'!$F$24</definedName>
    <definedName name="净资产合计93期初">[1]企业表一!$C$20</definedName>
    <definedName name="净资产合计93期末">[1]企业表一!$D$20</definedName>
    <definedName name="净资产合计94期初">[1]企业表一!$E$20</definedName>
    <definedName name="净资产合计94期末">[1]企业表一!$F$20</definedName>
    <definedName name="净资产合计95期初">[1]企业表一!$G$20</definedName>
    <definedName name="净资产合计95期末">[1]企业表一!$H$20</definedName>
    <definedName name="开办费明细表">#REF!</definedName>
    <definedName name="累计折旧明细表">#REF!</definedName>
    <definedName name="利_润_总_额93">'[1]M-5A'!$B$10</definedName>
    <definedName name="利_润_总_额94">'[1]M-5A'!$C$10</definedName>
    <definedName name="利_润_总_额95">'[1]M-5A'!$D$10</definedName>
    <definedName name="流_动_资_产93">'[1]M-5A'!$B$15</definedName>
    <definedName name="流_动_资_产94">'[1]M-5A'!$C$15</definedName>
    <definedName name="流_动_资_产95">'[1]M-5A'!$D$15</definedName>
    <definedName name="流动负债93期末">[1]企业表一!$D$15</definedName>
    <definedName name="流动负债94期末">[1]企业表一!$F$15</definedName>
    <definedName name="流动负债95期末">[1]企业表一!$H$15</definedName>
    <definedName name="其他货币资金明细表">#REF!</definedName>
    <definedName name="其他未交款明细表">#REF!</definedName>
    <definedName name="其他应付款明细表">#REF!</definedName>
    <definedName name="其他应收款明细表">#REF!</definedName>
    <definedName name="_1其他资产_开办费除外_明细表">#REF!</definedName>
    <definedName name="生产成本2">[9]生产成本账!$A$2:$D$235</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速_动_资_产93">'[1]M-5A'!$B$14</definedName>
    <definedName name="速_动_资_产94">'[1]M-5A'!$C$14</definedName>
    <definedName name="速_动_资_产95">'[1]M-5A'!$D$14</definedName>
    <definedName name="未交税金明细表">#REF!</definedName>
    <definedName name="无对应明细表的报表项目">#REF!</definedName>
    <definedName name="以前年度损益调整明细表">#REF!</definedName>
    <definedName name="银行存款">[3]银行借款询证!#REF!</definedName>
    <definedName name="应付票据明细表">#REF!</definedName>
    <definedName name="应收帐款93期初">[1]企业表一!$C$6</definedName>
    <definedName name="应收帐款93期末">[1]企业表一!$D$6</definedName>
    <definedName name="应收帐款94期初">[1]企业表一!$E$6</definedName>
    <definedName name="应收帐款94期末">[1]企业表一!$F$6</definedName>
    <definedName name="应收帐款95期初">[1]企业表一!$G$6</definedName>
    <definedName name="应收帐款95期末">[1]企业表一!$H$6</definedName>
    <definedName name="营业外支出明细表">#REF!</definedName>
    <definedName name="预付帐款明细表">#REF!</definedName>
    <definedName name="预收货款明细表">#REF!</definedName>
    <definedName name="预提费用明细表">#REF!</definedName>
    <definedName name="资产合计93期初">[1]企业表一!$C$14</definedName>
    <definedName name="资产合计93期末">[1]企业表一!$D$14</definedName>
    <definedName name="资产合计94期初">[1]企业表一!$E$14</definedName>
    <definedName name="资产合计94期末">[1]企业表一!$F$14</definedName>
    <definedName name="资产合计95期初">[1]企业表一!$G$14</definedName>
    <definedName name="资产合计95期末">[1]企业表一!$H$14</definedName>
  </definedNames>
  <calcPr calcId="191029" fullCalcOnLoad="1"/>
  <customWorkbookViews>
    <customWorkbookView name="标准部 - 个人视面" guid="{9A8CA204-20A8-11D5-8CC7-F77182B33125}" mergeInterval="0" personalView="1" maximized="1" windowWidth="796" windowHeight="438" tabRatio="815"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6" l="1"/>
  <c r="E163" i="31"/>
  <c r="E162" i="31"/>
  <c r="E161" i="31"/>
  <c r="E160" i="31"/>
  <c r="E158" i="31"/>
  <c r="E157" i="31"/>
  <c r="E156" i="31"/>
  <c r="E155" i="31"/>
  <c r="E153" i="31"/>
  <c r="E152" i="31"/>
  <c r="E151" i="31"/>
  <c r="E150" i="31"/>
  <c r="E148" i="31"/>
  <c r="E147" i="31"/>
  <c r="E146" i="31"/>
  <c r="E145" i="31"/>
  <c r="E143" i="31"/>
  <c r="E142" i="31"/>
  <c r="E141" i="31"/>
  <c r="E140" i="31"/>
  <c r="E138" i="31"/>
  <c r="E137" i="31"/>
  <c r="E136" i="31"/>
  <c r="E135" i="31"/>
  <c r="E133" i="31"/>
  <c r="E132" i="31"/>
  <c r="E131" i="31"/>
  <c r="E130" i="31"/>
  <c r="E128" i="31"/>
  <c r="E127" i="31"/>
  <c r="E126" i="31"/>
  <c r="E125" i="31"/>
  <c r="E123" i="31"/>
  <c r="E122" i="31"/>
  <c r="E121" i="31"/>
  <c r="E120" i="31"/>
  <c r="E118" i="31"/>
  <c r="E117" i="31"/>
  <c r="E116" i="31"/>
  <c r="E115" i="31"/>
  <c r="E113" i="31"/>
  <c r="E112" i="31"/>
  <c r="E111" i="31"/>
  <c r="E110" i="31"/>
  <c r="E108" i="31"/>
  <c r="E107" i="31"/>
  <c r="E106" i="31"/>
  <c r="E105" i="31"/>
  <c r="E103" i="31"/>
  <c r="E102" i="31"/>
  <c r="E101" i="31"/>
  <c r="E100" i="31"/>
  <c r="E98" i="31"/>
  <c r="E97" i="31"/>
  <c r="E96" i="31"/>
  <c r="E95" i="31"/>
  <c r="E93" i="31"/>
  <c r="E92" i="31"/>
  <c r="E91" i="31"/>
  <c r="E90" i="31"/>
  <c r="E88" i="31"/>
  <c r="E87" i="31"/>
  <c r="E86" i="31"/>
  <c r="E85" i="31"/>
  <c r="E83" i="31"/>
  <c r="E82" i="31"/>
  <c r="E81" i="31"/>
  <c r="E80" i="31"/>
  <c r="E78" i="31"/>
  <c r="E77" i="31"/>
  <c r="E76" i="31"/>
  <c r="E75" i="31"/>
  <c r="E73" i="31"/>
  <c r="E72" i="31"/>
  <c r="E71" i="31"/>
  <c r="E70" i="31"/>
  <c r="E68" i="31"/>
  <c r="E67" i="31"/>
  <c r="E66" i="31"/>
  <c r="E65" i="31"/>
  <c r="E63" i="31"/>
  <c r="E62" i="31"/>
  <c r="E61" i="31"/>
  <c r="E60" i="31"/>
  <c r="E58" i="31"/>
  <c r="E57" i="31"/>
  <c r="E56" i="31"/>
  <c r="E55" i="31"/>
  <c r="E53" i="31"/>
  <c r="E52" i="31"/>
  <c r="E51" i="31"/>
  <c r="E50" i="31"/>
  <c r="E48" i="31"/>
  <c r="E47" i="31"/>
  <c r="E46" i="31"/>
  <c r="E45" i="31"/>
  <c r="E43" i="31"/>
  <c r="E42" i="31"/>
  <c r="E41" i="31"/>
  <c r="E40" i="31"/>
  <c r="E38" i="31"/>
  <c r="E37" i="31"/>
  <c r="E36" i="31"/>
  <c r="E35" i="31"/>
  <c r="E33" i="31"/>
  <c r="E32" i="31"/>
  <c r="E31" i="31"/>
  <c r="E30" i="31"/>
  <c r="E28" i="31"/>
  <c r="E27" i="31"/>
  <c r="E26" i="31"/>
  <c r="E25" i="31"/>
  <c r="E23" i="31"/>
  <c r="E22" i="31"/>
  <c r="E21" i="31"/>
  <c r="E20" i="31"/>
  <c r="E18" i="31"/>
  <c r="E17" i="31"/>
  <c r="E16" i="31"/>
  <c r="E15" i="31"/>
  <c r="E13" i="31"/>
  <c r="E12" i="31"/>
  <c r="E11" i="31"/>
  <c r="E10" i="31"/>
  <c r="E8" i="31"/>
  <c r="E7" i="31"/>
  <c r="E6" i="31"/>
  <c r="E5" i="31"/>
  <c r="H163" i="31"/>
  <c r="H162" i="31"/>
  <c r="H161" i="31"/>
  <c r="H160" i="31"/>
  <c r="H158" i="31"/>
  <c r="H157" i="31"/>
  <c r="H156" i="31"/>
  <c r="H155" i="31"/>
  <c r="H153" i="31"/>
  <c r="H152" i="31"/>
  <c r="H151" i="31"/>
  <c r="H150" i="31"/>
  <c r="H148" i="31"/>
  <c r="H147" i="31"/>
  <c r="H146" i="31"/>
  <c r="H145" i="31"/>
  <c r="H143" i="31"/>
  <c r="H142" i="31"/>
  <c r="H141" i="31"/>
  <c r="H140" i="31"/>
  <c r="H138" i="31"/>
  <c r="H137" i="31"/>
  <c r="H136" i="31"/>
  <c r="H135" i="31"/>
  <c r="H133" i="31"/>
  <c r="H132" i="31"/>
  <c r="H131" i="31"/>
  <c r="H130" i="31"/>
  <c r="H128" i="31"/>
  <c r="H127" i="31"/>
  <c r="H126" i="31"/>
  <c r="H125" i="31"/>
  <c r="H123" i="31"/>
  <c r="H122" i="31"/>
  <c r="H121" i="31"/>
  <c r="H120" i="31"/>
  <c r="H118" i="31"/>
  <c r="H117" i="31"/>
  <c r="H116" i="31"/>
  <c r="H115" i="31"/>
  <c r="H113" i="31"/>
  <c r="H112" i="31"/>
  <c r="H111" i="31"/>
  <c r="H110" i="31"/>
  <c r="H108" i="31"/>
  <c r="H107" i="31"/>
  <c r="H106" i="31"/>
  <c r="H105" i="31"/>
  <c r="H103" i="31"/>
  <c r="H102" i="31"/>
  <c r="H101" i="31"/>
  <c r="H100" i="31"/>
  <c r="H98" i="31"/>
  <c r="H97" i="31"/>
  <c r="H96" i="31"/>
  <c r="H95" i="31"/>
  <c r="H93" i="31"/>
  <c r="H92" i="31"/>
  <c r="H91" i="31"/>
  <c r="H90" i="31"/>
  <c r="H88" i="31"/>
  <c r="H87" i="31"/>
  <c r="H86" i="31"/>
  <c r="H85" i="31"/>
  <c r="H83" i="31"/>
  <c r="H82" i="31"/>
  <c r="H81" i="31"/>
  <c r="H80" i="31"/>
  <c r="H78" i="31"/>
  <c r="H77" i="31"/>
  <c r="H76" i="31"/>
  <c r="H75" i="31"/>
  <c r="H73" i="31"/>
  <c r="H72" i="31"/>
  <c r="H71" i="31"/>
  <c r="H70" i="31"/>
  <c r="H68" i="31"/>
  <c r="H67" i="31"/>
  <c r="H66" i="31"/>
  <c r="H65" i="31"/>
  <c r="H63" i="31"/>
  <c r="H62" i="31"/>
  <c r="H61" i="31"/>
  <c r="H60" i="31"/>
  <c r="H58" i="31"/>
  <c r="H57" i="31"/>
  <c r="H56" i="31"/>
  <c r="H55" i="31"/>
  <c r="H53" i="31"/>
  <c r="H52" i="31"/>
  <c r="H51" i="31"/>
  <c r="H50" i="31"/>
  <c r="H48" i="31"/>
  <c r="H47" i="31"/>
  <c r="H46" i="31"/>
  <c r="H45" i="31"/>
  <c r="H43" i="31"/>
  <c r="H42" i="31"/>
  <c r="H41" i="31"/>
  <c r="H40" i="31"/>
  <c r="H38" i="31"/>
  <c r="H37" i="31"/>
  <c r="H36" i="31"/>
  <c r="H35" i="31"/>
  <c r="H33" i="31"/>
  <c r="H32" i="31"/>
  <c r="H31" i="31"/>
  <c r="H30" i="31"/>
  <c r="H28" i="31"/>
  <c r="H27" i="31"/>
  <c r="H26" i="31"/>
  <c r="H25" i="31"/>
  <c r="H23" i="31"/>
  <c r="H22" i="31"/>
  <c r="H21" i="31"/>
  <c r="H20" i="31"/>
  <c r="H18" i="31"/>
  <c r="H17" i="31"/>
  <c r="H16" i="31"/>
  <c r="H15" i="31"/>
  <c r="H13" i="31"/>
  <c r="H12" i="31"/>
  <c r="H11" i="31"/>
  <c r="H10" i="31"/>
  <c r="H8" i="31"/>
  <c r="H7" i="31"/>
  <c r="H6" i="31"/>
  <c r="H5" i="31"/>
  <c r="E163" i="32"/>
  <c r="E162" i="32"/>
  <c r="E161" i="32"/>
  <c r="E160" i="32"/>
  <c r="E158" i="32"/>
  <c r="E157" i="32"/>
  <c r="E156" i="32"/>
  <c r="E155" i="32"/>
  <c r="E153" i="32"/>
  <c r="E152" i="32"/>
  <c r="E151" i="32"/>
  <c r="E150" i="32"/>
  <c r="E148" i="32"/>
  <c r="E147" i="32"/>
  <c r="E146" i="32"/>
  <c r="E145" i="32"/>
  <c r="E143" i="32"/>
  <c r="E142" i="32"/>
  <c r="E141" i="32"/>
  <c r="E140" i="32"/>
  <c r="E138" i="32"/>
  <c r="E137" i="32"/>
  <c r="E136" i="32"/>
  <c r="E135" i="32"/>
  <c r="E133" i="32"/>
  <c r="E132" i="32"/>
  <c r="E131" i="32"/>
  <c r="E130" i="32"/>
  <c r="E128" i="32"/>
  <c r="E127" i="32"/>
  <c r="E126" i="32"/>
  <c r="E125" i="32"/>
  <c r="E123" i="32"/>
  <c r="E122" i="32"/>
  <c r="E121" i="32"/>
  <c r="E120" i="32"/>
  <c r="E118" i="32"/>
  <c r="E117" i="32"/>
  <c r="E116" i="32"/>
  <c r="E115" i="32"/>
  <c r="E113" i="32"/>
  <c r="E112" i="32"/>
  <c r="E111" i="32"/>
  <c r="E110" i="32"/>
  <c r="E108" i="32"/>
  <c r="E107" i="32"/>
  <c r="E106" i="32"/>
  <c r="E105" i="32"/>
  <c r="E103" i="32"/>
  <c r="E102" i="32"/>
  <c r="E101" i="32"/>
  <c r="E100" i="32"/>
  <c r="E98" i="32"/>
  <c r="E97" i="32"/>
  <c r="E96" i="32"/>
  <c r="E95" i="32"/>
  <c r="E93" i="32"/>
  <c r="E92" i="32"/>
  <c r="E91" i="32"/>
  <c r="E90" i="32"/>
  <c r="E88" i="32"/>
  <c r="E87" i="32"/>
  <c r="E86" i="32"/>
  <c r="E85" i="32"/>
  <c r="E83" i="32"/>
  <c r="E82" i="32"/>
  <c r="E81" i="32"/>
  <c r="E80" i="32"/>
  <c r="E78" i="32"/>
  <c r="E77" i="32"/>
  <c r="E76" i="32"/>
  <c r="E75" i="32"/>
  <c r="E73" i="32"/>
  <c r="E72" i="32"/>
  <c r="E71" i="32"/>
  <c r="E70" i="32"/>
  <c r="E68" i="32"/>
  <c r="E67" i="32"/>
  <c r="E66" i="32"/>
  <c r="E65" i="32"/>
  <c r="E63" i="32"/>
  <c r="E62" i="32"/>
  <c r="E61" i="32"/>
  <c r="E60" i="32"/>
  <c r="E58" i="32"/>
  <c r="E57" i="32"/>
  <c r="E56" i="32"/>
  <c r="E55" i="32"/>
  <c r="E53" i="32"/>
  <c r="E52" i="32"/>
  <c r="E51" i="32"/>
  <c r="E50" i="32"/>
  <c r="E48" i="32"/>
  <c r="E47" i="32"/>
  <c r="E46" i="32"/>
  <c r="E45" i="32"/>
  <c r="E43" i="32"/>
  <c r="E42" i="32"/>
  <c r="E41" i="32"/>
  <c r="E40" i="32"/>
  <c r="E38" i="32"/>
  <c r="E37" i="32"/>
  <c r="E36" i="32"/>
  <c r="E35" i="32"/>
  <c r="E33" i="32"/>
  <c r="E32" i="32"/>
  <c r="E31" i="32"/>
  <c r="E30" i="32"/>
  <c r="E28" i="32"/>
  <c r="E27" i="32"/>
  <c r="E26" i="32"/>
  <c r="E25" i="32"/>
  <c r="E23" i="32"/>
  <c r="E22" i="32"/>
  <c r="E21" i="32"/>
  <c r="E20" i="32"/>
  <c r="E18" i="32"/>
  <c r="E17" i="32"/>
  <c r="E16" i="32"/>
  <c r="E15" i="32"/>
  <c r="E13" i="32"/>
  <c r="E12" i="32"/>
  <c r="E11" i="32"/>
  <c r="E10" i="32"/>
  <c r="E8" i="32"/>
  <c r="E7" i="32"/>
  <c r="E6" i="32"/>
  <c r="E5" i="32"/>
  <c r="H163" i="32"/>
  <c r="H162" i="32"/>
  <c r="H161" i="32"/>
  <c r="H160" i="32"/>
  <c r="H158" i="32"/>
  <c r="H157" i="32"/>
  <c r="H156" i="32"/>
  <c r="H155" i="32"/>
  <c r="H153" i="32"/>
  <c r="H152" i="32"/>
  <c r="H151" i="32"/>
  <c r="H150" i="32"/>
  <c r="H148" i="32"/>
  <c r="H147" i="32"/>
  <c r="H146" i="32"/>
  <c r="H145" i="32"/>
  <c r="H143" i="32"/>
  <c r="H142" i="32"/>
  <c r="H141" i="32"/>
  <c r="H140" i="32"/>
  <c r="H138" i="32"/>
  <c r="H137" i="32"/>
  <c r="H136" i="32"/>
  <c r="H135" i="32"/>
  <c r="H133" i="32"/>
  <c r="H132" i="32"/>
  <c r="H131" i="32"/>
  <c r="H130" i="32"/>
  <c r="H128" i="32"/>
  <c r="H127" i="32"/>
  <c r="H126" i="32"/>
  <c r="H125" i="32"/>
  <c r="H123" i="32"/>
  <c r="H122" i="32"/>
  <c r="H121" i="32"/>
  <c r="H120" i="32"/>
  <c r="H118" i="32"/>
  <c r="H117" i="32"/>
  <c r="H116" i="32"/>
  <c r="H115" i="32"/>
  <c r="H113" i="32"/>
  <c r="H112" i="32"/>
  <c r="H111" i="32"/>
  <c r="H110" i="32"/>
  <c r="H108" i="32"/>
  <c r="H107" i="32"/>
  <c r="H106" i="32"/>
  <c r="H105" i="32"/>
  <c r="H103" i="32"/>
  <c r="H102" i="32"/>
  <c r="H101" i="32"/>
  <c r="H100" i="32"/>
  <c r="H98" i="32"/>
  <c r="H97" i="32"/>
  <c r="H96" i="32"/>
  <c r="H95" i="32"/>
  <c r="H93" i="32"/>
  <c r="H92" i="32"/>
  <c r="H91" i="32"/>
  <c r="H90" i="32"/>
  <c r="H88" i="32"/>
  <c r="H87" i="32"/>
  <c r="H86" i="32"/>
  <c r="H85" i="32"/>
  <c r="H83" i="32"/>
  <c r="H82" i="32"/>
  <c r="H81" i="32"/>
  <c r="H80" i="32"/>
  <c r="H78" i="32"/>
  <c r="H77" i="32"/>
  <c r="H76" i="32"/>
  <c r="H75" i="32"/>
  <c r="H73" i="32"/>
  <c r="H72" i="32"/>
  <c r="H71" i="32"/>
  <c r="H70" i="32"/>
  <c r="H68" i="32"/>
  <c r="H67" i="32"/>
  <c r="H66" i="32"/>
  <c r="H65" i="32"/>
  <c r="H63" i="32"/>
  <c r="H62" i="32"/>
  <c r="H61" i="32"/>
  <c r="H60" i="32"/>
  <c r="H58" i="32"/>
  <c r="H57" i="32"/>
  <c r="H56" i="32"/>
  <c r="H55" i="32"/>
  <c r="H53" i="32"/>
  <c r="H52" i="32"/>
  <c r="H51" i="32"/>
  <c r="H50" i="32"/>
  <c r="H48" i="32"/>
  <c r="H47" i="32"/>
  <c r="H46" i="32"/>
  <c r="H45" i="32"/>
  <c r="H43" i="32"/>
  <c r="H42" i="32"/>
  <c r="H41" i="32"/>
  <c r="H40" i="32"/>
  <c r="H38" i="32"/>
  <c r="H37" i="32"/>
  <c r="H36" i="32"/>
  <c r="H35" i="32"/>
  <c r="H33" i="32"/>
  <c r="H32" i="32"/>
  <c r="H31" i="32"/>
  <c r="H30" i="32"/>
  <c r="H28" i="32"/>
  <c r="H27" i="32"/>
  <c r="H26" i="32"/>
  <c r="H25" i="32"/>
  <c r="H23" i="32"/>
  <c r="H22" i="32"/>
  <c r="H21" i="32"/>
  <c r="H20" i="32"/>
  <c r="H18" i="32"/>
  <c r="H17" i="32"/>
  <c r="H16" i="32"/>
  <c r="H15" i="32"/>
  <c r="H13" i="32"/>
  <c r="H12" i="32"/>
  <c r="H11" i="32"/>
  <c r="H10" i="32"/>
  <c r="H8" i="32"/>
  <c r="H7" i="32"/>
  <c r="H6" i="32"/>
  <c r="H5" i="32"/>
  <c r="B18" i="34"/>
  <c r="E163" i="57"/>
  <c r="E162" i="57"/>
  <c r="E161" i="57"/>
  <c r="E160" i="57"/>
  <c r="E158" i="57"/>
  <c r="E157" i="57"/>
  <c r="E156" i="57"/>
  <c r="E155" i="57"/>
  <c r="E153" i="57"/>
  <c r="E152" i="57"/>
  <c r="E151" i="57"/>
  <c r="E150" i="57"/>
  <c r="E148" i="57"/>
  <c r="E147" i="57"/>
  <c r="E146" i="57"/>
  <c r="E145" i="57"/>
  <c r="E143" i="57"/>
  <c r="E142" i="57"/>
  <c r="E141" i="57"/>
  <c r="E140" i="57"/>
  <c r="E138" i="57"/>
  <c r="E137" i="57"/>
  <c r="E136" i="57"/>
  <c r="E135" i="57"/>
  <c r="E133" i="57"/>
  <c r="E132" i="57"/>
  <c r="E131" i="57"/>
  <c r="E130" i="57"/>
  <c r="E128" i="57"/>
  <c r="E127" i="57"/>
  <c r="E126" i="57"/>
  <c r="E125" i="57"/>
  <c r="E123" i="57"/>
  <c r="E122" i="57"/>
  <c r="E121" i="57"/>
  <c r="E120" i="57"/>
  <c r="E118" i="57"/>
  <c r="E117" i="57"/>
  <c r="E116" i="57"/>
  <c r="E115" i="57"/>
  <c r="E113" i="57"/>
  <c r="E112" i="57"/>
  <c r="E111" i="57"/>
  <c r="E110" i="57"/>
  <c r="E108" i="57"/>
  <c r="E107" i="57"/>
  <c r="E106" i="57"/>
  <c r="E105" i="57"/>
  <c r="E103" i="57"/>
  <c r="E102" i="57"/>
  <c r="E101" i="57"/>
  <c r="E100" i="57"/>
  <c r="E98" i="57"/>
  <c r="E97" i="57"/>
  <c r="E96" i="57"/>
  <c r="E95" i="57"/>
  <c r="E93" i="57"/>
  <c r="E92" i="57"/>
  <c r="E91" i="57"/>
  <c r="E90" i="57"/>
  <c r="E88" i="57"/>
  <c r="E87" i="57"/>
  <c r="E86" i="57"/>
  <c r="E85" i="57"/>
  <c r="E83" i="57"/>
  <c r="E82" i="57"/>
  <c r="E81" i="57"/>
  <c r="E80" i="57"/>
  <c r="E78" i="57"/>
  <c r="E77" i="57"/>
  <c r="E76" i="57"/>
  <c r="E75" i="57"/>
  <c r="E73" i="57"/>
  <c r="E72" i="57"/>
  <c r="E71" i="57"/>
  <c r="E70" i="57"/>
  <c r="E68" i="57"/>
  <c r="E67" i="57"/>
  <c r="E66" i="57"/>
  <c r="E65" i="57"/>
  <c r="E63" i="57"/>
  <c r="E62" i="57"/>
  <c r="E61" i="57"/>
  <c r="E60" i="57"/>
  <c r="E58" i="57"/>
  <c r="E57" i="57"/>
  <c r="E56" i="57"/>
  <c r="E55" i="57"/>
  <c r="E53" i="57"/>
  <c r="E52" i="57"/>
  <c r="E51" i="57"/>
  <c r="E50" i="57"/>
  <c r="E48" i="57"/>
  <c r="E47" i="57"/>
  <c r="E46" i="57"/>
  <c r="E45" i="57"/>
  <c r="E43" i="57"/>
  <c r="E42" i="57"/>
  <c r="E41" i="57"/>
  <c r="E40" i="57"/>
  <c r="E38" i="57"/>
  <c r="E37" i="57"/>
  <c r="E36" i="57"/>
  <c r="E35" i="57"/>
  <c r="E33" i="57"/>
  <c r="E32" i="57"/>
  <c r="E31" i="57"/>
  <c r="E30" i="57"/>
  <c r="E28" i="57"/>
  <c r="E27" i="57"/>
  <c r="E26" i="57"/>
  <c r="E25" i="57"/>
  <c r="E23" i="57"/>
  <c r="E22" i="57"/>
  <c r="E21" i="57"/>
  <c r="E20" i="57"/>
  <c r="E18" i="57"/>
  <c r="E17" i="57"/>
  <c r="E16" i="57"/>
  <c r="E15" i="57"/>
  <c r="E13" i="57"/>
  <c r="E12" i="57"/>
  <c r="E11" i="57"/>
  <c r="E10" i="57"/>
  <c r="E8" i="57"/>
  <c r="E7" i="57"/>
  <c r="E6" i="57"/>
  <c r="E5" i="57"/>
  <c r="E163" i="58"/>
  <c r="E162" i="58"/>
  <c r="E161" i="58"/>
  <c r="E160" i="58"/>
  <c r="E158" i="58"/>
  <c r="E157" i="58"/>
  <c r="E156" i="58"/>
  <c r="E155" i="58"/>
  <c r="E153" i="58"/>
  <c r="E152" i="58"/>
  <c r="E151" i="58"/>
  <c r="E150" i="58"/>
  <c r="E148" i="58"/>
  <c r="E147" i="58"/>
  <c r="E146" i="58"/>
  <c r="E145" i="58"/>
  <c r="E143" i="58"/>
  <c r="E142" i="58"/>
  <c r="E141" i="58"/>
  <c r="E140" i="58"/>
  <c r="E138" i="58"/>
  <c r="E137" i="58"/>
  <c r="E136" i="58"/>
  <c r="E135" i="58"/>
  <c r="E133" i="58"/>
  <c r="E132" i="58"/>
  <c r="E131" i="58"/>
  <c r="E130" i="58"/>
  <c r="E128" i="58"/>
  <c r="E127" i="58"/>
  <c r="E126" i="58"/>
  <c r="E125" i="58"/>
  <c r="E123" i="58"/>
  <c r="E122" i="58"/>
  <c r="E121" i="58"/>
  <c r="E120" i="58"/>
  <c r="E118" i="58"/>
  <c r="E117" i="58"/>
  <c r="E116" i="58"/>
  <c r="E115" i="58"/>
  <c r="E113" i="58"/>
  <c r="E112" i="58"/>
  <c r="E111" i="58"/>
  <c r="E110" i="58"/>
  <c r="E108" i="58"/>
  <c r="E107" i="58"/>
  <c r="E106" i="58"/>
  <c r="E105" i="58"/>
  <c r="E103" i="58"/>
  <c r="E102" i="58"/>
  <c r="E101" i="58"/>
  <c r="E100" i="58"/>
  <c r="E98" i="58"/>
  <c r="E97" i="58"/>
  <c r="E96" i="58"/>
  <c r="E95" i="58"/>
  <c r="E93" i="58"/>
  <c r="E92" i="58"/>
  <c r="E91" i="58"/>
  <c r="E90" i="58"/>
  <c r="E88" i="58"/>
  <c r="E87" i="58"/>
  <c r="E86" i="58"/>
  <c r="E85" i="58"/>
  <c r="E83" i="58"/>
  <c r="E82" i="58"/>
  <c r="E81" i="58"/>
  <c r="E80" i="58"/>
  <c r="E78" i="58"/>
  <c r="E77" i="58"/>
  <c r="E76" i="58"/>
  <c r="E75" i="58"/>
  <c r="E73" i="58"/>
  <c r="E72" i="58"/>
  <c r="E71" i="58"/>
  <c r="E70" i="58"/>
  <c r="E68" i="58"/>
  <c r="E67" i="58"/>
  <c r="E66" i="58"/>
  <c r="E65" i="58"/>
  <c r="E63" i="58"/>
  <c r="E62" i="58"/>
  <c r="E61" i="58"/>
  <c r="E60" i="58"/>
  <c r="E58" i="58"/>
  <c r="E57" i="58"/>
  <c r="E56" i="58"/>
  <c r="E55" i="58"/>
  <c r="E53" i="58"/>
  <c r="E52" i="58"/>
  <c r="E51" i="58"/>
  <c r="E50" i="58"/>
  <c r="E48" i="58"/>
  <c r="E47" i="58"/>
  <c r="E46" i="58"/>
  <c r="E45" i="58"/>
  <c r="E43" i="58"/>
  <c r="E42" i="58"/>
  <c r="E41" i="58"/>
  <c r="E40" i="58"/>
  <c r="E38" i="58"/>
  <c r="E37" i="58"/>
  <c r="E36" i="58"/>
  <c r="E35" i="58"/>
  <c r="E33" i="58"/>
  <c r="E32" i="58"/>
  <c r="E31" i="58"/>
  <c r="E30" i="58"/>
  <c r="E28" i="58"/>
  <c r="E27" i="58"/>
  <c r="E26" i="58"/>
  <c r="E25" i="58"/>
  <c r="E23" i="58"/>
  <c r="E22" i="58"/>
  <c r="E21" i="58"/>
  <c r="E20" i="58"/>
  <c r="E18" i="58"/>
  <c r="E17" i="58"/>
  <c r="E16" i="58"/>
  <c r="E15" i="58"/>
  <c r="E13" i="58"/>
  <c r="E12" i="58"/>
  <c r="E11" i="58"/>
  <c r="E10" i="58"/>
  <c r="E8" i="58"/>
  <c r="E7" i="58"/>
  <c r="E6" i="58"/>
  <c r="E5" i="58"/>
  <c r="H163" i="57"/>
  <c r="H162" i="57"/>
  <c r="H161" i="57"/>
  <c r="H160" i="57"/>
  <c r="H158" i="57"/>
  <c r="H157" i="57"/>
  <c r="H156" i="57"/>
  <c r="H155" i="57"/>
  <c r="H153" i="57"/>
  <c r="H152" i="57"/>
  <c r="H151" i="57"/>
  <c r="H150" i="57"/>
  <c r="H148" i="57"/>
  <c r="H147" i="57"/>
  <c r="H146" i="57"/>
  <c r="H145" i="57"/>
  <c r="H143" i="57"/>
  <c r="H142" i="57"/>
  <c r="H141" i="57"/>
  <c r="H140" i="57"/>
  <c r="H138" i="57"/>
  <c r="H137" i="57"/>
  <c r="H136" i="57"/>
  <c r="H135" i="57"/>
  <c r="H133" i="57"/>
  <c r="H132" i="57"/>
  <c r="H131" i="57"/>
  <c r="H130" i="57"/>
  <c r="H128" i="57"/>
  <c r="H127" i="57"/>
  <c r="H126" i="57"/>
  <c r="H125" i="57"/>
  <c r="H123" i="57"/>
  <c r="H122" i="57"/>
  <c r="H121" i="57"/>
  <c r="H120" i="57"/>
  <c r="H118" i="57"/>
  <c r="H117" i="57"/>
  <c r="H116" i="57"/>
  <c r="H115" i="57"/>
  <c r="H113" i="57"/>
  <c r="H112" i="57"/>
  <c r="H111" i="57"/>
  <c r="H110" i="57"/>
  <c r="H108" i="57"/>
  <c r="H107" i="57"/>
  <c r="H106" i="57"/>
  <c r="H105" i="57"/>
  <c r="H103" i="57"/>
  <c r="H102" i="57"/>
  <c r="H101" i="57"/>
  <c r="H100" i="57"/>
  <c r="H98" i="57"/>
  <c r="H97" i="57"/>
  <c r="H96" i="57"/>
  <c r="H95" i="57"/>
  <c r="H93" i="57"/>
  <c r="H92" i="57"/>
  <c r="H91" i="57"/>
  <c r="H90" i="57"/>
  <c r="H88" i="57"/>
  <c r="H87" i="57"/>
  <c r="H86" i="57"/>
  <c r="H85" i="57"/>
  <c r="H83" i="57"/>
  <c r="H82" i="57"/>
  <c r="H81" i="57"/>
  <c r="H80" i="57"/>
  <c r="H78" i="57"/>
  <c r="H77" i="57"/>
  <c r="H76" i="57"/>
  <c r="H75" i="57"/>
  <c r="H73" i="57"/>
  <c r="H72" i="57"/>
  <c r="H71" i="57"/>
  <c r="H70" i="57"/>
  <c r="H68" i="57"/>
  <c r="H67" i="57"/>
  <c r="H66" i="57"/>
  <c r="H65" i="57"/>
  <c r="H63" i="57"/>
  <c r="H62" i="57"/>
  <c r="H61" i="57"/>
  <c r="H60" i="57"/>
  <c r="H58" i="57"/>
  <c r="H57" i="57"/>
  <c r="H56" i="57"/>
  <c r="H55" i="57"/>
  <c r="H53" i="57"/>
  <c r="H52" i="57"/>
  <c r="H51" i="57"/>
  <c r="H50" i="57"/>
  <c r="H48" i="57"/>
  <c r="H47" i="57"/>
  <c r="H46" i="57"/>
  <c r="H45" i="57"/>
  <c r="H43" i="57"/>
  <c r="H42" i="57"/>
  <c r="H41" i="57"/>
  <c r="H40" i="57"/>
  <c r="H38" i="57"/>
  <c r="H37" i="57"/>
  <c r="H36" i="57"/>
  <c r="H35" i="57"/>
  <c r="H33" i="57"/>
  <c r="H32" i="57"/>
  <c r="H31" i="57"/>
  <c r="H30" i="57"/>
  <c r="H28" i="57"/>
  <c r="H27" i="57"/>
  <c r="H26" i="57"/>
  <c r="H25" i="57"/>
  <c r="H23" i="57"/>
  <c r="H22" i="57"/>
  <c r="H21" i="57"/>
  <c r="H20" i="57"/>
  <c r="H18" i="57"/>
  <c r="H17" i="57"/>
  <c r="H16" i="57"/>
  <c r="H15" i="57"/>
  <c r="H13" i="57"/>
  <c r="H12" i="57"/>
  <c r="H11" i="57"/>
  <c r="H10" i="57"/>
  <c r="H8" i="57"/>
  <c r="H7" i="57"/>
  <c r="H6" i="57"/>
  <c r="H5" i="57"/>
  <c r="H163" i="58"/>
  <c r="H162" i="58"/>
  <c r="H161" i="58"/>
  <c r="H160" i="58"/>
  <c r="H158" i="58"/>
  <c r="H157" i="58"/>
  <c r="H156" i="58"/>
  <c r="H155" i="58"/>
  <c r="H153" i="58"/>
  <c r="H152" i="58"/>
  <c r="H151" i="58"/>
  <c r="H150" i="58"/>
  <c r="H148" i="58"/>
  <c r="H147" i="58"/>
  <c r="H146" i="58"/>
  <c r="H145" i="58"/>
  <c r="H143" i="58"/>
  <c r="H142" i="58"/>
  <c r="H141" i="58"/>
  <c r="H140" i="58"/>
  <c r="H138" i="58"/>
  <c r="H137" i="58"/>
  <c r="H136" i="58"/>
  <c r="H135" i="58"/>
  <c r="H133" i="58"/>
  <c r="H132" i="58"/>
  <c r="H131" i="58"/>
  <c r="H130" i="58"/>
  <c r="H128" i="58"/>
  <c r="H127" i="58"/>
  <c r="H126" i="58"/>
  <c r="H125" i="58"/>
  <c r="H123" i="58"/>
  <c r="H122" i="58"/>
  <c r="H121" i="58"/>
  <c r="H120" i="58"/>
  <c r="H118" i="58"/>
  <c r="H117" i="58"/>
  <c r="H116" i="58"/>
  <c r="H115" i="58"/>
  <c r="H113" i="58"/>
  <c r="H112" i="58"/>
  <c r="H111" i="58"/>
  <c r="H110" i="58"/>
  <c r="H108" i="58"/>
  <c r="H107" i="58"/>
  <c r="H106" i="58"/>
  <c r="H105" i="58"/>
  <c r="H103" i="58"/>
  <c r="H102" i="58"/>
  <c r="H101" i="58"/>
  <c r="H100" i="58"/>
  <c r="H98" i="58"/>
  <c r="H97" i="58"/>
  <c r="H96" i="58"/>
  <c r="H95" i="58"/>
  <c r="H93" i="58"/>
  <c r="H92" i="58"/>
  <c r="H91" i="58"/>
  <c r="H90" i="58"/>
  <c r="H88" i="58"/>
  <c r="H87" i="58"/>
  <c r="H86" i="58"/>
  <c r="H85" i="58"/>
  <c r="H83" i="58"/>
  <c r="H82" i="58"/>
  <c r="H81" i="58"/>
  <c r="H80" i="58"/>
  <c r="H78" i="58"/>
  <c r="H77" i="58"/>
  <c r="H76" i="58"/>
  <c r="H75" i="58"/>
  <c r="H73" i="58"/>
  <c r="H72" i="58"/>
  <c r="H71" i="58"/>
  <c r="H70" i="58"/>
  <c r="H68" i="58"/>
  <c r="H67" i="58"/>
  <c r="H66" i="58"/>
  <c r="H65" i="58"/>
  <c r="H63" i="58"/>
  <c r="H62" i="58"/>
  <c r="H61" i="58"/>
  <c r="H60" i="58"/>
  <c r="H58" i="58"/>
  <c r="H57" i="58"/>
  <c r="H56" i="58"/>
  <c r="H55" i="58"/>
  <c r="H53" i="58"/>
  <c r="H52" i="58"/>
  <c r="H51" i="58"/>
  <c r="H50" i="58"/>
  <c r="H48" i="58"/>
  <c r="H47" i="58"/>
  <c r="H46" i="58"/>
  <c r="H45" i="58"/>
  <c r="H43" i="58"/>
  <c r="H42" i="58"/>
  <c r="H41" i="58"/>
  <c r="H40" i="58"/>
  <c r="H38" i="58"/>
  <c r="H37" i="58"/>
  <c r="H36" i="58"/>
  <c r="H35" i="58"/>
  <c r="H33" i="58"/>
  <c r="H32" i="58"/>
  <c r="H31" i="58"/>
  <c r="H30" i="58"/>
  <c r="H28" i="58"/>
  <c r="H27" i="58"/>
  <c r="H26" i="58"/>
  <c r="H25" i="58"/>
  <c r="H23" i="58"/>
  <c r="H22" i="58"/>
  <c r="H21" i="58"/>
  <c r="H20" i="58"/>
  <c r="H18" i="58"/>
  <c r="H17" i="58"/>
  <c r="H16" i="58"/>
  <c r="H15" i="58"/>
  <c r="H13" i="58"/>
  <c r="H12" i="58"/>
  <c r="H11" i="58"/>
  <c r="H10" i="58"/>
  <c r="H8" i="58"/>
  <c r="H7" i="58"/>
  <c r="H6" i="58"/>
  <c r="H5" i="58"/>
  <c r="B8" i="35"/>
  <c r="B9" i="35"/>
  <c r="B7" i="35"/>
  <c r="G42" i="3"/>
  <c r="A43" i="34" s="1"/>
  <c r="B10" i="34"/>
  <c r="B11" i="34"/>
  <c r="B12" i="34"/>
  <c r="B13" i="34"/>
  <c r="B14" i="34"/>
  <c r="B15" i="34"/>
  <c r="B16" i="34"/>
  <c r="B17" i="34"/>
  <c r="B19" i="34"/>
  <c r="B20" i="34"/>
  <c r="B21" i="34"/>
  <c r="B22" i="34"/>
  <c r="B23" i="34"/>
  <c r="B24" i="34"/>
  <c r="B25" i="34"/>
  <c r="A43" i="60"/>
  <c r="C43" i="60" s="1"/>
  <c r="D43" i="60"/>
  <c r="F43" i="60"/>
  <c r="B36" i="33"/>
  <c r="B8" i="33"/>
  <c r="B9" i="33"/>
  <c r="B10" i="33"/>
  <c r="B11" i="33"/>
  <c r="B12" i="33"/>
  <c r="B13" i="33"/>
  <c r="B14" i="33"/>
  <c r="B15" i="33"/>
  <c r="B16" i="33"/>
  <c r="B17" i="33"/>
  <c r="B18" i="33"/>
  <c r="B19" i="33"/>
  <c r="B20" i="33"/>
  <c r="B21" i="33"/>
  <c r="B22" i="33"/>
  <c r="B23" i="33"/>
  <c r="B24" i="33"/>
  <c r="B25" i="33"/>
  <c r="B26" i="33"/>
  <c r="B7" i="33"/>
  <c r="D9" i="49"/>
  <c r="E9" i="51" s="1"/>
  <c r="D10" i="49"/>
  <c r="E10" i="51" s="1"/>
  <c r="D8" i="49"/>
  <c r="E8" i="51" s="1"/>
  <c r="L11" i="48"/>
  <c r="N11" i="50" s="1"/>
  <c r="L12" i="48"/>
  <c r="N12" i="50" s="1"/>
  <c r="L13" i="48"/>
  <c r="N13" i="50" s="1"/>
  <c r="L14" i="48"/>
  <c r="N14" i="50" s="1"/>
  <c r="L15" i="48"/>
  <c r="N15" i="50" s="1"/>
  <c r="L16" i="48"/>
  <c r="N16" i="50" s="1"/>
  <c r="L17" i="48"/>
  <c r="N17" i="50" s="1"/>
  <c r="L18" i="48"/>
  <c r="N18" i="50" s="1"/>
  <c r="L19" i="48"/>
  <c r="N19" i="50" s="1"/>
  <c r="L20" i="48"/>
  <c r="N20" i="50" s="1"/>
  <c r="L21" i="48"/>
  <c r="N21" i="50" s="1"/>
  <c r="L22" i="48"/>
  <c r="N22" i="50" s="1"/>
  <c r="L23" i="48"/>
  <c r="N23" i="50" s="1"/>
  <c r="L24" i="48"/>
  <c r="N24" i="50" s="1"/>
  <c r="L25" i="48"/>
  <c r="N25" i="50" s="1"/>
  <c r="L26" i="48"/>
  <c r="N26" i="50" s="1"/>
  <c r="D37" i="48"/>
  <c r="E37" i="50" s="1"/>
  <c r="D25" i="48"/>
  <c r="E25" i="50"/>
  <c r="D26" i="48"/>
  <c r="E26" i="50" s="1"/>
  <c r="D27" i="48"/>
  <c r="E27" i="50"/>
  <c r="D9" i="48"/>
  <c r="E9" i="50"/>
  <c r="D10" i="48"/>
  <c r="E10" i="50"/>
  <c r="D11" i="48"/>
  <c r="E11" i="50" s="1"/>
  <c r="D12" i="48"/>
  <c r="E12" i="50"/>
  <c r="D13" i="48"/>
  <c r="E13" i="50"/>
  <c r="D14" i="48"/>
  <c r="E14" i="50"/>
  <c r="D15" i="48"/>
  <c r="E15" i="50" s="1"/>
  <c r="D16" i="48"/>
  <c r="E16" i="50"/>
  <c r="D17" i="48"/>
  <c r="E17" i="50"/>
  <c r="D18" i="48"/>
  <c r="E18" i="50"/>
  <c r="D19" i="48"/>
  <c r="E19" i="50" s="1"/>
  <c r="D20" i="48"/>
  <c r="E20" i="50"/>
  <c r="D21" i="48"/>
  <c r="E21" i="50"/>
  <c r="D22" i="48"/>
  <c r="E22" i="50"/>
  <c r="D23" i="48"/>
  <c r="E23" i="50" s="1"/>
  <c r="D24" i="48"/>
  <c r="E24" i="50"/>
  <c r="D8" i="48"/>
  <c r="E8" i="50"/>
  <c r="F37" i="6"/>
  <c r="B74" i="67"/>
  <c r="F36" i="6"/>
  <c r="B73" i="67"/>
  <c r="B10" i="35"/>
  <c r="B19" i="35" s="1"/>
  <c r="B30" i="35" s="1"/>
  <c r="B49" i="35" s="1"/>
  <c r="B53" i="35" s="1"/>
  <c r="D10" i="5"/>
  <c r="D19" i="5" s="1"/>
  <c r="D30" i="5"/>
  <c r="D49" i="5" s="1"/>
  <c r="D53" i="5" s="1"/>
  <c r="E67" i="36"/>
  <c r="C67" i="36"/>
  <c r="C92" i="65"/>
  <c r="C83" i="65"/>
  <c r="C74" i="65"/>
  <c r="C10" i="5"/>
  <c r="C19" i="5"/>
  <c r="C30" i="5" s="1"/>
  <c r="C49" i="5" s="1"/>
  <c r="C53" i="5" s="1"/>
  <c r="C57" i="5" s="1"/>
  <c r="C67" i="5" s="1"/>
  <c r="C73" i="5" s="1"/>
  <c r="B54" i="35"/>
  <c r="B6" i="35"/>
  <c r="B11" i="35"/>
  <c r="B13" i="35"/>
  <c r="B14" i="35"/>
  <c r="B15" i="35"/>
  <c r="B16" i="35"/>
  <c r="B17" i="35"/>
  <c r="B18" i="35"/>
  <c r="B20" i="35"/>
  <c r="B21" i="35"/>
  <c r="B22" i="35"/>
  <c r="B25" i="35"/>
  <c r="B29" i="35"/>
  <c r="B31" i="35"/>
  <c r="B32" i="35"/>
  <c r="B33" i="35"/>
  <c r="B35" i="35"/>
  <c r="B40" i="35"/>
  <c r="B42" i="35"/>
  <c r="B47" i="35"/>
  <c r="B50" i="35"/>
  <c r="B51" i="35"/>
  <c r="B52" i="35"/>
  <c r="C21" i="38"/>
  <c r="C27" i="38"/>
  <c r="C85" i="38"/>
  <c r="C73" i="38"/>
  <c r="B75" i="67"/>
  <c r="D75" i="67" s="1"/>
  <c r="C84" i="38" s="1"/>
  <c r="B76" i="67"/>
  <c r="D76" i="67"/>
  <c r="B69" i="67"/>
  <c r="D69" i="67" s="1"/>
  <c r="C78" i="38" s="1"/>
  <c r="B70" i="67"/>
  <c r="D70" i="67" s="1"/>
  <c r="C79" i="38" s="1"/>
  <c r="B71" i="67"/>
  <c r="D71" i="67" s="1"/>
  <c r="B68" i="67"/>
  <c r="D68" i="67"/>
  <c r="C77" i="38" s="1"/>
  <c r="B58" i="67"/>
  <c r="B59" i="67"/>
  <c r="B60" i="67"/>
  <c r="B61" i="67"/>
  <c r="B62" i="67"/>
  <c r="B63" i="67"/>
  <c r="B64" i="67"/>
  <c r="D64" i="67"/>
  <c r="B49" i="67"/>
  <c r="B50" i="67"/>
  <c r="D50" i="67"/>
  <c r="C59" i="38" s="1"/>
  <c r="C123" i="38" s="1"/>
  <c r="B51" i="67"/>
  <c r="B52" i="67"/>
  <c r="D52" i="67" s="1"/>
  <c r="C61" i="38" s="1"/>
  <c r="C125" i="38" s="1"/>
  <c r="B53" i="67"/>
  <c r="D53" i="67"/>
  <c r="C62" i="38" s="1"/>
  <c r="C126" i="38" s="1"/>
  <c r="B54" i="67"/>
  <c r="B55" i="67"/>
  <c r="B56" i="67"/>
  <c r="D56" i="67" s="1"/>
  <c r="C65" i="38" s="1"/>
  <c r="C127" i="38" s="1"/>
  <c r="B57" i="67"/>
  <c r="D57" i="67" s="1"/>
  <c r="C66" i="38" s="1"/>
  <c r="C128" i="38" s="1"/>
  <c r="B48" i="67"/>
  <c r="B42" i="67"/>
  <c r="D42" i="67"/>
  <c r="C43" i="38" s="1"/>
  <c r="B37" i="67"/>
  <c r="D37" i="67"/>
  <c r="C38" i="38" s="1"/>
  <c r="B38" i="67"/>
  <c r="D38" i="67"/>
  <c r="C39" i="38" s="1"/>
  <c r="B36" i="67"/>
  <c r="D36" i="67" s="1"/>
  <c r="B33" i="67"/>
  <c r="D33" i="67"/>
  <c r="C34" i="38" s="1"/>
  <c r="B34" i="67"/>
  <c r="D34" i="67"/>
  <c r="C35" i="38" s="1"/>
  <c r="B32" i="67"/>
  <c r="D32" i="67"/>
  <c r="C33" i="38" s="1"/>
  <c r="B25" i="67"/>
  <c r="D25" i="67" s="1"/>
  <c r="C26" i="38" s="1"/>
  <c r="B26" i="67"/>
  <c r="D26" i="67"/>
  <c r="B27" i="67"/>
  <c r="B28" i="67" s="1"/>
  <c r="D27" i="67"/>
  <c r="C28" i="38" s="1"/>
  <c r="B24" i="67"/>
  <c r="D24" i="67"/>
  <c r="B19" i="67"/>
  <c r="D19" i="67" s="1"/>
  <c r="B20" i="67"/>
  <c r="D20" i="67"/>
  <c r="B21" i="67"/>
  <c r="B23" i="67" s="1"/>
  <c r="D21" i="67"/>
  <c r="C22" i="38" s="1"/>
  <c r="B22" i="67"/>
  <c r="D22" i="67"/>
  <c r="C23" i="38" s="1"/>
  <c r="B18" i="67"/>
  <c r="D18" i="67" s="1"/>
  <c r="C19" i="38" s="1"/>
  <c r="B11" i="67"/>
  <c r="D11" i="67"/>
  <c r="C12" i="38" s="1"/>
  <c r="B12" i="67"/>
  <c r="D12" i="67"/>
  <c r="C13" i="38" s="1"/>
  <c r="B13" i="67"/>
  <c r="D13" i="67"/>
  <c r="C14" i="38" s="1"/>
  <c r="B10" i="67"/>
  <c r="D10" i="67" s="1"/>
  <c r="D14" i="67" s="1"/>
  <c r="B7" i="67"/>
  <c r="B9" i="67" s="1"/>
  <c r="D7" i="67"/>
  <c r="C8" i="38" s="1"/>
  <c r="B8" i="67"/>
  <c r="D8" i="67"/>
  <c r="C9" i="38" s="1"/>
  <c r="B6" i="67"/>
  <c r="D6" i="67"/>
  <c r="C9" i="67"/>
  <c r="C14" i="67"/>
  <c r="C15" i="67" s="1"/>
  <c r="C23" i="67"/>
  <c r="C28" i="67"/>
  <c r="C29" i="67"/>
  <c r="C35" i="67"/>
  <c r="C40" i="67" s="1"/>
  <c r="C39" i="67"/>
  <c r="B14" i="67"/>
  <c r="B35" i="67"/>
  <c r="B40" i="67" s="1"/>
  <c r="B39" i="67"/>
  <c r="A2" i="67"/>
  <c r="D35" i="67"/>
  <c r="B55" i="35"/>
  <c r="B56" i="35"/>
  <c r="B58" i="35"/>
  <c r="B59" i="35"/>
  <c r="B60" i="35"/>
  <c r="B61" i="35"/>
  <c r="B62" i="35"/>
  <c r="B63" i="35"/>
  <c r="B64" i="35"/>
  <c r="B65" i="35"/>
  <c r="B66" i="35"/>
  <c r="B68" i="35"/>
  <c r="B69" i="35"/>
  <c r="B70" i="35"/>
  <c r="B71" i="35"/>
  <c r="B72" i="35"/>
  <c r="B29" i="33"/>
  <c r="B30" i="33"/>
  <c r="B31" i="33"/>
  <c r="B32" i="33"/>
  <c r="B33" i="33"/>
  <c r="B37" i="33"/>
  <c r="B39" i="33"/>
  <c r="B41" i="33"/>
  <c r="B42" i="33"/>
  <c r="B43" i="33"/>
  <c r="B44" i="33"/>
  <c r="B45" i="33"/>
  <c r="B46" i="33"/>
  <c r="B49" i="33"/>
  <c r="B51" i="33"/>
  <c r="B54" i="33"/>
  <c r="B55" i="33"/>
  <c r="B57" i="33"/>
  <c r="B60" i="33"/>
  <c r="B7" i="34"/>
  <c r="B8" i="34"/>
  <c r="B9" i="34"/>
  <c r="B28" i="34"/>
  <c r="B29" i="34"/>
  <c r="B30" i="34"/>
  <c r="B31" i="34"/>
  <c r="B32" i="34"/>
  <c r="B34" i="34"/>
  <c r="B35" i="34"/>
  <c r="B38" i="34"/>
  <c r="B40" i="34"/>
  <c r="B41" i="34"/>
  <c r="B43" i="34"/>
  <c r="B51" i="34"/>
  <c r="B52" i="34"/>
  <c r="B54" i="34"/>
  <c r="B57" i="34"/>
  <c r="B58" i="34"/>
  <c r="B60" i="34"/>
  <c r="F52" i="6"/>
  <c r="F51" i="6"/>
  <c r="J55" i="46"/>
  <c r="D6" i="62"/>
  <c r="D10" i="62" s="1"/>
  <c r="D19" i="62" s="1"/>
  <c r="D9" i="62"/>
  <c r="D11" i="62"/>
  <c r="D13" i="62"/>
  <c r="D14" i="62"/>
  <c r="D15" i="62"/>
  <c r="D16" i="62"/>
  <c r="D17" i="62"/>
  <c r="D18" i="62"/>
  <c r="D20" i="62"/>
  <c r="D21" i="62"/>
  <c r="D22" i="62"/>
  <c r="D25" i="62"/>
  <c r="D29" i="62"/>
  <c r="D30" i="62"/>
  <c r="D31" i="62"/>
  <c r="D32" i="62"/>
  <c r="D33" i="62"/>
  <c r="D35" i="62"/>
  <c r="D40" i="62"/>
  <c r="D42" i="62"/>
  <c r="D47" i="62"/>
  <c r="D49" i="62"/>
  <c r="D53" i="62" s="1"/>
  <c r="D50" i="62"/>
  <c r="D51" i="62"/>
  <c r="D52" i="62"/>
  <c r="D54" i="62"/>
  <c r="D55" i="62"/>
  <c r="D56" i="62"/>
  <c r="D57" i="62"/>
  <c r="D58" i="62"/>
  <c r="D59" i="62"/>
  <c r="D60" i="62"/>
  <c r="D61" i="62"/>
  <c r="D62" i="62"/>
  <c r="D63" i="62"/>
  <c r="D64" i="62"/>
  <c r="D65" i="62"/>
  <c r="D66" i="62"/>
  <c r="D68" i="62"/>
  <c r="D69" i="62"/>
  <c r="D70" i="62"/>
  <c r="D71" i="62"/>
  <c r="D72" i="62"/>
  <c r="A29" i="59"/>
  <c r="A31" i="59"/>
  <c r="A29" i="33"/>
  <c r="A31" i="33"/>
  <c r="J94" i="58"/>
  <c r="J99" i="58"/>
  <c r="J104" i="58"/>
  <c r="J109" i="58"/>
  <c r="J114" i="58"/>
  <c r="J119" i="58"/>
  <c r="J124" i="58"/>
  <c r="J129" i="58"/>
  <c r="J134" i="58"/>
  <c r="J139" i="58"/>
  <c r="J144" i="58"/>
  <c r="J149" i="58"/>
  <c r="J154" i="58"/>
  <c r="J159" i="58"/>
  <c r="J164" i="58"/>
  <c r="J54" i="58"/>
  <c r="J59" i="58"/>
  <c r="J64" i="58"/>
  <c r="J69" i="58"/>
  <c r="J74" i="58"/>
  <c r="J79" i="58"/>
  <c r="J84" i="58"/>
  <c r="J89" i="58"/>
  <c r="J34" i="58"/>
  <c r="J39" i="58"/>
  <c r="J44" i="58"/>
  <c r="J49" i="58"/>
  <c r="J24" i="58"/>
  <c r="J29" i="58"/>
  <c r="J19" i="58"/>
  <c r="J14" i="58"/>
  <c r="J9" i="58"/>
  <c r="J129" i="57"/>
  <c r="J134" i="57"/>
  <c r="J139" i="57"/>
  <c r="J144" i="57"/>
  <c r="J149" i="57"/>
  <c r="J154" i="57"/>
  <c r="J159" i="57"/>
  <c r="J164" i="57"/>
  <c r="J109" i="57"/>
  <c r="J114" i="57"/>
  <c r="J119" i="57"/>
  <c r="J124" i="57"/>
  <c r="J99" i="57"/>
  <c r="J104" i="57"/>
  <c r="J94" i="57"/>
  <c r="J54" i="57"/>
  <c r="J59" i="57"/>
  <c r="J64" i="57"/>
  <c r="J69" i="57"/>
  <c r="J74" i="57"/>
  <c r="J79" i="57"/>
  <c r="J84" i="57"/>
  <c r="J89" i="57"/>
  <c r="J34" i="57"/>
  <c r="J39" i="57"/>
  <c r="J44" i="57"/>
  <c r="J49" i="57"/>
  <c r="J24" i="57"/>
  <c r="J29" i="57"/>
  <c r="J19" i="57"/>
  <c r="J14" i="57"/>
  <c r="J9" i="57"/>
  <c r="J129" i="32"/>
  <c r="J134" i="32"/>
  <c r="J139" i="32"/>
  <c r="J144" i="32"/>
  <c r="J149" i="32"/>
  <c r="J154" i="32"/>
  <c r="J159" i="32"/>
  <c r="J164" i="32"/>
  <c r="J109" i="32"/>
  <c r="J114" i="32"/>
  <c r="J119" i="32"/>
  <c r="J124" i="32"/>
  <c r="J99" i="32"/>
  <c r="J104" i="32"/>
  <c r="J94" i="32"/>
  <c r="J54" i="32"/>
  <c r="J59" i="32"/>
  <c r="J64" i="32"/>
  <c r="J69" i="32"/>
  <c r="J74" i="32"/>
  <c r="J79" i="32"/>
  <c r="J84" i="32"/>
  <c r="J89" i="32"/>
  <c r="J34" i="32"/>
  <c r="J39" i="32"/>
  <c r="J44" i="32"/>
  <c r="J49" i="32"/>
  <c r="J24" i="32"/>
  <c r="J29" i="32"/>
  <c r="J19" i="32"/>
  <c r="J14" i="32"/>
  <c r="J9" i="32"/>
  <c r="J164" i="31"/>
  <c r="J159" i="31"/>
  <c r="J149" i="31"/>
  <c r="J154" i="31"/>
  <c r="J144" i="31"/>
  <c r="J134" i="31"/>
  <c r="J139" i="31"/>
  <c r="J129" i="31"/>
  <c r="J109" i="31"/>
  <c r="J114" i="31"/>
  <c r="J119" i="31"/>
  <c r="J124" i="31"/>
  <c r="J99" i="31"/>
  <c r="J104" i="31"/>
  <c r="J94" i="31"/>
  <c r="J54" i="31"/>
  <c r="J59" i="31"/>
  <c r="J64" i="31"/>
  <c r="J69" i="31"/>
  <c r="J74" i="31"/>
  <c r="J79" i="31"/>
  <c r="J84" i="31"/>
  <c r="J89" i="31"/>
  <c r="J34" i="31"/>
  <c r="J39" i="31"/>
  <c r="J44" i="31"/>
  <c r="J49" i="31"/>
  <c r="J24" i="31"/>
  <c r="J29" i="31"/>
  <c r="J19" i="31"/>
  <c r="J14" i="31"/>
  <c r="J9" i="31"/>
  <c r="A60" i="60"/>
  <c r="B60" i="60"/>
  <c r="A44" i="60"/>
  <c r="B44" i="60"/>
  <c r="A45" i="60"/>
  <c r="B45" i="60"/>
  <c r="A47" i="60"/>
  <c r="A48" i="60"/>
  <c r="B46" i="60"/>
  <c r="B47" i="60"/>
  <c r="B48" i="60"/>
  <c r="A49" i="60"/>
  <c r="B49" i="60"/>
  <c r="A50" i="60"/>
  <c r="B50" i="60"/>
  <c r="A51" i="60"/>
  <c r="B51" i="60"/>
  <c r="A52" i="60"/>
  <c r="B52" i="60"/>
  <c r="A53" i="60"/>
  <c r="B53" i="60"/>
  <c r="A54" i="60"/>
  <c r="B54" i="60"/>
  <c r="A6" i="61"/>
  <c r="A9" i="61"/>
  <c r="A11" i="61"/>
  <c r="A13" i="61"/>
  <c r="A14" i="61"/>
  <c r="A15" i="61"/>
  <c r="A16" i="61"/>
  <c r="A17" i="61"/>
  <c r="A18" i="61"/>
  <c r="A20" i="61"/>
  <c r="A21" i="61"/>
  <c r="A22" i="61"/>
  <c r="A25" i="61"/>
  <c r="A29" i="61"/>
  <c r="A31" i="61"/>
  <c r="A32" i="61"/>
  <c r="A33" i="61"/>
  <c r="A35" i="61"/>
  <c r="A40" i="61"/>
  <c r="A42" i="61"/>
  <c r="A47" i="61"/>
  <c r="A50" i="61"/>
  <c r="A51" i="61"/>
  <c r="A52" i="61"/>
  <c r="A54" i="61"/>
  <c r="A55" i="61"/>
  <c r="A56" i="61"/>
  <c r="A58" i="61"/>
  <c r="A59" i="61"/>
  <c r="A60" i="61"/>
  <c r="A61" i="61"/>
  <c r="A62" i="61"/>
  <c r="A63" i="61"/>
  <c r="A64" i="61"/>
  <c r="A65" i="61"/>
  <c r="A66" i="61"/>
  <c r="A68" i="61"/>
  <c r="A69" i="61"/>
  <c r="A70" i="61"/>
  <c r="A71" i="61"/>
  <c r="A72" i="61"/>
  <c r="H10" i="61"/>
  <c r="H19" i="61" s="1"/>
  <c r="H30" i="61" s="1"/>
  <c r="H49" i="61" s="1"/>
  <c r="H53" i="61" s="1"/>
  <c r="H57" i="61" s="1"/>
  <c r="H67" i="61" s="1"/>
  <c r="H73" i="61" s="1"/>
  <c r="A56" i="60"/>
  <c r="B56" i="60"/>
  <c r="A57" i="60"/>
  <c r="B57" i="60"/>
  <c r="A58" i="60"/>
  <c r="B58" i="60"/>
  <c r="B43" i="60"/>
  <c r="A40" i="60"/>
  <c r="B40" i="60"/>
  <c r="A38" i="60"/>
  <c r="B38" i="60"/>
  <c r="A29" i="60"/>
  <c r="C29" i="60" s="1"/>
  <c r="B29" i="60"/>
  <c r="A30" i="60"/>
  <c r="B30" i="60"/>
  <c r="A31" i="60"/>
  <c r="B31" i="60"/>
  <c r="A32" i="60"/>
  <c r="B32" i="60"/>
  <c r="A33" i="60"/>
  <c r="E33" i="60" s="1"/>
  <c r="B33" i="60"/>
  <c r="A34" i="60"/>
  <c r="B34" i="60"/>
  <c r="A35" i="60"/>
  <c r="B35" i="60"/>
  <c r="A28" i="60"/>
  <c r="B28" i="60"/>
  <c r="A8" i="60"/>
  <c r="C8" i="60" s="1"/>
  <c r="B8" i="60"/>
  <c r="A9" i="60"/>
  <c r="B9" i="60"/>
  <c r="A10" i="60"/>
  <c r="B10" i="60"/>
  <c r="A11" i="60"/>
  <c r="B11" i="60"/>
  <c r="A12" i="60"/>
  <c r="B12" i="60"/>
  <c r="A13" i="60"/>
  <c r="F13" i="60" s="1"/>
  <c r="B13" i="60"/>
  <c r="A14" i="60"/>
  <c r="E14" i="60" s="1"/>
  <c r="B14" i="60"/>
  <c r="A15" i="60"/>
  <c r="B15" i="60"/>
  <c r="A16" i="60"/>
  <c r="C16" i="60" s="1"/>
  <c r="B16" i="60"/>
  <c r="A17" i="60"/>
  <c r="B17" i="60"/>
  <c r="A18" i="60"/>
  <c r="B18" i="60"/>
  <c r="A19" i="60"/>
  <c r="B19" i="60"/>
  <c r="A20" i="60"/>
  <c r="B20" i="60"/>
  <c r="A21" i="60"/>
  <c r="E21" i="60" s="1"/>
  <c r="B21" i="60"/>
  <c r="A22" i="60"/>
  <c r="B22" i="60"/>
  <c r="A23" i="60"/>
  <c r="B23" i="60"/>
  <c r="A24" i="60"/>
  <c r="B24" i="60"/>
  <c r="A25" i="60"/>
  <c r="B25" i="60"/>
  <c r="A7" i="60"/>
  <c r="B7" i="60"/>
  <c r="A23" i="61"/>
  <c r="A24" i="61"/>
  <c r="A26" i="61"/>
  <c r="A27" i="61"/>
  <c r="A28" i="61"/>
  <c r="I4" i="60"/>
  <c r="B4" i="60"/>
  <c r="I4" i="59"/>
  <c r="B4" i="59"/>
  <c r="A60" i="33"/>
  <c r="A61" i="33"/>
  <c r="B61" i="33"/>
  <c r="A49" i="33"/>
  <c r="A51" i="33"/>
  <c r="A54" i="33"/>
  <c r="A55" i="33"/>
  <c r="A57" i="33"/>
  <c r="A36" i="33"/>
  <c r="A37" i="33"/>
  <c r="A39" i="33"/>
  <c r="A41" i="33"/>
  <c r="A42" i="33"/>
  <c r="A43" i="33"/>
  <c r="A44" i="33"/>
  <c r="A45" i="33"/>
  <c r="A46" i="33"/>
  <c r="A30" i="33"/>
  <c r="A32" i="33"/>
  <c r="A33" i="33"/>
  <c r="A7" i="33"/>
  <c r="A8" i="33"/>
  <c r="A9" i="33"/>
  <c r="A10" i="33"/>
  <c r="A11" i="33"/>
  <c r="A12" i="33"/>
  <c r="A13" i="33"/>
  <c r="A14" i="33"/>
  <c r="A15" i="33"/>
  <c r="A16" i="33"/>
  <c r="A17" i="33"/>
  <c r="A18" i="33"/>
  <c r="A19" i="33"/>
  <c r="A20" i="33"/>
  <c r="A21" i="33"/>
  <c r="A22" i="33"/>
  <c r="A23" i="33"/>
  <c r="A24" i="33"/>
  <c r="A25" i="33"/>
  <c r="A26" i="33"/>
  <c r="A51" i="34"/>
  <c r="A52" i="34"/>
  <c r="A54" i="34"/>
  <c r="A6" i="35"/>
  <c r="A9" i="35"/>
  <c r="A11" i="35"/>
  <c r="A13" i="35"/>
  <c r="A14" i="35"/>
  <c r="A15" i="35"/>
  <c r="A16" i="35"/>
  <c r="A17" i="35"/>
  <c r="A18" i="35"/>
  <c r="A20" i="35"/>
  <c r="A21" i="35"/>
  <c r="A22" i="35"/>
  <c r="A25" i="35"/>
  <c r="A29" i="35"/>
  <c r="A31" i="35"/>
  <c r="A32" i="35"/>
  <c r="A33" i="35"/>
  <c r="A35" i="35"/>
  <c r="A40" i="35"/>
  <c r="A42" i="35"/>
  <c r="A47" i="35"/>
  <c r="A50" i="35"/>
  <c r="A51" i="35"/>
  <c r="A52" i="35"/>
  <c r="A54" i="35"/>
  <c r="A55" i="35"/>
  <c r="A56" i="35"/>
  <c r="A58" i="35"/>
  <c r="A59" i="35"/>
  <c r="A60" i="35"/>
  <c r="A61" i="35"/>
  <c r="A62" i="35"/>
  <c r="A63" i="35"/>
  <c r="A64" i="35"/>
  <c r="A65" i="35"/>
  <c r="A66" i="35"/>
  <c r="A68" i="35"/>
  <c r="A69" i="35"/>
  <c r="A70" i="35"/>
  <c r="A71" i="35"/>
  <c r="A72" i="35"/>
  <c r="A57" i="34"/>
  <c r="A58" i="34"/>
  <c r="A60" i="34"/>
  <c r="A40" i="34"/>
  <c r="A41" i="34"/>
  <c r="A38" i="34"/>
  <c r="A28" i="34"/>
  <c r="A29" i="34"/>
  <c r="A30" i="34"/>
  <c r="A31" i="34"/>
  <c r="A32" i="34"/>
  <c r="A34" i="34"/>
  <c r="A35" i="34"/>
  <c r="A7" i="34"/>
  <c r="A8" i="34"/>
  <c r="A9" i="34"/>
  <c r="A10" i="34"/>
  <c r="A11" i="34"/>
  <c r="A12" i="34"/>
  <c r="A13" i="34"/>
  <c r="A14" i="34"/>
  <c r="A15" i="34"/>
  <c r="A16" i="34"/>
  <c r="A17" i="34"/>
  <c r="A18" i="34"/>
  <c r="A19" i="34"/>
  <c r="A20" i="34"/>
  <c r="A21" i="34"/>
  <c r="A22" i="34"/>
  <c r="A23" i="34"/>
  <c r="A24" i="34"/>
  <c r="A25" i="34"/>
  <c r="O207" i="32"/>
  <c r="N207" i="32"/>
  <c r="O206" i="32"/>
  <c r="N206" i="32"/>
  <c r="O205" i="32"/>
  <c r="N205" i="32"/>
  <c r="O204" i="32"/>
  <c r="N204" i="32"/>
  <c r="O203" i="32"/>
  <c r="N203" i="32"/>
  <c r="O202" i="32"/>
  <c r="N202" i="32"/>
  <c r="O201" i="32"/>
  <c r="N201" i="32"/>
  <c r="O200" i="32"/>
  <c r="N200" i="32"/>
  <c r="O199" i="32"/>
  <c r="N199" i="32"/>
  <c r="O198" i="32"/>
  <c r="N198" i="32"/>
  <c r="O197" i="32"/>
  <c r="N197" i="32"/>
  <c r="O196" i="32"/>
  <c r="N196" i="32"/>
  <c r="O195" i="32"/>
  <c r="N195" i="32"/>
  <c r="O194" i="32"/>
  <c r="N194" i="32"/>
  <c r="O193" i="32"/>
  <c r="N193" i="32"/>
  <c r="O192" i="32"/>
  <c r="N192" i="32"/>
  <c r="O191" i="32"/>
  <c r="N191" i="32"/>
  <c r="O190" i="32"/>
  <c r="N190" i="32"/>
  <c r="O189" i="32"/>
  <c r="N189" i="32"/>
  <c r="O188" i="32"/>
  <c r="N188" i="32"/>
  <c r="O187" i="32"/>
  <c r="N187" i="32"/>
  <c r="O186" i="32"/>
  <c r="N186" i="32"/>
  <c r="O185" i="32"/>
  <c r="N185" i="32"/>
  <c r="O184" i="32"/>
  <c r="N184" i="32"/>
  <c r="O183" i="32"/>
  <c r="N183" i="32"/>
  <c r="O182" i="32"/>
  <c r="N182" i="32"/>
  <c r="O181" i="32"/>
  <c r="N181" i="32"/>
  <c r="O180" i="32"/>
  <c r="N180" i="32"/>
  <c r="O179" i="32"/>
  <c r="N179" i="32"/>
  <c r="O178" i="32"/>
  <c r="N178" i="32"/>
  <c r="O177" i="32"/>
  <c r="N177" i="32"/>
  <c r="O176" i="32"/>
  <c r="N176" i="32"/>
  <c r="O175" i="32"/>
  <c r="N175" i="32"/>
  <c r="O174" i="32"/>
  <c r="N174" i="32"/>
  <c r="O173" i="32"/>
  <c r="N173" i="32"/>
  <c r="O172" i="32"/>
  <c r="N172" i="32"/>
  <c r="O171" i="32"/>
  <c r="N171" i="32"/>
  <c r="O170" i="32"/>
  <c r="N170" i="32"/>
  <c r="O169" i="32"/>
  <c r="N169" i="32"/>
  <c r="O168" i="32"/>
  <c r="N168" i="32"/>
  <c r="O167" i="32"/>
  <c r="N167" i="32"/>
  <c r="O166" i="32"/>
  <c r="N166" i="32"/>
  <c r="O165" i="32"/>
  <c r="N165" i="32"/>
  <c r="O164" i="32"/>
  <c r="N164" i="32"/>
  <c r="O163" i="32"/>
  <c r="N163" i="32"/>
  <c r="O162" i="32"/>
  <c r="N162" i="32"/>
  <c r="O161" i="32"/>
  <c r="N161" i="32"/>
  <c r="O160" i="32"/>
  <c r="N160" i="32"/>
  <c r="O159" i="32"/>
  <c r="N159" i="32"/>
  <c r="O158" i="32"/>
  <c r="N158" i="32"/>
  <c r="O157" i="32"/>
  <c r="N157" i="32"/>
  <c r="O156" i="32"/>
  <c r="N156" i="32"/>
  <c r="O155" i="32"/>
  <c r="N155" i="32"/>
  <c r="O154" i="32"/>
  <c r="N154" i="32"/>
  <c r="O153" i="32"/>
  <c r="N153" i="32"/>
  <c r="O152" i="32"/>
  <c r="N152" i="32"/>
  <c r="O151" i="32"/>
  <c r="N151" i="32"/>
  <c r="O150" i="32"/>
  <c r="N150" i="32"/>
  <c r="O149" i="32"/>
  <c r="N149" i="32"/>
  <c r="O148" i="32"/>
  <c r="N148" i="32"/>
  <c r="O147" i="32"/>
  <c r="N147" i="32"/>
  <c r="O146" i="32"/>
  <c r="N146" i="32"/>
  <c r="O145" i="32"/>
  <c r="N145" i="32"/>
  <c r="O144" i="32"/>
  <c r="N144" i="32"/>
  <c r="O143" i="32"/>
  <c r="N143" i="32"/>
  <c r="O142" i="32"/>
  <c r="N142" i="32"/>
  <c r="O141" i="32"/>
  <c r="N141" i="32"/>
  <c r="O140" i="32"/>
  <c r="N140" i="32"/>
  <c r="O139" i="32"/>
  <c r="N139" i="32"/>
  <c r="O138" i="32"/>
  <c r="N138" i="32"/>
  <c r="O137" i="32"/>
  <c r="N137" i="32"/>
  <c r="O136" i="32"/>
  <c r="N136" i="32"/>
  <c r="O135" i="32"/>
  <c r="N135" i="32"/>
  <c r="O134" i="32"/>
  <c r="N134" i="32"/>
  <c r="O133" i="32"/>
  <c r="N133" i="32"/>
  <c r="O132" i="32"/>
  <c r="N132" i="32"/>
  <c r="O131" i="32"/>
  <c r="N131" i="32"/>
  <c r="O130" i="32"/>
  <c r="N130" i="32"/>
  <c r="O129" i="32"/>
  <c r="N129" i="32"/>
  <c r="O128" i="32"/>
  <c r="N128" i="32"/>
  <c r="O127" i="32"/>
  <c r="N127" i="32"/>
  <c r="O126" i="32"/>
  <c r="N126" i="32"/>
  <c r="G60" i="3"/>
  <c r="AA125" i="3" s="1"/>
  <c r="O125" i="32" s="1"/>
  <c r="N125" i="32"/>
  <c r="O124" i="32"/>
  <c r="N124" i="32"/>
  <c r="O123" i="32"/>
  <c r="N123" i="32"/>
  <c r="O122" i="32"/>
  <c r="N122" i="32"/>
  <c r="AA121" i="3"/>
  <c r="O121" i="32" s="1"/>
  <c r="N121" i="32"/>
  <c r="O120" i="32"/>
  <c r="N120" i="32"/>
  <c r="O119" i="32"/>
  <c r="N119" i="32"/>
  <c r="O118" i="32"/>
  <c r="N118" i="32"/>
  <c r="O117" i="32"/>
  <c r="N117" i="32"/>
  <c r="O116" i="32"/>
  <c r="N116" i="32"/>
  <c r="O115" i="32"/>
  <c r="N115" i="32"/>
  <c r="O114" i="32"/>
  <c r="N114" i="32"/>
  <c r="O113" i="32"/>
  <c r="N113" i="32"/>
  <c r="O112" i="32"/>
  <c r="N112" i="32"/>
  <c r="O111" i="32"/>
  <c r="N111" i="32"/>
  <c r="O110" i="32"/>
  <c r="N110" i="32"/>
  <c r="O109" i="32"/>
  <c r="N109" i="32"/>
  <c r="O108" i="32"/>
  <c r="N108" i="32"/>
  <c r="O107" i="32"/>
  <c r="N107" i="32"/>
  <c r="AA106" i="3"/>
  <c r="O106" i="32"/>
  <c r="N106" i="32"/>
  <c r="O105" i="32"/>
  <c r="N105" i="32"/>
  <c r="O104" i="32"/>
  <c r="N104" i="32"/>
  <c r="O103" i="32"/>
  <c r="N103" i="32"/>
  <c r="O102" i="32"/>
  <c r="N102" i="32"/>
  <c r="O101" i="32"/>
  <c r="N101" i="32"/>
  <c r="O100" i="32"/>
  <c r="N100" i="32"/>
  <c r="O99" i="32"/>
  <c r="N99" i="32"/>
  <c r="O98" i="32"/>
  <c r="N98" i="32"/>
  <c r="O97" i="32"/>
  <c r="N97" i="32"/>
  <c r="O96" i="32"/>
  <c r="N96" i="32"/>
  <c r="AA95" i="3"/>
  <c r="O95" i="32" s="1"/>
  <c r="N95" i="32"/>
  <c r="AA94" i="3"/>
  <c r="O94" i="32"/>
  <c r="N94" i="32"/>
  <c r="O93" i="32"/>
  <c r="N93" i="32"/>
  <c r="AA92" i="3"/>
  <c r="O92" i="32" s="1"/>
  <c r="N92" i="32"/>
  <c r="AA91" i="3"/>
  <c r="O91" i="32"/>
  <c r="N91" i="32"/>
  <c r="AA90" i="3"/>
  <c r="O90" i="32" s="1"/>
  <c r="N90" i="32"/>
  <c r="AA89" i="3"/>
  <c r="O89" i="32"/>
  <c r="N89" i="32"/>
  <c r="AA88" i="3"/>
  <c r="O88" i="32" s="1"/>
  <c r="N88" i="32"/>
  <c r="O87" i="32"/>
  <c r="N87" i="32"/>
  <c r="O86" i="32"/>
  <c r="N86" i="32"/>
  <c r="O85" i="32"/>
  <c r="N85" i="32"/>
  <c r="AA84" i="3"/>
  <c r="O84" i="32"/>
  <c r="N84" i="32"/>
  <c r="AA83" i="3"/>
  <c r="N83" i="32"/>
  <c r="AA82" i="3"/>
  <c r="O82" i="32"/>
  <c r="N82" i="32"/>
  <c r="AA81" i="3"/>
  <c r="O81" i="32" s="1"/>
  <c r="N81" i="32"/>
  <c r="AA80" i="3"/>
  <c r="O80" i="32"/>
  <c r="N80" i="32"/>
  <c r="AA79" i="3"/>
  <c r="O79" i="32" s="1"/>
  <c r="N79" i="32"/>
  <c r="AA78" i="3"/>
  <c r="O78" i="32"/>
  <c r="N78" i="32"/>
  <c r="AA77" i="3"/>
  <c r="O77" i="32" s="1"/>
  <c r="N77" i="32"/>
  <c r="AA76" i="3"/>
  <c r="O76" i="32"/>
  <c r="N76" i="32"/>
  <c r="AA75" i="3"/>
  <c r="O75" i="32" s="1"/>
  <c r="N75" i="32"/>
  <c r="AA74" i="3"/>
  <c r="O74" i="32"/>
  <c r="N74" i="32"/>
  <c r="AA73" i="3"/>
  <c r="O73" i="32" s="1"/>
  <c r="N73" i="32"/>
  <c r="AA72" i="3"/>
  <c r="O72" i="32"/>
  <c r="N72" i="32"/>
  <c r="AA71" i="3"/>
  <c r="O71" i="32" s="1"/>
  <c r="N71" i="32"/>
  <c r="AA70" i="3"/>
  <c r="O70" i="32"/>
  <c r="N70" i="32"/>
  <c r="AA69" i="3"/>
  <c r="O69" i="32" s="1"/>
  <c r="N69" i="32"/>
  <c r="AA68" i="3"/>
  <c r="O68" i="32"/>
  <c r="N68" i="32"/>
  <c r="AA67" i="3"/>
  <c r="O67" i="32" s="1"/>
  <c r="N67" i="32"/>
  <c r="AA66" i="3"/>
  <c r="O66" i="32"/>
  <c r="N66" i="32"/>
  <c r="O65" i="32"/>
  <c r="N65" i="32"/>
  <c r="O64" i="32"/>
  <c r="N64" i="32"/>
  <c r="O63" i="32"/>
  <c r="N63" i="32"/>
  <c r="O62" i="32"/>
  <c r="N62" i="32"/>
  <c r="O61" i="32"/>
  <c r="N61" i="32"/>
  <c r="O60" i="32"/>
  <c r="N60" i="32"/>
  <c r="O59" i="32"/>
  <c r="N59" i="32"/>
  <c r="AA58" i="3"/>
  <c r="O58" i="32" s="1"/>
  <c r="N58" i="32"/>
  <c r="O57" i="32"/>
  <c r="N57" i="32"/>
  <c r="AA56" i="3"/>
  <c r="O56" i="31" s="1"/>
  <c r="O56" i="32"/>
  <c r="N56" i="32"/>
  <c r="AA55" i="3"/>
  <c r="O55" i="32" s="1"/>
  <c r="N55" i="32"/>
  <c r="O54" i="32"/>
  <c r="N54" i="32"/>
  <c r="O53" i="32"/>
  <c r="N53" i="32"/>
  <c r="AA52" i="3"/>
  <c r="O52" i="32"/>
  <c r="N52" i="32"/>
  <c r="O51" i="32"/>
  <c r="N51" i="32"/>
  <c r="AA50" i="3"/>
  <c r="O50" i="32" s="1"/>
  <c r="N50" i="32"/>
  <c r="O49" i="32"/>
  <c r="N49" i="32"/>
  <c r="O48" i="32"/>
  <c r="N48" i="32"/>
  <c r="AA47" i="3"/>
  <c r="O47" i="32"/>
  <c r="N47" i="32"/>
  <c r="AA46" i="3"/>
  <c r="O46" i="32" s="1"/>
  <c r="N46" i="32"/>
  <c r="O45" i="32"/>
  <c r="N45" i="32"/>
  <c r="O44" i="32"/>
  <c r="N44" i="32"/>
  <c r="O43" i="32"/>
  <c r="N43" i="32"/>
  <c r="O42" i="32"/>
  <c r="N42" i="32"/>
  <c r="O41" i="32"/>
  <c r="N41" i="32"/>
  <c r="O40" i="32"/>
  <c r="N40" i="32"/>
  <c r="O39" i="32"/>
  <c r="N39" i="32"/>
  <c r="O38" i="32"/>
  <c r="N38" i="32"/>
  <c r="O37" i="32"/>
  <c r="N37" i="32"/>
  <c r="O36" i="32"/>
  <c r="N36" i="32"/>
  <c r="O35" i="32"/>
  <c r="N35" i="32"/>
  <c r="O34" i="32"/>
  <c r="N34" i="32"/>
  <c r="AA33" i="3"/>
  <c r="O33" i="32"/>
  <c r="N33" i="32"/>
  <c r="AA32" i="3"/>
  <c r="O32" i="32" s="1"/>
  <c r="N32" i="32"/>
  <c r="O31" i="32"/>
  <c r="N31" i="32"/>
  <c r="O30" i="32"/>
  <c r="N30" i="32"/>
  <c r="O29" i="32"/>
  <c r="N29" i="32"/>
  <c r="O28" i="32"/>
  <c r="N28" i="32"/>
  <c r="O27" i="32"/>
  <c r="N27" i="32"/>
  <c r="O26" i="32"/>
  <c r="N26" i="32"/>
  <c r="AA25" i="3"/>
  <c r="O25" i="32"/>
  <c r="N25" i="32"/>
  <c r="AA24" i="3"/>
  <c r="O24" i="32" s="1"/>
  <c r="N24" i="32"/>
  <c r="AA23" i="3"/>
  <c r="O23" i="32"/>
  <c r="N23" i="32"/>
  <c r="AA22" i="3"/>
  <c r="O22" i="32" s="1"/>
  <c r="N22" i="32"/>
  <c r="AA21" i="3"/>
  <c r="O21" i="32"/>
  <c r="N21" i="32"/>
  <c r="AA20" i="3"/>
  <c r="O20" i="32" s="1"/>
  <c r="N20" i="32"/>
  <c r="O19" i="32"/>
  <c r="N19" i="32"/>
  <c r="O18" i="32"/>
  <c r="N18" i="32"/>
  <c r="AA17" i="3"/>
  <c r="O17" i="32"/>
  <c r="N17" i="32"/>
  <c r="AA16" i="3"/>
  <c r="O16" i="32" s="1"/>
  <c r="N16" i="32"/>
  <c r="AA15" i="3"/>
  <c r="O15" i="32"/>
  <c r="N15" i="32"/>
  <c r="AA14" i="3"/>
  <c r="O14" i="32" s="1"/>
  <c r="N14" i="32"/>
  <c r="AA13" i="3"/>
  <c r="O13" i="32"/>
  <c r="N13" i="32"/>
  <c r="AA12" i="3"/>
  <c r="O12" i="32"/>
  <c r="N12" i="32"/>
  <c r="AA11" i="3"/>
  <c r="O11" i="32"/>
  <c r="N11" i="32"/>
  <c r="AA10" i="3"/>
  <c r="O10" i="32" s="1"/>
  <c r="N10" i="32"/>
  <c r="AA9" i="3"/>
  <c r="O9" i="32"/>
  <c r="N9" i="32"/>
  <c r="AA8" i="3"/>
  <c r="O8" i="32" s="1"/>
  <c r="N8" i="32"/>
  <c r="AA7" i="3"/>
  <c r="O7" i="32"/>
  <c r="N7" i="32"/>
  <c r="AA6" i="3"/>
  <c r="O6" i="32" s="1"/>
  <c r="N6" i="32"/>
  <c r="O5" i="32"/>
  <c r="N5" i="32"/>
  <c r="O57" i="31"/>
  <c r="O58" i="31"/>
  <c r="N96" i="31"/>
  <c r="N97" i="31"/>
  <c r="N98" i="31"/>
  <c r="N99" i="31"/>
  <c r="N100" i="31"/>
  <c r="N101" i="31"/>
  <c r="N102" i="31"/>
  <c r="N103" i="31"/>
  <c r="N104" i="31"/>
  <c r="N105" i="31"/>
  <c r="N106" i="31"/>
  <c r="N107" i="31"/>
  <c r="N108" i="31"/>
  <c r="N109" i="31"/>
  <c r="N110" i="31"/>
  <c r="N111" i="31"/>
  <c r="N112" i="31"/>
  <c r="N113" i="31"/>
  <c r="N114" i="31"/>
  <c r="N115" i="31"/>
  <c r="N116" i="31"/>
  <c r="N117" i="31"/>
  <c r="N118" i="31"/>
  <c r="N119" i="31"/>
  <c r="N120" i="31"/>
  <c r="N121" i="31"/>
  <c r="N122" i="31"/>
  <c r="N123" i="31"/>
  <c r="N124" i="31"/>
  <c r="N125" i="31"/>
  <c r="N126" i="31"/>
  <c r="N127" i="31"/>
  <c r="N128" i="31"/>
  <c r="N129" i="31"/>
  <c r="N130" i="31"/>
  <c r="N131" i="31"/>
  <c r="N132" i="31"/>
  <c r="N133" i="31"/>
  <c r="N134" i="31"/>
  <c r="N135" i="31"/>
  <c r="N136" i="31"/>
  <c r="N137" i="31"/>
  <c r="N138" i="31"/>
  <c r="N139" i="31"/>
  <c r="N140" i="31"/>
  <c r="N141" i="31"/>
  <c r="N142" i="31"/>
  <c r="N143" i="31"/>
  <c r="N144" i="31"/>
  <c r="N145" i="31"/>
  <c r="N146" i="31"/>
  <c r="N147" i="31"/>
  <c r="N148" i="31"/>
  <c r="N149" i="31"/>
  <c r="N150" i="31"/>
  <c r="N151" i="31"/>
  <c r="N152" i="31"/>
  <c r="N153" i="31"/>
  <c r="N154" i="31"/>
  <c r="N155" i="31"/>
  <c r="N156" i="31"/>
  <c r="N157" i="31"/>
  <c r="N158" i="31"/>
  <c r="N159" i="31"/>
  <c r="N160" i="31"/>
  <c r="N161" i="31"/>
  <c r="N162" i="31"/>
  <c r="N163" i="31"/>
  <c r="N164" i="31"/>
  <c r="N165" i="31"/>
  <c r="N166" i="31"/>
  <c r="N167" i="31"/>
  <c r="N168" i="31"/>
  <c r="N169" i="31"/>
  <c r="N170" i="31"/>
  <c r="N171" i="31"/>
  <c r="N172" i="31"/>
  <c r="N173" i="31"/>
  <c r="N174" i="31"/>
  <c r="N175" i="31"/>
  <c r="N176" i="31"/>
  <c r="N177" i="31"/>
  <c r="N178" i="31"/>
  <c r="N179" i="31"/>
  <c r="N180" i="31"/>
  <c r="N181" i="31"/>
  <c r="N182" i="31"/>
  <c r="N183" i="31"/>
  <c r="N184" i="31"/>
  <c r="N185" i="31"/>
  <c r="N186" i="31"/>
  <c r="N187" i="31"/>
  <c r="N188" i="31"/>
  <c r="N189" i="31"/>
  <c r="N190" i="31"/>
  <c r="N191" i="31"/>
  <c r="N192" i="31"/>
  <c r="N193" i="31"/>
  <c r="N194" i="31"/>
  <c r="N195" i="31"/>
  <c r="N196" i="31"/>
  <c r="N197" i="31"/>
  <c r="N198" i="31"/>
  <c r="N199" i="31"/>
  <c r="N200" i="31"/>
  <c r="N201" i="31"/>
  <c r="N202" i="31"/>
  <c r="N203" i="31"/>
  <c r="N204" i="31"/>
  <c r="N205" i="31"/>
  <c r="N206" i="31"/>
  <c r="N207" i="31"/>
  <c r="N87" i="31"/>
  <c r="N88" i="31"/>
  <c r="N89" i="31"/>
  <c r="N90" i="31"/>
  <c r="N91" i="31"/>
  <c r="N92" i="31"/>
  <c r="N93" i="31"/>
  <c r="N94" i="31"/>
  <c r="N95" i="31"/>
  <c r="N85" i="31"/>
  <c r="N86" i="31"/>
  <c r="O85" i="31"/>
  <c r="N81" i="31"/>
  <c r="O81" i="31"/>
  <c r="N82" i="31"/>
  <c r="O82" i="31"/>
  <c r="N83" i="31"/>
  <c r="N84" i="31"/>
  <c r="O84" i="31"/>
  <c r="V5" i="3"/>
  <c r="V6" i="3"/>
  <c r="V7" i="3" s="1"/>
  <c r="V8" i="3" s="1"/>
  <c r="V9" i="3" s="1"/>
  <c r="V10" i="3" s="1"/>
  <c r="V11" i="3"/>
  <c r="V12" i="3" s="1"/>
  <c r="V13" i="3" s="1"/>
  <c r="V14" i="3" s="1"/>
  <c r="V15" i="3" s="1"/>
  <c r="V16" i="3" s="1"/>
  <c r="V17" i="3" s="1"/>
  <c r="V18" i="3" s="1"/>
  <c r="V19" i="3" s="1"/>
  <c r="V20" i="3" s="1"/>
  <c r="V21" i="3" s="1"/>
  <c r="V22" i="3" s="1"/>
  <c r="V23" i="3" s="1"/>
  <c r="V24" i="3" s="1"/>
  <c r="V25" i="3" s="1"/>
  <c r="V26" i="3" s="1"/>
  <c r="V27" i="3" s="1"/>
  <c r="V28" i="3" s="1"/>
  <c r="V29" i="3" s="1"/>
  <c r="V30" i="3" s="1"/>
  <c r="V31" i="3" s="1"/>
  <c r="V32" i="3" s="1"/>
  <c r="V33" i="3" s="1"/>
  <c r="V34" i="3" s="1"/>
  <c r="V35" i="3" s="1"/>
  <c r="V36" i="3" s="1"/>
  <c r="V37" i="3" s="1"/>
  <c r="V38" i="3" s="1"/>
  <c r="V39" i="3" s="1"/>
  <c r="V40" i="3" s="1"/>
  <c r="V41" i="3" s="1"/>
  <c r="V42" i="3" s="1"/>
  <c r="V43" i="3" s="1"/>
  <c r="V44" i="3" s="1"/>
  <c r="V45" i="3" s="1"/>
  <c r="V46" i="3" s="1"/>
  <c r="V47" i="3" s="1"/>
  <c r="V48" i="3" s="1"/>
  <c r="V49" i="3" s="1"/>
  <c r="V50" i="3" s="1"/>
  <c r="V51" i="3" s="1"/>
  <c r="V52" i="3" s="1"/>
  <c r="V53" i="3" s="1"/>
  <c r="V54" i="3" s="1"/>
  <c r="V55" i="3" s="1"/>
  <c r="V56" i="3" s="1"/>
  <c r="V57" i="3" s="1"/>
  <c r="V58" i="3" s="1"/>
  <c r="V59" i="3" s="1"/>
  <c r="V60" i="3" s="1"/>
  <c r="V61" i="3" s="1"/>
  <c r="V62" i="3" s="1"/>
  <c r="V63" i="3" s="1"/>
  <c r="V64" i="3" s="1"/>
  <c r="V65" i="3" s="1"/>
  <c r="V66" i="3" s="1"/>
  <c r="V67" i="3" s="1"/>
  <c r="V68" i="3" s="1"/>
  <c r="V69" i="3" s="1"/>
  <c r="V70" i="3" s="1"/>
  <c r="V71" i="3" s="1"/>
  <c r="V72" i="3" s="1"/>
  <c r="V73" i="3" s="1"/>
  <c r="A48" i="61"/>
  <c r="A46" i="61"/>
  <c r="A45" i="61"/>
  <c r="A44" i="61"/>
  <c r="A43" i="61"/>
  <c r="A41" i="61"/>
  <c r="A39" i="61"/>
  <c r="A38" i="61"/>
  <c r="A37" i="61"/>
  <c r="A36" i="61"/>
  <c r="A34" i="61"/>
  <c r="A12" i="61"/>
  <c r="A8" i="61"/>
  <c r="A7" i="61"/>
  <c r="A56" i="59"/>
  <c r="A53" i="59"/>
  <c r="A52" i="59"/>
  <c r="A50" i="59"/>
  <c r="A20" i="59"/>
  <c r="A19" i="59"/>
  <c r="A48" i="35"/>
  <c r="A44" i="35"/>
  <c r="A45" i="35"/>
  <c r="A46" i="35"/>
  <c r="A43" i="35"/>
  <c r="A41" i="35"/>
  <c r="A37" i="35"/>
  <c r="A38" i="35"/>
  <c r="A39" i="35"/>
  <c r="A36" i="35"/>
  <c r="A34" i="35"/>
  <c r="A27" i="35"/>
  <c r="A28" i="35"/>
  <c r="A26" i="35"/>
  <c r="A24" i="35"/>
  <c r="A23" i="35"/>
  <c r="A12" i="35"/>
  <c r="A8" i="35"/>
  <c r="A7" i="35"/>
  <c r="A56" i="34"/>
  <c r="A53" i="34"/>
  <c r="A33" i="34"/>
  <c r="A56" i="33"/>
  <c r="A53" i="33"/>
  <c r="A52" i="33"/>
  <c r="A50" i="33"/>
  <c r="C29" i="65"/>
  <c r="C24" i="65"/>
  <c r="C26" i="6"/>
  <c r="C32" i="6"/>
  <c r="A30" i="6"/>
  <c r="A31" i="6"/>
  <c r="A28" i="6"/>
  <c r="A29" i="6"/>
  <c r="A21" i="6"/>
  <c r="A22" i="64"/>
  <c r="A23" i="64"/>
  <c r="B23" i="61"/>
  <c r="B24" i="61"/>
  <c r="B25" i="61"/>
  <c r="B6" i="61"/>
  <c r="B23" i="35"/>
  <c r="B26" i="61"/>
  <c r="B24" i="35"/>
  <c r="A24" i="55"/>
  <c r="A25" i="55"/>
  <c r="A24" i="53"/>
  <c r="A25" i="53"/>
  <c r="A24" i="51"/>
  <c r="A25" i="51"/>
  <c r="D24" i="49"/>
  <c r="E24" i="51" s="1"/>
  <c r="D25" i="49"/>
  <c r="E25" i="51" s="1"/>
  <c r="A24" i="49"/>
  <c r="A25" i="49"/>
  <c r="A23" i="37"/>
  <c r="A24" i="37"/>
  <c r="D23" i="62"/>
  <c r="F23" i="62"/>
  <c r="D24" i="62"/>
  <c r="F24" i="62" s="1"/>
  <c r="A23" i="62"/>
  <c r="A24" i="62"/>
  <c r="A23" i="5"/>
  <c r="A24" i="5"/>
  <c r="H5" i="3"/>
  <c r="H6" i="3"/>
  <c r="H7" i="3"/>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59" i="3" s="1"/>
  <c r="H60" i="3" s="1"/>
  <c r="H61" i="3" s="1"/>
  <c r="H62" i="3" s="1"/>
  <c r="H63" i="3" s="1"/>
  <c r="H64" i="3" s="1"/>
  <c r="H65" i="3" s="1"/>
  <c r="H66" i="3" s="1"/>
  <c r="H67" i="3" s="1"/>
  <c r="H68" i="3" s="1"/>
  <c r="H69" i="3" s="1"/>
  <c r="H70" i="3" s="1"/>
  <c r="H71" i="3" s="1"/>
  <c r="H72" i="3" s="1"/>
  <c r="H73" i="3" s="1"/>
  <c r="E120" i="63"/>
  <c r="E122" i="63" s="1"/>
  <c r="B9" i="61"/>
  <c r="B11" i="61"/>
  <c r="B13" i="61"/>
  <c r="B14" i="61"/>
  <c r="B15" i="61"/>
  <c r="B16" i="61"/>
  <c r="B17" i="61"/>
  <c r="B18" i="61"/>
  <c r="B20" i="61"/>
  <c r="B21" i="61"/>
  <c r="B22" i="61"/>
  <c r="B29" i="61"/>
  <c r="B31" i="61"/>
  <c r="B32" i="61"/>
  <c r="B33" i="61"/>
  <c r="B35" i="61"/>
  <c r="B40" i="61"/>
  <c r="B42" i="61"/>
  <c r="B47" i="61"/>
  <c r="B50" i="61"/>
  <c r="B51" i="61"/>
  <c r="B52" i="61"/>
  <c r="B54" i="61"/>
  <c r="B55" i="61"/>
  <c r="B56" i="61"/>
  <c r="B58" i="61"/>
  <c r="B59" i="61"/>
  <c r="B60" i="61"/>
  <c r="B61" i="61"/>
  <c r="B62" i="61"/>
  <c r="B63" i="61"/>
  <c r="B64" i="61"/>
  <c r="B65" i="61"/>
  <c r="B66" i="61"/>
  <c r="B68" i="61"/>
  <c r="B69" i="61"/>
  <c r="B70" i="61"/>
  <c r="B71" i="61"/>
  <c r="B72" i="61"/>
  <c r="E87" i="63"/>
  <c r="E97" i="63"/>
  <c r="A81" i="63"/>
  <c r="A82" i="63"/>
  <c r="A83" i="63"/>
  <c r="A84" i="63"/>
  <c r="A85" i="63"/>
  <c r="A86" i="63"/>
  <c r="A60" i="63"/>
  <c r="H59" i="60"/>
  <c r="H61" i="60"/>
  <c r="B55" i="60"/>
  <c r="B59" i="60"/>
  <c r="B61" i="60" s="1"/>
  <c r="A61" i="59"/>
  <c r="K7" i="54"/>
  <c r="K8" i="54" s="1"/>
  <c r="K9" i="54" s="1"/>
  <c r="K10" i="54" s="1"/>
  <c r="K11" i="54" s="1"/>
  <c r="K12" i="54" s="1"/>
  <c r="K13" i="54" s="1"/>
  <c r="K14" i="54" s="1"/>
  <c r="K15" i="54" s="1"/>
  <c r="K16" i="54" s="1"/>
  <c r="K17" i="54" s="1"/>
  <c r="K18" i="54" s="1"/>
  <c r="K19" i="54" s="1"/>
  <c r="K20" i="54" s="1"/>
  <c r="K21" i="54" s="1"/>
  <c r="K22" i="54" s="1"/>
  <c r="K23" i="54" s="1"/>
  <c r="K24" i="54" s="1"/>
  <c r="K25" i="54" s="1"/>
  <c r="K26" i="54" s="1"/>
  <c r="K27" i="54" s="1"/>
  <c r="K28" i="54" s="1"/>
  <c r="K29" i="54" s="1"/>
  <c r="K30" i="54" s="1"/>
  <c r="K31" i="54" s="1"/>
  <c r="K32" i="54" s="1"/>
  <c r="K33" i="54" s="1"/>
  <c r="K34" i="54" s="1"/>
  <c r="K35" i="54" s="1"/>
  <c r="K36" i="54" s="1"/>
  <c r="K37" i="54" s="1"/>
  <c r="K38" i="54" s="1"/>
  <c r="K39" i="54" s="1"/>
  <c r="K40" i="54" s="1"/>
  <c r="K41" i="54" s="1"/>
  <c r="B33" i="34"/>
  <c r="J21" i="54"/>
  <c r="J22" i="54"/>
  <c r="J23" i="54"/>
  <c r="J24" i="54"/>
  <c r="J25" i="54"/>
  <c r="J26" i="54"/>
  <c r="A62" i="54"/>
  <c r="H26" i="60"/>
  <c r="J7" i="52"/>
  <c r="J8" i="52"/>
  <c r="J9" i="52" s="1"/>
  <c r="J10" i="52" s="1"/>
  <c r="J11" i="52"/>
  <c r="J12" i="52" s="1"/>
  <c r="J13" i="52" s="1"/>
  <c r="J14" i="52" s="1"/>
  <c r="J15" i="52" s="1"/>
  <c r="J16" i="52" s="1"/>
  <c r="J17" i="52" s="1"/>
  <c r="J18" i="52" s="1"/>
  <c r="J19" i="52" s="1"/>
  <c r="J20" i="52" s="1"/>
  <c r="J21" i="52" s="1"/>
  <c r="J22" i="52" s="1"/>
  <c r="J23" i="52" s="1"/>
  <c r="J24" i="52" s="1"/>
  <c r="J25" i="52" s="1"/>
  <c r="J26" i="52" s="1"/>
  <c r="J27" i="52" s="1"/>
  <c r="J28" i="52" s="1"/>
  <c r="J29" i="52" s="1"/>
  <c r="J30" i="52" s="1"/>
  <c r="J31" i="52" s="1"/>
  <c r="J32" i="52" s="1"/>
  <c r="J33" i="52" s="1"/>
  <c r="J34" i="52" s="1"/>
  <c r="J35" i="52" s="1"/>
  <c r="J36" i="52" s="1"/>
  <c r="J37" i="52" s="1"/>
  <c r="J38" i="52" s="1"/>
  <c r="J39" i="52" s="1"/>
  <c r="J40" i="52" s="1"/>
  <c r="J41" i="52" s="1"/>
  <c r="J42" i="52" s="1"/>
  <c r="J43" i="52" s="1"/>
  <c r="J44" i="52" s="1"/>
  <c r="I21" i="52"/>
  <c r="I22" i="52"/>
  <c r="I23" i="52"/>
  <c r="I24" i="52"/>
  <c r="I25" i="52"/>
  <c r="I26" i="52"/>
  <c r="A62" i="52"/>
  <c r="K7" i="50"/>
  <c r="K8" i="50" s="1"/>
  <c r="K9" i="50" s="1"/>
  <c r="K10" i="50" s="1"/>
  <c r="K11" i="50" s="1"/>
  <c r="K12" i="50"/>
  <c r="K13" i="50" s="1"/>
  <c r="K14" i="50" s="1"/>
  <c r="K15" i="50" s="1"/>
  <c r="K16" i="50" s="1"/>
  <c r="K17" i="50" s="1"/>
  <c r="K18" i="50" s="1"/>
  <c r="K19" i="50" s="1"/>
  <c r="K20" i="50" s="1"/>
  <c r="K21" i="50" s="1"/>
  <c r="K22" i="50" s="1"/>
  <c r="K23" i="50" s="1"/>
  <c r="K24" i="50" s="1"/>
  <c r="K25" i="50" s="1"/>
  <c r="K26" i="50" s="1"/>
  <c r="K27" i="50" s="1"/>
  <c r="K28" i="50" s="1"/>
  <c r="K29" i="50" s="1"/>
  <c r="K30" i="50" s="1"/>
  <c r="K31" i="50" s="1"/>
  <c r="K32" i="50" s="1"/>
  <c r="K33" i="50" s="1"/>
  <c r="K34" i="50" s="1"/>
  <c r="K35" i="50" s="1"/>
  <c r="K36" i="50" s="1"/>
  <c r="K37" i="50" s="1"/>
  <c r="K38" i="50" s="1"/>
  <c r="K39" i="50" s="1"/>
  <c r="K40" i="50" s="1"/>
  <c r="K41" i="50" s="1"/>
  <c r="K42" i="50" s="1"/>
  <c r="J21" i="50"/>
  <c r="J22" i="50"/>
  <c r="J23" i="50"/>
  <c r="J24" i="50"/>
  <c r="J25" i="50"/>
  <c r="J26" i="50"/>
  <c r="A62" i="50"/>
  <c r="L44" i="48"/>
  <c r="N44" i="50" s="1"/>
  <c r="L52" i="48"/>
  <c r="N52" i="50" s="1"/>
  <c r="L53" i="48"/>
  <c r="N53" i="50" s="1"/>
  <c r="L55" i="48"/>
  <c r="N55" i="50" s="1"/>
  <c r="L56" i="48"/>
  <c r="N56" i="50" s="1"/>
  <c r="L58" i="48"/>
  <c r="N58" i="50" s="1"/>
  <c r="L59" i="48"/>
  <c r="N59" i="50" s="1"/>
  <c r="L61" i="48"/>
  <c r="N61" i="50" s="1"/>
  <c r="J7" i="48"/>
  <c r="J8" i="48" s="1"/>
  <c r="J9" i="48" s="1"/>
  <c r="J10" i="48" s="1"/>
  <c r="J11" i="48" s="1"/>
  <c r="J12" i="48" s="1"/>
  <c r="J13" i="48" s="1"/>
  <c r="J14" i="48" s="1"/>
  <c r="J15" i="48" s="1"/>
  <c r="J16" i="48" s="1"/>
  <c r="J17" i="48" s="1"/>
  <c r="J18" i="48" s="1"/>
  <c r="J19" i="48" s="1"/>
  <c r="J20" i="48" s="1"/>
  <c r="J21" i="48" s="1"/>
  <c r="J22" i="48" s="1"/>
  <c r="J23" i="48" s="1"/>
  <c r="J24" i="48" s="1"/>
  <c r="J25" i="48" s="1"/>
  <c r="J26" i="48" s="1"/>
  <c r="J27" i="48" s="1"/>
  <c r="J28" i="48" s="1"/>
  <c r="J29" i="48" s="1"/>
  <c r="J30" i="48" s="1"/>
  <c r="J31" i="48" s="1"/>
  <c r="J32" i="48" s="1"/>
  <c r="J33" i="48" s="1"/>
  <c r="J34" i="48" s="1"/>
  <c r="J35" i="48" s="1"/>
  <c r="J36" i="48" s="1"/>
  <c r="J37" i="48" s="1"/>
  <c r="J38" i="48" s="1"/>
  <c r="J39" i="48" s="1"/>
  <c r="J40" i="48" s="1"/>
  <c r="J41" i="48" s="1"/>
  <c r="J42" i="48" s="1"/>
  <c r="J43" i="48" s="1"/>
  <c r="L8" i="48"/>
  <c r="N8" i="50" s="1"/>
  <c r="L9" i="48"/>
  <c r="N9" i="50" s="1"/>
  <c r="L10" i="48"/>
  <c r="N10" i="50" s="1"/>
  <c r="L27" i="48"/>
  <c r="L29" i="48"/>
  <c r="N29" i="50" s="1"/>
  <c r="L30" i="48"/>
  <c r="N30" i="50" s="1"/>
  <c r="L31" i="48"/>
  <c r="N31" i="50" s="1"/>
  <c r="L32" i="48"/>
  <c r="N32" i="50" s="1"/>
  <c r="L33" i="48"/>
  <c r="L34" i="48"/>
  <c r="N34" i="50" s="1"/>
  <c r="L35" i="48"/>
  <c r="N35" i="50" s="1"/>
  <c r="L36" i="48"/>
  <c r="N36" i="50" s="1"/>
  <c r="L39" i="48"/>
  <c r="N39" i="50" s="1"/>
  <c r="I21" i="48"/>
  <c r="I22" i="48"/>
  <c r="I23" i="48"/>
  <c r="I24" i="48"/>
  <c r="I25" i="48"/>
  <c r="I26" i="48"/>
  <c r="A62" i="48"/>
  <c r="A83" i="36"/>
  <c r="A84" i="36"/>
  <c r="A85" i="36"/>
  <c r="A86" i="36"/>
  <c r="A87" i="36"/>
  <c r="A88" i="36"/>
  <c r="A61" i="36"/>
  <c r="B55" i="34"/>
  <c r="B59" i="34" s="1"/>
  <c r="B61" i="34" s="1"/>
  <c r="J43" i="46"/>
  <c r="L43" i="46" s="1"/>
  <c r="K43" i="46" s="1"/>
  <c r="K59" i="46" s="1"/>
  <c r="K61" i="46" s="1"/>
  <c r="J51" i="46"/>
  <c r="L51" i="46"/>
  <c r="K51" i="46"/>
  <c r="J52" i="46"/>
  <c r="L52" i="46" s="1"/>
  <c r="K52" i="46" s="1"/>
  <c r="J54" i="46"/>
  <c r="L54" i="46"/>
  <c r="K54" i="46" s="1"/>
  <c r="L55" i="46"/>
  <c r="K55" i="46"/>
  <c r="J57" i="46"/>
  <c r="L57" i="46" s="1"/>
  <c r="K57" i="46" s="1"/>
  <c r="J58" i="46"/>
  <c r="L58" i="46"/>
  <c r="K58" i="46" s="1"/>
  <c r="J60" i="46"/>
  <c r="L60" i="46" s="1"/>
  <c r="K60" i="46" s="1"/>
  <c r="I59" i="46"/>
  <c r="I61" i="46"/>
  <c r="J7" i="46"/>
  <c r="J8" i="46"/>
  <c r="J9" i="46"/>
  <c r="J10" i="46"/>
  <c r="J11" i="46"/>
  <c r="L11" i="46" s="1"/>
  <c r="K11" i="46" s="1"/>
  <c r="J12" i="46"/>
  <c r="J13" i="46"/>
  <c r="J14" i="46"/>
  <c r="L14" i="46" s="1"/>
  <c r="K14" i="46" s="1"/>
  <c r="J15" i="46"/>
  <c r="J16" i="46"/>
  <c r="J17" i="46"/>
  <c r="J18" i="46"/>
  <c r="J19" i="46"/>
  <c r="J20" i="46"/>
  <c r="J21" i="46"/>
  <c r="J22" i="46"/>
  <c r="L22" i="46" s="1"/>
  <c r="K22" i="46" s="1"/>
  <c r="J23" i="46"/>
  <c r="L23" i="46" s="1"/>
  <c r="K23" i="46" s="1"/>
  <c r="J24" i="46"/>
  <c r="J25" i="46"/>
  <c r="J28" i="46"/>
  <c r="J29" i="46"/>
  <c r="J30" i="46"/>
  <c r="J31" i="46"/>
  <c r="J32" i="46"/>
  <c r="J33" i="46"/>
  <c r="J34" i="46"/>
  <c r="J35" i="46"/>
  <c r="J36" i="46"/>
  <c r="J38" i="46"/>
  <c r="I26" i="46"/>
  <c r="I39" i="46" s="1"/>
  <c r="I36" i="46"/>
  <c r="H6" i="46"/>
  <c r="H7" i="46" s="1"/>
  <c r="H8" i="46"/>
  <c r="H9" i="46" s="1"/>
  <c r="H10" i="46" s="1"/>
  <c r="H11" i="46"/>
  <c r="H12" i="46" s="1"/>
  <c r="H13" i="46" s="1"/>
  <c r="H14" i="46" s="1"/>
  <c r="H15" i="46" s="1"/>
  <c r="H16" i="46" s="1"/>
  <c r="H17" i="46" s="1"/>
  <c r="H18" i="46" s="1"/>
  <c r="H19" i="46" s="1"/>
  <c r="H20" i="46" s="1"/>
  <c r="H21" i="46" s="1"/>
  <c r="H22" i="46" s="1"/>
  <c r="H23" i="46" s="1"/>
  <c r="H24" i="46" s="1"/>
  <c r="H25" i="46" s="1"/>
  <c r="H26" i="46" s="1"/>
  <c r="H27" i="46" s="1"/>
  <c r="H28" i="46" s="1"/>
  <c r="H29" i="46" s="1"/>
  <c r="H30" i="46" s="1"/>
  <c r="H31" i="46" s="1"/>
  <c r="H32" i="46" s="1"/>
  <c r="H33" i="46" s="1"/>
  <c r="H34" i="46" s="1"/>
  <c r="H35" i="46" s="1"/>
  <c r="H36" i="46" s="1"/>
  <c r="H37" i="46" s="1"/>
  <c r="H38" i="46" s="1"/>
  <c r="H39" i="46" s="1"/>
  <c r="H40" i="46" s="1"/>
  <c r="H41" i="46" s="1"/>
  <c r="L24" i="46"/>
  <c r="K24" i="46" s="1"/>
  <c r="L25" i="46"/>
  <c r="K25" i="46" s="1"/>
  <c r="L7" i="46"/>
  <c r="K7" i="46" s="1"/>
  <c r="K26" i="46" s="1"/>
  <c r="L8" i="46"/>
  <c r="K8" i="46"/>
  <c r="L9" i="46"/>
  <c r="K9" i="46" s="1"/>
  <c r="L10" i="46"/>
  <c r="K10" i="46" s="1"/>
  <c r="L12" i="46"/>
  <c r="K12" i="46"/>
  <c r="L13" i="46"/>
  <c r="K13" i="46" s="1"/>
  <c r="L15" i="46"/>
  <c r="K15" i="46" s="1"/>
  <c r="L16" i="46"/>
  <c r="K16" i="46"/>
  <c r="L17" i="46"/>
  <c r="K17" i="46" s="1"/>
  <c r="L18" i="46"/>
  <c r="K18" i="46" s="1"/>
  <c r="L19" i="46"/>
  <c r="K19" i="46" s="1"/>
  <c r="L20" i="46"/>
  <c r="K20" i="46"/>
  <c r="L21" i="46"/>
  <c r="K21" i="46" s="1"/>
  <c r="G23" i="46"/>
  <c r="G24" i="46"/>
  <c r="G25" i="46"/>
  <c r="A61" i="46"/>
  <c r="H59" i="4"/>
  <c r="H61" i="4"/>
  <c r="G59" i="4"/>
  <c r="G61" i="4"/>
  <c r="G35" i="56" s="1"/>
  <c r="F6" i="4"/>
  <c r="F7" i="4" s="1"/>
  <c r="F8" i="4" s="1"/>
  <c r="F9" i="4" s="1"/>
  <c r="F10" i="4" s="1"/>
  <c r="F11" i="4" s="1"/>
  <c r="F12" i="4" s="1"/>
  <c r="F13" i="4" s="1"/>
  <c r="F14" i="4" s="1"/>
  <c r="F15" i="4" s="1"/>
  <c r="F16" i="4" s="1"/>
  <c r="F17" i="4" s="1"/>
  <c r="F18" i="4" s="1"/>
  <c r="F19" i="4" s="1"/>
  <c r="F20" i="4" s="1"/>
  <c r="F21" i="4" s="1"/>
  <c r="F22" i="4" s="1"/>
  <c r="F23" i="4" s="1"/>
  <c r="F24" i="4" s="1"/>
  <c r="F25" i="4" s="1"/>
  <c r="F26" i="4" s="1"/>
  <c r="F27" i="4" s="1"/>
  <c r="F28" i="4" s="1"/>
  <c r="F29" i="4" s="1"/>
  <c r="F30" i="4" s="1"/>
  <c r="F31" i="4" s="1"/>
  <c r="F32" i="4" s="1"/>
  <c r="F33" i="4" s="1"/>
  <c r="F34" i="4" s="1"/>
  <c r="F35" i="4" s="1"/>
  <c r="F36" i="4" s="1"/>
  <c r="F37" i="4" s="1"/>
  <c r="F38" i="4" s="1"/>
  <c r="F39" i="4" s="1"/>
  <c r="F40" i="4" s="1"/>
  <c r="F41" i="4" s="1"/>
  <c r="F42" i="4" s="1"/>
  <c r="F43" i="4" s="1"/>
  <c r="F44" i="4" s="1"/>
  <c r="F45" i="4" s="1"/>
  <c r="F46" i="4" s="1"/>
  <c r="F47" i="4" s="1"/>
  <c r="F48" i="4" s="1"/>
  <c r="F49" i="4" s="1"/>
  <c r="F50" i="4" s="1"/>
  <c r="F51" i="4" s="1"/>
  <c r="F52" i="4" s="1"/>
  <c r="F53" i="4" s="1"/>
  <c r="F54" i="4" s="1"/>
  <c r="F55" i="4" s="1"/>
  <c r="F56" i="4" s="1"/>
  <c r="F57" i="4" s="1"/>
  <c r="F58" i="4" s="1"/>
  <c r="F59" i="4" s="1"/>
  <c r="F60" i="4" s="1"/>
  <c r="F61" i="4" s="1"/>
  <c r="H26" i="4"/>
  <c r="G26" i="4"/>
  <c r="E23" i="4"/>
  <c r="E24" i="4"/>
  <c r="E25" i="4"/>
  <c r="A61" i="4"/>
  <c r="G58" i="3"/>
  <c r="G41" i="3"/>
  <c r="E57" i="63"/>
  <c r="A49" i="59"/>
  <c r="B49" i="59"/>
  <c r="A51" i="59"/>
  <c r="B51" i="59"/>
  <c r="A54" i="59"/>
  <c r="B54" i="59"/>
  <c r="A55" i="59"/>
  <c r="B55" i="59"/>
  <c r="A57" i="59"/>
  <c r="B57" i="59"/>
  <c r="H58" i="59"/>
  <c r="D50" i="48"/>
  <c r="E50" i="50" s="1"/>
  <c r="D52" i="48"/>
  <c r="E52" i="50" s="1"/>
  <c r="D55" i="48"/>
  <c r="D56" i="48"/>
  <c r="E56" i="50" s="1"/>
  <c r="D58" i="48"/>
  <c r="E58" i="50" s="1"/>
  <c r="H58" i="33"/>
  <c r="B58" i="33"/>
  <c r="D49" i="46"/>
  <c r="D51" i="46"/>
  <c r="D54" i="46"/>
  <c r="D55" i="46"/>
  <c r="D57" i="46"/>
  <c r="D58" i="46"/>
  <c r="C58" i="46"/>
  <c r="D58" i="4"/>
  <c r="C58" i="4"/>
  <c r="C11" i="6"/>
  <c r="C17" i="6"/>
  <c r="A7" i="59"/>
  <c r="B7" i="59"/>
  <c r="A8" i="59"/>
  <c r="B8" i="59"/>
  <c r="A9" i="59"/>
  <c r="B9" i="59"/>
  <c r="A10" i="59"/>
  <c r="B10" i="59"/>
  <c r="A11" i="59"/>
  <c r="B11" i="59"/>
  <c r="A12" i="59"/>
  <c r="B12" i="59"/>
  <c r="A13" i="59"/>
  <c r="B13" i="59"/>
  <c r="A14" i="59"/>
  <c r="B14" i="59"/>
  <c r="A15" i="59"/>
  <c r="B15" i="59"/>
  <c r="A16" i="59"/>
  <c r="B16" i="59"/>
  <c r="A17" i="59"/>
  <c r="B17" i="59"/>
  <c r="A18" i="59"/>
  <c r="B18" i="59"/>
  <c r="A21" i="59"/>
  <c r="B21" i="59"/>
  <c r="A22" i="59"/>
  <c r="B22" i="59"/>
  <c r="A23" i="59"/>
  <c r="B23" i="59"/>
  <c r="A24" i="59"/>
  <c r="B24" i="59"/>
  <c r="A25" i="59"/>
  <c r="B25" i="59"/>
  <c r="A26" i="59"/>
  <c r="B26" i="59"/>
  <c r="B29" i="59"/>
  <c r="A30" i="59"/>
  <c r="B30" i="59"/>
  <c r="B31" i="59"/>
  <c r="A32" i="59"/>
  <c r="B32" i="59"/>
  <c r="A33" i="59"/>
  <c r="B33" i="59"/>
  <c r="A36" i="59"/>
  <c r="B36" i="59"/>
  <c r="A37" i="59"/>
  <c r="B37" i="59"/>
  <c r="A39" i="59"/>
  <c r="B39" i="59"/>
  <c r="A41" i="59"/>
  <c r="B41" i="59"/>
  <c r="A42" i="59"/>
  <c r="B42" i="59"/>
  <c r="A43" i="59"/>
  <c r="B43" i="59"/>
  <c r="A44" i="59"/>
  <c r="B44" i="59"/>
  <c r="A45" i="59"/>
  <c r="B45" i="59"/>
  <c r="A46" i="59"/>
  <c r="B46" i="59"/>
  <c r="B56" i="59"/>
  <c r="A60" i="59"/>
  <c r="B60" i="59"/>
  <c r="B61" i="59"/>
  <c r="A41" i="60"/>
  <c r="B41" i="60"/>
  <c r="B56" i="33"/>
  <c r="H28" i="33"/>
  <c r="E27" i="63"/>
  <c r="E33" i="63"/>
  <c r="H28" i="59"/>
  <c r="H34" i="59" s="1"/>
  <c r="E29" i="50"/>
  <c r="E35" i="50" s="1"/>
  <c r="D28" i="4"/>
  <c r="D34" i="4" s="1"/>
  <c r="D30" i="48"/>
  <c r="E30" i="50" s="1"/>
  <c r="D31" i="48"/>
  <c r="E31" i="50" s="1"/>
  <c r="D29" i="48"/>
  <c r="D32" i="48"/>
  <c r="E32" i="50" s="1"/>
  <c r="D33" i="48"/>
  <c r="E33" i="50" s="1"/>
  <c r="D34" i="48"/>
  <c r="E34" i="50" s="1"/>
  <c r="H34" i="33"/>
  <c r="B28" i="33"/>
  <c r="B34" i="33" s="1"/>
  <c r="D29" i="46"/>
  <c r="D28" i="46" s="1"/>
  <c r="D34" i="46" s="1"/>
  <c r="D30" i="46"/>
  <c r="D31" i="46"/>
  <c r="D32" i="46"/>
  <c r="D33" i="46"/>
  <c r="C28" i="46"/>
  <c r="C34" i="46"/>
  <c r="C28" i="4"/>
  <c r="C34" i="4"/>
  <c r="A48" i="34"/>
  <c r="A47" i="34"/>
  <c r="H36" i="4"/>
  <c r="G24" i="56" s="1"/>
  <c r="H24" i="56" s="1"/>
  <c r="G23" i="56"/>
  <c r="H23" i="56"/>
  <c r="G18" i="56"/>
  <c r="H18" i="56"/>
  <c r="G17" i="56"/>
  <c r="H17" i="56"/>
  <c r="G16" i="56"/>
  <c r="H16" i="56" s="1"/>
  <c r="H10" i="35"/>
  <c r="H19" i="35"/>
  <c r="H30" i="35"/>
  <c r="H49" i="35"/>
  <c r="H53" i="35" s="1"/>
  <c r="H57" i="35" s="1"/>
  <c r="H67" i="35" s="1"/>
  <c r="H73" i="35" s="1"/>
  <c r="B26" i="35"/>
  <c r="B48" i="61"/>
  <c r="B48" i="35"/>
  <c r="B46" i="61"/>
  <c r="B46" i="35"/>
  <c r="B45" i="61"/>
  <c r="B45" i="35"/>
  <c r="B44" i="61"/>
  <c r="B44" i="35"/>
  <c r="B43" i="61"/>
  <c r="B43" i="35"/>
  <c r="B41" i="61"/>
  <c r="B41" i="35"/>
  <c r="B39" i="61"/>
  <c r="B39" i="35"/>
  <c r="B38" i="61"/>
  <c r="B38" i="35"/>
  <c r="B37" i="61"/>
  <c r="B37" i="35"/>
  <c r="B36" i="61"/>
  <c r="B36" i="35"/>
  <c r="B34" i="61"/>
  <c r="B34" i="35"/>
  <c r="B28" i="61"/>
  <c r="B28" i="35"/>
  <c r="B27" i="61"/>
  <c r="B27" i="35"/>
  <c r="B12" i="61"/>
  <c r="B12" i="35"/>
  <c r="B8" i="61"/>
  <c r="B7" i="61"/>
  <c r="B56" i="34"/>
  <c r="B53" i="34"/>
  <c r="B50" i="34"/>
  <c r="A50" i="34"/>
  <c r="B49" i="34"/>
  <c r="A49" i="34"/>
  <c r="B48" i="34"/>
  <c r="B47" i="34"/>
  <c r="B46" i="34"/>
  <c r="B45" i="34"/>
  <c r="A45" i="34"/>
  <c r="B44" i="34"/>
  <c r="A44" i="34"/>
  <c r="N43" i="52"/>
  <c r="O43" i="52" s="1"/>
  <c r="N42" i="52"/>
  <c r="O42" i="52"/>
  <c r="N38" i="52"/>
  <c r="O38" i="52" s="1"/>
  <c r="N28" i="52"/>
  <c r="O28" i="52"/>
  <c r="B50" i="59"/>
  <c r="B52" i="59"/>
  <c r="B53" i="59"/>
  <c r="B19" i="59"/>
  <c r="B20" i="59"/>
  <c r="B50" i="33"/>
  <c r="B52" i="33"/>
  <c r="B53" i="33"/>
  <c r="F60" i="52"/>
  <c r="G60" i="52" s="1"/>
  <c r="F49" i="52"/>
  <c r="G49" i="52" s="1"/>
  <c r="F36" i="52"/>
  <c r="G36" i="52" s="1"/>
  <c r="D7" i="49"/>
  <c r="E7" i="51" s="1"/>
  <c r="F24" i="51" s="1"/>
  <c r="L41" i="48"/>
  <c r="N41" i="50" s="1"/>
  <c r="L57" i="48"/>
  <c r="N57" i="50" s="1"/>
  <c r="L54" i="48"/>
  <c r="N54" i="50" s="1"/>
  <c r="L51" i="48"/>
  <c r="N51" i="50" s="1"/>
  <c r="L50" i="48"/>
  <c r="N50" i="50" s="1"/>
  <c r="L49" i="48"/>
  <c r="N49" i="50" s="1"/>
  <c r="L48" i="48"/>
  <c r="N48" i="50" s="1"/>
  <c r="L47" i="48"/>
  <c r="N47" i="50" s="1"/>
  <c r="L46" i="48"/>
  <c r="N46" i="50" s="1"/>
  <c r="L45" i="48"/>
  <c r="N45" i="50" s="1"/>
  <c r="N43" i="48"/>
  <c r="N42" i="48"/>
  <c r="N38" i="48"/>
  <c r="O38" i="48" s="1"/>
  <c r="N28" i="48"/>
  <c r="D61" i="48"/>
  <c r="E61" i="50" s="1"/>
  <c r="D62" i="48"/>
  <c r="E62" i="50" s="1"/>
  <c r="D51" i="48"/>
  <c r="E51" i="50" s="1"/>
  <c r="D53" i="48"/>
  <c r="E53" i="50" s="1"/>
  <c r="D54" i="48"/>
  <c r="E54" i="50" s="1"/>
  <c r="D38" i="48"/>
  <c r="E38" i="50" s="1"/>
  <c r="D39" i="48"/>
  <c r="D40" i="48"/>
  <c r="E40" i="50" s="1"/>
  <c r="D42" i="48"/>
  <c r="E42" i="50" s="1"/>
  <c r="D43" i="48"/>
  <c r="E43" i="50" s="1"/>
  <c r="D44" i="48"/>
  <c r="E44" i="50" s="1"/>
  <c r="D45" i="48"/>
  <c r="E45" i="50" s="1"/>
  <c r="D46" i="48"/>
  <c r="E46" i="50" s="1"/>
  <c r="D47" i="48"/>
  <c r="E47" i="50" s="1"/>
  <c r="D28" i="48"/>
  <c r="F60" i="48"/>
  <c r="D57" i="48"/>
  <c r="E57" i="50" s="1"/>
  <c r="F49" i="48"/>
  <c r="G49" i="48" s="1"/>
  <c r="F36" i="48"/>
  <c r="O43" i="48"/>
  <c r="O42" i="48"/>
  <c r="O28" i="48"/>
  <c r="G60" i="48"/>
  <c r="G36" i="48"/>
  <c r="L2" i="58"/>
  <c r="L2" i="57"/>
  <c r="L2" i="32"/>
  <c r="L2" i="31"/>
  <c r="C4" i="63"/>
  <c r="E4" i="63" s="1"/>
  <c r="A3" i="58"/>
  <c r="A3" i="57"/>
  <c r="C10" i="65"/>
  <c r="C15" i="65"/>
  <c r="C16" i="65"/>
  <c r="C30" i="65"/>
  <c r="C36" i="65"/>
  <c r="C40" i="65"/>
  <c r="C41" i="65" s="1"/>
  <c r="E9" i="64"/>
  <c r="E18" i="64" s="1"/>
  <c r="E29" i="64" s="1"/>
  <c r="E48" i="64" s="1"/>
  <c r="E52" i="64" s="1"/>
  <c r="E56" i="64" s="1"/>
  <c r="E66" i="64" s="1"/>
  <c r="E72" i="64" s="1"/>
  <c r="E26" i="63"/>
  <c r="E37" i="63"/>
  <c r="E39" i="63" s="1"/>
  <c r="E46" i="63" s="1"/>
  <c r="E61" i="63" s="1"/>
  <c r="A46" i="60"/>
  <c r="D8" i="6"/>
  <c r="D9" i="6"/>
  <c r="D10" i="6"/>
  <c r="D11" i="6"/>
  <c r="D12" i="6"/>
  <c r="D13" i="6"/>
  <c r="D14" i="6"/>
  <c r="D15" i="6"/>
  <c r="D16" i="6"/>
  <c r="D17" i="6"/>
  <c r="D18" i="6"/>
  <c r="G36" i="4"/>
  <c r="G39" i="4" s="1"/>
  <c r="D27" i="4"/>
  <c r="D38" i="4"/>
  <c r="D40" i="4"/>
  <c r="D47" i="4" s="1"/>
  <c r="C27" i="4"/>
  <c r="G30" i="56" s="1"/>
  <c r="C38" i="4"/>
  <c r="C40" i="4" s="1"/>
  <c r="G45" i="56"/>
  <c r="G44" i="56"/>
  <c r="G42" i="56"/>
  <c r="G40" i="56"/>
  <c r="I12" i="2"/>
  <c r="I11" i="2"/>
  <c r="D37" i="56"/>
  <c r="F35" i="56"/>
  <c r="G32" i="56"/>
  <c r="G31" i="56"/>
  <c r="F28" i="56"/>
  <c r="F25" i="56"/>
  <c r="F23" i="56"/>
  <c r="G22" i="56"/>
  <c r="H22" i="56" s="1"/>
  <c r="G21" i="56"/>
  <c r="H21" i="56" s="1"/>
  <c r="F18" i="56"/>
  <c r="F16" i="56"/>
  <c r="G14" i="56"/>
  <c r="F14" i="56"/>
  <c r="G13" i="56"/>
  <c r="F13" i="56"/>
  <c r="G12" i="56"/>
  <c r="F12" i="56"/>
  <c r="G11" i="56"/>
  <c r="F11" i="56"/>
  <c r="G9" i="56"/>
  <c r="F10" i="56"/>
  <c r="G7" i="56"/>
  <c r="F4" i="66"/>
  <c r="A2" i="66"/>
  <c r="C2" i="66"/>
  <c r="F2" i="66"/>
  <c r="A3" i="66"/>
  <c r="C3" i="66"/>
  <c r="C4" i="66"/>
  <c r="J19" i="66"/>
  <c r="D35" i="66"/>
  <c r="E35" i="66"/>
  <c r="I35" i="66" s="1"/>
  <c r="J35" i="66" s="1"/>
  <c r="D37" i="66"/>
  <c r="E37" i="66"/>
  <c r="I37" i="66" s="1"/>
  <c r="J37" i="66" s="1"/>
  <c r="G37" i="66"/>
  <c r="H37" i="66" s="1"/>
  <c r="E37" i="56"/>
  <c r="I37" i="56" s="1"/>
  <c r="J37" i="56" s="1"/>
  <c r="D35" i="56"/>
  <c r="E35" i="56" s="1"/>
  <c r="I35" i="56" s="1"/>
  <c r="J35" i="56" s="1"/>
  <c r="H40" i="56"/>
  <c r="H35" i="56"/>
  <c r="H31" i="56"/>
  <c r="F33" i="56"/>
  <c r="H33" i="56" s="1"/>
  <c r="H32" i="56"/>
  <c r="G33" i="56"/>
  <c r="C44" i="56"/>
  <c r="C43" i="56"/>
  <c r="C42" i="56"/>
  <c r="I74" i="61"/>
  <c r="E74" i="37" s="1"/>
  <c r="C73" i="64"/>
  <c r="A2" i="65"/>
  <c r="C4" i="64"/>
  <c r="E4" i="64"/>
  <c r="E76" i="64" s="1"/>
  <c r="A3" i="63"/>
  <c r="A65" i="63" s="1"/>
  <c r="E3" i="63"/>
  <c r="A6" i="63"/>
  <c r="A7" i="63"/>
  <c r="A8" i="63"/>
  <c r="A9" i="63"/>
  <c r="A10" i="63"/>
  <c r="A11" i="63"/>
  <c r="A12" i="63"/>
  <c r="A13" i="63"/>
  <c r="A14" i="63"/>
  <c r="A15" i="63"/>
  <c r="A16" i="63"/>
  <c r="A17" i="63"/>
  <c r="A18" i="63"/>
  <c r="A19" i="63"/>
  <c r="A20" i="63"/>
  <c r="A21" i="63"/>
  <c r="A22" i="63"/>
  <c r="A23" i="63"/>
  <c r="A24" i="63"/>
  <c r="A25" i="63"/>
  <c r="A26" i="63"/>
  <c r="A27" i="63"/>
  <c r="A28" i="63"/>
  <c r="A29" i="63"/>
  <c r="A30" i="63"/>
  <c r="A31" i="63"/>
  <c r="A32" i="63"/>
  <c r="A33" i="63"/>
  <c r="A34" i="63"/>
  <c r="A35" i="63"/>
  <c r="A36" i="63"/>
  <c r="A37" i="63"/>
  <c r="A38" i="63"/>
  <c r="A39" i="63"/>
  <c r="A40" i="63"/>
  <c r="A41" i="63"/>
  <c r="A42" i="63"/>
  <c r="A43" i="63"/>
  <c r="A44" i="63"/>
  <c r="A45" i="63"/>
  <c r="A46" i="63"/>
  <c r="A47" i="63"/>
  <c r="A48" i="63"/>
  <c r="A49" i="63"/>
  <c r="A50" i="63"/>
  <c r="A51" i="63"/>
  <c r="A52" i="63"/>
  <c r="A53" i="63"/>
  <c r="A54" i="63"/>
  <c r="A55" i="63"/>
  <c r="A56" i="63"/>
  <c r="A57" i="63"/>
  <c r="A58" i="63"/>
  <c r="A59" i="63"/>
  <c r="A61" i="63"/>
  <c r="A62" i="63"/>
  <c r="B62" i="63"/>
  <c r="E62" i="63"/>
  <c r="E65" i="63"/>
  <c r="C66" i="63"/>
  <c r="E66" i="63"/>
  <c r="A67" i="63"/>
  <c r="A68" i="63"/>
  <c r="A69" i="63"/>
  <c r="A70" i="63"/>
  <c r="A71" i="63"/>
  <c r="A72" i="63"/>
  <c r="A73" i="63"/>
  <c r="A74" i="63"/>
  <c r="A75" i="63"/>
  <c r="A76" i="63"/>
  <c r="A77" i="63"/>
  <c r="A78" i="63"/>
  <c r="A79" i="63"/>
  <c r="A80" i="63"/>
  <c r="A87" i="63"/>
  <c r="A88" i="63"/>
  <c r="A89" i="63"/>
  <c r="A90" i="63"/>
  <c r="A91" i="63"/>
  <c r="A92" i="63"/>
  <c r="A93" i="63"/>
  <c r="A94" i="63"/>
  <c r="A95" i="63"/>
  <c r="A96" i="63"/>
  <c r="A97" i="63"/>
  <c r="A98" i="63"/>
  <c r="A99" i="63"/>
  <c r="A100" i="63"/>
  <c r="A101" i="63"/>
  <c r="A102" i="63"/>
  <c r="A103" i="63"/>
  <c r="A104" i="63"/>
  <c r="A105" i="63"/>
  <c r="A106" i="63"/>
  <c r="A107" i="63"/>
  <c r="A108" i="63"/>
  <c r="A109" i="63"/>
  <c r="A110" i="63"/>
  <c r="A111" i="63"/>
  <c r="A112" i="63"/>
  <c r="A113" i="63"/>
  <c r="A114" i="63"/>
  <c r="A115" i="63"/>
  <c r="A116" i="63"/>
  <c r="A117" i="63"/>
  <c r="A118" i="63"/>
  <c r="A119" i="63"/>
  <c r="A120" i="63"/>
  <c r="A121" i="63"/>
  <c r="A122" i="63"/>
  <c r="G73" i="3"/>
  <c r="A123" i="63" s="1"/>
  <c r="A124" i="63"/>
  <c r="B124" i="63"/>
  <c r="E124" i="63"/>
  <c r="A3" i="64"/>
  <c r="E3" i="64"/>
  <c r="A5" i="64"/>
  <c r="A6" i="64"/>
  <c r="A7" i="64"/>
  <c r="A8" i="64"/>
  <c r="A9" i="64"/>
  <c r="A10" i="64"/>
  <c r="A11" i="64"/>
  <c r="A12" i="64"/>
  <c r="A13" i="64"/>
  <c r="A14" i="64"/>
  <c r="A15" i="64"/>
  <c r="A16" i="64"/>
  <c r="A17" i="64"/>
  <c r="A18" i="64"/>
  <c r="A19" i="64"/>
  <c r="A20" i="64"/>
  <c r="A21"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C76" i="64"/>
  <c r="A84" i="64"/>
  <c r="E84" i="64"/>
  <c r="A3" i="65"/>
  <c r="C3" i="65"/>
  <c r="A47" i="65"/>
  <c r="C47" i="65"/>
  <c r="A51" i="65"/>
  <c r="A52" i="65"/>
  <c r="C52" i="65"/>
  <c r="A88" i="65"/>
  <c r="C88" i="65"/>
  <c r="H59" i="34"/>
  <c r="H61" i="34" s="1"/>
  <c r="H62" i="34" s="1"/>
  <c r="H36" i="34"/>
  <c r="H39" i="34" s="1"/>
  <c r="H26" i="34"/>
  <c r="H38" i="33"/>
  <c r="H40" i="33"/>
  <c r="H47" i="33"/>
  <c r="H27" i="33"/>
  <c r="H62" i="33" s="1"/>
  <c r="A85" i="37"/>
  <c r="B74" i="61"/>
  <c r="C10" i="62"/>
  <c r="C19" i="62"/>
  <c r="C30" i="62" s="1"/>
  <c r="F6" i="62"/>
  <c r="E6" i="62"/>
  <c r="F10" i="62"/>
  <c r="E10" i="62" s="1"/>
  <c r="F19" i="62"/>
  <c r="E19" i="62" s="1"/>
  <c r="D7" i="62"/>
  <c r="F7" i="62"/>
  <c r="E7" i="62"/>
  <c r="D8" i="62"/>
  <c r="F8" i="62" s="1"/>
  <c r="E8" i="62" s="1"/>
  <c r="F9" i="62"/>
  <c r="E9" i="62"/>
  <c r="F11" i="62"/>
  <c r="E11" i="62"/>
  <c r="D12" i="62"/>
  <c r="F12" i="62" s="1"/>
  <c r="E12" i="62" s="1"/>
  <c r="F13" i="62"/>
  <c r="E13" i="62" s="1"/>
  <c r="F14" i="62"/>
  <c r="E14" i="62" s="1"/>
  <c r="F15" i="62"/>
  <c r="E15" i="62"/>
  <c r="F16" i="62"/>
  <c r="E16" i="62" s="1"/>
  <c r="F17" i="62"/>
  <c r="E17" i="62" s="1"/>
  <c r="F18" i="62"/>
  <c r="E18" i="62" s="1"/>
  <c r="F20" i="62"/>
  <c r="E20" i="62"/>
  <c r="F21" i="62"/>
  <c r="E21" i="62" s="1"/>
  <c r="F22" i="62"/>
  <c r="E22" i="62" s="1"/>
  <c r="F25" i="62"/>
  <c r="E25" i="62" s="1"/>
  <c r="D26" i="62"/>
  <c r="F26" i="62"/>
  <c r="E26" i="62" s="1"/>
  <c r="D27" i="62"/>
  <c r="F27" i="62" s="1"/>
  <c r="E27" i="62" s="1"/>
  <c r="D28" i="62"/>
  <c r="F28" i="62" s="1"/>
  <c r="E28" i="62" s="1"/>
  <c r="F29" i="62"/>
  <c r="E29" i="62" s="1"/>
  <c r="F31" i="62"/>
  <c r="E31" i="62" s="1"/>
  <c r="F32" i="62"/>
  <c r="E32" i="62"/>
  <c r="F33" i="62"/>
  <c r="E33" i="62"/>
  <c r="D34" i="62"/>
  <c r="F34" i="62" s="1"/>
  <c r="E34" i="62" s="1"/>
  <c r="F35" i="62"/>
  <c r="E35" i="62" s="1"/>
  <c r="D36" i="62"/>
  <c r="F36" i="62" s="1"/>
  <c r="E36" i="62" s="1"/>
  <c r="D37" i="62"/>
  <c r="F37" i="62" s="1"/>
  <c r="E37" i="62" s="1"/>
  <c r="D38" i="62"/>
  <c r="F38" i="62" s="1"/>
  <c r="E38" i="62" s="1"/>
  <c r="D39" i="62"/>
  <c r="F39" i="62"/>
  <c r="E39" i="62"/>
  <c r="F40" i="62"/>
  <c r="E40" i="62" s="1"/>
  <c r="D41" i="62"/>
  <c r="F41" i="62" s="1"/>
  <c r="E41" i="62" s="1"/>
  <c r="F42" i="62"/>
  <c r="E42" i="62"/>
  <c r="D43" i="62"/>
  <c r="F43" i="62" s="1"/>
  <c r="E43" i="62" s="1"/>
  <c r="D44" i="62"/>
  <c r="F44" i="62" s="1"/>
  <c r="E44" i="62" s="1"/>
  <c r="D45" i="62"/>
  <c r="F45" i="62"/>
  <c r="E45" i="62"/>
  <c r="D46" i="62"/>
  <c r="F46" i="62" s="1"/>
  <c r="E46" i="62" s="1"/>
  <c r="F47" i="62"/>
  <c r="E47" i="62"/>
  <c r="D48" i="62"/>
  <c r="F48" i="62"/>
  <c r="E48" i="62"/>
  <c r="F50" i="62"/>
  <c r="E50" i="62" s="1"/>
  <c r="F51" i="62"/>
  <c r="E51" i="62" s="1"/>
  <c r="F52" i="62"/>
  <c r="E52" i="62" s="1"/>
  <c r="F54" i="62"/>
  <c r="E54" i="62"/>
  <c r="F55" i="62"/>
  <c r="E55" i="62" s="1"/>
  <c r="F56" i="62"/>
  <c r="E56" i="62" s="1"/>
  <c r="F58" i="62"/>
  <c r="E58" i="62" s="1"/>
  <c r="F59" i="62"/>
  <c r="E59" i="62"/>
  <c r="F60" i="62"/>
  <c r="E60" i="62" s="1"/>
  <c r="F61" i="62"/>
  <c r="E61" i="62" s="1"/>
  <c r="F62" i="62"/>
  <c r="E62" i="62" s="1"/>
  <c r="F63" i="62"/>
  <c r="E63" i="62"/>
  <c r="F64" i="62"/>
  <c r="E64" i="62" s="1"/>
  <c r="F65" i="62"/>
  <c r="E65" i="62" s="1"/>
  <c r="F66" i="62"/>
  <c r="E66" i="62" s="1"/>
  <c r="F68" i="62"/>
  <c r="E68" i="62"/>
  <c r="F69" i="62"/>
  <c r="E69" i="62" s="1"/>
  <c r="F70" i="62"/>
  <c r="E70" i="62" s="1"/>
  <c r="F71" i="62"/>
  <c r="E71" i="62" s="1"/>
  <c r="F72" i="62"/>
  <c r="E72" i="62"/>
  <c r="D74" i="62"/>
  <c r="F74" i="62" s="1"/>
  <c r="A4" i="62"/>
  <c r="A74" i="62"/>
  <c r="A73" i="62"/>
  <c r="A72" i="62"/>
  <c r="A71" i="62"/>
  <c r="A70" i="62"/>
  <c r="A69" i="62"/>
  <c r="A68" i="62"/>
  <c r="A67" i="62"/>
  <c r="A66" i="62"/>
  <c r="A65" i="62"/>
  <c r="A64" i="62"/>
  <c r="A63" i="62"/>
  <c r="A62" i="62"/>
  <c r="A61" i="62"/>
  <c r="A60" i="62"/>
  <c r="A59" i="62"/>
  <c r="A58" i="62"/>
  <c r="A57" i="62"/>
  <c r="A56" i="62"/>
  <c r="A55" i="62"/>
  <c r="A54" i="62"/>
  <c r="A53" i="62"/>
  <c r="A52" i="62"/>
  <c r="A51" i="62"/>
  <c r="A50" i="62"/>
  <c r="A49" i="62"/>
  <c r="A48" i="62"/>
  <c r="A47" i="62"/>
  <c r="A46" i="62"/>
  <c r="A45" i="62"/>
  <c r="A44" i="62"/>
  <c r="A43" i="62"/>
  <c r="A42" i="62"/>
  <c r="A41" i="62"/>
  <c r="A40" i="62"/>
  <c r="A39" i="62"/>
  <c r="A38" i="62"/>
  <c r="A37" i="62"/>
  <c r="A36" i="62"/>
  <c r="A35" i="62"/>
  <c r="A34" i="62"/>
  <c r="A33" i="62"/>
  <c r="A32" i="62"/>
  <c r="A31" i="62"/>
  <c r="A30" i="62"/>
  <c r="A29" i="62"/>
  <c r="A28" i="62"/>
  <c r="A27" i="62"/>
  <c r="A26" i="62"/>
  <c r="A25" i="62"/>
  <c r="A22" i="62"/>
  <c r="A21" i="62"/>
  <c r="A20" i="62"/>
  <c r="A19" i="62"/>
  <c r="A18" i="62"/>
  <c r="A17" i="62"/>
  <c r="A16" i="62"/>
  <c r="A15" i="62"/>
  <c r="A14" i="62"/>
  <c r="A13" i="62"/>
  <c r="A12" i="62"/>
  <c r="A11" i="62"/>
  <c r="A10" i="62"/>
  <c r="A9" i="62"/>
  <c r="A8" i="62"/>
  <c r="A7" i="62"/>
  <c r="A6" i="62"/>
  <c r="F4" i="62"/>
  <c r="B4" i="62"/>
  <c r="B38" i="59"/>
  <c r="B40" i="59"/>
  <c r="A3" i="61"/>
  <c r="A3" i="60"/>
  <c r="A3" i="59"/>
  <c r="L3" i="57"/>
  <c r="K1" i="57" s="1"/>
  <c r="A2" i="57"/>
  <c r="E2" i="57"/>
  <c r="H2" i="57"/>
  <c r="E3" i="57"/>
  <c r="L4" i="57"/>
  <c r="N5" i="57"/>
  <c r="O5" i="57"/>
  <c r="N6" i="57"/>
  <c r="O6" i="57"/>
  <c r="N7" i="57"/>
  <c r="O7" i="57"/>
  <c r="N8" i="57"/>
  <c r="O8" i="57"/>
  <c r="N9" i="57"/>
  <c r="O9" i="57"/>
  <c r="N10" i="57"/>
  <c r="O10" i="57"/>
  <c r="N11" i="57"/>
  <c r="O11" i="57"/>
  <c r="N12" i="57"/>
  <c r="O12" i="57"/>
  <c r="N13" i="57"/>
  <c r="O13" i="57"/>
  <c r="N14" i="57"/>
  <c r="O14" i="57"/>
  <c r="N15" i="57"/>
  <c r="O15" i="57"/>
  <c r="N16" i="57"/>
  <c r="O16" i="57"/>
  <c r="N17" i="57"/>
  <c r="O17" i="57"/>
  <c r="N18" i="57"/>
  <c r="O18" i="57"/>
  <c r="N19" i="57"/>
  <c r="O19" i="57"/>
  <c r="N20" i="57"/>
  <c r="O20" i="57"/>
  <c r="N21" i="57"/>
  <c r="O21" i="57"/>
  <c r="N22" i="57"/>
  <c r="O22" i="57"/>
  <c r="N23" i="57"/>
  <c r="O23" i="57"/>
  <c r="N24" i="57"/>
  <c r="O24" i="57"/>
  <c r="N25" i="57"/>
  <c r="O25" i="57"/>
  <c r="N26" i="57"/>
  <c r="O26" i="57"/>
  <c r="N27" i="57"/>
  <c r="O27" i="57"/>
  <c r="N28" i="57"/>
  <c r="O28" i="57"/>
  <c r="N29" i="57"/>
  <c r="O29" i="57"/>
  <c r="N30" i="57"/>
  <c r="O30" i="57"/>
  <c r="N31" i="57"/>
  <c r="O31" i="57"/>
  <c r="N32" i="57"/>
  <c r="O32" i="57"/>
  <c r="N33" i="57"/>
  <c r="O33" i="57"/>
  <c r="N34" i="57"/>
  <c r="O34" i="57"/>
  <c r="N35" i="57"/>
  <c r="O35" i="57"/>
  <c r="N36" i="57"/>
  <c r="O36" i="57"/>
  <c r="N37" i="57"/>
  <c r="O37" i="57"/>
  <c r="N38" i="57"/>
  <c r="O38" i="57"/>
  <c r="N39" i="57"/>
  <c r="O39" i="57"/>
  <c r="N40" i="57"/>
  <c r="O40" i="57"/>
  <c r="N41" i="57"/>
  <c r="O41" i="57"/>
  <c r="N42" i="57"/>
  <c r="O42" i="57"/>
  <c r="N43" i="57"/>
  <c r="O43" i="57"/>
  <c r="N44" i="57"/>
  <c r="O44" i="57"/>
  <c r="N45" i="57"/>
  <c r="O45" i="57"/>
  <c r="N46" i="57"/>
  <c r="O46" i="57"/>
  <c r="N47" i="57"/>
  <c r="O47" i="57"/>
  <c r="N48" i="57"/>
  <c r="O48" i="57"/>
  <c r="N49" i="57"/>
  <c r="O49" i="57"/>
  <c r="N50" i="57"/>
  <c r="O50" i="57"/>
  <c r="N51" i="57"/>
  <c r="O51" i="57"/>
  <c r="N52" i="57"/>
  <c r="O52" i="57"/>
  <c r="N53" i="57"/>
  <c r="O53" i="57"/>
  <c r="N54" i="57"/>
  <c r="O54" i="57"/>
  <c r="N55" i="57"/>
  <c r="O55" i="57"/>
  <c r="N56" i="57"/>
  <c r="O56" i="57"/>
  <c r="N57" i="57"/>
  <c r="O57" i="57"/>
  <c r="N58" i="57"/>
  <c r="O58" i="57"/>
  <c r="N59" i="57"/>
  <c r="O59" i="57"/>
  <c r="N60" i="57"/>
  <c r="O60" i="57"/>
  <c r="N61" i="57"/>
  <c r="O61" i="57"/>
  <c r="N62" i="57"/>
  <c r="O62" i="57"/>
  <c r="N63" i="57"/>
  <c r="O63" i="57"/>
  <c r="N64" i="57"/>
  <c r="O64" i="57"/>
  <c r="N65" i="57"/>
  <c r="O65" i="57"/>
  <c r="N66" i="57"/>
  <c r="O66" i="57"/>
  <c r="N67" i="57"/>
  <c r="O67" i="57"/>
  <c r="N68" i="57"/>
  <c r="O68" i="57"/>
  <c r="N69" i="57"/>
  <c r="O69" i="57"/>
  <c r="N70" i="57"/>
  <c r="O70" i="57"/>
  <c r="N71" i="57"/>
  <c r="O71" i="57"/>
  <c r="N72" i="57"/>
  <c r="O72" i="57"/>
  <c r="N73" i="57"/>
  <c r="O73" i="57"/>
  <c r="N74" i="57"/>
  <c r="O74" i="57"/>
  <c r="N75" i="57"/>
  <c r="O75" i="57"/>
  <c r="N76" i="57"/>
  <c r="O76" i="57"/>
  <c r="N77" i="57"/>
  <c r="O77" i="57"/>
  <c r="N78" i="57"/>
  <c r="O78" i="57"/>
  <c r="N79" i="57"/>
  <c r="O79" i="57"/>
  <c r="N80" i="57"/>
  <c r="O80" i="57"/>
  <c r="N81" i="57"/>
  <c r="O81" i="57"/>
  <c r="N82" i="57"/>
  <c r="O82" i="57"/>
  <c r="N83" i="57"/>
  <c r="O83" i="57"/>
  <c r="N84" i="57"/>
  <c r="O84" i="57"/>
  <c r="N85" i="57"/>
  <c r="O85" i="57"/>
  <c r="N86" i="57"/>
  <c r="O86" i="57"/>
  <c r="N87" i="57"/>
  <c r="O87" i="57"/>
  <c r="N88" i="57"/>
  <c r="O88" i="57"/>
  <c r="N89" i="57"/>
  <c r="O89" i="57"/>
  <c r="N90" i="57"/>
  <c r="O90" i="57"/>
  <c r="N91" i="57"/>
  <c r="O91" i="57"/>
  <c r="N92" i="57"/>
  <c r="O92" i="57"/>
  <c r="N93" i="57"/>
  <c r="O93" i="57"/>
  <c r="N94" i="57"/>
  <c r="O94" i="57"/>
  <c r="N95" i="57"/>
  <c r="O95" i="57"/>
  <c r="N96" i="57"/>
  <c r="O96" i="57"/>
  <c r="N97" i="57"/>
  <c r="O97" i="57"/>
  <c r="N98" i="57"/>
  <c r="O98" i="57"/>
  <c r="N99" i="57"/>
  <c r="O99" i="57"/>
  <c r="N100" i="57"/>
  <c r="O100" i="57"/>
  <c r="N101" i="57"/>
  <c r="O101" i="57"/>
  <c r="N102" i="57"/>
  <c r="O102" i="57"/>
  <c r="N103" i="57"/>
  <c r="O103" i="57"/>
  <c r="N104" i="57"/>
  <c r="O104" i="57"/>
  <c r="N105" i="57"/>
  <c r="O105" i="57"/>
  <c r="N106" i="57"/>
  <c r="O106" i="57"/>
  <c r="N107" i="57"/>
  <c r="O107" i="57"/>
  <c r="N108" i="57"/>
  <c r="O108" i="57"/>
  <c r="N109" i="57"/>
  <c r="O109" i="57"/>
  <c r="N110" i="57"/>
  <c r="O110" i="57"/>
  <c r="N111" i="57"/>
  <c r="O111" i="57"/>
  <c r="N112" i="57"/>
  <c r="O112" i="57"/>
  <c r="N113" i="57"/>
  <c r="O113" i="57"/>
  <c r="N114" i="57"/>
  <c r="O114" i="57"/>
  <c r="N115" i="57"/>
  <c r="O115" i="57"/>
  <c r="N116" i="57"/>
  <c r="O116" i="57"/>
  <c r="N117" i="57"/>
  <c r="O117" i="57"/>
  <c r="N118" i="57"/>
  <c r="O118" i="57"/>
  <c r="N119" i="57"/>
  <c r="O119" i="57"/>
  <c r="N120" i="57"/>
  <c r="O120" i="57"/>
  <c r="N121" i="57"/>
  <c r="O121" i="57"/>
  <c r="N122" i="57"/>
  <c r="O122" i="57"/>
  <c r="N123" i="57"/>
  <c r="O123" i="57"/>
  <c r="N124" i="57"/>
  <c r="O124" i="57"/>
  <c r="N125" i="57"/>
  <c r="O125" i="57"/>
  <c r="N126" i="57"/>
  <c r="O126" i="57"/>
  <c r="N127" i="57"/>
  <c r="O127" i="57"/>
  <c r="N128" i="57"/>
  <c r="O128" i="57"/>
  <c r="N129" i="57"/>
  <c r="O129" i="57"/>
  <c r="N130" i="57"/>
  <c r="O130" i="57"/>
  <c r="N131" i="57"/>
  <c r="O131" i="57"/>
  <c r="N132" i="57"/>
  <c r="O132" i="57"/>
  <c r="N133" i="57"/>
  <c r="O133" i="57"/>
  <c r="N134" i="57"/>
  <c r="O134" i="57"/>
  <c r="N135" i="57"/>
  <c r="O135" i="57"/>
  <c r="N136" i="57"/>
  <c r="O136" i="57"/>
  <c r="N137" i="57"/>
  <c r="O137" i="57"/>
  <c r="N138" i="57"/>
  <c r="O138" i="57"/>
  <c r="N139" i="57"/>
  <c r="O139" i="57"/>
  <c r="N140" i="57"/>
  <c r="O140" i="57"/>
  <c r="N141" i="57"/>
  <c r="O141" i="57"/>
  <c r="N142" i="57"/>
  <c r="O142" i="57"/>
  <c r="N143" i="57"/>
  <c r="O143" i="57"/>
  <c r="N144" i="57"/>
  <c r="O144" i="57"/>
  <c r="N145" i="57"/>
  <c r="O145" i="57"/>
  <c r="N146" i="57"/>
  <c r="O146" i="57"/>
  <c r="N147" i="57"/>
  <c r="O147" i="57"/>
  <c r="N148" i="57"/>
  <c r="O148" i="57"/>
  <c r="N149" i="57"/>
  <c r="O149" i="57"/>
  <c r="N150" i="57"/>
  <c r="O150" i="57"/>
  <c r="N151" i="57"/>
  <c r="O151" i="57"/>
  <c r="N152" i="57"/>
  <c r="O152" i="57"/>
  <c r="N153" i="57"/>
  <c r="O153" i="57"/>
  <c r="N154" i="57"/>
  <c r="O154" i="57"/>
  <c r="N155" i="57"/>
  <c r="O155" i="57"/>
  <c r="N156" i="57"/>
  <c r="O156" i="57"/>
  <c r="N157" i="57"/>
  <c r="O157" i="57"/>
  <c r="N158" i="57"/>
  <c r="O158" i="57"/>
  <c r="N159" i="57"/>
  <c r="O159" i="57"/>
  <c r="N160" i="57"/>
  <c r="O160" i="57"/>
  <c r="N161" i="57"/>
  <c r="O161" i="57"/>
  <c r="N162" i="57"/>
  <c r="O162" i="57"/>
  <c r="N163" i="57"/>
  <c r="O163" i="57"/>
  <c r="N164" i="57"/>
  <c r="O164" i="57"/>
  <c r="N165" i="57"/>
  <c r="O165" i="57"/>
  <c r="N166" i="57"/>
  <c r="O166" i="57"/>
  <c r="N167" i="57"/>
  <c r="O167" i="57"/>
  <c r="N168" i="57"/>
  <c r="O168" i="57"/>
  <c r="N169" i="57"/>
  <c r="O169" i="57"/>
  <c r="N170" i="57"/>
  <c r="O170" i="57"/>
  <c r="N171" i="57"/>
  <c r="O171" i="57"/>
  <c r="N172" i="57"/>
  <c r="O172" i="57"/>
  <c r="N173" i="57"/>
  <c r="O173" i="57"/>
  <c r="N174" i="57"/>
  <c r="O174" i="57"/>
  <c r="N175" i="57"/>
  <c r="O175" i="57"/>
  <c r="N176" i="57"/>
  <c r="O176" i="57"/>
  <c r="N177" i="57"/>
  <c r="O177" i="57"/>
  <c r="N178" i="57"/>
  <c r="O178" i="57"/>
  <c r="N179" i="57"/>
  <c r="O179" i="57"/>
  <c r="N180" i="57"/>
  <c r="O180" i="57"/>
  <c r="N181" i="57"/>
  <c r="O181" i="57"/>
  <c r="N182" i="57"/>
  <c r="O182" i="57"/>
  <c r="N183" i="57"/>
  <c r="O183" i="57"/>
  <c r="N184" i="57"/>
  <c r="O184" i="57"/>
  <c r="N185" i="57"/>
  <c r="O185" i="57"/>
  <c r="N186" i="57"/>
  <c r="O186" i="57"/>
  <c r="N187" i="57"/>
  <c r="O187" i="57"/>
  <c r="N188" i="57"/>
  <c r="O188" i="57"/>
  <c r="N189" i="57"/>
  <c r="O189" i="57"/>
  <c r="N190" i="57"/>
  <c r="O190" i="57"/>
  <c r="N191" i="57"/>
  <c r="O191" i="57"/>
  <c r="N192" i="57"/>
  <c r="O192" i="57"/>
  <c r="N193" i="57"/>
  <c r="O193" i="57"/>
  <c r="N194" i="57"/>
  <c r="O194" i="57"/>
  <c r="N195" i="57"/>
  <c r="O195" i="57"/>
  <c r="N196" i="57"/>
  <c r="O196" i="57"/>
  <c r="N197" i="57"/>
  <c r="O197" i="57"/>
  <c r="N198" i="57"/>
  <c r="O198" i="57"/>
  <c r="N199" i="57"/>
  <c r="O199" i="57"/>
  <c r="N200" i="57"/>
  <c r="O200" i="57"/>
  <c r="N201" i="57"/>
  <c r="O201" i="57"/>
  <c r="N202" i="57"/>
  <c r="O202" i="57"/>
  <c r="N203" i="57"/>
  <c r="O203" i="57"/>
  <c r="N204" i="57"/>
  <c r="O204" i="57"/>
  <c r="N205" i="57"/>
  <c r="O205" i="57"/>
  <c r="N206" i="57"/>
  <c r="O206" i="57"/>
  <c r="N207" i="57"/>
  <c r="O207" i="57"/>
  <c r="N208" i="57"/>
  <c r="O208" i="57"/>
  <c r="N209" i="57"/>
  <c r="O209" i="57"/>
  <c r="N210" i="57"/>
  <c r="O210" i="57"/>
  <c r="N211" i="57"/>
  <c r="O211" i="57"/>
  <c r="N212" i="57"/>
  <c r="O212" i="57"/>
  <c r="N213" i="57"/>
  <c r="O213" i="57"/>
  <c r="N214" i="57"/>
  <c r="O214" i="57"/>
  <c r="N215" i="57"/>
  <c r="O215" i="57"/>
  <c r="N216" i="57"/>
  <c r="O216" i="57"/>
  <c r="N217" i="57"/>
  <c r="O217" i="57"/>
  <c r="N218" i="57"/>
  <c r="O218" i="57"/>
  <c r="N219" i="57"/>
  <c r="O219" i="57"/>
  <c r="N220" i="57"/>
  <c r="O220" i="57"/>
  <c r="N221" i="57"/>
  <c r="O221" i="57"/>
  <c r="N222" i="57"/>
  <c r="O222" i="57"/>
  <c r="N223" i="57"/>
  <c r="O223" i="57"/>
  <c r="N224" i="57"/>
  <c r="O224" i="57"/>
  <c r="N225" i="57"/>
  <c r="O225" i="57"/>
  <c r="N226" i="57"/>
  <c r="O226" i="57"/>
  <c r="N227" i="57"/>
  <c r="O227" i="57"/>
  <c r="N228" i="57"/>
  <c r="O228" i="57"/>
  <c r="N229" i="57"/>
  <c r="O229" i="57"/>
  <c r="N230" i="57"/>
  <c r="O230" i="57"/>
  <c r="N231" i="57"/>
  <c r="O231" i="57"/>
  <c r="N232" i="57"/>
  <c r="O232" i="57"/>
  <c r="N233" i="57"/>
  <c r="O233" i="57"/>
  <c r="N234" i="57"/>
  <c r="O234" i="57"/>
  <c r="N235" i="57"/>
  <c r="O235" i="57"/>
  <c r="N236" i="57"/>
  <c r="O236" i="57"/>
  <c r="N237" i="57"/>
  <c r="O237" i="57"/>
  <c r="N238" i="57"/>
  <c r="O238" i="57"/>
  <c r="N239" i="57"/>
  <c r="O239" i="57"/>
  <c r="N240" i="57"/>
  <c r="O240" i="57"/>
  <c r="N241" i="57"/>
  <c r="O241" i="57"/>
  <c r="N242" i="57"/>
  <c r="O242" i="57"/>
  <c r="N243" i="57"/>
  <c r="O243" i="57"/>
  <c r="N244" i="57"/>
  <c r="O244" i="57"/>
  <c r="N245" i="57"/>
  <c r="O245" i="57"/>
  <c r="N246" i="57"/>
  <c r="O246" i="57"/>
  <c r="N247" i="57"/>
  <c r="O247" i="57"/>
  <c r="N248" i="57"/>
  <c r="O248" i="57"/>
  <c r="N249" i="57"/>
  <c r="O249" i="57"/>
  <c r="N250" i="57"/>
  <c r="O250" i="57"/>
  <c r="N251" i="57"/>
  <c r="O251" i="57"/>
  <c r="N252" i="57"/>
  <c r="O252" i="57"/>
  <c r="N253" i="57"/>
  <c r="O253" i="57"/>
  <c r="N254" i="57"/>
  <c r="O254" i="57"/>
  <c r="N255" i="57"/>
  <c r="O255" i="57"/>
  <c r="N256" i="57"/>
  <c r="O256" i="57"/>
  <c r="N257" i="57"/>
  <c r="O257" i="57"/>
  <c r="N258" i="57"/>
  <c r="O258" i="57"/>
  <c r="N259" i="57"/>
  <c r="O259" i="57"/>
  <c r="N260" i="57"/>
  <c r="O260" i="57"/>
  <c r="N261" i="57"/>
  <c r="O261" i="57"/>
  <c r="N262" i="57"/>
  <c r="O262" i="57"/>
  <c r="N263" i="57"/>
  <c r="O263" i="57"/>
  <c r="N264" i="57"/>
  <c r="O264" i="57"/>
  <c r="N265" i="57"/>
  <c r="O265" i="57"/>
  <c r="N266" i="57"/>
  <c r="O266" i="57"/>
  <c r="N267" i="57"/>
  <c r="O267" i="57"/>
  <c r="N268" i="57"/>
  <c r="O268" i="57"/>
  <c r="N269" i="57"/>
  <c r="O269" i="57"/>
  <c r="N270" i="57"/>
  <c r="O270" i="57"/>
  <c r="N271" i="57"/>
  <c r="O271" i="57"/>
  <c r="N272" i="57"/>
  <c r="O272" i="57"/>
  <c r="N273" i="57"/>
  <c r="O273" i="57"/>
  <c r="N274" i="57"/>
  <c r="O274" i="57"/>
  <c r="N275" i="57"/>
  <c r="O275" i="57"/>
  <c r="N276" i="57"/>
  <c r="O276" i="57"/>
  <c r="N277" i="57"/>
  <c r="O277" i="57"/>
  <c r="N278" i="57"/>
  <c r="O278" i="57"/>
  <c r="N279" i="57"/>
  <c r="O279" i="57"/>
  <c r="N280" i="57"/>
  <c r="O280" i="57"/>
  <c r="N281" i="57"/>
  <c r="O281" i="57"/>
  <c r="N282" i="57"/>
  <c r="O282" i="57"/>
  <c r="N283" i="57"/>
  <c r="O283" i="57"/>
  <c r="N284" i="57"/>
  <c r="O284" i="57"/>
  <c r="N285" i="57"/>
  <c r="O285" i="57"/>
  <c r="N286" i="57"/>
  <c r="O286" i="57"/>
  <c r="N287" i="57"/>
  <c r="O287" i="57"/>
  <c r="N288" i="57"/>
  <c r="O288" i="57"/>
  <c r="N289" i="57"/>
  <c r="O289" i="57"/>
  <c r="N290" i="57"/>
  <c r="O290" i="57"/>
  <c r="N291" i="57"/>
  <c r="O291" i="57"/>
  <c r="N292" i="57"/>
  <c r="O292" i="57"/>
  <c r="N293" i="57"/>
  <c r="O293" i="57"/>
  <c r="N294" i="57"/>
  <c r="O294" i="57"/>
  <c r="N295" i="57"/>
  <c r="O295" i="57"/>
  <c r="N296" i="57"/>
  <c r="O296" i="57"/>
  <c r="N297" i="57"/>
  <c r="O297" i="57"/>
  <c r="N298" i="57"/>
  <c r="O298" i="57"/>
  <c r="N299" i="57"/>
  <c r="O299" i="57"/>
  <c r="N300" i="57"/>
  <c r="O300" i="57"/>
  <c r="N301" i="57"/>
  <c r="O301" i="57"/>
  <c r="N302" i="57"/>
  <c r="O302" i="57"/>
  <c r="N303" i="57"/>
  <c r="O303" i="57"/>
  <c r="N304" i="57"/>
  <c r="O304" i="57"/>
  <c r="N305" i="57"/>
  <c r="O305" i="57"/>
  <c r="N306" i="57"/>
  <c r="O306" i="57"/>
  <c r="N307" i="57"/>
  <c r="O307" i="57"/>
  <c r="N308" i="57"/>
  <c r="O308" i="57"/>
  <c r="N309" i="57"/>
  <c r="O309" i="57"/>
  <c r="N310" i="57"/>
  <c r="O310" i="57"/>
  <c r="N311" i="57"/>
  <c r="O311" i="57"/>
  <c r="N312" i="57"/>
  <c r="O312" i="57"/>
  <c r="N313" i="57"/>
  <c r="O313" i="57"/>
  <c r="N314" i="57"/>
  <c r="O314" i="57"/>
  <c r="N315" i="57"/>
  <c r="O315" i="57"/>
  <c r="N316" i="57"/>
  <c r="O316" i="57"/>
  <c r="N317" i="57"/>
  <c r="O317" i="57"/>
  <c r="N318" i="57"/>
  <c r="O318" i="57"/>
  <c r="N319" i="57"/>
  <c r="O319" i="57"/>
  <c r="N320" i="57"/>
  <c r="O320" i="57"/>
  <c r="N321" i="57"/>
  <c r="O321" i="57"/>
  <c r="N322" i="57"/>
  <c r="O322" i="57"/>
  <c r="N323" i="57"/>
  <c r="O323" i="57"/>
  <c r="N324" i="57"/>
  <c r="O324" i="57"/>
  <c r="N325" i="57"/>
  <c r="O325" i="57"/>
  <c r="N326" i="57"/>
  <c r="O326" i="57"/>
  <c r="N327" i="57"/>
  <c r="O327" i="57"/>
  <c r="N328" i="57"/>
  <c r="O328" i="57"/>
  <c r="N329" i="57"/>
  <c r="O329" i="57"/>
  <c r="N330" i="57"/>
  <c r="O330" i="57"/>
  <c r="N331" i="57"/>
  <c r="O331" i="57"/>
  <c r="N332" i="57"/>
  <c r="O332" i="57"/>
  <c r="N333" i="57"/>
  <c r="O333" i="57"/>
  <c r="N334" i="57"/>
  <c r="O334" i="57"/>
  <c r="L3" i="58"/>
  <c r="K1" i="58"/>
  <c r="A2" i="58"/>
  <c r="E2" i="58"/>
  <c r="H2" i="58"/>
  <c r="E3" i="58"/>
  <c r="L4" i="58"/>
  <c r="N5" i="58"/>
  <c r="O5" i="58"/>
  <c r="N6" i="58"/>
  <c r="O6" i="58"/>
  <c r="N7" i="58"/>
  <c r="O7" i="58"/>
  <c r="N8" i="58"/>
  <c r="O8" i="58"/>
  <c r="N9" i="58"/>
  <c r="O9" i="58"/>
  <c r="N10" i="58"/>
  <c r="O10" i="58"/>
  <c r="N11" i="58"/>
  <c r="O11" i="58"/>
  <c r="N12" i="58"/>
  <c r="O12" i="58"/>
  <c r="N13" i="58"/>
  <c r="O13" i="58"/>
  <c r="N14" i="58"/>
  <c r="O14" i="58"/>
  <c r="N15" i="58"/>
  <c r="O15" i="58"/>
  <c r="N16" i="58"/>
  <c r="O16" i="58"/>
  <c r="N17" i="58"/>
  <c r="O17" i="58"/>
  <c r="N18" i="58"/>
  <c r="O18" i="58"/>
  <c r="N19" i="58"/>
  <c r="O19" i="58"/>
  <c r="N20" i="58"/>
  <c r="O20" i="58"/>
  <c r="N21" i="58"/>
  <c r="O21" i="58"/>
  <c r="N22" i="58"/>
  <c r="O22" i="58"/>
  <c r="N23" i="58"/>
  <c r="O23" i="58"/>
  <c r="N24" i="58"/>
  <c r="O24" i="58"/>
  <c r="N25" i="58"/>
  <c r="O25" i="58"/>
  <c r="N26" i="58"/>
  <c r="O26" i="58"/>
  <c r="N27" i="58"/>
  <c r="O27" i="58"/>
  <c r="N28" i="58"/>
  <c r="O28" i="58"/>
  <c r="N29" i="58"/>
  <c r="O29" i="58"/>
  <c r="N30" i="58"/>
  <c r="O30" i="58"/>
  <c r="N31" i="58"/>
  <c r="O31" i="58"/>
  <c r="N32" i="58"/>
  <c r="O32" i="58"/>
  <c r="N33" i="58"/>
  <c r="O33" i="58"/>
  <c r="N34" i="58"/>
  <c r="O34" i="58"/>
  <c r="N35" i="58"/>
  <c r="O35" i="58"/>
  <c r="N36" i="58"/>
  <c r="O36" i="58"/>
  <c r="N37" i="58"/>
  <c r="O37" i="58"/>
  <c r="N38" i="58"/>
  <c r="O38" i="58"/>
  <c r="N39" i="58"/>
  <c r="O39" i="58"/>
  <c r="N40" i="58"/>
  <c r="O40" i="58"/>
  <c r="N41" i="58"/>
  <c r="O41" i="58"/>
  <c r="N42" i="58"/>
  <c r="O42" i="58"/>
  <c r="N43" i="58"/>
  <c r="O43" i="58"/>
  <c r="N44" i="58"/>
  <c r="O44" i="58"/>
  <c r="N45" i="58"/>
  <c r="O45" i="58"/>
  <c r="N46" i="58"/>
  <c r="O46" i="58"/>
  <c r="N47" i="58"/>
  <c r="O47" i="58"/>
  <c r="N48" i="58"/>
  <c r="O48" i="58"/>
  <c r="N49" i="58"/>
  <c r="O49" i="58"/>
  <c r="N50" i="58"/>
  <c r="O50" i="58"/>
  <c r="N51" i="58"/>
  <c r="O51" i="58"/>
  <c r="N52" i="58"/>
  <c r="O52" i="58"/>
  <c r="N53" i="58"/>
  <c r="O53" i="58"/>
  <c r="N54" i="58"/>
  <c r="O54" i="58"/>
  <c r="N55" i="58"/>
  <c r="O55" i="58"/>
  <c r="N56" i="58"/>
  <c r="O56" i="58"/>
  <c r="N57" i="58"/>
  <c r="O57" i="58"/>
  <c r="N58" i="58"/>
  <c r="O58" i="58"/>
  <c r="N59" i="58"/>
  <c r="O59" i="58"/>
  <c r="N60" i="58"/>
  <c r="O60" i="58"/>
  <c r="N61" i="58"/>
  <c r="O61" i="58"/>
  <c r="N62" i="58"/>
  <c r="O62" i="58"/>
  <c r="N63" i="58"/>
  <c r="O63" i="58"/>
  <c r="N64" i="58"/>
  <c r="O64" i="58"/>
  <c r="N65" i="58"/>
  <c r="O65" i="58"/>
  <c r="N66" i="58"/>
  <c r="O66" i="58"/>
  <c r="N67" i="58"/>
  <c r="O67" i="58"/>
  <c r="N68" i="58"/>
  <c r="O68" i="58"/>
  <c r="N69" i="58"/>
  <c r="O69" i="58"/>
  <c r="N70" i="58"/>
  <c r="O70" i="58"/>
  <c r="N71" i="58"/>
  <c r="O71" i="58"/>
  <c r="N72" i="58"/>
  <c r="O72" i="58"/>
  <c r="N73" i="58"/>
  <c r="O73" i="58"/>
  <c r="N74" i="58"/>
  <c r="O74" i="58"/>
  <c r="N75" i="58"/>
  <c r="O75" i="58"/>
  <c r="N76" i="58"/>
  <c r="O76" i="58"/>
  <c r="N77" i="58"/>
  <c r="O77" i="58"/>
  <c r="N78" i="58"/>
  <c r="O78" i="58"/>
  <c r="N79" i="58"/>
  <c r="O79" i="58"/>
  <c r="N80" i="58"/>
  <c r="O80" i="58"/>
  <c r="N81" i="58"/>
  <c r="O81" i="58"/>
  <c r="N82" i="58"/>
  <c r="O82" i="58"/>
  <c r="N83" i="58"/>
  <c r="O83" i="58"/>
  <c r="N84" i="58"/>
  <c r="O84" i="58"/>
  <c r="N85" i="58"/>
  <c r="O85" i="58"/>
  <c r="N86" i="58"/>
  <c r="O86" i="58"/>
  <c r="N87" i="58"/>
  <c r="O87" i="58"/>
  <c r="N88" i="58"/>
  <c r="O88" i="58"/>
  <c r="N89" i="58"/>
  <c r="O89" i="58"/>
  <c r="N90" i="58"/>
  <c r="O90" i="58"/>
  <c r="N91" i="58"/>
  <c r="O91" i="58"/>
  <c r="N92" i="58"/>
  <c r="O92" i="58"/>
  <c r="N93" i="58"/>
  <c r="O93" i="58"/>
  <c r="N94" i="58"/>
  <c r="O94" i="58"/>
  <c r="N95" i="58"/>
  <c r="O95" i="58"/>
  <c r="N96" i="58"/>
  <c r="O96" i="58"/>
  <c r="N97" i="58"/>
  <c r="O97" i="58"/>
  <c r="N98" i="58"/>
  <c r="O98" i="58"/>
  <c r="N99" i="58"/>
  <c r="O99" i="58"/>
  <c r="N100" i="58"/>
  <c r="O100" i="58"/>
  <c r="N101" i="58"/>
  <c r="O101" i="58"/>
  <c r="N102" i="58"/>
  <c r="O102" i="58"/>
  <c r="N103" i="58"/>
  <c r="O103" i="58"/>
  <c r="N104" i="58"/>
  <c r="O104" i="58"/>
  <c r="N105" i="58"/>
  <c r="O105" i="58"/>
  <c r="N106" i="58"/>
  <c r="O106" i="58"/>
  <c r="N107" i="58"/>
  <c r="O107" i="58"/>
  <c r="N108" i="58"/>
  <c r="O108" i="58"/>
  <c r="N109" i="58"/>
  <c r="O109" i="58"/>
  <c r="N110" i="58"/>
  <c r="O110" i="58"/>
  <c r="N111" i="58"/>
  <c r="O111" i="58"/>
  <c r="N112" i="58"/>
  <c r="O112" i="58"/>
  <c r="N113" i="58"/>
  <c r="O113" i="58"/>
  <c r="N114" i="58"/>
  <c r="O114" i="58"/>
  <c r="N115" i="58"/>
  <c r="O115" i="58"/>
  <c r="N116" i="58"/>
  <c r="O116" i="58"/>
  <c r="N117" i="58"/>
  <c r="O117" i="58"/>
  <c r="N118" i="58"/>
  <c r="O118" i="58"/>
  <c r="N119" i="58"/>
  <c r="O119" i="58"/>
  <c r="N120" i="58"/>
  <c r="O120" i="58"/>
  <c r="N121" i="58"/>
  <c r="O121" i="58"/>
  <c r="N122" i="58"/>
  <c r="O122" i="58"/>
  <c r="N123" i="58"/>
  <c r="O123" i="58"/>
  <c r="N124" i="58"/>
  <c r="O124" i="58"/>
  <c r="N125" i="58"/>
  <c r="O125" i="58"/>
  <c r="N126" i="58"/>
  <c r="O126" i="58"/>
  <c r="N127" i="58"/>
  <c r="O127" i="58"/>
  <c r="N128" i="58"/>
  <c r="O128" i="58"/>
  <c r="N129" i="58"/>
  <c r="O129" i="58"/>
  <c r="N130" i="58"/>
  <c r="O130" i="58"/>
  <c r="N131" i="58"/>
  <c r="O131" i="58"/>
  <c r="N132" i="58"/>
  <c r="O132" i="58"/>
  <c r="N133" i="58"/>
  <c r="O133" i="58"/>
  <c r="N134" i="58"/>
  <c r="O134" i="58"/>
  <c r="N135" i="58"/>
  <c r="O135" i="58"/>
  <c r="N136" i="58"/>
  <c r="O136" i="58"/>
  <c r="N137" i="58"/>
  <c r="O137" i="58"/>
  <c r="N138" i="58"/>
  <c r="O138" i="58"/>
  <c r="N139" i="58"/>
  <c r="O139" i="58"/>
  <c r="N140" i="58"/>
  <c r="O140" i="58"/>
  <c r="N141" i="58"/>
  <c r="O141" i="58"/>
  <c r="N142" i="58"/>
  <c r="O142" i="58"/>
  <c r="N143" i="58"/>
  <c r="O143" i="58"/>
  <c r="N144" i="58"/>
  <c r="O144" i="58"/>
  <c r="N145" i="58"/>
  <c r="O145" i="58"/>
  <c r="N146" i="58"/>
  <c r="O146" i="58"/>
  <c r="N147" i="58"/>
  <c r="O147" i="58"/>
  <c r="N148" i="58"/>
  <c r="O148" i="58"/>
  <c r="N149" i="58"/>
  <c r="O149" i="58"/>
  <c r="N150" i="58"/>
  <c r="O150" i="58"/>
  <c r="N151" i="58"/>
  <c r="O151" i="58"/>
  <c r="N152" i="58"/>
  <c r="O152" i="58"/>
  <c r="N153" i="58"/>
  <c r="O153" i="58"/>
  <c r="N154" i="58"/>
  <c r="O154" i="58"/>
  <c r="N155" i="58"/>
  <c r="O155" i="58"/>
  <c r="N156" i="58"/>
  <c r="O156" i="58"/>
  <c r="N157" i="58"/>
  <c r="O157" i="58"/>
  <c r="N158" i="58"/>
  <c r="O158" i="58"/>
  <c r="N159" i="58"/>
  <c r="O159" i="58"/>
  <c r="N160" i="58"/>
  <c r="O160" i="58"/>
  <c r="N161" i="58"/>
  <c r="O161" i="58"/>
  <c r="N162" i="58"/>
  <c r="O162" i="58"/>
  <c r="N163" i="58"/>
  <c r="O163" i="58"/>
  <c r="N164" i="58"/>
  <c r="O164" i="58"/>
  <c r="N165" i="58"/>
  <c r="O165" i="58"/>
  <c r="N166" i="58"/>
  <c r="O166" i="58"/>
  <c r="N167" i="58"/>
  <c r="O167" i="58"/>
  <c r="N168" i="58"/>
  <c r="O168" i="58"/>
  <c r="N169" i="58"/>
  <c r="O169" i="58"/>
  <c r="N170" i="58"/>
  <c r="O170" i="58"/>
  <c r="N171" i="58"/>
  <c r="O171" i="58"/>
  <c r="N172" i="58"/>
  <c r="O172" i="58"/>
  <c r="N173" i="58"/>
  <c r="O173" i="58"/>
  <c r="N174" i="58"/>
  <c r="O174" i="58"/>
  <c r="N175" i="58"/>
  <c r="O175" i="58"/>
  <c r="N176" i="58"/>
  <c r="O176" i="58"/>
  <c r="N177" i="58"/>
  <c r="O177" i="58"/>
  <c r="N178" i="58"/>
  <c r="O178" i="58"/>
  <c r="N179" i="58"/>
  <c r="O179" i="58"/>
  <c r="N180" i="58"/>
  <c r="O180" i="58"/>
  <c r="N181" i="58"/>
  <c r="O181" i="58"/>
  <c r="N182" i="58"/>
  <c r="O182" i="58"/>
  <c r="N183" i="58"/>
  <c r="O183" i="58"/>
  <c r="N184" i="58"/>
  <c r="O184" i="58"/>
  <c r="N185" i="58"/>
  <c r="O185" i="58"/>
  <c r="N186" i="58"/>
  <c r="O186" i="58"/>
  <c r="N187" i="58"/>
  <c r="O187" i="58"/>
  <c r="N188" i="58"/>
  <c r="O188" i="58"/>
  <c r="N189" i="58"/>
  <c r="O189" i="58"/>
  <c r="N190" i="58"/>
  <c r="O190" i="58"/>
  <c r="N191" i="58"/>
  <c r="O191" i="58"/>
  <c r="N192" i="58"/>
  <c r="O192" i="58"/>
  <c r="N193" i="58"/>
  <c r="O193" i="58"/>
  <c r="N194" i="58"/>
  <c r="O194" i="58"/>
  <c r="N195" i="58"/>
  <c r="O195" i="58"/>
  <c r="N196" i="58"/>
  <c r="O196" i="58"/>
  <c r="N197" i="58"/>
  <c r="O197" i="58"/>
  <c r="N198" i="58"/>
  <c r="O198" i="58"/>
  <c r="N199" i="58"/>
  <c r="O199" i="58"/>
  <c r="N200" i="58"/>
  <c r="O200" i="58"/>
  <c r="N201" i="58"/>
  <c r="O201" i="58"/>
  <c r="N202" i="58"/>
  <c r="O202" i="58"/>
  <c r="N203" i="58"/>
  <c r="O203" i="58"/>
  <c r="N204" i="58"/>
  <c r="O204" i="58"/>
  <c r="N205" i="58"/>
  <c r="O205" i="58"/>
  <c r="N206" i="58"/>
  <c r="O206" i="58"/>
  <c r="N207" i="58"/>
  <c r="O207" i="58"/>
  <c r="N208" i="58"/>
  <c r="O208" i="58"/>
  <c r="N209" i="58"/>
  <c r="O209" i="58"/>
  <c r="N210" i="58"/>
  <c r="O210" i="58"/>
  <c r="N211" i="58"/>
  <c r="O211" i="58"/>
  <c r="N212" i="58"/>
  <c r="O212" i="58"/>
  <c r="N213" i="58"/>
  <c r="O213" i="58"/>
  <c r="N214" i="58"/>
  <c r="O214" i="58"/>
  <c r="N215" i="58"/>
  <c r="O215" i="58"/>
  <c r="N216" i="58"/>
  <c r="O216" i="58"/>
  <c r="N217" i="58"/>
  <c r="O217" i="58"/>
  <c r="N218" i="58"/>
  <c r="O218" i="58"/>
  <c r="N219" i="58"/>
  <c r="O219" i="58"/>
  <c r="N220" i="58"/>
  <c r="O220" i="58"/>
  <c r="N221" i="58"/>
  <c r="O221" i="58"/>
  <c r="N222" i="58"/>
  <c r="O222" i="58"/>
  <c r="N223" i="58"/>
  <c r="O223" i="58"/>
  <c r="N224" i="58"/>
  <c r="O224" i="58"/>
  <c r="N225" i="58"/>
  <c r="O225" i="58"/>
  <c r="N226" i="58"/>
  <c r="O226" i="58"/>
  <c r="N227" i="58"/>
  <c r="O227" i="58"/>
  <c r="N228" i="58"/>
  <c r="O228" i="58"/>
  <c r="N229" i="58"/>
  <c r="O229" i="58"/>
  <c r="N230" i="58"/>
  <c r="O230" i="58"/>
  <c r="N231" i="58"/>
  <c r="O231" i="58"/>
  <c r="N232" i="58"/>
  <c r="O232" i="58"/>
  <c r="N233" i="58"/>
  <c r="O233" i="58"/>
  <c r="N234" i="58"/>
  <c r="O234" i="58"/>
  <c r="N235" i="58"/>
  <c r="O235" i="58"/>
  <c r="N236" i="58"/>
  <c r="O236" i="58"/>
  <c r="N237" i="58"/>
  <c r="O237" i="58"/>
  <c r="N238" i="58"/>
  <c r="O238" i="58"/>
  <c r="N239" i="58"/>
  <c r="O239" i="58"/>
  <c r="N240" i="58"/>
  <c r="O240" i="58"/>
  <c r="N241" i="58"/>
  <c r="O241" i="58"/>
  <c r="N242" i="58"/>
  <c r="O242" i="58"/>
  <c r="N243" i="58"/>
  <c r="O243" i="58"/>
  <c r="N244" i="58"/>
  <c r="O244" i="58"/>
  <c r="N245" i="58"/>
  <c r="O245" i="58"/>
  <c r="N246" i="58"/>
  <c r="O246" i="58"/>
  <c r="N247" i="58"/>
  <c r="O247" i="58"/>
  <c r="N248" i="58"/>
  <c r="O248" i="58"/>
  <c r="N249" i="58"/>
  <c r="O249" i="58"/>
  <c r="N250" i="58"/>
  <c r="O250" i="58"/>
  <c r="N251" i="58"/>
  <c r="O251" i="58"/>
  <c r="N252" i="58"/>
  <c r="O252" i="58"/>
  <c r="N253" i="58"/>
  <c r="O253" i="58"/>
  <c r="N254" i="58"/>
  <c r="O254" i="58"/>
  <c r="N255" i="58"/>
  <c r="O255" i="58"/>
  <c r="N256" i="58"/>
  <c r="O256" i="58"/>
  <c r="N257" i="58"/>
  <c r="O257" i="58"/>
  <c r="N258" i="58"/>
  <c r="O258" i="58"/>
  <c r="N259" i="58"/>
  <c r="O259" i="58"/>
  <c r="N260" i="58"/>
  <c r="O260" i="58"/>
  <c r="N261" i="58"/>
  <c r="O261" i="58"/>
  <c r="N262" i="58"/>
  <c r="O262" i="58"/>
  <c r="N263" i="58"/>
  <c r="O263" i="58"/>
  <c r="N264" i="58"/>
  <c r="O264" i="58"/>
  <c r="N265" i="58"/>
  <c r="O265" i="58"/>
  <c r="N266" i="58"/>
  <c r="O266" i="58"/>
  <c r="N267" i="58"/>
  <c r="O267" i="58"/>
  <c r="N268" i="58"/>
  <c r="O268" i="58"/>
  <c r="N269" i="58"/>
  <c r="O269" i="58"/>
  <c r="N270" i="58"/>
  <c r="O270" i="58"/>
  <c r="N271" i="58"/>
  <c r="O271" i="58"/>
  <c r="N272" i="58"/>
  <c r="O272" i="58"/>
  <c r="N273" i="58"/>
  <c r="O273" i="58"/>
  <c r="N274" i="58"/>
  <c r="O274" i="58"/>
  <c r="N275" i="58"/>
  <c r="O275" i="58"/>
  <c r="N276" i="58"/>
  <c r="O276" i="58"/>
  <c r="N277" i="58"/>
  <c r="O277" i="58"/>
  <c r="N278" i="58"/>
  <c r="O278" i="58"/>
  <c r="N279" i="58"/>
  <c r="O279" i="58"/>
  <c r="N280" i="58"/>
  <c r="O280" i="58"/>
  <c r="N281" i="58"/>
  <c r="O281" i="58"/>
  <c r="N282" i="58"/>
  <c r="O282" i="58"/>
  <c r="N283" i="58"/>
  <c r="O283" i="58"/>
  <c r="N284" i="58"/>
  <c r="O284" i="58"/>
  <c r="N285" i="58"/>
  <c r="O285" i="58"/>
  <c r="N286" i="58"/>
  <c r="O286" i="58"/>
  <c r="N287" i="58"/>
  <c r="O287" i="58"/>
  <c r="N288" i="58"/>
  <c r="O288" i="58"/>
  <c r="N289" i="58"/>
  <c r="O289" i="58"/>
  <c r="N290" i="58"/>
  <c r="O290" i="58"/>
  <c r="N291" i="58"/>
  <c r="O291" i="58"/>
  <c r="N292" i="58"/>
  <c r="O292" i="58"/>
  <c r="N293" i="58"/>
  <c r="O293" i="58"/>
  <c r="N294" i="58"/>
  <c r="O294" i="58"/>
  <c r="N295" i="58"/>
  <c r="O295" i="58"/>
  <c r="N296" i="58"/>
  <c r="O296" i="58"/>
  <c r="N297" i="58"/>
  <c r="O297" i="58"/>
  <c r="N298" i="58"/>
  <c r="O298" i="58"/>
  <c r="N299" i="58"/>
  <c r="O299" i="58"/>
  <c r="N300" i="58"/>
  <c r="O300" i="58"/>
  <c r="N301" i="58"/>
  <c r="O301" i="58"/>
  <c r="N302" i="58"/>
  <c r="O302" i="58"/>
  <c r="N303" i="58"/>
  <c r="O303" i="58"/>
  <c r="N304" i="58"/>
  <c r="O304" i="58"/>
  <c r="N305" i="58"/>
  <c r="O305" i="58"/>
  <c r="N306" i="58"/>
  <c r="O306" i="58"/>
  <c r="N307" i="58"/>
  <c r="O307" i="58"/>
  <c r="N308" i="58"/>
  <c r="O308" i="58"/>
  <c r="N309" i="58"/>
  <c r="O309" i="58"/>
  <c r="N310" i="58"/>
  <c r="O310" i="58"/>
  <c r="N311" i="58"/>
  <c r="O311" i="58"/>
  <c r="N312" i="58"/>
  <c r="O312" i="58"/>
  <c r="N313" i="58"/>
  <c r="O313" i="58"/>
  <c r="N314" i="58"/>
  <c r="O314" i="58"/>
  <c r="N315" i="58"/>
  <c r="O315" i="58"/>
  <c r="N316" i="58"/>
  <c r="O316" i="58"/>
  <c r="N317" i="58"/>
  <c r="O317" i="58"/>
  <c r="N318" i="58"/>
  <c r="O318" i="58"/>
  <c r="N319" i="58"/>
  <c r="O319" i="58"/>
  <c r="N320" i="58"/>
  <c r="O320" i="58"/>
  <c r="N321" i="58"/>
  <c r="O321" i="58"/>
  <c r="N322" i="58"/>
  <c r="O322" i="58"/>
  <c r="N323" i="58"/>
  <c r="O323" i="58"/>
  <c r="N324" i="58"/>
  <c r="O324" i="58"/>
  <c r="N325" i="58"/>
  <c r="O325" i="58"/>
  <c r="N326" i="58"/>
  <c r="O326" i="58"/>
  <c r="N327" i="58"/>
  <c r="O327" i="58"/>
  <c r="N328" i="58"/>
  <c r="O328" i="58"/>
  <c r="N329" i="58"/>
  <c r="O329" i="58"/>
  <c r="N330" i="58"/>
  <c r="O330" i="58"/>
  <c r="N331" i="58"/>
  <c r="O331" i="58"/>
  <c r="N332" i="58"/>
  <c r="O332" i="58"/>
  <c r="N333" i="58"/>
  <c r="O333" i="58"/>
  <c r="N334" i="58"/>
  <c r="O334" i="58"/>
  <c r="A2" i="59"/>
  <c r="C2" i="59"/>
  <c r="E2" i="59"/>
  <c r="C3" i="59"/>
  <c r="H38" i="59"/>
  <c r="H40" i="59"/>
  <c r="H47" i="59"/>
  <c r="H27" i="59"/>
  <c r="H62" i="59"/>
  <c r="B10" i="61"/>
  <c r="B19" i="61"/>
  <c r="B30" i="61" s="1"/>
  <c r="B49" i="61" s="1"/>
  <c r="B53" i="61" s="1"/>
  <c r="B57" i="61" s="1"/>
  <c r="B67" i="61" s="1"/>
  <c r="B73" i="61" s="1"/>
  <c r="H36" i="60"/>
  <c r="H39" i="60"/>
  <c r="H62" i="60" s="1"/>
  <c r="A6" i="59"/>
  <c r="A27" i="59"/>
  <c r="B27" i="59"/>
  <c r="A28" i="59"/>
  <c r="A34" i="59"/>
  <c r="A35" i="59"/>
  <c r="A38" i="59"/>
  <c r="A40" i="59"/>
  <c r="A47" i="59"/>
  <c r="B47" i="59"/>
  <c r="A48" i="59"/>
  <c r="A58" i="59"/>
  <c r="A59" i="59"/>
  <c r="A62" i="59"/>
  <c r="B36" i="60"/>
  <c r="B39" i="60" s="1"/>
  <c r="B62" i="60" s="1"/>
  <c r="B26" i="60"/>
  <c r="A2" i="60"/>
  <c r="C2" i="60"/>
  <c r="E2" i="60"/>
  <c r="I2" i="60"/>
  <c r="C3" i="60"/>
  <c r="E3" i="60"/>
  <c r="I3" i="60"/>
  <c r="A6" i="60"/>
  <c r="A26" i="60"/>
  <c r="A27" i="60"/>
  <c r="A36" i="60"/>
  <c r="A37" i="60"/>
  <c r="A39" i="60"/>
  <c r="A42" i="60"/>
  <c r="A55" i="60"/>
  <c r="A59" i="60"/>
  <c r="A61" i="60"/>
  <c r="A62" i="60"/>
  <c r="A2" i="61"/>
  <c r="C2" i="61"/>
  <c r="E2" i="61"/>
  <c r="I2" i="61"/>
  <c r="C3" i="61"/>
  <c r="E3" i="61"/>
  <c r="I3" i="61"/>
  <c r="A10" i="61"/>
  <c r="A19" i="61"/>
  <c r="A30" i="61"/>
  <c r="A49" i="61"/>
  <c r="A53" i="61"/>
  <c r="A57" i="61"/>
  <c r="A67" i="61"/>
  <c r="A73" i="61"/>
  <c r="A74" i="61"/>
  <c r="J40" i="46"/>
  <c r="I62" i="46"/>
  <c r="J44" i="46"/>
  <c r="J45" i="46"/>
  <c r="J46" i="46"/>
  <c r="J47" i="46"/>
  <c r="J48" i="46"/>
  <c r="J49" i="46"/>
  <c r="J50" i="46"/>
  <c r="J53" i="46"/>
  <c r="J56" i="46"/>
  <c r="D7" i="46"/>
  <c r="D8" i="46"/>
  <c r="D9" i="46"/>
  <c r="D10" i="46"/>
  <c r="D11" i="46"/>
  <c r="D12" i="46"/>
  <c r="D13" i="46"/>
  <c r="D14" i="46"/>
  <c r="D15" i="46"/>
  <c r="D16" i="46"/>
  <c r="D17" i="46"/>
  <c r="D18" i="46"/>
  <c r="D19" i="46"/>
  <c r="D20" i="46"/>
  <c r="D27" i="46" s="1"/>
  <c r="D62" i="46" s="1"/>
  <c r="D21" i="46"/>
  <c r="D22" i="46"/>
  <c r="D23" i="46"/>
  <c r="D24" i="46"/>
  <c r="D25" i="46"/>
  <c r="D26" i="46"/>
  <c r="D36" i="46"/>
  <c r="D38" i="46" s="1"/>
  <c r="D40" i="46" s="1"/>
  <c r="D47" i="46" s="1"/>
  <c r="D37" i="46"/>
  <c r="D39" i="46"/>
  <c r="D41" i="46"/>
  <c r="D42" i="46"/>
  <c r="D43" i="46"/>
  <c r="D44" i="46"/>
  <c r="D45" i="46"/>
  <c r="D46" i="46"/>
  <c r="D50" i="46"/>
  <c r="D52" i="46"/>
  <c r="D53" i="46"/>
  <c r="D56" i="46"/>
  <c r="D60" i="46"/>
  <c r="D61" i="46"/>
  <c r="C27" i="46"/>
  <c r="C38" i="46"/>
  <c r="C40" i="46"/>
  <c r="C47" i="46"/>
  <c r="C62" i="46" s="1"/>
  <c r="F61" i="46"/>
  <c r="I74" i="35"/>
  <c r="C74" i="37" s="1"/>
  <c r="D75" i="53" s="1"/>
  <c r="E75" i="55"/>
  <c r="C75" i="55"/>
  <c r="A75" i="55"/>
  <c r="A74" i="55"/>
  <c r="A73" i="55"/>
  <c r="A72" i="55"/>
  <c r="A71" i="55"/>
  <c r="A70" i="55"/>
  <c r="A69" i="55"/>
  <c r="A68" i="55"/>
  <c r="A67" i="55"/>
  <c r="A66" i="55"/>
  <c r="A65" i="55"/>
  <c r="A64" i="55"/>
  <c r="A63" i="55"/>
  <c r="A62" i="55"/>
  <c r="A61" i="55"/>
  <c r="A60" i="55"/>
  <c r="A59" i="55"/>
  <c r="A58" i="55"/>
  <c r="A57" i="55"/>
  <c r="A56" i="55"/>
  <c r="A55" i="55"/>
  <c r="A54" i="55"/>
  <c r="A53" i="55"/>
  <c r="A52" i="55"/>
  <c r="A51" i="55"/>
  <c r="A50" i="55"/>
  <c r="A49" i="55"/>
  <c r="A48" i="55"/>
  <c r="A47" i="55"/>
  <c r="A46" i="55"/>
  <c r="A45" i="55"/>
  <c r="A44" i="55"/>
  <c r="A43" i="55"/>
  <c r="A42" i="55"/>
  <c r="A41" i="55"/>
  <c r="A40" i="55"/>
  <c r="A39" i="55"/>
  <c r="A38" i="55"/>
  <c r="A37" i="55"/>
  <c r="A36" i="55"/>
  <c r="A35" i="55"/>
  <c r="A34" i="55"/>
  <c r="A33" i="55"/>
  <c r="A32" i="55"/>
  <c r="A31" i="55"/>
  <c r="A30" i="55"/>
  <c r="A29" i="55"/>
  <c r="A28" i="55"/>
  <c r="A27" i="55"/>
  <c r="A26" i="55"/>
  <c r="A23" i="55"/>
  <c r="A22" i="55"/>
  <c r="A21" i="55"/>
  <c r="A20" i="55"/>
  <c r="A19" i="55"/>
  <c r="A18" i="55"/>
  <c r="A17" i="55"/>
  <c r="A16" i="55"/>
  <c r="A15" i="55"/>
  <c r="A14" i="55"/>
  <c r="A13" i="55"/>
  <c r="A12" i="55"/>
  <c r="A11" i="55"/>
  <c r="A10" i="55"/>
  <c r="A9" i="55"/>
  <c r="A8" i="55"/>
  <c r="A7" i="55"/>
  <c r="A46" i="34"/>
  <c r="K42" i="54"/>
  <c r="K43" i="54" s="1"/>
  <c r="K44" i="54" s="1"/>
  <c r="K45" i="54" s="1"/>
  <c r="K46" i="54" s="1"/>
  <c r="K47" i="54" s="1"/>
  <c r="K48" i="54" s="1"/>
  <c r="K49" i="54" s="1"/>
  <c r="K50" i="54" s="1"/>
  <c r="K51" i="54" s="1"/>
  <c r="K52" i="54" s="1"/>
  <c r="K53" i="54" s="1"/>
  <c r="K54" i="54" s="1"/>
  <c r="K55" i="54" s="1"/>
  <c r="K56" i="54" s="1"/>
  <c r="K57" i="54" s="1"/>
  <c r="K58" i="54" s="1"/>
  <c r="K59" i="54" s="1"/>
  <c r="K60" i="54" s="1"/>
  <c r="K61" i="54" s="1"/>
  <c r="K62" i="54" s="1"/>
  <c r="K63" i="54" s="1"/>
  <c r="J63" i="54"/>
  <c r="A63" i="54"/>
  <c r="J62" i="54"/>
  <c r="A61" i="54"/>
  <c r="J61" i="54"/>
  <c r="A60" i="54"/>
  <c r="J60" i="54"/>
  <c r="A59" i="54"/>
  <c r="J59" i="54"/>
  <c r="A58" i="54"/>
  <c r="J58" i="54"/>
  <c r="A57" i="54"/>
  <c r="J57" i="54"/>
  <c r="A56" i="54"/>
  <c r="J56" i="54"/>
  <c r="A55" i="54"/>
  <c r="J55" i="54"/>
  <c r="A54" i="54"/>
  <c r="J54" i="54"/>
  <c r="A53" i="54"/>
  <c r="J53" i="54"/>
  <c r="A52" i="54"/>
  <c r="J52" i="54"/>
  <c r="A51" i="54"/>
  <c r="J51" i="54"/>
  <c r="A50" i="54"/>
  <c r="J50" i="54"/>
  <c r="A49" i="54"/>
  <c r="J49" i="54"/>
  <c r="A48" i="54"/>
  <c r="J48" i="54"/>
  <c r="A47" i="54"/>
  <c r="J47" i="54"/>
  <c r="A46" i="54"/>
  <c r="J46" i="54"/>
  <c r="A45" i="54"/>
  <c r="J45" i="54"/>
  <c r="A44" i="54"/>
  <c r="J44" i="54"/>
  <c r="A43" i="54"/>
  <c r="J43" i="54"/>
  <c r="A42" i="54"/>
  <c r="A41" i="54"/>
  <c r="J41" i="54"/>
  <c r="A40" i="54"/>
  <c r="A39" i="54"/>
  <c r="J40" i="54"/>
  <c r="A38" i="54"/>
  <c r="A37" i="54"/>
  <c r="J39" i="54"/>
  <c r="A36" i="54"/>
  <c r="J38" i="54"/>
  <c r="A35" i="54"/>
  <c r="J37" i="54"/>
  <c r="A34" i="54"/>
  <c r="J36" i="54"/>
  <c r="A33" i="54"/>
  <c r="J35" i="54"/>
  <c r="A32" i="54"/>
  <c r="J34" i="54"/>
  <c r="A31" i="54"/>
  <c r="J33" i="54"/>
  <c r="A30" i="54"/>
  <c r="J32" i="54"/>
  <c r="A29" i="54"/>
  <c r="J31" i="54"/>
  <c r="A28" i="54"/>
  <c r="J30" i="54"/>
  <c r="A27" i="54"/>
  <c r="J29" i="54"/>
  <c r="A26" i="54"/>
  <c r="J28" i="54"/>
  <c r="A25" i="54"/>
  <c r="J27" i="54"/>
  <c r="A24" i="54"/>
  <c r="A23" i="54"/>
  <c r="A22" i="54"/>
  <c r="A21" i="54"/>
  <c r="J20" i="54"/>
  <c r="A20" i="54"/>
  <c r="J19" i="54"/>
  <c r="A19" i="54"/>
  <c r="J18" i="54"/>
  <c r="A18" i="54"/>
  <c r="J17" i="54"/>
  <c r="A17" i="54"/>
  <c r="J16" i="54"/>
  <c r="A16" i="54"/>
  <c r="J15" i="54"/>
  <c r="A15" i="54"/>
  <c r="J14" i="54"/>
  <c r="A14" i="54"/>
  <c r="J13" i="54"/>
  <c r="A13" i="54"/>
  <c r="J12" i="54"/>
  <c r="A12" i="54"/>
  <c r="J11" i="54"/>
  <c r="A11" i="54"/>
  <c r="J10" i="54"/>
  <c r="A10" i="54"/>
  <c r="J9" i="54"/>
  <c r="A9" i="54"/>
  <c r="J8" i="54"/>
  <c r="A8" i="54"/>
  <c r="J7" i="54"/>
  <c r="A7" i="54"/>
  <c r="A75" i="53"/>
  <c r="A74" i="53"/>
  <c r="A73" i="53"/>
  <c r="A72" i="53"/>
  <c r="A71" i="53"/>
  <c r="A70" i="53"/>
  <c r="A69" i="53"/>
  <c r="A68" i="53"/>
  <c r="A67" i="53"/>
  <c r="A66" i="53"/>
  <c r="A65" i="53"/>
  <c r="A64" i="53"/>
  <c r="A63" i="53"/>
  <c r="A62" i="53"/>
  <c r="A61" i="53"/>
  <c r="A60" i="53"/>
  <c r="A59" i="53"/>
  <c r="A58" i="53"/>
  <c r="A57" i="53"/>
  <c r="A56" i="53"/>
  <c r="A55" i="53"/>
  <c r="A54" i="53"/>
  <c r="A53" i="53"/>
  <c r="A52" i="53"/>
  <c r="A51" i="53"/>
  <c r="A50" i="53"/>
  <c r="A49" i="53"/>
  <c r="A48" i="53"/>
  <c r="A47" i="53"/>
  <c r="A46" i="53"/>
  <c r="A45" i="53"/>
  <c r="A44" i="53"/>
  <c r="A43" i="53"/>
  <c r="A42" i="53"/>
  <c r="A41" i="53"/>
  <c r="A40" i="53"/>
  <c r="A39" i="53"/>
  <c r="A38" i="53"/>
  <c r="A37" i="53"/>
  <c r="A36" i="53"/>
  <c r="A35" i="53"/>
  <c r="A34" i="53"/>
  <c r="A33" i="53"/>
  <c r="A32" i="53"/>
  <c r="A31" i="53"/>
  <c r="A30" i="53"/>
  <c r="A29" i="53"/>
  <c r="A28" i="53"/>
  <c r="A27" i="53"/>
  <c r="A26" i="53"/>
  <c r="A23" i="53"/>
  <c r="A22" i="53"/>
  <c r="A21" i="53"/>
  <c r="A20" i="53"/>
  <c r="A19" i="53"/>
  <c r="A18" i="53"/>
  <c r="A17" i="53"/>
  <c r="A16" i="53"/>
  <c r="A15" i="53"/>
  <c r="A14" i="53"/>
  <c r="A13" i="53"/>
  <c r="A12" i="53"/>
  <c r="A11" i="53"/>
  <c r="A10" i="53"/>
  <c r="A9" i="53"/>
  <c r="A8" i="53"/>
  <c r="A7" i="53"/>
  <c r="J45" i="52"/>
  <c r="J46" i="52"/>
  <c r="J47" i="52"/>
  <c r="J48" i="52" s="1"/>
  <c r="J49" i="52" s="1"/>
  <c r="J50" i="52" s="1"/>
  <c r="J51" i="52" s="1"/>
  <c r="J52" i="52" s="1"/>
  <c r="J53" i="52" s="1"/>
  <c r="J54" i="52" s="1"/>
  <c r="J55" i="52" s="1"/>
  <c r="J56" i="52" s="1"/>
  <c r="J57" i="52" s="1"/>
  <c r="J58" i="52" s="1"/>
  <c r="J59" i="52" s="1"/>
  <c r="J60" i="52" s="1"/>
  <c r="J61" i="52" s="1"/>
  <c r="J62" i="52" s="1"/>
  <c r="J63" i="52" s="1"/>
  <c r="I63" i="52"/>
  <c r="A63" i="52"/>
  <c r="I62" i="52"/>
  <c r="A61" i="52"/>
  <c r="I61" i="52"/>
  <c r="A60" i="52"/>
  <c r="I60" i="52"/>
  <c r="A59" i="52"/>
  <c r="I59" i="52"/>
  <c r="A58" i="52"/>
  <c r="I58" i="52"/>
  <c r="A57" i="52"/>
  <c r="I57" i="52"/>
  <c r="A56" i="52"/>
  <c r="I56" i="52"/>
  <c r="A55" i="52"/>
  <c r="I55" i="52"/>
  <c r="A54" i="52"/>
  <c r="I54" i="52"/>
  <c r="A53" i="52"/>
  <c r="I53" i="52"/>
  <c r="A52" i="52"/>
  <c r="I52" i="52"/>
  <c r="A51" i="52"/>
  <c r="I51" i="52"/>
  <c r="A50" i="52"/>
  <c r="I50" i="52"/>
  <c r="A49" i="52"/>
  <c r="I49" i="52"/>
  <c r="A48" i="52"/>
  <c r="I48" i="52"/>
  <c r="A47" i="52"/>
  <c r="I47" i="52"/>
  <c r="A46" i="52"/>
  <c r="I46" i="52"/>
  <c r="A45" i="52"/>
  <c r="I45" i="52"/>
  <c r="A44" i="52"/>
  <c r="I44" i="52"/>
  <c r="A43" i="52"/>
  <c r="I43" i="52"/>
  <c r="A42" i="52"/>
  <c r="A41" i="52"/>
  <c r="I41" i="52"/>
  <c r="A40" i="52"/>
  <c r="A39" i="52"/>
  <c r="I40" i="52"/>
  <c r="A38" i="52"/>
  <c r="A37" i="52"/>
  <c r="I39" i="52"/>
  <c r="A36" i="52"/>
  <c r="I38" i="52"/>
  <c r="A35" i="52"/>
  <c r="I37" i="52"/>
  <c r="A34" i="52"/>
  <c r="I36" i="52"/>
  <c r="A33" i="52"/>
  <c r="I35" i="52"/>
  <c r="A32" i="52"/>
  <c r="I34" i="52"/>
  <c r="A31" i="52"/>
  <c r="I33" i="52"/>
  <c r="A30" i="52"/>
  <c r="I32" i="52"/>
  <c r="A29" i="52"/>
  <c r="I31" i="52"/>
  <c r="A28" i="52"/>
  <c r="I30" i="52"/>
  <c r="A27" i="52"/>
  <c r="I29" i="52"/>
  <c r="A26" i="52"/>
  <c r="I28" i="52"/>
  <c r="A25" i="52"/>
  <c r="I27" i="52"/>
  <c r="A24" i="52"/>
  <c r="A23" i="52"/>
  <c r="A22" i="52"/>
  <c r="A21" i="52"/>
  <c r="I20" i="52"/>
  <c r="A20" i="52"/>
  <c r="I19" i="52"/>
  <c r="A19" i="52"/>
  <c r="I18" i="52"/>
  <c r="A18" i="52"/>
  <c r="I17" i="52"/>
  <c r="A17" i="52"/>
  <c r="I16" i="52"/>
  <c r="A16" i="52"/>
  <c r="I15" i="52"/>
  <c r="A15" i="52"/>
  <c r="I14" i="52"/>
  <c r="A14" i="52"/>
  <c r="I13" i="52"/>
  <c r="A13" i="52"/>
  <c r="I12" i="52"/>
  <c r="A12" i="52"/>
  <c r="I11" i="52"/>
  <c r="A11" i="52"/>
  <c r="I10" i="52"/>
  <c r="A10" i="52"/>
  <c r="I9" i="52"/>
  <c r="A9" i="52"/>
  <c r="I8" i="52"/>
  <c r="A8" i="52"/>
  <c r="I7" i="52"/>
  <c r="A7" i="52"/>
  <c r="I4" i="52"/>
  <c r="C75" i="51"/>
  <c r="E75" i="51"/>
  <c r="F75" i="51"/>
  <c r="E11" i="51"/>
  <c r="F11" i="51"/>
  <c r="F10" i="51"/>
  <c r="F9" i="51"/>
  <c r="F8" i="51"/>
  <c r="F7" i="51"/>
  <c r="J59" i="50"/>
  <c r="K43" i="50"/>
  <c r="K44" i="50" s="1"/>
  <c r="K45" i="50" s="1"/>
  <c r="K46" i="50" s="1"/>
  <c r="K47" i="50" s="1"/>
  <c r="K48" i="50" s="1"/>
  <c r="K49" i="50" s="1"/>
  <c r="K50" i="50" s="1"/>
  <c r="K51" i="50" s="1"/>
  <c r="K52" i="50" s="1"/>
  <c r="K53" i="50" s="1"/>
  <c r="K54" i="50" s="1"/>
  <c r="K55" i="50" s="1"/>
  <c r="K56" i="50" s="1"/>
  <c r="K57" i="50" s="1"/>
  <c r="K58" i="50" s="1"/>
  <c r="K59" i="50" s="1"/>
  <c r="K60" i="50" s="1"/>
  <c r="K61" i="50" s="1"/>
  <c r="K62" i="50" s="1"/>
  <c r="J35" i="50"/>
  <c r="J36" i="50"/>
  <c r="E39" i="50"/>
  <c r="E41" i="50"/>
  <c r="E48" i="50" s="1"/>
  <c r="E28" i="50"/>
  <c r="A57" i="50"/>
  <c r="A58" i="50"/>
  <c r="A46" i="50"/>
  <c r="A47" i="50"/>
  <c r="A33" i="50"/>
  <c r="A34" i="50"/>
  <c r="A26" i="50"/>
  <c r="A27" i="50"/>
  <c r="J44" i="48"/>
  <c r="J45" i="48"/>
  <c r="J46" i="48" s="1"/>
  <c r="J47" i="48" s="1"/>
  <c r="J48" i="48" s="1"/>
  <c r="J49" i="48" s="1"/>
  <c r="J50" i="48" s="1"/>
  <c r="J51" i="48" s="1"/>
  <c r="J52" i="48" s="1"/>
  <c r="J53" i="48" s="1"/>
  <c r="J54" i="48" s="1"/>
  <c r="J55" i="48" s="1"/>
  <c r="J56" i="48" s="1"/>
  <c r="J57" i="48" s="1"/>
  <c r="J58" i="48" s="1"/>
  <c r="J59" i="48" s="1"/>
  <c r="J60" i="48" s="1"/>
  <c r="J61" i="48" s="1"/>
  <c r="J62" i="48" s="1"/>
  <c r="I59" i="48"/>
  <c r="I35" i="48"/>
  <c r="I36" i="48"/>
  <c r="A57" i="48"/>
  <c r="A58" i="48"/>
  <c r="A46" i="48"/>
  <c r="A47" i="48"/>
  <c r="A33" i="48"/>
  <c r="A34" i="48"/>
  <c r="A26" i="48"/>
  <c r="A27" i="48"/>
  <c r="A121" i="36"/>
  <c r="A104" i="36"/>
  <c r="A97" i="36"/>
  <c r="A98" i="36"/>
  <c r="A56" i="36"/>
  <c r="A57" i="36"/>
  <c r="A45" i="36"/>
  <c r="A46" i="36"/>
  <c r="A32" i="36"/>
  <c r="A33" i="36"/>
  <c r="A25" i="36"/>
  <c r="A26" i="36"/>
  <c r="B57" i="35"/>
  <c r="B67" i="35" s="1"/>
  <c r="B73" i="35" s="1"/>
  <c r="B36" i="34"/>
  <c r="B39" i="34" s="1"/>
  <c r="B62" i="34" s="1"/>
  <c r="B26" i="34"/>
  <c r="F62" i="4"/>
  <c r="G62" i="4"/>
  <c r="L41" i="46"/>
  <c r="G41" i="46"/>
  <c r="E41" i="4"/>
  <c r="B40" i="33"/>
  <c r="B47" i="33" s="1"/>
  <c r="B62" i="33" s="1"/>
  <c r="B27" i="33"/>
  <c r="E58" i="4"/>
  <c r="E35" i="4"/>
  <c r="E34" i="4"/>
  <c r="E22" i="4"/>
  <c r="E21" i="4"/>
  <c r="A57" i="4"/>
  <c r="A56" i="4"/>
  <c r="A46" i="4"/>
  <c r="A45" i="4"/>
  <c r="L28" i="46"/>
  <c r="K28" i="46" s="1"/>
  <c r="L29" i="46"/>
  <c r="K29" i="46"/>
  <c r="L30" i="46"/>
  <c r="K30" i="46" s="1"/>
  <c r="L31" i="46"/>
  <c r="K31" i="46"/>
  <c r="L32" i="46"/>
  <c r="K32" i="46" s="1"/>
  <c r="L33" i="46"/>
  <c r="K33" i="46"/>
  <c r="L34" i="46"/>
  <c r="K34" i="46" s="1"/>
  <c r="L35" i="46"/>
  <c r="K35" i="46"/>
  <c r="L38" i="46"/>
  <c r="K38" i="46" s="1"/>
  <c r="L40" i="46"/>
  <c r="K40" i="46" s="1"/>
  <c r="F7" i="46"/>
  <c r="E7" i="46" s="1"/>
  <c r="F8" i="46"/>
  <c r="E8" i="46"/>
  <c r="F9" i="46"/>
  <c r="E9" i="46" s="1"/>
  <c r="F10" i="46"/>
  <c r="E10" i="46"/>
  <c r="F11" i="46"/>
  <c r="E11" i="46" s="1"/>
  <c r="F12" i="46"/>
  <c r="E12" i="46"/>
  <c r="F13" i="46"/>
  <c r="E13" i="46" s="1"/>
  <c r="F14" i="46"/>
  <c r="E14" i="46"/>
  <c r="F15" i="46"/>
  <c r="E15" i="46" s="1"/>
  <c r="F16" i="46"/>
  <c r="E16" i="46"/>
  <c r="F17" i="46"/>
  <c r="E17" i="46" s="1"/>
  <c r="F18" i="46"/>
  <c r="E18" i="46"/>
  <c r="F19" i="46"/>
  <c r="E19" i="46" s="1"/>
  <c r="F20" i="46"/>
  <c r="E20" i="46"/>
  <c r="F21" i="46"/>
  <c r="E21" i="46" s="1"/>
  <c r="F22" i="46"/>
  <c r="E22" i="46"/>
  <c r="F23" i="46"/>
  <c r="E23" i="46" s="1"/>
  <c r="F24" i="46"/>
  <c r="E24" i="46"/>
  <c r="F25" i="46"/>
  <c r="E25" i="46" s="1"/>
  <c r="F26" i="46"/>
  <c r="E26" i="46"/>
  <c r="F29" i="46"/>
  <c r="E29" i="46" s="1"/>
  <c r="E34" i="46" s="1"/>
  <c r="F30" i="46"/>
  <c r="E30" i="46" s="1"/>
  <c r="F31" i="46"/>
  <c r="E31" i="46" s="1"/>
  <c r="F32" i="46"/>
  <c r="E32" i="46" s="1"/>
  <c r="F33" i="46"/>
  <c r="E33" i="46" s="1"/>
  <c r="F40" i="46"/>
  <c r="E40" i="46" s="1"/>
  <c r="F41" i="46"/>
  <c r="E41" i="46"/>
  <c r="F42" i="46"/>
  <c r="E42" i="46" s="1"/>
  <c r="F43" i="46"/>
  <c r="E43" i="46"/>
  <c r="F44" i="46"/>
  <c r="E44" i="46" s="1"/>
  <c r="F45" i="46"/>
  <c r="E45" i="46"/>
  <c r="F46" i="46"/>
  <c r="E46" i="46" s="1"/>
  <c r="F49" i="46"/>
  <c r="E49" i="46" s="1"/>
  <c r="F50" i="46"/>
  <c r="E50" i="46" s="1"/>
  <c r="E58" i="46" s="1"/>
  <c r="F51" i="46"/>
  <c r="E51" i="46" s="1"/>
  <c r="F52" i="46"/>
  <c r="E52" i="46" s="1"/>
  <c r="F53" i="46"/>
  <c r="E53" i="46" s="1"/>
  <c r="F54" i="46"/>
  <c r="E54" i="46" s="1"/>
  <c r="F55" i="46"/>
  <c r="E55" i="46" s="1"/>
  <c r="F56" i="46"/>
  <c r="E56" i="46" s="1"/>
  <c r="F57" i="46"/>
  <c r="E57" i="46" s="1"/>
  <c r="F60" i="46"/>
  <c r="E60" i="46"/>
  <c r="L50" i="46"/>
  <c r="K50" i="46" s="1"/>
  <c r="L53" i="46"/>
  <c r="K53" i="46" s="1"/>
  <c r="L56" i="46"/>
  <c r="K56" i="46" s="1"/>
  <c r="K41" i="46"/>
  <c r="K42" i="46"/>
  <c r="L44" i="46"/>
  <c r="K44" i="46" s="1"/>
  <c r="L45" i="46"/>
  <c r="K45" i="46" s="1"/>
  <c r="L46" i="46"/>
  <c r="K46" i="46" s="1"/>
  <c r="L47" i="46"/>
  <c r="K47" i="46"/>
  <c r="L48" i="46"/>
  <c r="K48" i="46" s="1"/>
  <c r="L49" i="46"/>
  <c r="K49" i="46" s="1"/>
  <c r="K27" i="46"/>
  <c r="K37" i="46"/>
  <c r="F27" i="46"/>
  <c r="E61" i="46"/>
  <c r="E59" i="46"/>
  <c r="F37" i="46"/>
  <c r="E37" i="46" s="1"/>
  <c r="F38" i="46"/>
  <c r="E38" i="46" s="1"/>
  <c r="F39" i="46"/>
  <c r="E39" i="46"/>
  <c r="E48" i="46"/>
  <c r="F28" i="46"/>
  <c r="E28" i="46"/>
  <c r="E35" i="46"/>
  <c r="F36" i="46"/>
  <c r="E36" i="46" s="1"/>
  <c r="F47" i="6"/>
  <c r="C33" i="6"/>
  <c r="C39" i="6"/>
  <c r="C44" i="6"/>
  <c r="C45" i="6"/>
  <c r="A75" i="5"/>
  <c r="C3" i="5"/>
  <c r="F62" i="46"/>
  <c r="A4" i="46"/>
  <c r="J4" i="46"/>
  <c r="D4" i="46"/>
  <c r="A34" i="4"/>
  <c r="A33" i="4"/>
  <c r="A29" i="4"/>
  <c r="A30" i="4"/>
  <c r="A31" i="4"/>
  <c r="A32" i="4"/>
  <c r="A28" i="4"/>
  <c r="A27" i="4"/>
  <c r="A26" i="4"/>
  <c r="A25" i="4"/>
  <c r="A24" i="4"/>
  <c r="A23" i="4"/>
  <c r="A22" i="4"/>
  <c r="A21" i="4"/>
  <c r="A20" i="4"/>
  <c r="A19" i="4"/>
  <c r="A18" i="4"/>
  <c r="A17" i="4"/>
  <c r="A16" i="4"/>
  <c r="A15" i="4"/>
  <c r="A14" i="4"/>
  <c r="A13" i="4"/>
  <c r="A12" i="4"/>
  <c r="A11" i="4"/>
  <c r="A10" i="4"/>
  <c r="A9" i="4"/>
  <c r="A8" i="4"/>
  <c r="A7" i="4"/>
  <c r="A6" i="4"/>
  <c r="A35" i="4"/>
  <c r="A36" i="4"/>
  <c r="A37" i="4"/>
  <c r="A38" i="4"/>
  <c r="A39" i="4"/>
  <c r="A40" i="4"/>
  <c r="A41" i="4"/>
  <c r="A42" i="4"/>
  <c r="A43" i="4"/>
  <c r="A44" i="4"/>
  <c r="A47" i="4"/>
  <c r="A48" i="4"/>
  <c r="A49" i="4"/>
  <c r="A50" i="4"/>
  <c r="A51" i="4"/>
  <c r="A52" i="4"/>
  <c r="A53" i="4"/>
  <c r="A54" i="4"/>
  <c r="A55" i="4"/>
  <c r="A58" i="4"/>
  <c r="A59" i="4"/>
  <c r="A60" i="4"/>
  <c r="A62" i="4"/>
  <c r="H42" i="46"/>
  <c r="H43" i="46"/>
  <c r="H44" i="46" s="1"/>
  <c r="H45" i="46" s="1"/>
  <c r="H46" i="46" s="1"/>
  <c r="H47" i="46" s="1"/>
  <c r="H48" i="46" s="1"/>
  <c r="H49" i="46" s="1"/>
  <c r="H50" i="46" s="1"/>
  <c r="H51" i="46" s="1"/>
  <c r="H52" i="46" s="1"/>
  <c r="H53" i="46" s="1"/>
  <c r="H54" i="46" s="1"/>
  <c r="H55" i="46" s="1"/>
  <c r="H56" i="46" s="1"/>
  <c r="H57" i="46" s="1"/>
  <c r="H58" i="46" s="1"/>
  <c r="H59" i="46" s="1"/>
  <c r="H60" i="46" s="1"/>
  <c r="H61" i="46" s="1"/>
  <c r="G58" i="46"/>
  <c r="L36" i="46"/>
  <c r="G34" i="46"/>
  <c r="G35" i="46"/>
  <c r="G21" i="46"/>
  <c r="G22" i="46"/>
  <c r="F58" i="46"/>
  <c r="A56" i="46"/>
  <c r="A57" i="46"/>
  <c r="F47" i="46"/>
  <c r="A45" i="46"/>
  <c r="A46" i="46"/>
  <c r="F34" i="46"/>
  <c r="A32" i="46"/>
  <c r="A33" i="46"/>
  <c r="A25" i="46"/>
  <c r="A26" i="46"/>
  <c r="D75" i="49"/>
  <c r="D11" i="49"/>
  <c r="D12" i="49"/>
  <c r="E12" i="51" s="1"/>
  <c r="F12" i="51" s="1"/>
  <c r="D14" i="49"/>
  <c r="E14" i="51" s="1"/>
  <c r="F14" i="51" s="1"/>
  <c r="D15" i="49"/>
  <c r="E15" i="51" s="1"/>
  <c r="F15" i="51" s="1"/>
  <c r="D16" i="49"/>
  <c r="E16" i="51" s="1"/>
  <c r="F16" i="51" s="1"/>
  <c r="D17" i="49"/>
  <c r="E17" i="51" s="1"/>
  <c r="F17" i="51" s="1"/>
  <c r="D18" i="49"/>
  <c r="E18" i="51" s="1"/>
  <c r="F18" i="51" s="1"/>
  <c r="D19" i="49"/>
  <c r="E19" i="51" s="1"/>
  <c r="F19" i="51" s="1"/>
  <c r="D21" i="49"/>
  <c r="E21" i="51" s="1"/>
  <c r="F21" i="51" s="1"/>
  <c r="D22" i="49"/>
  <c r="E22" i="51" s="1"/>
  <c r="F22" i="51" s="1"/>
  <c r="D23" i="49"/>
  <c r="E23" i="51" s="1"/>
  <c r="F23" i="51" s="1"/>
  <c r="D26" i="49"/>
  <c r="E26" i="51" s="1"/>
  <c r="F26" i="51" s="1"/>
  <c r="D30" i="49"/>
  <c r="E30" i="51" s="1"/>
  <c r="F30" i="51" s="1"/>
  <c r="D32" i="49"/>
  <c r="E32" i="51" s="1"/>
  <c r="F32" i="51" s="1"/>
  <c r="D33" i="49"/>
  <c r="E33" i="51" s="1"/>
  <c r="F33" i="51" s="1"/>
  <c r="D34" i="49"/>
  <c r="E34" i="51" s="1"/>
  <c r="F34" i="51" s="1"/>
  <c r="D36" i="49"/>
  <c r="E36" i="51" s="1"/>
  <c r="F36" i="51" s="1"/>
  <c r="D41" i="49"/>
  <c r="E41" i="51" s="1"/>
  <c r="F41" i="51" s="1"/>
  <c r="D43" i="49"/>
  <c r="E43" i="51" s="1"/>
  <c r="F43" i="51" s="1"/>
  <c r="D48" i="49"/>
  <c r="E48" i="51" s="1"/>
  <c r="F48" i="51" s="1"/>
  <c r="D51" i="49"/>
  <c r="E51" i="51" s="1"/>
  <c r="F51" i="51" s="1"/>
  <c r="D52" i="49"/>
  <c r="E52" i="51" s="1"/>
  <c r="F52" i="51" s="1"/>
  <c r="D53" i="49"/>
  <c r="E53" i="51" s="1"/>
  <c r="F53" i="51" s="1"/>
  <c r="D55" i="49"/>
  <c r="E55" i="51" s="1"/>
  <c r="F55" i="51" s="1"/>
  <c r="D56" i="49"/>
  <c r="E56" i="51" s="1"/>
  <c r="F56" i="51" s="1"/>
  <c r="D57" i="49"/>
  <c r="E57" i="51" s="1"/>
  <c r="F57" i="51" s="1"/>
  <c r="D59" i="49"/>
  <c r="E59" i="51" s="1"/>
  <c r="F59" i="51" s="1"/>
  <c r="D60" i="49"/>
  <c r="E60" i="51" s="1"/>
  <c r="F60" i="51" s="1"/>
  <c r="D61" i="49"/>
  <c r="E61" i="51" s="1"/>
  <c r="F61" i="51" s="1"/>
  <c r="D62" i="49"/>
  <c r="E62" i="51" s="1"/>
  <c r="F62" i="51" s="1"/>
  <c r="D63" i="49"/>
  <c r="E63" i="51" s="1"/>
  <c r="F63" i="51" s="1"/>
  <c r="D64" i="49"/>
  <c r="E64" i="51" s="1"/>
  <c r="F64" i="51" s="1"/>
  <c r="D65" i="49"/>
  <c r="E65" i="51" s="1"/>
  <c r="F65" i="51" s="1"/>
  <c r="D66" i="49"/>
  <c r="E66" i="51" s="1"/>
  <c r="F66" i="51" s="1"/>
  <c r="D67" i="49"/>
  <c r="E67" i="51" s="1"/>
  <c r="F67" i="51" s="1"/>
  <c r="D69" i="49"/>
  <c r="E69" i="51" s="1"/>
  <c r="F69" i="51" s="1"/>
  <c r="D70" i="49"/>
  <c r="E70" i="51" s="1"/>
  <c r="F70" i="51" s="1"/>
  <c r="D71" i="49"/>
  <c r="E71" i="51" s="1"/>
  <c r="F71" i="51" s="1"/>
  <c r="D72" i="49"/>
  <c r="E72" i="51" s="1"/>
  <c r="F72" i="51" s="1"/>
  <c r="D73" i="49"/>
  <c r="E73" i="51" s="1"/>
  <c r="F73" i="51" s="1"/>
  <c r="D49" i="49"/>
  <c r="E49" i="51" s="1"/>
  <c r="F49" i="51" s="1"/>
  <c r="D47" i="49"/>
  <c r="D46" i="49"/>
  <c r="E46" i="51" s="1"/>
  <c r="F46" i="51" s="1"/>
  <c r="D45" i="49"/>
  <c r="D44" i="49"/>
  <c r="E44" i="51" s="1"/>
  <c r="F44" i="51" s="1"/>
  <c r="D42" i="49"/>
  <c r="E42" i="51" s="1"/>
  <c r="F42" i="51" s="1"/>
  <c r="D40" i="49"/>
  <c r="D39" i="49"/>
  <c r="E39" i="51" s="1"/>
  <c r="F39" i="51" s="1"/>
  <c r="D38" i="49"/>
  <c r="D37" i="49"/>
  <c r="E37" i="51" s="1"/>
  <c r="F37" i="51" s="1"/>
  <c r="D35" i="49"/>
  <c r="E35" i="51" s="1"/>
  <c r="F35" i="51" s="1"/>
  <c r="D29" i="49"/>
  <c r="D28" i="49"/>
  <c r="E28" i="51" s="1"/>
  <c r="F28" i="51" s="1"/>
  <c r="D27" i="49"/>
  <c r="D13" i="49"/>
  <c r="E13" i="51" s="1"/>
  <c r="F13" i="51" s="1"/>
  <c r="F4" i="56"/>
  <c r="C4" i="56"/>
  <c r="F2" i="56"/>
  <c r="C3" i="56"/>
  <c r="C2" i="56"/>
  <c r="A3" i="56"/>
  <c r="A2" i="56"/>
  <c r="H7" i="56"/>
  <c r="H8" i="56"/>
  <c r="H9" i="56"/>
  <c r="H11" i="56"/>
  <c r="H12" i="56"/>
  <c r="H13" i="56"/>
  <c r="H14" i="56"/>
  <c r="J19" i="56"/>
  <c r="H30" i="56"/>
  <c r="H42" i="56"/>
  <c r="H44" i="56"/>
  <c r="H45" i="56"/>
  <c r="A3" i="49"/>
  <c r="A3" i="51"/>
  <c r="A3" i="53"/>
  <c r="A3" i="55"/>
  <c r="A2" i="52"/>
  <c r="D2" i="52"/>
  <c r="F2" i="52"/>
  <c r="I2" i="52"/>
  <c r="L2" i="52"/>
  <c r="N2" i="52"/>
  <c r="A3" i="52"/>
  <c r="D3" i="52"/>
  <c r="I3" i="52"/>
  <c r="L3" i="52"/>
  <c r="A2" i="53"/>
  <c r="B2" i="53"/>
  <c r="E2" i="53"/>
  <c r="B3" i="53"/>
  <c r="A2" i="54"/>
  <c r="E2" i="54"/>
  <c r="G2" i="54"/>
  <c r="J2" i="54"/>
  <c r="N2" i="54"/>
  <c r="P2" i="54"/>
  <c r="A3" i="54"/>
  <c r="E3" i="54"/>
  <c r="J3" i="54"/>
  <c r="N3" i="54"/>
  <c r="J4" i="54"/>
  <c r="A2" i="55"/>
  <c r="B2" i="55"/>
  <c r="F2" i="55"/>
  <c r="B3" i="55"/>
  <c r="A2" i="51"/>
  <c r="B2" i="51"/>
  <c r="F2" i="51"/>
  <c r="B3" i="51"/>
  <c r="A7" i="51"/>
  <c r="A8" i="51"/>
  <c r="A9" i="51"/>
  <c r="A10" i="51"/>
  <c r="A11" i="51"/>
  <c r="A12" i="51"/>
  <c r="A13" i="51"/>
  <c r="A14" i="51"/>
  <c r="A15" i="51"/>
  <c r="A16" i="51"/>
  <c r="A17" i="51"/>
  <c r="A18" i="51"/>
  <c r="A19" i="51"/>
  <c r="A20" i="51"/>
  <c r="A21" i="51"/>
  <c r="A22" i="51"/>
  <c r="A23" i="51"/>
  <c r="A26" i="51"/>
  <c r="A27" i="51"/>
  <c r="A28" i="51"/>
  <c r="A29" i="51"/>
  <c r="A30" i="51"/>
  <c r="A31" i="51"/>
  <c r="A32" i="51"/>
  <c r="A33" i="51"/>
  <c r="A34" i="51"/>
  <c r="A35" i="51"/>
  <c r="A36" i="51"/>
  <c r="A37" i="51"/>
  <c r="A38" i="51"/>
  <c r="A39" i="51"/>
  <c r="A40" i="51"/>
  <c r="A41" i="51"/>
  <c r="A42" i="51"/>
  <c r="A43" i="51"/>
  <c r="A44" i="51"/>
  <c r="A45" i="51"/>
  <c r="A46" i="51"/>
  <c r="A47" i="51"/>
  <c r="A48" i="51"/>
  <c r="A49" i="51"/>
  <c r="A50" i="51"/>
  <c r="A51" i="51"/>
  <c r="A52" i="51"/>
  <c r="A53" i="51"/>
  <c r="A54" i="51"/>
  <c r="A55" i="51"/>
  <c r="A56" i="51"/>
  <c r="A57" i="51"/>
  <c r="A58" i="51"/>
  <c r="A59" i="51"/>
  <c r="A60" i="51"/>
  <c r="A61" i="51"/>
  <c r="A62" i="51"/>
  <c r="A63" i="51"/>
  <c r="A64" i="51"/>
  <c r="A65" i="51"/>
  <c r="A66" i="51"/>
  <c r="A67" i="51"/>
  <c r="A68" i="51"/>
  <c r="A69" i="51"/>
  <c r="A70" i="51"/>
  <c r="A71" i="51"/>
  <c r="A72" i="51"/>
  <c r="A73" i="51"/>
  <c r="A74" i="51"/>
  <c r="A75" i="51"/>
  <c r="A2" i="50"/>
  <c r="E2" i="50"/>
  <c r="G2" i="50"/>
  <c r="J2" i="50"/>
  <c r="N2" i="50"/>
  <c r="P2" i="50"/>
  <c r="A3" i="50"/>
  <c r="E3" i="50"/>
  <c r="J3" i="50"/>
  <c r="N3" i="50"/>
  <c r="J4" i="50"/>
  <c r="A7" i="50"/>
  <c r="J7" i="50"/>
  <c r="A8" i="50"/>
  <c r="J8" i="50"/>
  <c r="A9" i="50"/>
  <c r="J9" i="50"/>
  <c r="A10" i="50"/>
  <c r="J10" i="50"/>
  <c r="A11" i="50"/>
  <c r="J11" i="50"/>
  <c r="A12" i="50"/>
  <c r="J12" i="50"/>
  <c r="A13" i="50"/>
  <c r="J13" i="50"/>
  <c r="A14" i="50"/>
  <c r="J14" i="50"/>
  <c r="A15" i="50"/>
  <c r="J15" i="50"/>
  <c r="A16" i="50"/>
  <c r="J16" i="50"/>
  <c r="A17" i="50"/>
  <c r="J17" i="50"/>
  <c r="A18" i="50"/>
  <c r="J18" i="50"/>
  <c r="A19" i="50"/>
  <c r="J19" i="50"/>
  <c r="A20" i="50"/>
  <c r="J20" i="50"/>
  <c r="A21" i="50"/>
  <c r="A22" i="50"/>
  <c r="J27" i="50"/>
  <c r="A23" i="50"/>
  <c r="J28" i="50"/>
  <c r="A24" i="50"/>
  <c r="J29" i="50"/>
  <c r="A25" i="50"/>
  <c r="J30" i="50"/>
  <c r="A28" i="50"/>
  <c r="J31" i="50"/>
  <c r="J32" i="50"/>
  <c r="A29" i="50"/>
  <c r="J33" i="50"/>
  <c r="A30" i="50"/>
  <c r="J34" i="50"/>
  <c r="A31" i="50"/>
  <c r="J37" i="50"/>
  <c r="A32" i="50"/>
  <c r="A35" i="50"/>
  <c r="J38" i="50"/>
  <c r="J39" i="50"/>
  <c r="A36" i="50"/>
  <c r="A37" i="50"/>
  <c r="J40" i="50"/>
  <c r="A38" i="50"/>
  <c r="A39" i="50"/>
  <c r="J41" i="50"/>
  <c r="A40" i="50"/>
  <c r="A41" i="50"/>
  <c r="J43" i="50"/>
  <c r="A42" i="50"/>
  <c r="J44" i="50"/>
  <c r="A43" i="50"/>
  <c r="J45" i="50"/>
  <c r="A44" i="50"/>
  <c r="J46" i="50"/>
  <c r="A45" i="50"/>
  <c r="J47" i="50"/>
  <c r="A48" i="50"/>
  <c r="J48" i="50"/>
  <c r="A49" i="50"/>
  <c r="J49" i="50"/>
  <c r="A50" i="50"/>
  <c r="J50" i="50"/>
  <c r="A51" i="50"/>
  <c r="J51" i="50"/>
  <c r="A52" i="50"/>
  <c r="J52" i="50"/>
  <c r="A53" i="50"/>
  <c r="J53" i="50"/>
  <c r="A54" i="50"/>
  <c r="J54" i="50"/>
  <c r="A55" i="50"/>
  <c r="J55" i="50"/>
  <c r="A56" i="50"/>
  <c r="J56" i="50"/>
  <c r="A59" i="50"/>
  <c r="J57" i="50"/>
  <c r="J58" i="50"/>
  <c r="A60" i="50"/>
  <c r="J60" i="50"/>
  <c r="A61" i="50"/>
  <c r="J61" i="50"/>
  <c r="J62" i="50"/>
  <c r="A63" i="50"/>
  <c r="J63" i="50"/>
  <c r="K63" i="50"/>
  <c r="N2" i="48"/>
  <c r="L3" i="48"/>
  <c r="L2" i="48"/>
  <c r="I3" i="48"/>
  <c r="I2" i="48"/>
  <c r="E2" i="49"/>
  <c r="B3" i="49"/>
  <c r="B2" i="49"/>
  <c r="A2" i="49"/>
  <c r="D3" i="48"/>
  <c r="A3" i="48"/>
  <c r="F2" i="48"/>
  <c r="D2" i="48"/>
  <c r="A2" i="48"/>
  <c r="A7" i="49"/>
  <c r="A8" i="49"/>
  <c r="A9" i="49"/>
  <c r="A10" i="49"/>
  <c r="A11" i="49"/>
  <c r="A12" i="49"/>
  <c r="A13" i="49"/>
  <c r="A14" i="49"/>
  <c r="A15" i="49"/>
  <c r="A16" i="49"/>
  <c r="A17" i="49"/>
  <c r="A18" i="49"/>
  <c r="A19" i="49"/>
  <c r="A20" i="49"/>
  <c r="A21" i="49"/>
  <c r="A22" i="49"/>
  <c r="A23" i="49"/>
  <c r="A26" i="49"/>
  <c r="A27" i="49"/>
  <c r="A28" i="49"/>
  <c r="A29" i="49"/>
  <c r="A30" i="49"/>
  <c r="A31" i="49"/>
  <c r="A32" i="49"/>
  <c r="A33" i="49"/>
  <c r="A34" i="49"/>
  <c r="A35" i="49"/>
  <c r="A36" i="49"/>
  <c r="A37" i="49"/>
  <c r="A38" i="49"/>
  <c r="A39" i="49"/>
  <c r="A40" i="49"/>
  <c r="A41" i="49"/>
  <c r="A42" i="49"/>
  <c r="A43" i="49"/>
  <c r="A44" i="49"/>
  <c r="A45" i="49"/>
  <c r="A46" i="49"/>
  <c r="A47" i="49"/>
  <c r="A48" i="49"/>
  <c r="A49" i="49"/>
  <c r="A50" i="49"/>
  <c r="A51" i="49"/>
  <c r="A52" i="49"/>
  <c r="A53" i="49"/>
  <c r="A54" i="49"/>
  <c r="A55" i="49"/>
  <c r="A56" i="49"/>
  <c r="A57" i="49"/>
  <c r="A58" i="49"/>
  <c r="A59" i="49"/>
  <c r="A60" i="49"/>
  <c r="A61" i="49"/>
  <c r="A62" i="49"/>
  <c r="A63" i="49"/>
  <c r="A64" i="49"/>
  <c r="A65" i="49"/>
  <c r="A66" i="49"/>
  <c r="A67" i="49"/>
  <c r="A68" i="49"/>
  <c r="A69" i="49"/>
  <c r="A70" i="49"/>
  <c r="A71" i="49"/>
  <c r="A72" i="49"/>
  <c r="A73" i="49"/>
  <c r="A74" i="49"/>
  <c r="A75" i="49"/>
  <c r="I4" i="48"/>
  <c r="A7" i="48"/>
  <c r="I7" i="48"/>
  <c r="A8" i="48"/>
  <c r="I8" i="48"/>
  <c r="A9" i="48"/>
  <c r="I9" i="48"/>
  <c r="A10" i="48"/>
  <c r="I10" i="48"/>
  <c r="A11" i="48"/>
  <c r="I11" i="48"/>
  <c r="A12" i="48"/>
  <c r="I12" i="48"/>
  <c r="A13" i="48"/>
  <c r="I13" i="48"/>
  <c r="A14" i="48"/>
  <c r="I14" i="48"/>
  <c r="A15" i="48"/>
  <c r="I15" i="48"/>
  <c r="A16" i="48"/>
  <c r="I16" i="48"/>
  <c r="A17" i="48"/>
  <c r="I17" i="48"/>
  <c r="A18" i="48"/>
  <c r="I18" i="48"/>
  <c r="A19" i="48"/>
  <c r="I19" i="48"/>
  <c r="A20" i="48"/>
  <c r="I20" i="48"/>
  <c r="A21" i="48"/>
  <c r="A22" i="48"/>
  <c r="I27" i="48"/>
  <c r="A23" i="48"/>
  <c r="I28" i="48"/>
  <c r="A24" i="48"/>
  <c r="I29" i="48"/>
  <c r="A25" i="48"/>
  <c r="I30" i="48"/>
  <c r="A28" i="48"/>
  <c r="I31" i="48"/>
  <c r="I32" i="48"/>
  <c r="A29" i="48"/>
  <c r="I33" i="48"/>
  <c r="A30" i="48"/>
  <c r="I34" i="48"/>
  <c r="A31" i="48"/>
  <c r="I37" i="48"/>
  <c r="A32" i="48"/>
  <c r="A35" i="48"/>
  <c r="I38" i="48"/>
  <c r="I39" i="48"/>
  <c r="A36" i="48"/>
  <c r="A37" i="48"/>
  <c r="I40" i="48"/>
  <c r="A38" i="48"/>
  <c r="A39" i="48"/>
  <c r="I41" i="48"/>
  <c r="A40" i="48"/>
  <c r="A41" i="48"/>
  <c r="I43" i="48"/>
  <c r="A42" i="48"/>
  <c r="I44" i="48"/>
  <c r="A43" i="48"/>
  <c r="I45" i="48"/>
  <c r="A44" i="48"/>
  <c r="I46" i="48"/>
  <c r="A45" i="48"/>
  <c r="I47" i="48"/>
  <c r="A48" i="48"/>
  <c r="I48" i="48"/>
  <c r="A49" i="48"/>
  <c r="I49" i="48"/>
  <c r="A50" i="48"/>
  <c r="I50" i="48"/>
  <c r="A51" i="48"/>
  <c r="I51" i="48"/>
  <c r="A52" i="48"/>
  <c r="I52" i="48"/>
  <c r="A53" i="48"/>
  <c r="I53" i="48"/>
  <c r="A54" i="48"/>
  <c r="I54" i="48"/>
  <c r="A55" i="48"/>
  <c r="I55" i="48"/>
  <c r="A56" i="48"/>
  <c r="I56" i="48"/>
  <c r="A59" i="48"/>
  <c r="I57" i="48"/>
  <c r="I58" i="48"/>
  <c r="A60" i="48"/>
  <c r="I60" i="48"/>
  <c r="A61" i="48"/>
  <c r="I61" i="48"/>
  <c r="I62" i="48"/>
  <c r="A63" i="48"/>
  <c r="I63" i="48"/>
  <c r="J63" i="48"/>
  <c r="A74" i="35"/>
  <c r="O207" i="31"/>
  <c r="O206" i="31"/>
  <c r="O205" i="31"/>
  <c r="O204" i="31"/>
  <c r="O203" i="31"/>
  <c r="O202" i="31"/>
  <c r="O201" i="31"/>
  <c r="O200" i="31"/>
  <c r="O199" i="31"/>
  <c r="O198" i="31"/>
  <c r="O197" i="31"/>
  <c r="O196" i="31"/>
  <c r="O195" i="31"/>
  <c r="O194" i="31"/>
  <c r="O193" i="31"/>
  <c r="O192" i="31"/>
  <c r="O191" i="31"/>
  <c r="O190" i="31"/>
  <c r="O189" i="31"/>
  <c r="O188" i="31"/>
  <c r="O187" i="31"/>
  <c r="O186" i="31"/>
  <c r="O185" i="31"/>
  <c r="O184" i="31"/>
  <c r="O183" i="31"/>
  <c r="O182" i="31"/>
  <c r="O181" i="31"/>
  <c r="O180" i="31"/>
  <c r="O179" i="31"/>
  <c r="O178" i="31"/>
  <c r="O177" i="31"/>
  <c r="O176" i="31"/>
  <c r="O175" i="31"/>
  <c r="O174" i="31"/>
  <c r="O173" i="31"/>
  <c r="O172" i="31"/>
  <c r="O171" i="31"/>
  <c r="O170" i="31"/>
  <c r="O169" i="31"/>
  <c r="O168" i="31"/>
  <c r="O167" i="31"/>
  <c r="O166" i="31"/>
  <c r="O165" i="31"/>
  <c r="O164" i="31"/>
  <c r="O163" i="31"/>
  <c r="O162" i="31"/>
  <c r="O161" i="31"/>
  <c r="O160" i="31"/>
  <c r="O159" i="31"/>
  <c r="O158" i="31"/>
  <c r="O157" i="31"/>
  <c r="O156" i="31"/>
  <c r="O155" i="31"/>
  <c r="O154" i="31"/>
  <c r="O153" i="31"/>
  <c r="O152" i="31"/>
  <c r="O151" i="31"/>
  <c r="O150" i="31"/>
  <c r="O149" i="31"/>
  <c r="O148" i="31"/>
  <c r="O147" i="31"/>
  <c r="O146" i="31"/>
  <c r="O145" i="31"/>
  <c r="O144" i="31"/>
  <c r="O143" i="31"/>
  <c r="O142" i="31"/>
  <c r="O141" i="31"/>
  <c r="O140" i="31"/>
  <c r="O139" i="31"/>
  <c r="O138" i="31"/>
  <c r="O137" i="31"/>
  <c r="O136" i="31"/>
  <c r="O135" i="31"/>
  <c r="O134" i="31"/>
  <c r="O133" i="31"/>
  <c r="O132" i="31"/>
  <c r="O131" i="31"/>
  <c r="O130" i="31"/>
  <c r="O129" i="31"/>
  <c r="O128" i="31"/>
  <c r="O127" i="31"/>
  <c r="O126" i="31"/>
  <c r="O125" i="31"/>
  <c r="O124" i="31"/>
  <c r="O123" i="31"/>
  <c r="O122" i="31"/>
  <c r="O121" i="31"/>
  <c r="O120" i="31"/>
  <c r="O119" i="31"/>
  <c r="O118" i="31"/>
  <c r="O117" i="31"/>
  <c r="O116" i="31"/>
  <c r="O115" i="31"/>
  <c r="O114" i="31"/>
  <c r="O113" i="31"/>
  <c r="O112" i="31"/>
  <c r="O111" i="31"/>
  <c r="O110" i="31"/>
  <c r="O109" i="31"/>
  <c r="O108" i="31"/>
  <c r="O107" i="31"/>
  <c r="O106" i="31"/>
  <c r="O105" i="31"/>
  <c r="O104" i="31"/>
  <c r="O103" i="31"/>
  <c r="O102" i="31"/>
  <c r="O101" i="31"/>
  <c r="O100" i="31"/>
  <c r="O99" i="31"/>
  <c r="O98" i="31"/>
  <c r="O97" i="31"/>
  <c r="O96" i="31"/>
  <c r="O95" i="31"/>
  <c r="O94" i="31"/>
  <c r="O93" i="31"/>
  <c r="O92" i="31"/>
  <c r="O91" i="31"/>
  <c r="O90" i="31"/>
  <c r="O89" i="31"/>
  <c r="O88" i="31"/>
  <c r="O87" i="31"/>
  <c r="O86" i="31"/>
  <c r="O80" i="31"/>
  <c r="N80" i="31"/>
  <c r="O79" i="31"/>
  <c r="N79" i="31"/>
  <c r="O78" i="31"/>
  <c r="N78" i="31"/>
  <c r="O77" i="31"/>
  <c r="N77" i="31"/>
  <c r="O76" i="31"/>
  <c r="N76" i="31"/>
  <c r="O75" i="31"/>
  <c r="N75" i="31"/>
  <c r="O74" i="31"/>
  <c r="N74" i="31"/>
  <c r="O73" i="31"/>
  <c r="N73" i="31"/>
  <c r="O72" i="31"/>
  <c r="N72" i="31"/>
  <c r="O71" i="31"/>
  <c r="N71" i="31"/>
  <c r="O70" i="31"/>
  <c r="N70" i="31"/>
  <c r="O69" i="31"/>
  <c r="N69" i="31"/>
  <c r="O68" i="31"/>
  <c r="N68" i="31"/>
  <c r="O67" i="31"/>
  <c r="N67" i="31"/>
  <c r="O66" i="31"/>
  <c r="N66" i="31"/>
  <c r="O65" i="31"/>
  <c r="N65" i="31"/>
  <c r="O64" i="31"/>
  <c r="N64" i="31"/>
  <c r="O63" i="31"/>
  <c r="N63" i="31"/>
  <c r="O62" i="31"/>
  <c r="N62" i="31"/>
  <c r="O61" i="31"/>
  <c r="N61" i="31"/>
  <c r="O60" i="31"/>
  <c r="N60" i="31"/>
  <c r="O59" i="31"/>
  <c r="N59" i="31"/>
  <c r="N58" i="31"/>
  <c r="N57" i="31"/>
  <c r="N56" i="31"/>
  <c r="O55" i="31"/>
  <c r="N55" i="31"/>
  <c r="O54" i="31"/>
  <c r="N54" i="31"/>
  <c r="O53" i="31"/>
  <c r="N53" i="31"/>
  <c r="O52" i="31"/>
  <c r="N52" i="31"/>
  <c r="O51" i="31"/>
  <c r="N51" i="31"/>
  <c r="O50" i="31"/>
  <c r="N50" i="31"/>
  <c r="O49" i="31"/>
  <c r="N49" i="31"/>
  <c r="O48" i="31"/>
  <c r="N48" i="31"/>
  <c r="O47" i="31"/>
  <c r="N47" i="31"/>
  <c r="O46" i="31"/>
  <c r="N46" i="31"/>
  <c r="O45" i="31"/>
  <c r="N45" i="31"/>
  <c r="O44" i="31"/>
  <c r="N44" i="31"/>
  <c r="O43" i="31"/>
  <c r="N43" i="31"/>
  <c r="O42" i="31"/>
  <c r="N42" i="31"/>
  <c r="O41" i="31"/>
  <c r="N41" i="31"/>
  <c r="O40" i="31"/>
  <c r="N40" i="31"/>
  <c r="O39" i="31"/>
  <c r="N39" i="31"/>
  <c r="O38" i="31"/>
  <c r="N38" i="31"/>
  <c r="O37" i="31"/>
  <c r="N37" i="31"/>
  <c r="O36" i="31"/>
  <c r="N36" i="31"/>
  <c r="O35" i="31"/>
  <c r="N35" i="31"/>
  <c r="O34" i="31"/>
  <c r="N34" i="31"/>
  <c r="O33" i="31"/>
  <c r="N33" i="31"/>
  <c r="O32" i="31"/>
  <c r="N32" i="31"/>
  <c r="O31" i="31"/>
  <c r="N31" i="31"/>
  <c r="O30" i="31"/>
  <c r="N30" i="31"/>
  <c r="O29" i="31"/>
  <c r="N29" i="31"/>
  <c r="O28" i="31"/>
  <c r="N28" i="31"/>
  <c r="O27" i="31"/>
  <c r="N27" i="31"/>
  <c r="O26" i="31"/>
  <c r="N26" i="31"/>
  <c r="O25" i="31"/>
  <c r="N25" i="31"/>
  <c r="O24" i="31"/>
  <c r="N24" i="31"/>
  <c r="O23" i="31"/>
  <c r="N23" i="31"/>
  <c r="O22" i="31"/>
  <c r="N22" i="31"/>
  <c r="O21" i="31"/>
  <c r="N21" i="31"/>
  <c r="O20" i="31"/>
  <c r="N20" i="31"/>
  <c r="O19" i="31"/>
  <c r="N19" i="31"/>
  <c r="O18" i="31"/>
  <c r="N18" i="31"/>
  <c r="O17" i="31"/>
  <c r="N17" i="31"/>
  <c r="O16" i="31"/>
  <c r="N16" i="31"/>
  <c r="O15" i="31"/>
  <c r="N15" i="31"/>
  <c r="O14" i="31"/>
  <c r="N14" i="31"/>
  <c r="O13" i="31"/>
  <c r="N13" i="31"/>
  <c r="O12" i="31"/>
  <c r="N12" i="31"/>
  <c r="O11" i="31"/>
  <c r="N11" i="31"/>
  <c r="O10" i="31"/>
  <c r="N10" i="31"/>
  <c r="O9" i="31"/>
  <c r="N9" i="31"/>
  <c r="O8" i="31"/>
  <c r="N8" i="31"/>
  <c r="O7" i="31"/>
  <c r="N7" i="31"/>
  <c r="O6" i="31"/>
  <c r="N6" i="31"/>
  <c r="O5" i="31"/>
  <c r="N5" i="31"/>
  <c r="A3" i="32"/>
  <c r="A2" i="32"/>
  <c r="A2" i="31"/>
  <c r="A7" i="5"/>
  <c r="C5" i="5"/>
  <c r="D5" i="4"/>
  <c r="H5" i="4"/>
  <c r="C5" i="4"/>
  <c r="G5" i="4" s="1"/>
  <c r="A6" i="46"/>
  <c r="G6" i="46"/>
  <c r="A7" i="46"/>
  <c r="G7" i="46"/>
  <c r="A8" i="46"/>
  <c r="G8" i="46"/>
  <c r="A9" i="46"/>
  <c r="G9" i="46"/>
  <c r="A10" i="46"/>
  <c r="G10" i="46"/>
  <c r="A11" i="46"/>
  <c r="G11" i="46"/>
  <c r="A12" i="46"/>
  <c r="G12" i="46"/>
  <c r="A13" i="46"/>
  <c r="G13" i="46"/>
  <c r="A14" i="46"/>
  <c r="G14" i="46"/>
  <c r="A15" i="46"/>
  <c r="G15" i="46"/>
  <c r="A16" i="46"/>
  <c r="G16" i="46"/>
  <c r="A17" i="46"/>
  <c r="G17" i="46"/>
  <c r="A18" i="46"/>
  <c r="G18" i="46"/>
  <c r="A19" i="46"/>
  <c r="G19" i="46"/>
  <c r="A20" i="46"/>
  <c r="G20" i="46"/>
  <c r="A21" i="46"/>
  <c r="G26" i="46"/>
  <c r="A22" i="46"/>
  <c r="G27" i="46"/>
  <c r="A23" i="46"/>
  <c r="G28" i="46"/>
  <c r="A24" i="46"/>
  <c r="G29" i="46"/>
  <c r="A27" i="46"/>
  <c r="G30" i="46"/>
  <c r="G31" i="46"/>
  <c r="A28" i="46"/>
  <c r="G32" i="46"/>
  <c r="A29" i="46"/>
  <c r="G33" i="46"/>
  <c r="A30" i="46"/>
  <c r="G36" i="46"/>
  <c r="A31" i="46"/>
  <c r="A34" i="46"/>
  <c r="G37" i="46"/>
  <c r="G38" i="46"/>
  <c r="A35" i="46"/>
  <c r="A36" i="46"/>
  <c r="G39" i="46"/>
  <c r="A37" i="46"/>
  <c r="A38" i="46"/>
  <c r="G40" i="46"/>
  <c r="A39" i="46"/>
  <c r="A40" i="46"/>
  <c r="G42" i="46"/>
  <c r="A41" i="46"/>
  <c r="G43" i="46"/>
  <c r="A42" i="46"/>
  <c r="G44" i="46"/>
  <c r="A43" i="46"/>
  <c r="G45" i="46"/>
  <c r="A44" i="46"/>
  <c r="G46" i="46"/>
  <c r="A47" i="46"/>
  <c r="G47" i="46"/>
  <c r="A48" i="46"/>
  <c r="G48" i="46"/>
  <c r="A49" i="46"/>
  <c r="G49" i="46"/>
  <c r="A50" i="46"/>
  <c r="G50" i="46"/>
  <c r="A51" i="46"/>
  <c r="G51" i="46"/>
  <c r="A52" i="46"/>
  <c r="G52" i="46"/>
  <c r="A53" i="46"/>
  <c r="G53" i="46"/>
  <c r="A54" i="46"/>
  <c r="G54" i="46"/>
  <c r="A55" i="46"/>
  <c r="G55" i="46"/>
  <c r="A58" i="46"/>
  <c r="G56" i="46"/>
  <c r="G57" i="46"/>
  <c r="A59" i="46"/>
  <c r="G59" i="46"/>
  <c r="A60" i="46"/>
  <c r="G60" i="46"/>
  <c r="G61" i="46"/>
  <c r="A62" i="46"/>
  <c r="G62" i="46"/>
  <c r="H62" i="46"/>
  <c r="C64" i="46"/>
  <c r="A1" i="4"/>
  <c r="A1" i="5"/>
  <c r="L3" i="32"/>
  <c r="K1" i="32" s="1"/>
  <c r="L3" i="31"/>
  <c r="K1" i="31" s="1"/>
  <c r="D75" i="5"/>
  <c r="B38" i="33"/>
  <c r="B74" i="35"/>
  <c r="O8" i="3"/>
  <c r="A70" i="5"/>
  <c r="A71" i="5"/>
  <c r="A72" i="5"/>
  <c r="A73" i="5"/>
  <c r="A74" i="5"/>
  <c r="A59" i="5"/>
  <c r="A60" i="5"/>
  <c r="A61" i="5"/>
  <c r="A62" i="5"/>
  <c r="A63" i="5"/>
  <c r="A64" i="5"/>
  <c r="A65" i="5"/>
  <c r="A66" i="5"/>
  <c r="A67" i="5"/>
  <c r="A68" i="5"/>
  <c r="A69" i="5"/>
  <c r="A51" i="5"/>
  <c r="A52" i="5"/>
  <c r="A53" i="5"/>
  <c r="A54" i="5"/>
  <c r="A55" i="5"/>
  <c r="A56" i="5"/>
  <c r="A57" i="5"/>
  <c r="A58" i="5"/>
  <c r="A42" i="5"/>
  <c r="A43" i="5"/>
  <c r="A44" i="5"/>
  <c r="A45" i="5"/>
  <c r="A46" i="5"/>
  <c r="A47" i="5"/>
  <c r="A48" i="5"/>
  <c r="A49" i="5"/>
  <c r="A50" i="5"/>
  <c r="A29" i="5"/>
  <c r="A30" i="5"/>
  <c r="A31" i="5"/>
  <c r="A32" i="5"/>
  <c r="A33" i="5"/>
  <c r="A34" i="5"/>
  <c r="A35" i="5"/>
  <c r="A36" i="5"/>
  <c r="A37" i="5"/>
  <c r="A38" i="5"/>
  <c r="A39" i="5"/>
  <c r="A40" i="5"/>
  <c r="A41" i="5"/>
  <c r="A8" i="5"/>
  <c r="A9" i="5"/>
  <c r="A10" i="5"/>
  <c r="A11" i="5"/>
  <c r="A12" i="5"/>
  <c r="A13" i="5"/>
  <c r="A14" i="5"/>
  <c r="A15" i="5"/>
  <c r="A16" i="5"/>
  <c r="A17" i="5"/>
  <c r="A18" i="5"/>
  <c r="A19" i="5"/>
  <c r="A20" i="5"/>
  <c r="A21" i="5"/>
  <c r="A22" i="5"/>
  <c r="A25" i="5"/>
  <c r="A26" i="5"/>
  <c r="A27" i="5"/>
  <c r="A28" i="5"/>
  <c r="A6" i="5"/>
  <c r="D5" i="5"/>
  <c r="A67" i="35"/>
  <c r="A57" i="35"/>
  <c r="A49" i="35"/>
  <c r="A53" i="35"/>
  <c r="A30" i="35"/>
  <c r="A19" i="35"/>
  <c r="A10" i="35"/>
  <c r="E85" i="37"/>
  <c r="E4" i="37"/>
  <c r="E77" i="37" s="1"/>
  <c r="C4" i="37"/>
  <c r="C77" i="37" s="1"/>
  <c r="A74" i="37"/>
  <c r="A71" i="37"/>
  <c r="A72" i="37"/>
  <c r="A73" i="37"/>
  <c r="A63" i="37"/>
  <c r="A64" i="37"/>
  <c r="A65" i="37"/>
  <c r="A66" i="37"/>
  <c r="A67" i="37"/>
  <c r="A68" i="37"/>
  <c r="A69" i="37"/>
  <c r="A70" i="37"/>
  <c r="A54" i="37"/>
  <c r="A55" i="37"/>
  <c r="A56" i="37"/>
  <c r="A57" i="37"/>
  <c r="A58" i="37"/>
  <c r="A59" i="37"/>
  <c r="A60" i="37"/>
  <c r="A61" i="37"/>
  <c r="A62" i="37"/>
  <c r="A44" i="37"/>
  <c r="A45" i="37"/>
  <c r="A46" i="37"/>
  <c r="A47" i="37"/>
  <c r="A48" i="37"/>
  <c r="A49" i="37"/>
  <c r="A50" i="37"/>
  <c r="A51" i="37"/>
  <c r="A52" i="37"/>
  <c r="A53" i="37"/>
  <c r="A34" i="37"/>
  <c r="A35" i="37"/>
  <c r="A36" i="37"/>
  <c r="A37" i="37"/>
  <c r="A38" i="37"/>
  <c r="A39" i="37"/>
  <c r="A40" i="37"/>
  <c r="A41" i="37"/>
  <c r="A42" i="37"/>
  <c r="A43" i="37"/>
  <c r="A22" i="37"/>
  <c r="A25" i="37"/>
  <c r="A26" i="37"/>
  <c r="A27" i="37"/>
  <c r="A28" i="37"/>
  <c r="A29" i="37"/>
  <c r="A30" i="37"/>
  <c r="A31" i="37"/>
  <c r="A32" i="37"/>
  <c r="A33" i="37"/>
  <c r="A7" i="37"/>
  <c r="A8" i="37"/>
  <c r="A9" i="37"/>
  <c r="A10" i="37"/>
  <c r="A11" i="37"/>
  <c r="A12" i="37"/>
  <c r="A13" i="37"/>
  <c r="A14" i="37"/>
  <c r="A15" i="37"/>
  <c r="A16" i="37"/>
  <c r="A17" i="37"/>
  <c r="A18" i="37"/>
  <c r="A19" i="37"/>
  <c r="A20" i="37"/>
  <c r="A21" i="37"/>
  <c r="A6" i="37"/>
  <c r="A59" i="34"/>
  <c r="A55" i="34"/>
  <c r="A38" i="33"/>
  <c r="A40" i="33"/>
  <c r="A124" i="36"/>
  <c r="A123" i="36"/>
  <c r="A122" i="36"/>
  <c r="A107" i="36"/>
  <c r="A108" i="36"/>
  <c r="A109" i="36"/>
  <c r="A110" i="36"/>
  <c r="A111" i="36"/>
  <c r="A112" i="36"/>
  <c r="A113" i="36"/>
  <c r="A114" i="36"/>
  <c r="A115" i="36"/>
  <c r="A116" i="36"/>
  <c r="A117" i="36"/>
  <c r="A118" i="36"/>
  <c r="A119" i="36"/>
  <c r="A120" i="36"/>
  <c r="A106" i="36"/>
  <c r="A92" i="36"/>
  <c r="A93" i="36"/>
  <c r="A94" i="36"/>
  <c r="A95" i="36"/>
  <c r="A96" i="36"/>
  <c r="A71" i="36"/>
  <c r="A72" i="36"/>
  <c r="A73" i="36"/>
  <c r="A74" i="36"/>
  <c r="A75" i="36"/>
  <c r="A76" i="36"/>
  <c r="A77" i="36"/>
  <c r="A78" i="36"/>
  <c r="A79" i="36"/>
  <c r="A80" i="36"/>
  <c r="A81" i="36"/>
  <c r="A82" i="36"/>
  <c r="A50" i="36"/>
  <c r="A51" i="36"/>
  <c r="A52" i="36"/>
  <c r="A53" i="36"/>
  <c r="A54" i="36"/>
  <c r="A55" i="36"/>
  <c r="A44" i="36"/>
  <c r="A37" i="36"/>
  <c r="A38" i="36"/>
  <c r="A39" i="36"/>
  <c r="A40" i="36"/>
  <c r="A41" i="36"/>
  <c r="A42" i="36"/>
  <c r="A43" i="36"/>
  <c r="A30" i="36"/>
  <c r="A31" i="36"/>
  <c r="A20" i="36"/>
  <c r="A21" i="36"/>
  <c r="A22" i="36"/>
  <c r="A23" i="36"/>
  <c r="A24" i="36"/>
  <c r="A8" i="36"/>
  <c r="A9" i="36"/>
  <c r="A10" i="36"/>
  <c r="A11" i="36"/>
  <c r="A12" i="36"/>
  <c r="A13" i="36"/>
  <c r="A14" i="36"/>
  <c r="A15" i="36"/>
  <c r="A16" i="36"/>
  <c r="A17" i="36"/>
  <c r="A18" i="36"/>
  <c r="A19" i="36"/>
  <c r="E60" i="4"/>
  <c r="E59" i="4"/>
  <c r="E54" i="4"/>
  <c r="E55" i="4"/>
  <c r="E56" i="4"/>
  <c r="E57" i="4"/>
  <c r="E44" i="4"/>
  <c r="E45" i="4"/>
  <c r="E46" i="4"/>
  <c r="E47" i="4"/>
  <c r="E48" i="4"/>
  <c r="E49" i="4"/>
  <c r="E50" i="4"/>
  <c r="E51" i="4"/>
  <c r="E52" i="4"/>
  <c r="E53" i="4"/>
  <c r="E33" i="4"/>
  <c r="E29" i="4"/>
  <c r="E30" i="4"/>
  <c r="E31" i="4"/>
  <c r="E32" i="4"/>
  <c r="E8" i="4"/>
  <c r="E9" i="4"/>
  <c r="E10" i="4"/>
  <c r="E11" i="4"/>
  <c r="E12" i="4"/>
  <c r="E13" i="4"/>
  <c r="E14" i="4"/>
  <c r="E15" i="4"/>
  <c r="E16" i="4"/>
  <c r="E17" i="4"/>
  <c r="E18" i="4"/>
  <c r="E19" i="4"/>
  <c r="E20" i="4"/>
  <c r="O58" i="3"/>
  <c r="O59" i="3"/>
  <c r="O60" i="3"/>
  <c r="O61" i="3"/>
  <c r="O62" i="3"/>
  <c r="O45" i="3"/>
  <c r="O17" i="3"/>
  <c r="O16" i="3"/>
  <c r="J57" i="3"/>
  <c r="J54" i="3"/>
  <c r="J50" i="3"/>
  <c r="J49" i="3"/>
  <c r="J44" i="3"/>
  <c r="J45" i="3"/>
  <c r="J46" i="3"/>
  <c r="E42" i="3"/>
  <c r="E31" i="3"/>
  <c r="E21" i="3"/>
  <c r="E20" i="3"/>
  <c r="E22" i="3"/>
  <c r="E16" i="3"/>
  <c r="E14" i="3"/>
  <c r="E3" i="37"/>
  <c r="A73" i="35"/>
  <c r="A62" i="34"/>
  <c r="A61" i="34"/>
  <c r="A42" i="34"/>
  <c r="A39" i="34"/>
  <c r="A37" i="34"/>
  <c r="A36" i="34"/>
  <c r="A27" i="34"/>
  <c r="A26" i="34"/>
  <c r="A6" i="34"/>
  <c r="A62" i="33"/>
  <c r="A59" i="33"/>
  <c r="A58" i="33"/>
  <c r="A48" i="33"/>
  <c r="A47" i="33"/>
  <c r="A35" i="33"/>
  <c r="A34" i="33"/>
  <c r="A28" i="33"/>
  <c r="A27" i="33"/>
  <c r="A6" i="33"/>
  <c r="A125" i="36"/>
  <c r="A105" i="36"/>
  <c r="A103" i="36"/>
  <c r="A102" i="36"/>
  <c r="A101" i="36"/>
  <c r="A100" i="36"/>
  <c r="A99" i="36"/>
  <c r="A91" i="36"/>
  <c r="A90" i="36"/>
  <c r="A89" i="36"/>
  <c r="A70" i="36"/>
  <c r="A69" i="36"/>
  <c r="E66" i="36"/>
  <c r="A3" i="36"/>
  <c r="A66" i="36"/>
  <c r="C88" i="38"/>
  <c r="A88" i="38"/>
  <c r="A47" i="38"/>
  <c r="C47" i="38"/>
  <c r="A3" i="37"/>
  <c r="A52" i="38"/>
  <c r="A3" i="38"/>
  <c r="C52" i="38"/>
  <c r="C3" i="38"/>
  <c r="A2" i="38"/>
  <c r="E126" i="36"/>
  <c r="B126" i="36"/>
  <c r="A126" i="36"/>
  <c r="B63" i="36"/>
  <c r="E63" i="36"/>
  <c r="A63" i="36"/>
  <c r="A62" i="36"/>
  <c r="A60" i="36"/>
  <c r="A59" i="36"/>
  <c r="A58" i="36"/>
  <c r="A49" i="36"/>
  <c r="A48" i="36"/>
  <c r="A47" i="36"/>
  <c r="A36" i="36"/>
  <c r="A35" i="36"/>
  <c r="A34" i="36"/>
  <c r="A29" i="36"/>
  <c r="A28" i="36"/>
  <c r="A27" i="36"/>
  <c r="A7" i="36"/>
  <c r="E4" i="36"/>
  <c r="C4" i="36"/>
  <c r="E3" i="36"/>
  <c r="A51" i="38"/>
  <c r="E2" i="35"/>
  <c r="E2" i="34"/>
  <c r="C2" i="35"/>
  <c r="C2" i="34"/>
  <c r="E2" i="33"/>
  <c r="C2" i="33"/>
  <c r="A3" i="35"/>
  <c r="A3" i="34"/>
  <c r="A3" i="33"/>
  <c r="E3" i="32"/>
  <c r="E2" i="32"/>
  <c r="A2" i="35"/>
  <c r="A2" i="34"/>
  <c r="A2" i="33"/>
  <c r="E3" i="31"/>
  <c r="E2" i="31"/>
  <c r="A3" i="31"/>
  <c r="C3" i="33"/>
  <c r="B63" i="33"/>
  <c r="H63" i="33"/>
  <c r="I2" i="34"/>
  <c r="C3" i="34"/>
  <c r="E3" i="34"/>
  <c r="I3" i="34"/>
  <c r="B63" i="34"/>
  <c r="I2" i="35"/>
  <c r="C3" i="35"/>
  <c r="E3" i="35"/>
  <c r="I3" i="35"/>
  <c r="H2" i="31"/>
  <c r="L4" i="31"/>
  <c r="H2" i="32"/>
  <c r="L4" i="32"/>
  <c r="A6" i="21"/>
  <c r="J6" i="21" s="1"/>
  <c r="I6" i="21"/>
  <c r="E1" i="21"/>
  <c r="A8" i="21"/>
  <c r="L5" i="21" s="1"/>
  <c r="A7" i="21"/>
  <c r="H5" i="21"/>
  <c r="G5" i="21"/>
  <c r="F5" i="21"/>
  <c r="D5" i="21"/>
  <c r="C5" i="21"/>
  <c r="E5" i="21"/>
  <c r="B5" i="21" s="1"/>
  <c r="K5" i="21"/>
  <c r="U5" i="21"/>
  <c r="N6" i="21"/>
  <c r="Q5" i="21"/>
  <c r="S5" i="21"/>
  <c r="I43" i="3"/>
  <c r="O54" i="3"/>
  <c r="O55" i="3"/>
  <c r="O56" i="3"/>
  <c r="O5" i="3"/>
  <c r="O10" i="3"/>
  <c r="O12" i="3"/>
  <c r="O13" i="3"/>
  <c r="O19" i="3"/>
  <c r="O20" i="3"/>
  <c r="O21" i="3"/>
  <c r="O22" i="3"/>
  <c r="O25" i="3"/>
  <c r="O26" i="3"/>
  <c r="O28" i="3"/>
  <c r="O32" i="3"/>
  <c r="O39" i="3"/>
  <c r="O40" i="3"/>
  <c r="O47" i="3"/>
  <c r="O50" i="3"/>
  <c r="O51" i="3"/>
  <c r="O63" i="3"/>
  <c r="O64" i="3"/>
  <c r="O65" i="3"/>
  <c r="O66" i="3"/>
  <c r="O68" i="3"/>
  <c r="O69" i="3"/>
  <c r="O70" i="3"/>
  <c r="O71" i="3"/>
  <c r="O72" i="3"/>
  <c r="A5" i="21"/>
  <c r="E6" i="3"/>
  <c r="E7" i="3"/>
  <c r="E8" i="3"/>
  <c r="E9" i="3"/>
  <c r="E10" i="3"/>
  <c r="E11" i="3"/>
  <c r="E12" i="3"/>
  <c r="E13" i="3"/>
  <c r="E15" i="3"/>
  <c r="E17" i="3"/>
  <c r="E23" i="3"/>
  <c r="E24" i="3"/>
  <c r="E25" i="3"/>
  <c r="E27" i="3"/>
  <c r="E28" i="3"/>
  <c r="E29" i="3"/>
  <c r="E30" i="3"/>
  <c r="E35" i="3"/>
  <c r="E36" i="3"/>
  <c r="E37" i="3"/>
  <c r="E38" i="3"/>
  <c r="E40" i="3"/>
  <c r="E43" i="3"/>
  <c r="E44" i="3"/>
  <c r="E45" i="3"/>
  <c r="E47" i="3"/>
  <c r="E49" i="3"/>
  <c r="E50" i="3"/>
  <c r="E52" i="3"/>
  <c r="E55" i="3"/>
  <c r="E58" i="3"/>
  <c r="E60" i="3"/>
  <c r="E61" i="3"/>
  <c r="E73" i="3"/>
  <c r="J6" i="3"/>
  <c r="J7" i="3"/>
  <c r="J8" i="3"/>
  <c r="J9" i="3"/>
  <c r="J10" i="3"/>
  <c r="J11" i="3"/>
  <c r="J12" i="3"/>
  <c r="J13" i="3"/>
  <c r="J14" i="3"/>
  <c r="J15" i="3"/>
  <c r="J16" i="3"/>
  <c r="J17" i="3"/>
  <c r="J18" i="3"/>
  <c r="J19" i="3"/>
  <c r="J21" i="3"/>
  <c r="J23" i="3"/>
  <c r="J24" i="3"/>
  <c r="J25" i="3"/>
  <c r="J26" i="3"/>
  <c r="J27" i="3"/>
  <c r="J28" i="3"/>
  <c r="J29" i="3"/>
  <c r="J32" i="3"/>
  <c r="J34" i="3"/>
  <c r="J35" i="3"/>
  <c r="J36" i="3"/>
  <c r="J37" i="3"/>
  <c r="J39" i="3"/>
  <c r="J40" i="3"/>
  <c r="J41" i="3"/>
  <c r="J42" i="3"/>
  <c r="J43" i="3"/>
  <c r="J51" i="3"/>
  <c r="J52" i="3"/>
  <c r="J53" i="3"/>
  <c r="J60" i="3"/>
  <c r="A3" i="21"/>
  <c r="B3" i="21" s="1"/>
  <c r="C3" i="21" s="1"/>
  <c r="O14" i="3"/>
  <c r="J74" i="3"/>
  <c r="E74" i="3"/>
  <c r="O73" i="3"/>
  <c r="O67" i="3"/>
  <c r="O57" i="3"/>
  <c r="O53" i="3"/>
  <c r="O49" i="3"/>
  <c r="O48" i="3"/>
  <c r="O27" i="3"/>
  <c r="O18" i="3"/>
  <c r="O15" i="3"/>
  <c r="J62" i="3"/>
  <c r="J55" i="3"/>
  <c r="J38" i="3"/>
  <c r="J33" i="3"/>
  <c r="J22" i="3"/>
  <c r="E59" i="3"/>
  <c r="E48" i="3"/>
  <c r="E41" i="3"/>
  <c r="E39" i="3"/>
  <c r="E34" i="3"/>
  <c r="E26" i="3"/>
  <c r="D63" i="4"/>
  <c r="A4" i="5"/>
  <c r="D4" i="5"/>
  <c r="B4" i="5"/>
  <c r="A4" i="6"/>
  <c r="E4" i="6"/>
  <c r="E49" i="6"/>
  <c r="C49" i="6"/>
  <c r="A49" i="6"/>
  <c r="D47" i="6"/>
  <c r="D35" i="6"/>
  <c r="D29" i="6"/>
  <c r="D27" i="6"/>
  <c r="D39" i="6"/>
  <c r="D38" i="6"/>
  <c r="D37" i="6"/>
  <c r="D36" i="6"/>
  <c r="D34" i="6"/>
  <c r="D33" i="6"/>
  <c r="D32" i="6"/>
  <c r="D31" i="6"/>
  <c r="D30" i="6"/>
  <c r="D19" i="6"/>
  <c r="D20" i="6"/>
  <c r="D21" i="6"/>
  <c r="D22" i="6"/>
  <c r="D23" i="6"/>
  <c r="D24" i="6"/>
  <c r="D25" i="6"/>
  <c r="D26" i="6"/>
  <c r="D7" i="6"/>
  <c r="D6" i="6"/>
  <c r="A47" i="6"/>
  <c r="A46" i="6"/>
  <c r="A45" i="6"/>
  <c r="A44" i="6"/>
  <c r="A43" i="6"/>
  <c r="A42" i="6"/>
  <c r="A41" i="6"/>
  <c r="A40" i="6"/>
  <c r="A39" i="6"/>
  <c r="A38" i="6"/>
  <c r="A37" i="6"/>
  <c r="A36" i="6"/>
  <c r="A35" i="6"/>
  <c r="A34" i="6"/>
  <c r="A33" i="6"/>
  <c r="A32" i="6"/>
  <c r="A27" i="6"/>
  <c r="A26" i="6"/>
  <c r="A25" i="6"/>
  <c r="A24" i="6"/>
  <c r="A23" i="6"/>
  <c r="A22" i="6"/>
  <c r="A20" i="6"/>
  <c r="A19" i="6"/>
  <c r="A18" i="6"/>
  <c r="A17" i="6"/>
  <c r="A16" i="6"/>
  <c r="A15" i="6"/>
  <c r="A14" i="6"/>
  <c r="A13" i="6"/>
  <c r="A12" i="6"/>
  <c r="A11" i="6"/>
  <c r="A10" i="6"/>
  <c r="A9" i="6"/>
  <c r="A8" i="6"/>
  <c r="A7" i="6"/>
  <c r="A6" i="6"/>
  <c r="C4" i="6"/>
  <c r="D46" i="6"/>
  <c r="D44" i="6"/>
  <c r="D43" i="6"/>
  <c r="D42" i="6"/>
  <c r="D41" i="6"/>
  <c r="D40" i="6"/>
  <c r="D28" i="6"/>
  <c r="A4" i="4"/>
  <c r="G4" i="4"/>
  <c r="E43" i="4"/>
  <c r="E42" i="4"/>
  <c r="F63" i="4"/>
  <c r="A63" i="4"/>
  <c r="D4" i="4"/>
  <c r="E62" i="4"/>
  <c r="E39" i="4"/>
  <c r="E40" i="4"/>
  <c r="E61" i="4"/>
  <c r="E38" i="4"/>
  <c r="E37" i="4"/>
  <c r="E36" i="4"/>
  <c r="E26" i="4"/>
  <c r="E27" i="4"/>
  <c r="E28" i="4"/>
  <c r="E7" i="4"/>
  <c r="E6" i="4"/>
  <c r="E5" i="4"/>
  <c r="E29" i="51" l="1"/>
  <c r="F29" i="51" s="1"/>
  <c r="E38" i="51"/>
  <c r="F38" i="51" s="1"/>
  <c r="E45" i="51"/>
  <c r="F45" i="51" s="1"/>
  <c r="E47" i="46"/>
  <c r="E40" i="51"/>
  <c r="F40" i="51" s="1"/>
  <c r="E27" i="46"/>
  <c r="E62" i="46" s="1"/>
  <c r="A5" i="46" s="1"/>
  <c r="K36" i="46"/>
  <c r="K39" i="46" s="1"/>
  <c r="K62" i="46" s="1"/>
  <c r="G5" i="46" s="1"/>
  <c r="E47" i="51"/>
  <c r="F47" i="51" s="1"/>
  <c r="E20" i="51"/>
  <c r="E27" i="51"/>
  <c r="F27" i="51" s="1"/>
  <c r="D20" i="49"/>
  <c r="E127" i="63"/>
  <c r="F30" i="62"/>
  <c r="E30" i="62" s="1"/>
  <c r="C49" i="62"/>
  <c r="H63" i="59"/>
  <c r="G29" i="56"/>
  <c r="H29" i="56" s="1"/>
  <c r="F40" i="56"/>
  <c r="F9" i="56"/>
  <c r="F8" i="56"/>
  <c r="F31" i="56"/>
  <c r="F30" i="56"/>
  <c r="F7" i="56"/>
  <c r="G37" i="56"/>
  <c r="H37" i="56" s="1"/>
  <c r="C75" i="53"/>
  <c r="C75" i="49"/>
  <c r="F75" i="49" s="1"/>
  <c r="G75" i="49" s="1"/>
  <c r="F29" i="56"/>
  <c r="D41" i="48"/>
  <c r="F32" i="56"/>
  <c r="D62" i="4"/>
  <c r="F24" i="56"/>
  <c r="F17" i="56"/>
  <c r="C90" i="65"/>
  <c r="C42" i="66"/>
  <c r="C43" i="66"/>
  <c r="C44" i="66"/>
  <c r="C45" i="66"/>
  <c r="C45" i="65"/>
  <c r="C45" i="56"/>
  <c r="C47" i="4"/>
  <c r="H39" i="4"/>
  <c r="B58" i="59"/>
  <c r="D42" i="33"/>
  <c r="E42" i="33"/>
  <c r="F42" i="33"/>
  <c r="C42" i="33"/>
  <c r="O83" i="31"/>
  <c r="O83" i="32"/>
  <c r="C62" i="4"/>
  <c r="D45" i="34"/>
  <c r="F45" i="34"/>
  <c r="C45" i="34"/>
  <c r="G45" i="34" s="1"/>
  <c r="I45" i="34" s="1"/>
  <c r="C108" i="36" s="1"/>
  <c r="L46" i="52" s="1"/>
  <c r="E45" i="34"/>
  <c r="D35" i="48"/>
  <c r="E100" i="63"/>
  <c r="E123" i="63" s="1"/>
  <c r="E126" i="63" s="1"/>
  <c r="D32" i="33"/>
  <c r="E32" i="33"/>
  <c r="F32" i="33"/>
  <c r="C32" i="33"/>
  <c r="D67" i="62"/>
  <c r="D73" i="62" s="1"/>
  <c r="I65" i="46" s="1"/>
  <c r="D55" i="59"/>
  <c r="E55" i="59"/>
  <c r="F55" i="59"/>
  <c r="C55" i="59"/>
  <c r="E20" i="33"/>
  <c r="F20" i="33"/>
  <c r="C20" i="33"/>
  <c r="D20" i="33"/>
  <c r="D12" i="33"/>
  <c r="E12" i="33"/>
  <c r="F12" i="33"/>
  <c r="C12" i="33"/>
  <c r="C69" i="61"/>
  <c r="E69" i="61"/>
  <c r="D69" i="61"/>
  <c r="F69" i="61"/>
  <c r="E60" i="61"/>
  <c r="D60" i="61"/>
  <c r="F60" i="61"/>
  <c r="C60" i="61"/>
  <c r="F50" i="61"/>
  <c r="C50" i="61"/>
  <c r="E50" i="61"/>
  <c r="D50" i="61"/>
  <c r="C29" i="61"/>
  <c r="E29" i="61"/>
  <c r="D29" i="61"/>
  <c r="F29" i="61"/>
  <c r="C15" i="61"/>
  <c r="E15" i="61"/>
  <c r="D15" i="61"/>
  <c r="F15" i="61"/>
  <c r="D45" i="60"/>
  <c r="F45" i="60"/>
  <c r="C45" i="60"/>
  <c r="E45" i="60"/>
  <c r="N33" i="50"/>
  <c r="L37" i="48"/>
  <c r="L40" i="48" s="1"/>
  <c r="N27" i="50"/>
  <c r="D61" i="59"/>
  <c r="E61" i="59"/>
  <c r="F61" i="59"/>
  <c r="C61" i="59"/>
  <c r="G61" i="59" s="1"/>
  <c r="I61" i="59" s="1"/>
  <c r="D33" i="34"/>
  <c r="F33" i="34"/>
  <c r="C33" i="34"/>
  <c r="E33" i="34"/>
  <c r="D26" i="35"/>
  <c r="F26" i="35"/>
  <c r="C26" i="35"/>
  <c r="E26" i="35"/>
  <c r="C41" i="35"/>
  <c r="E41" i="35"/>
  <c r="D41" i="35"/>
  <c r="F41" i="35"/>
  <c r="C50" i="59"/>
  <c r="G50" i="59" s="1"/>
  <c r="I50" i="59" s="1"/>
  <c r="D50" i="59"/>
  <c r="F50" i="59"/>
  <c r="E50" i="59"/>
  <c r="C36" i="61"/>
  <c r="G36" i="61" s="1"/>
  <c r="I36" i="61" s="1"/>
  <c r="D36" i="61"/>
  <c r="E36" i="61"/>
  <c r="F36" i="61"/>
  <c r="C46" i="61"/>
  <c r="G46" i="61" s="1"/>
  <c r="I46" i="61" s="1"/>
  <c r="D46" i="61"/>
  <c r="E46" i="61"/>
  <c r="F46" i="61"/>
  <c r="E68" i="35"/>
  <c r="D68" i="35"/>
  <c r="F68" i="35"/>
  <c r="C68" i="35"/>
  <c r="C59" i="35"/>
  <c r="E59" i="35"/>
  <c r="D59" i="35"/>
  <c r="F59" i="35"/>
  <c r="D47" i="35"/>
  <c r="F47" i="35"/>
  <c r="C47" i="35"/>
  <c r="E47" i="35"/>
  <c r="C25" i="35"/>
  <c r="D25" i="35"/>
  <c r="E25" i="35"/>
  <c r="F25" i="35"/>
  <c r="F14" i="35"/>
  <c r="C14" i="35"/>
  <c r="E14" i="35"/>
  <c r="D14" i="35"/>
  <c r="C49" i="34"/>
  <c r="E49" i="34"/>
  <c r="D49" i="34"/>
  <c r="F49" i="34"/>
  <c r="G41" i="35"/>
  <c r="I41" i="35" s="1"/>
  <c r="C41" i="37" s="1"/>
  <c r="D42" i="53" s="1"/>
  <c r="G26" i="35"/>
  <c r="I26" i="35" s="1"/>
  <c r="C26" i="37" s="1"/>
  <c r="C60" i="34"/>
  <c r="E60" i="34"/>
  <c r="D60" i="34"/>
  <c r="F60" i="34"/>
  <c r="D57" i="33"/>
  <c r="E57" i="33"/>
  <c r="F57" i="33"/>
  <c r="C57" i="33"/>
  <c r="C23" i="61"/>
  <c r="D23" i="61"/>
  <c r="E23" i="61"/>
  <c r="F23" i="61"/>
  <c r="F23" i="60"/>
  <c r="D23" i="60"/>
  <c r="E23" i="60"/>
  <c r="C23" i="60"/>
  <c r="C19" i="60"/>
  <c r="D19" i="60"/>
  <c r="F19" i="60"/>
  <c r="E19" i="60"/>
  <c r="C15" i="60"/>
  <c r="E15" i="60"/>
  <c r="F15" i="60"/>
  <c r="D15" i="60"/>
  <c r="F44" i="34"/>
  <c r="C44" i="34"/>
  <c r="G44" i="34" s="1"/>
  <c r="I44" i="34" s="1"/>
  <c r="C107" i="36" s="1"/>
  <c r="L45" i="52" s="1"/>
  <c r="E44" i="34"/>
  <c r="D44" i="34"/>
  <c r="G49" i="34"/>
  <c r="I49" i="34" s="1"/>
  <c r="C112" i="36" s="1"/>
  <c r="L50" i="52" s="1"/>
  <c r="D30" i="59"/>
  <c r="E30" i="59"/>
  <c r="F30" i="59"/>
  <c r="C30" i="59"/>
  <c r="J26" i="46"/>
  <c r="N60" i="50"/>
  <c r="F25" i="51"/>
  <c r="C31" i="34"/>
  <c r="E31" i="34"/>
  <c r="D31" i="34"/>
  <c r="F31" i="34"/>
  <c r="D46" i="59"/>
  <c r="E46" i="59"/>
  <c r="G46" i="59" s="1"/>
  <c r="I46" i="59" s="1"/>
  <c r="F46" i="59"/>
  <c r="C46" i="59"/>
  <c r="D42" i="59"/>
  <c r="E42" i="59"/>
  <c r="F42" i="59"/>
  <c r="C42" i="59"/>
  <c r="G42" i="59" s="1"/>
  <c r="I42" i="59" s="1"/>
  <c r="D36" i="59"/>
  <c r="E36" i="59"/>
  <c r="F36" i="59"/>
  <c r="C36" i="59"/>
  <c r="B28" i="59"/>
  <c r="B34" i="59" s="1"/>
  <c r="D23" i="59"/>
  <c r="E23" i="59"/>
  <c r="F23" i="59"/>
  <c r="C23" i="59"/>
  <c r="G23" i="59" s="1"/>
  <c r="I23" i="59" s="1"/>
  <c r="D17" i="59"/>
  <c r="E17" i="59"/>
  <c r="G17" i="59" s="1"/>
  <c r="I17" i="59" s="1"/>
  <c r="F17" i="59"/>
  <c r="C17" i="59"/>
  <c r="D13" i="59"/>
  <c r="E13" i="59"/>
  <c r="F13" i="59"/>
  <c r="C13" i="59"/>
  <c r="G13" i="59" s="1"/>
  <c r="I13" i="59" s="1"/>
  <c r="D9" i="59"/>
  <c r="E9" i="59"/>
  <c r="F9" i="59"/>
  <c r="C9" i="59"/>
  <c r="G9" i="59" s="1"/>
  <c r="I9" i="59" s="1"/>
  <c r="C18" i="6"/>
  <c r="E55" i="50"/>
  <c r="D59" i="48"/>
  <c r="C18" i="34"/>
  <c r="D18" i="34"/>
  <c r="E18" i="34"/>
  <c r="F18" i="34"/>
  <c r="C10" i="34"/>
  <c r="D10" i="34"/>
  <c r="E10" i="34"/>
  <c r="F10" i="34"/>
  <c r="G65" i="4"/>
  <c r="G66" i="4"/>
  <c r="C50" i="34"/>
  <c r="G50" i="34" s="1"/>
  <c r="I50" i="34" s="1"/>
  <c r="C113" i="36" s="1"/>
  <c r="L51" i="52" s="1"/>
  <c r="E50" i="34"/>
  <c r="D50" i="34"/>
  <c r="F50" i="34"/>
  <c r="C48" i="34"/>
  <c r="G48" i="34" s="1"/>
  <c r="I48" i="34" s="1"/>
  <c r="C111" i="36" s="1"/>
  <c r="L49" i="52" s="1"/>
  <c r="F48" i="34"/>
  <c r="E48" i="34"/>
  <c r="D48" i="34"/>
  <c r="C41" i="60"/>
  <c r="D41" i="60"/>
  <c r="E41" i="60"/>
  <c r="F41" i="60"/>
  <c r="D45" i="59"/>
  <c r="E45" i="59"/>
  <c r="F45" i="59"/>
  <c r="C45" i="59"/>
  <c r="D41" i="59"/>
  <c r="E41" i="59"/>
  <c r="F41" i="59"/>
  <c r="C41" i="59"/>
  <c r="D33" i="59"/>
  <c r="E33" i="59"/>
  <c r="F33" i="59"/>
  <c r="C33" i="59"/>
  <c r="D26" i="59"/>
  <c r="E26" i="59"/>
  <c r="F26" i="59"/>
  <c r="C26" i="59"/>
  <c r="D22" i="59"/>
  <c r="E22" i="59"/>
  <c r="F22" i="59"/>
  <c r="C22" i="59"/>
  <c r="D16" i="59"/>
  <c r="E16" i="59"/>
  <c r="F16" i="59"/>
  <c r="C16" i="59"/>
  <c r="D12" i="59"/>
  <c r="E12" i="59"/>
  <c r="F12" i="59"/>
  <c r="C12" i="59"/>
  <c r="D8" i="59"/>
  <c r="E8" i="59"/>
  <c r="F8" i="59"/>
  <c r="C8" i="59"/>
  <c r="G55" i="59"/>
  <c r="I55" i="59" s="1"/>
  <c r="F56" i="33"/>
  <c r="E56" i="33"/>
  <c r="D56" i="33"/>
  <c r="C56" i="33"/>
  <c r="G56" i="33" s="1"/>
  <c r="I56" i="33" s="1"/>
  <c r="C56" i="36" s="1"/>
  <c r="D57" i="52" s="1"/>
  <c r="C24" i="35"/>
  <c r="E24" i="35"/>
  <c r="D24" i="35"/>
  <c r="F24" i="35"/>
  <c r="C37" i="35"/>
  <c r="G37" i="35" s="1"/>
  <c r="I37" i="35" s="1"/>
  <c r="C37" i="37" s="1"/>
  <c r="D38" i="53" s="1"/>
  <c r="E37" i="35"/>
  <c r="D37" i="35"/>
  <c r="F37" i="35"/>
  <c r="C20" i="59"/>
  <c r="G20" i="59" s="1"/>
  <c r="I20" i="59" s="1"/>
  <c r="D20" i="59"/>
  <c r="E20" i="59"/>
  <c r="F20" i="59"/>
  <c r="C34" i="61"/>
  <c r="D34" i="61"/>
  <c r="E34" i="61"/>
  <c r="F34" i="61"/>
  <c r="C45" i="61"/>
  <c r="G45" i="61" s="1"/>
  <c r="I45" i="61" s="1"/>
  <c r="D45" i="61"/>
  <c r="E45" i="61"/>
  <c r="F45" i="61"/>
  <c r="C19" i="34"/>
  <c r="E19" i="34"/>
  <c r="D19" i="34"/>
  <c r="F19" i="34"/>
  <c r="E11" i="34"/>
  <c r="D11" i="34"/>
  <c r="C11" i="34"/>
  <c r="F11" i="34"/>
  <c r="F32" i="34"/>
  <c r="C32" i="34"/>
  <c r="E32" i="34"/>
  <c r="D32" i="34"/>
  <c r="C69" i="35"/>
  <c r="E69" i="35"/>
  <c r="D69" i="35"/>
  <c r="F69" i="35"/>
  <c r="C60" i="35"/>
  <c r="E60" i="35"/>
  <c r="D60" i="35"/>
  <c r="F60" i="35"/>
  <c r="D50" i="35"/>
  <c r="F50" i="35"/>
  <c r="C50" i="35"/>
  <c r="E50" i="35"/>
  <c r="C29" i="35"/>
  <c r="E29" i="35"/>
  <c r="D29" i="35"/>
  <c r="F29" i="35"/>
  <c r="D15" i="35"/>
  <c r="F15" i="35"/>
  <c r="C15" i="35"/>
  <c r="E15" i="35"/>
  <c r="C51" i="34"/>
  <c r="E51" i="34"/>
  <c r="D51" i="34"/>
  <c r="F51" i="34"/>
  <c r="D21" i="33"/>
  <c r="E21" i="33"/>
  <c r="F21" i="33"/>
  <c r="C21" i="33"/>
  <c r="D13" i="33"/>
  <c r="E13" i="33"/>
  <c r="F13" i="33"/>
  <c r="C13" i="33"/>
  <c r="D33" i="33"/>
  <c r="E33" i="33"/>
  <c r="F33" i="33"/>
  <c r="C33" i="33"/>
  <c r="D43" i="33"/>
  <c r="E43" i="33"/>
  <c r="F43" i="33"/>
  <c r="C43" i="33"/>
  <c r="D60" i="33"/>
  <c r="E60" i="33"/>
  <c r="F60" i="33"/>
  <c r="C60" i="33"/>
  <c r="C24" i="61"/>
  <c r="D24" i="61"/>
  <c r="E24" i="61"/>
  <c r="F24" i="61"/>
  <c r="G23" i="60"/>
  <c r="I23" i="60" s="1"/>
  <c r="G19" i="60"/>
  <c r="I19" i="60" s="1"/>
  <c r="G15" i="60"/>
  <c r="I15" i="60" s="1"/>
  <c r="D57" i="60"/>
  <c r="E57" i="60"/>
  <c r="F57" i="60"/>
  <c r="C57" i="60"/>
  <c r="D39" i="67"/>
  <c r="D40" i="67" s="1"/>
  <c r="C37" i="38"/>
  <c r="C40" i="38" s="1"/>
  <c r="D44" i="59"/>
  <c r="E44" i="59"/>
  <c r="F44" i="59"/>
  <c r="C44" i="59"/>
  <c r="G44" i="59" s="1"/>
  <c r="I44" i="59" s="1"/>
  <c r="D39" i="59"/>
  <c r="E39" i="59"/>
  <c r="F39" i="59"/>
  <c r="C39" i="59"/>
  <c r="G39" i="59" s="1"/>
  <c r="I39" i="59" s="1"/>
  <c r="D32" i="59"/>
  <c r="E32" i="59"/>
  <c r="F32" i="59"/>
  <c r="C32" i="59"/>
  <c r="G32" i="59" s="1"/>
  <c r="I32" i="59" s="1"/>
  <c r="D25" i="59"/>
  <c r="E25" i="59"/>
  <c r="F25" i="59"/>
  <c r="C25" i="59"/>
  <c r="G25" i="59" s="1"/>
  <c r="I25" i="59" s="1"/>
  <c r="D21" i="59"/>
  <c r="E21" i="59"/>
  <c r="F21" i="59"/>
  <c r="C21" i="59"/>
  <c r="G21" i="59" s="1"/>
  <c r="I21" i="59" s="1"/>
  <c r="D15" i="59"/>
  <c r="E15" i="59"/>
  <c r="F15" i="59"/>
  <c r="C15" i="59"/>
  <c r="G15" i="59" s="1"/>
  <c r="I15" i="59" s="1"/>
  <c r="D11" i="59"/>
  <c r="E11" i="59"/>
  <c r="F11" i="59"/>
  <c r="C11" i="59"/>
  <c r="G11" i="59" s="1"/>
  <c r="I11" i="59" s="1"/>
  <c r="D7" i="59"/>
  <c r="E7" i="59"/>
  <c r="F7" i="59"/>
  <c r="C7" i="59"/>
  <c r="J59" i="46"/>
  <c r="D53" i="34"/>
  <c r="F53" i="34"/>
  <c r="C53" i="34"/>
  <c r="G53" i="34" s="1"/>
  <c r="I53" i="34" s="1"/>
  <c r="C116" i="36" s="1"/>
  <c r="E53" i="34"/>
  <c r="C28" i="35"/>
  <c r="E28" i="35"/>
  <c r="D28" i="35"/>
  <c r="F28" i="35"/>
  <c r="C43" i="35"/>
  <c r="E43" i="35"/>
  <c r="D43" i="35"/>
  <c r="F43" i="35"/>
  <c r="D52" i="59"/>
  <c r="E52" i="59"/>
  <c r="F52" i="59"/>
  <c r="C52" i="59"/>
  <c r="G52" i="59" s="1"/>
  <c r="I52" i="59" s="1"/>
  <c r="F37" i="61"/>
  <c r="C37" i="61"/>
  <c r="G37" i="61" s="1"/>
  <c r="I37" i="61" s="1"/>
  <c r="D37" i="61"/>
  <c r="E37" i="61"/>
  <c r="E48" i="61"/>
  <c r="F48" i="61"/>
  <c r="C48" i="61"/>
  <c r="D48" i="61"/>
  <c r="C25" i="34"/>
  <c r="E25" i="34"/>
  <c r="D25" i="34"/>
  <c r="F25" i="34"/>
  <c r="C17" i="34"/>
  <c r="D17" i="34"/>
  <c r="E17" i="34"/>
  <c r="F17" i="34"/>
  <c r="C9" i="34"/>
  <c r="F9" i="34"/>
  <c r="D9" i="34"/>
  <c r="E9" i="34"/>
  <c r="C30" i="34"/>
  <c r="E30" i="34"/>
  <c r="D30" i="34"/>
  <c r="F30" i="34"/>
  <c r="E66" i="35"/>
  <c r="D66" i="35"/>
  <c r="F66" i="35"/>
  <c r="C66" i="35"/>
  <c r="C58" i="35"/>
  <c r="E58" i="35"/>
  <c r="D58" i="35"/>
  <c r="F58" i="35"/>
  <c r="C42" i="35"/>
  <c r="E42" i="35"/>
  <c r="D42" i="35"/>
  <c r="F42" i="35"/>
  <c r="D22" i="35"/>
  <c r="F22" i="35"/>
  <c r="C22" i="35"/>
  <c r="E22" i="35"/>
  <c r="C13" i="35"/>
  <c r="E13" i="35"/>
  <c r="D13" i="35"/>
  <c r="F13" i="35"/>
  <c r="C19" i="33"/>
  <c r="E19" i="33"/>
  <c r="F19" i="33"/>
  <c r="D19" i="33"/>
  <c r="D11" i="33"/>
  <c r="E11" i="33"/>
  <c r="F11" i="33"/>
  <c r="C11" i="33"/>
  <c r="D41" i="33"/>
  <c r="E41" i="33"/>
  <c r="F41" i="33"/>
  <c r="C41" i="33"/>
  <c r="D55" i="33"/>
  <c r="E55" i="33"/>
  <c r="F55" i="33"/>
  <c r="C55" i="33"/>
  <c r="C20" i="38"/>
  <c r="C24" i="38" s="1"/>
  <c r="D23" i="67"/>
  <c r="C36" i="38"/>
  <c r="C41" i="38" s="1"/>
  <c r="C93" i="38" s="1"/>
  <c r="C11" i="38"/>
  <c r="C15" i="38" s="1"/>
  <c r="D60" i="59"/>
  <c r="E60" i="59"/>
  <c r="F60" i="59"/>
  <c r="C60" i="59"/>
  <c r="G60" i="59" s="1"/>
  <c r="D54" i="59"/>
  <c r="E54" i="59"/>
  <c r="F54" i="59"/>
  <c r="C54" i="59"/>
  <c r="G54" i="59" s="1"/>
  <c r="I54" i="59" s="1"/>
  <c r="D56" i="34"/>
  <c r="F56" i="34"/>
  <c r="C56" i="34"/>
  <c r="G56" i="34" s="1"/>
  <c r="I56" i="34" s="1"/>
  <c r="C119" i="36" s="1"/>
  <c r="L57" i="52" s="1"/>
  <c r="E56" i="34"/>
  <c r="E27" i="35"/>
  <c r="D27" i="35"/>
  <c r="F27" i="35"/>
  <c r="C27" i="35"/>
  <c r="G27" i="35" s="1"/>
  <c r="I27" i="35" s="1"/>
  <c r="C27" i="37" s="1"/>
  <c r="D28" i="53" s="1"/>
  <c r="F46" i="35"/>
  <c r="C46" i="35"/>
  <c r="G46" i="35" s="1"/>
  <c r="I46" i="35" s="1"/>
  <c r="C46" i="37" s="1"/>
  <c r="D47" i="53" s="1"/>
  <c r="E46" i="35"/>
  <c r="D46" i="35"/>
  <c r="C53" i="59"/>
  <c r="G53" i="59" s="1"/>
  <c r="I53" i="59" s="1"/>
  <c r="D53" i="59"/>
  <c r="E53" i="59"/>
  <c r="F53" i="59"/>
  <c r="E38" i="61"/>
  <c r="F38" i="61"/>
  <c r="C38" i="61"/>
  <c r="G38" i="61" s="1"/>
  <c r="I38" i="61" s="1"/>
  <c r="D38" i="61"/>
  <c r="C24" i="34"/>
  <c r="D24" i="34"/>
  <c r="F24" i="34"/>
  <c r="E24" i="34"/>
  <c r="F16" i="34"/>
  <c r="C16" i="34"/>
  <c r="G16" i="34" s="1"/>
  <c r="I16" i="34" s="1"/>
  <c r="C79" i="36" s="1"/>
  <c r="L17" i="52" s="1"/>
  <c r="D16" i="34"/>
  <c r="E16" i="34"/>
  <c r="E8" i="34"/>
  <c r="F8" i="34"/>
  <c r="D8" i="34"/>
  <c r="C8" i="34"/>
  <c r="C29" i="34"/>
  <c r="E29" i="34"/>
  <c r="D29" i="34"/>
  <c r="F29" i="34"/>
  <c r="C58" i="34"/>
  <c r="E58" i="34"/>
  <c r="D58" i="34"/>
  <c r="F58" i="34"/>
  <c r="D65" i="35"/>
  <c r="F65" i="35"/>
  <c r="C65" i="35"/>
  <c r="E65" i="35"/>
  <c r="C56" i="35"/>
  <c r="E56" i="35"/>
  <c r="D56" i="35"/>
  <c r="F56" i="35"/>
  <c r="E40" i="35"/>
  <c r="D40" i="35"/>
  <c r="F40" i="35"/>
  <c r="C40" i="35"/>
  <c r="F21" i="35"/>
  <c r="C21" i="35"/>
  <c r="E21" i="35"/>
  <c r="D21" i="35"/>
  <c r="C11" i="35"/>
  <c r="E11" i="35"/>
  <c r="D11" i="35"/>
  <c r="F11" i="35"/>
  <c r="D26" i="33"/>
  <c r="E26" i="33"/>
  <c r="F26" i="33"/>
  <c r="C26" i="33"/>
  <c r="D18" i="33"/>
  <c r="E18" i="33"/>
  <c r="F18" i="33"/>
  <c r="C18" i="33"/>
  <c r="D10" i="33"/>
  <c r="E10" i="33"/>
  <c r="F10" i="33"/>
  <c r="C10" i="33"/>
  <c r="D30" i="33"/>
  <c r="E30" i="33"/>
  <c r="F30" i="33"/>
  <c r="C30" i="33"/>
  <c r="D54" i="33"/>
  <c r="E54" i="33"/>
  <c r="C54" i="33"/>
  <c r="G54" i="33" s="1"/>
  <c r="I54" i="33" s="1"/>
  <c r="C54" i="36" s="1"/>
  <c r="D55" i="52" s="1"/>
  <c r="F54" i="33"/>
  <c r="C7" i="60"/>
  <c r="D7" i="60"/>
  <c r="E7" i="60"/>
  <c r="F7" i="60"/>
  <c r="C22" i="60"/>
  <c r="G22" i="60" s="1"/>
  <c r="I22" i="60" s="1"/>
  <c r="E22" i="60"/>
  <c r="F22" i="60"/>
  <c r="D22" i="60"/>
  <c r="E18" i="60"/>
  <c r="D18" i="60"/>
  <c r="F18" i="60"/>
  <c r="C18" i="60"/>
  <c r="G18" i="60" s="1"/>
  <c r="I18" i="60" s="1"/>
  <c r="F66" i="61"/>
  <c r="C66" i="61"/>
  <c r="G66" i="61" s="1"/>
  <c r="I66" i="61" s="1"/>
  <c r="E66" i="61"/>
  <c r="D66" i="61"/>
  <c r="F58" i="61"/>
  <c r="C58" i="61"/>
  <c r="G58" i="61" s="1"/>
  <c r="I58" i="61" s="1"/>
  <c r="E58" i="61"/>
  <c r="D58" i="61"/>
  <c r="C42" i="61"/>
  <c r="G42" i="61" s="1"/>
  <c r="I42" i="61" s="1"/>
  <c r="E42" i="61"/>
  <c r="D42" i="61"/>
  <c r="F42" i="61"/>
  <c r="C22" i="61"/>
  <c r="E22" i="61"/>
  <c r="D22" i="61"/>
  <c r="F22" i="61"/>
  <c r="C13" i="61"/>
  <c r="E13" i="61"/>
  <c r="D13" i="61"/>
  <c r="F13" i="61"/>
  <c r="E44" i="60"/>
  <c r="C44" i="60"/>
  <c r="D44" i="60"/>
  <c r="F44" i="60"/>
  <c r="B15" i="67"/>
  <c r="C25" i="38"/>
  <c r="C29" i="38" s="1"/>
  <c r="D28" i="67"/>
  <c r="B77" i="67"/>
  <c r="G43" i="35"/>
  <c r="I43" i="35" s="1"/>
  <c r="C43" i="37" s="1"/>
  <c r="D44" i="53" s="1"/>
  <c r="D43" i="59"/>
  <c r="E43" i="59"/>
  <c r="F43" i="59"/>
  <c r="C43" i="59"/>
  <c r="G43" i="59" s="1"/>
  <c r="I43" i="59" s="1"/>
  <c r="D37" i="59"/>
  <c r="E37" i="59"/>
  <c r="F37" i="59"/>
  <c r="C37" i="59"/>
  <c r="G37" i="59" s="1"/>
  <c r="I37" i="59" s="1"/>
  <c r="G30" i="59"/>
  <c r="I30" i="59" s="1"/>
  <c r="D24" i="59"/>
  <c r="E24" i="59"/>
  <c r="F24" i="59"/>
  <c r="C24" i="59"/>
  <c r="G24" i="59" s="1"/>
  <c r="I24" i="59" s="1"/>
  <c r="D18" i="59"/>
  <c r="E18" i="59"/>
  <c r="F18" i="59"/>
  <c r="C18" i="59"/>
  <c r="G18" i="59" s="1"/>
  <c r="I18" i="59" s="1"/>
  <c r="D14" i="59"/>
  <c r="E14" i="59"/>
  <c r="F14" i="59"/>
  <c r="C14" i="59"/>
  <c r="G14" i="59" s="1"/>
  <c r="I14" i="59" s="1"/>
  <c r="D10" i="59"/>
  <c r="E10" i="59"/>
  <c r="F10" i="59"/>
  <c r="C10" i="59"/>
  <c r="G10" i="59" s="1"/>
  <c r="I10" i="59" s="1"/>
  <c r="L60" i="48"/>
  <c r="G24" i="35"/>
  <c r="I24" i="35" s="1"/>
  <c r="C24" i="37" s="1"/>
  <c r="D25" i="53" s="1"/>
  <c r="E7" i="35"/>
  <c r="D7" i="35"/>
  <c r="F7" i="35"/>
  <c r="C7" i="35"/>
  <c r="C34" i="35"/>
  <c r="G34" i="35" s="1"/>
  <c r="I34" i="35" s="1"/>
  <c r="C34" i="37" s="1"/>
  <c r="D35" i="53" s="1"/>
  <c r="E34" i="35"/>
  <c r="D34" i="35"/>
  <c r="F34" i="35"/>
  <c r="C45" i="35"/>
  <c r="G45" i="35" s="1"/>
  <c r="I45" i="35" s="1"/>
  <c r="C45" i="37" s="1"/>
  <c r="D46" i="53" s="1"/>
  <c r="E45" i="35"/>
  <c r="D45" i="35"/>
  <c r="F45" i="35"/>
  <c r="D56" i="59"/>
  <c r="F56" i="59"/>
  <c r="C56" i="59"/>
  <c r="G56" i="59" s="1"/>
  <c r="I56" i="59" s="1"/>
  <c r="E56" i="59"/>
  <c r="D39" i="61"/>
  <c r="E39" i="61"/>
  <c r="F39" i="61"/>
  <c r="C39" i="61"/>
  <c r="G39" i="61" s="1"/>
  <c r="I39" i="61" s="1"/>
  <c r="F23" i="34"/>
  <c r="C23" i="34"/>
  <c r="D23" i="34"/>
  <c r="E23" i="34"/>
  <c r="C15" i="34"/>
  <c r="D15" i="34"/>
  <c r="E15" i="34"/>
  <c r="F15" i="34"/>
  <c r="C7" i="34"/>
  <c r="E7" i="34"/>
  <c r="D7" i="34"/>
  <c r="F7" i="34"/>
  <c r="C28" i="34"/>
  <c r="E28" i="34"/>
  <c r="D28" i="34"/>
  <c r="F28" i="34"/>
  <c r="E57" i="34"/>
  <c r="D57" i="34"/>
  <c r="F57" i="34"/>
  <c r="C57" i="34"/>
  <c r="F64" i="35"/>
  <c r="C64" i="35"/>
  <c r="E64" i="35"/>
  <c r="D64" i="35"/>
  <c r="C55" i="35"/>
  <c r="E55" i="35"/>
  <c r="D55" i="35"/>
  <c r="F55" i="35"/>
  <c r="C35" i="35"/>
  <c r="E35" i="35"/>
  <c r="D35" i="35"/>
  <c r="F35" i="35"/>
  <c r="C20" i="35"/>
  <c r="E20" i="35"/>
  <c r="D20" i="35"/>
  <c r="F20" i="35"/>
  <c r="F9" i="35"/>
  <c r="C9" i="35"/>
  <c r="E9" i="35"/>
  <c r="D9" i="35"/>
  <c r="D25" i="33"/>
  <c r="E25" i="33"/>
  <c r="F25" i="33"/>
  <c r="C25" i="33"/>
  <c r="D17" i="33"/>
  <c r="E17" i="33"/>
  <c r="F17" i="33"/>
  <c r="C17" i="33"/>
  <c r="D9" i="33"/>
  <c r="E9" i="33"/>
  <c r="F9" i="33"/>
  <c r="C9" i="33"/>
  <c r="D39" i="33"/>
  <c r="E39" i="33"/>
  <c r="C39" i="33"/>
  <c r="F39" i="33"/>
  <c r="D51" i="33"/>
  <c r="E51" i="33"/>
  <c r="C51" i="33"/>
  <c r="F51" i="33"/>
  <c r="G33" i="33"/>
  <c r="I33" i="33" s="1"/>
  <c r="C33" i="36" s="1"/>
  <c r="D34" i="52" s="1"/>
  <c r="C44" i="67"/>
  <c r="D51" i="59"/>
  <c r="E51" i="59"/>
  <c r="F51" i="59"/>
  <c r="C51" i="59"/>
  <c r="G51" i="59" s="1"/>
  <c r="I51" i="59" s="1"/>
  <c r="G15" i="61"/>
  <c r="I15" i="61" s="1"/>
  <c r="E50" i="33"/>
  <c r="F50" i="33"/>
  <c r="C50" i="33"/>
  <c r="G50" i="33" s="1"/>
  <c r="I50" i="33" s="1"/>
  <c r="C50" i="36" s="1"/>
  <c r="D51" i="52" s="1"/>
  <c r="D50" i="33"/>
  <c r="C8" i="35"/>
  <c r="E8" i="35"/>
  <c r="D8" i="35"/>
  <c r="F8" i="35"/>
  <c r="C36" i="35"/>
  <c r="G36" i="35" s="1"/>
  <c r="I36" i="35" s="1"/>
  <c r="C36" i="37" s="1"/>
  <c r="D37" i="53" s="1"/>
  <c r="E36" i="35"/>
  <c r="D36" i="35"/>
  <c r="F36" i="35"/>
  <c r="C44" i="35"/>
  <c r="G44" i="35" s="1"/>
  <c r="I44" i="35" s="1"/>
  <c r="C44" i="37" s="1"/>
  <c r="D45" i="53" s="1"/>
  <c r="E44" i="35"/>
  <c r="D44" i="35"/>
  <c r="F44" i="35"/>
  <c r="C7" i="61"/>
  <c r="D7" i="61"/>
  <c r="E7" i="61"/>
  <c r="F7" i="61"/>
  <c r="C41" i="61"/>
  <c r="D41" i="61"/>
  <c r="E41" i="61"/>
  <c r="F41" i="61"/>
  <c r="C22" i="34"/>
  <c r="G22" i="34" s="1"/>
  <c r="I22" i="34" s="1"/>
  <c r="C85" i="36" s="1"/>
  <c r="L23" i="52" s="1"/>
  <c r="E22" i="34"/>
  <c r="D22" i="34"/>
  <c r="F22" i="34"/>
  <c r="C14" i="34"/>
  <c r="E14" i="34"/>
  <c r="D14" i="34"/>
  <c r="F14" i="34"/>
  <c r="C38" i="34"/>
  <c r="D38" i="34"/>
  <c r="E38" i="34"/>
  <c r="F38" i="34"/>
  <c r="D72" i="35"/>
  <c r="F72" i="35"/>
  <c r="C72" i="35"/>
  <c r="E72" i="35"/>
  <c r="C63" i="35"/>
  <c r="E63" i="35"/>
  <c r="D63" i="35"/>
  <c r="F63" i="35"/>
  <c r="C54" i="35"/>
  <c r="E54" i="35"/>
  <c r="D54" i="35"/>
  <c r="F54" i="35"/>
  <c r="C33" i="35"/>
  <c r="E33" i="35"/>
  <c r="D33" i="35"/>
  <c r="F33" i="35"/>
  <c r="C18" i="35"/>
  <c r="E18" i="35"/>
  <c r="D18" i="35"/>
  <c r="F18" i="35"/>
  <c r="C6" i="35"/>
  <c r="E6" i="35"/>
  <c r="D6" i="35"/>
  <c r="F6" i="35"/>
  <c r="D24" i="33"/>
  <c r="E24" i="33"/>
  <c r="C24" i="33"/>
  <c r="F24" i="33"/>
  <c r="D16" i="33"/>
  <c r="E16" i="33"/>
  <c r="F16" i="33"/>
  <c r="C16" i="33"/>
  <c r="D8" i="33"/>
  <c r="E8" i="33"/>
  <c r="F8" i="33"/>
  <c r="C8" i="33"/>
  <c r="D46" i="33"/>
  <c r="C46" i="33"/>
  <c r="F46" i="33"/>
  <c r="E46" i="33"/>
  <c r="D49" i="33"/>
  <c r="D58" i="33" s="1"/>
  <c r="E49" i="33"/>
  <c r="E58" i="33" s="1"/>
  <c r="F49" i="33"/>
  <c r="F58" i="33" s="1"/>
  <c r="C49" i="33"/>
  <c r="C58" i="33" s="1"/>
  <c r="D28" i="61"/>
  <c r="E28" i="61"/>
  <c r="F28" i="61"/>
  <c r="C28" i="61"/>
  <c r="G28" i="61" s="1"/>
  <c r="I28" i="61" s="1"/>
  <c r="D25" i="60"/>
  <c r="E25" i="60"/>
  <c r="F25" i="60"/>
  <c r="C25" i="60"/>
  <c r="G25" i="60" s="1"/>
  <c r="I25" i="60" s="1"/>
  <c r="G69" i="61"/>
  <c r="I69" i="61" s="1"/>
  <c r="G60" i="61"/>
  <c r="I60" i="61" s="1"/>
  <c r="G50" i="61"/>
  <c r="I50" i="61" s="1"/>
  <c r="G29" i="61"/>
  <c r="I29" i="61" s="1"/>
  <c r="G24" i="61"/>
  <c r="I24" i="61" s="1"/>
  <c r="C52" i="33"/>
  <c r="G52" i="33" s="1"/>
  <c r="I52" i="33" s="1"/>
  <c r="C52" i="36" s="1"/>
  <c r="D53" i="52" s="1"/>
  <c r="E52" i="33"/>
  <c r="F52" i="33"/>
  <c r="D52" i="33"/>
  <c r="C12" i="35"/>
  <c r="G12" i="35" s="1"/>
  <c r="I12" i="35" s="1"/>
  <c r="C12" i="37" s="1"/>
  <c r="D13" i="53" s="1"/>
  <c r="E12" i="35"/>
  <c r="D12" i="35"/>
  <c r="F12" i="35"/>
  <c r="D39" i="35"/>
  <c r="F39" i="35"/>
  <c r="C39" i="35"/>
  <c r="G39" i="35" s="1"/>
  <c r="I39" i="35" s="1"/>
  <c r="C39" i="37" s="1"/>
  <c r="D40" i="53" s="1"/>
  <c r="E39" i="35"/>
  <c r="E48" i="35"/>
  <c r="D48" i="35"/>
  <c r="F48" i="35"/>
  <c r="C48" i="35"/>
  <c r="G48" i="35" s="1"/>
  <c r="I48" i="35" s="1"/>
  <c r="C48" i="37" s="1"/>
  <c r="D49" i="53" s="1"/>
  <c r="C8" i="61"/>
  <c r="G8" i="61" s="1"/>
  <c r="I8" i="61" s="1"/>
  <c r="D8" i="61"/>
  <c r="E8" i="61"/>
  <c r="F8" i="61"/>
  <c r="D43" i="61"/>
  <c r="E43" i="61"/>
  <c r="F43" i="61"/>
  <c r="C43" i="61"/>
  <c r="G43" i="61" s="1"/>
  <c r="I43" i="61" s="1"/>
  <c r="D21" i="34"/>
  <c r="F21" i="34"/>
  <c r="C21" i="34"/>
  <c r="E21" i="34"/>
  <c r="E13" i="34"/>
  <c r="D13" i="34"/>
  <c r="F13" i="34"/>
  <c r="C13" i="34"/>
  <c r="C35" i="34"/>
  <c r="E35" i="34"/>
  <c r="D35" i="34"/>
  <c r="F35" i="34"/>
  <c r="F41" i="34"/>
  <c r="C41" i="34"/>
  <c r="G41" i="34" s="1"/>
  <c r="I41" i="34" s="1"/>
  <c r="C104" i="36" s="1"/>
  <c r="E41" i="34"/>
  <c r="D41" i="34"/>
  <c r="F71" i="35"/>
  <c r="C71" i="35"/>
  <c r="E71" i="35"/>
  <c r="D71" i="35"/>
  <c r="C62" i="35"/>
  <c r="E62" i="35"/>
  <c r="D62" i="35"/>
  <c r="F62" i="35"/>
  <c r="C52" i="35"/>
  <c r="C49" i="67" s="1"/>
  <c r="D52" i="35"/>
  <c r="E52" i="35"/>
  <c r="F52" i="35"/>
  <c r="E32" i="35"/>
  <c r="D32" i="35"/>
  <c r="F32" i="35"/>
  <c r="C32" i="35"/>
  <c r="C17" i="35"/>
  <c r="E17" i="35"/>
  <c r="D17" i="35"/>
  <c r="F17" i="35"/>
  <c r="E54" i="34"/>
  <c r="D54" i="34"/>
  <c r="F54" i="34"/>
  <c r="C54" i="34"/>
  <c r="D23" i="33"/>
  <c r="E23" i="33"/>
  <c r="F23" i="33"/>
  <c r="C23" i="33"/>
  <c r="D15" i="33"/>
  <c r="E15" i="33"/>
  <c r="F15" i="33"/>
  <c r="C15" i="33"/>
  <c r="D7" i="33"/>
  <c r="E7" i="33"/>
  <c r="F7" i="33"/>
  <c r="C7" i="33"/>
  <c r="D45" i="33"/>
  <c r="E45" i="33"/>
  <c r="F45" i="33"/>
  <c r="C45" i="33"/>
  <c r="D37" i="33"/>
  <c r="E37" i="33"/>
  <c r="F37" i="33"/>
  <c r="C37" i="33"/>
  <c r="E27" i="61"/>
  <c r="F27" i="61"/>
  <c r="C27" i="61"/>
  <c r="G27" i="61" s="1"/>
  <c r="I27" i="61" s="1"/>
  <c r="D27" i="61"/>
  <c r="C58" i="60"/>
  <c r="D58" i="60"/>
  <c r="E58" i="60"/>
  <c r="F58" i="60"/>
  <c r="G32" i="34"/>
  <c r="I32" i="34" s="1"/>
  <c r="C95" i="36" s="1"/>
  <c r="L33" i="52" s="1"/>
  <c r="G60" i="33"/>
  <c r="G66" i="35"/>
  <c r="I66" i="35" s="1"/>
  <c r="C66" i="37" s="1"/>
  <c r="D67" i="53" s="1"/>
  <c r="G58" i="35"/>
  <c r="I58" i="35" s="1"/>
  <c r="C58" i="37" s="1"/>
  <c r="D9" i="67"/>
  <c r="D15" i="67" s="1"/>
  <c r="C7" i="38"/>
  <c r="C10" i="38" s="1"/>
  <c r="C16" i="38" s="1"/>
  <c r="G47" i="35"/>
  <c r="I47" i="35" s="1"/>
  <c r="C47" i="37" s="1"/>
  <c r="D48" i="53" s="1"/>
  <c r="G25" i="35"/>
  <c r="I25" i="35" s="1"/>
  <c r="C25" i="37" s="1"/>
  <c r="D26" i="53" s="1"/>
  <c r="G14" i="35"/>
  <c r="I14" i="35" s="1"/>
  <c r="C14" i="37" s="1"/>
  <c r="D15" i="53" s="1"/>
  <c r="F7" i="6"/>
  <c r="D57" i="5"/>
  <c r="D67" i="5" s="1"/>
  <c r="D73" i="5" s="1"/>
  <c r="G7" i="61"/>
  <c r="I7" i="61" s="1"/>
  <c r="G28" i="35"/>
  <c r="I28" i="35" s="1"/>
  <c r="C28" i="37" s="1"/>
  <c r="D29" i="53" s="1"/>
  <c r="G34" i="61"/>
  <c r="I34" i="61" s="1"/>
  <c r="G41" i="61"/>
  <c r="I41" i="61" s="1"/>
  <c r="G48" i="61"/>
  <c r="I48" i="61" s="1"/>
  <c r="F47" i="34"/>
  <c r="F46" i="34" s="1"/>
  <c r="E47" i="34"/>
  <c r="E46" i="34" s="1"/>
  <c r="D47" i="34"/>
  <c r="D46" i="34" s="1"/>
  <c r="C47" i="34"/>
  <c r="C46" i="34" s="1"/>
  <c r="G46" i="34" s="1"/>
  <c r="I46" i="34" s="1"/>
  <c r="C109" i="36" s="1"/>
  <c r="L47" i="52" s="1"/>
  <c r="G41" i="60"/>
  <c r="I41" i="60" s="1"/>
  <c r="G45" i="59"/>
  <c r="I45" i="59" s="1"/>
  <c r="G41" i="59"/>
  <c r="I41" i="59" s="1"/>
  <c r="G33" i="59"/>
  <c r="I33" i="59" s="1"/>
  <c r="G26" i="59"/>
  <c r="I26" i="59" s="1"/>
  <c r="G22" i="59"/>
  <c r="I22" i="59" s="1"/>
  <c r="G16" i="59"/>
  <c r="I16" i="59" s="1"/>
  <c r="G12" i="59"/>
  <c r="I12" i="59" s="1"/>
  <c r="G8" i="59"/>
  <c r="I8" i="59" s="1"/>
  <c r="D57" i="59"/>
  <c r="E57" i="59"/>
  <c r="F57" i="59"/>
  <c r="C57" i="59"/>
  <c r="G57" i="59" s="1"/>
  <c r="I57" i="59" s="1"/>
  <c r="D49" i="59"/>
  <c r="D58" i="59" s="1"/>
  <c r="E49" i="59"/>
  <c r="E58" i="59" s="1"/>
  <c r="F49" i="59"/>
  <c r="C49" i="59"/>
  <c r="C58" i="59" s="1"/>
  <c r="G33" i="34"/>
  <c r="I33" i="34" s="1"/>
  <c r="C96" i="36" s="1"/>
  <c r="L34" i="52" s="1"/>
  <c r="G22" i="61"/>
  <c r="I22" i="61" s="1"/>
  <c r="G13" i="61"/>
  <c r="I13" i="61" s="1"/>
  <c r="G23" i="61"/>
  <c r="I23" i="61" s="1"/>
  <c r="C53" i="33"/>
  <c r="G53" i="33" s="1"/>
  <c r="I53" i="33" s="1"/>
  <c r="C53" i="36" s="1"/>
  <c r="D54" i="52" s="1"/>
  <c r="D53" i="33"/>
  <c r="E53" i="33"/>
  <c r="F53" i="33"/>
  <c r="E23" i="35"/>
  <c r="D23" i="35"/>
  <c r="F23" i="35"/>
  <c r="C23" i="35"/>
  <c r="G23" i="35" s="1"/>
  <c r="I23" i="35" s="1"/>
  <c r="C23" i="37" s="1"/>
  <c r="D24" i="53" s="1"/>
  <c r="F38" i="35"/>
  <c r="C38" i="35"/>
  <c r="G38" i="35" s="1"/>
  <c r="I38" i="35" s="1"/>
  <c r="C38" i="37" s="1"/>
  <c r="D39" i="53" s="1"/>
  <c r="E38" i="35"/>
  <c r="D38" i="35"/>
  <c r="C19" i="59"/>
  <c r="C27" i="59" s="1"/>
  <c r="D19" i="59"/>
  <c r="D27" i="59" s="1"/>
  <c r="E19" i="59"/>
  <c r="E27" i="59" s="1"/>
  <c r="F19" i="59"/>
  <c r="F27" i="59" s="1"/>
  <c r="E12" i="61"/>
  <c r="F12" i="61"/>
  <c r="C12" i="61"/>
  <c r="G12" i="61" s="1"/>
  <c r="I12" i="61" s="1"/>
  <c r="D12" i="61"/>
  <c r="C44" i="61"/>
  <c r="G44" i="61" s="1"/>
  <c r="I44" i="61" s="1"/>
  <c r="D44" i="61"/>
  <c r="E44" i="61"/>
  <c r="F44" i="61"/>
  <c r="C20" i="34"/>
  <c r="G20" i="34" s="1"/>
  <c r="I20" i="34" s="1"/>
  <c r="C83" i="36" s="1"/>
  <c r="L21" i="52" s="1"/>
  <c r="E20" i="34"/>
  <c r="D20" i="34"/>
  <c r="F20" i="34"/>
  <c r="C12" i="34"/>
  <c r="D12" i="34"/>
  <c r="E12" i="34"/>
  <c r="F12" i="34"/>
  <c r="E34" i="34"/>
  <c r="D34" i="34"/>
  <c r="F34" i="34"/>
  <c r="C34" i="34"/>
  <c r="C40" i="34"/>
  <c r="E40" i="34"/>
  <c r="D40" i="34"/>
  <c r="F40" i="34"/>
  <c r="C70" i="35"/>
  <c r="E70" i="35"/>
  <c r="D70" i="35"/>
  <c r="F70" i="35"/>
  <c r="C61" i="35"/>
  <c r="E61" i="35"/>
  <c r="D61" i="35"/>
  <c r="F61" i="35"/>
  <c r="E51" i="35"/>
  <c r="F51" i="35"/>
  <c r="C51" i="35"/>
  <c r="D51" i="35"/>
  <c r="F31" i="35"/>
  <c r="C31" i="35"/>
  <c r="C59" i="67" s="1"/>
  <c r="D59" i="67" s="1"/>
  <c r="C68" i="38" s="1"/>
  <c r="D31" i="35"/>
  <c r="E31" i="35"/>
  <c r="E16" i="35"/>
  <c r="D16" i="35"/>
  <c r="F16" i="35"/>
  <c r="C16" i="35"/>
  <c r="F52" i="34"/>
  <c r="C52" i="34"/>
  <c r="G52" i="34" s="1"/>
  <c r="I52" i="34" s="1"/>
  <c r="C115" i="36" s="1"/>
  <c r="L53" i="52" s="1"/>
  <c r="E52" i="34"/>
  <c r="D52" i="34"/>
  <c r="D22" i="33"/>
  <c r="E22" i="33"/>
  <c r="F22" i="33"/>
  <c r="C22" i="33"/>
  <c r="D14" i="33"/>
  <c r="E14" i="33"/>
  <c r="F14" i="33"/>
  <c r="C14" i="33"/>
  <c r="D44" i="33"/>
  <c r="E44" i="33"/>
  <c r="F44" i="33"/>
  <c r="C44" i="33"/>
  <c r="G44" i="33" s="1"/>
  <c r="I44" i="33" s="1"/>
  <c r="C44" i="36" s="1"/>
  <c r="D36" i="33"/>
  <c r="D38" i="33" s="1"/>
  <c r="D40" i="33" s="1"/>
  <c r="E36" i="33"/>
  <c r="E38" i="33" s="1"/>
  <c r="E40" i="33" s="1"/>
  <c r="E47" i="33" s="1"/>
  <c r="C36" i="33"/>
  <c r="F36" i="33"/>
  <c r="F38" i="33" s="1"/>
  <c r="F40" i="33" s="1"/>
  <c r="F47" i="33" s="1"/>
  <c r="D61" i="33"/>
  <c r="E61" i="33"/>
  <c r="F61" i="33"/>
  <c r="C61" i="33"/>
  <c r="G61" i="33" s="1"/>
  <c r="I61" i="33" s="1"/>
  <c r="C61" i="36" s="1"/>
  <c r="D62" i="52" s="1"/>
  <c r="F26" i="61"/>
  <c r="C26" i="61"/>
  <c r="G26" i="61" s="1"/>
  <c r="I26" i="61" s="1"/>
  <c r="D26" i="61"/>
  <c r="E26" i="61"/>
  <c r="E24" i="60"/>
  <c r="F24" i="60"/>
  <c r="C24" i="60"/>
  <c r="G24" i="60" s="1"/>
  <c r="I24" i="60" s="1"/>
  <c r="D24" i="60"/>
  <c r="C20" i="60"/>
  <c r="G20" i="60" s="1"/>
  <c r="I20" i="60" s="1"/>
  <c r="E20" i="60"/>
  <c r="D20" i="60"/>
  <c r="F20" i="60"/>
  <c r="G43" i="33"/>
  <c r="I43" i="33" s="1"/>
  <c r="C43" i="36" s="1"/>
  <c r="D44" i="52" s="1"/>
  <c r="B29" i="67"/>
  <c r="G30" i="34"/>
  <c r="I30" i="34" s="1"/>
  <c r="C93" i="36" s="1"/>
  <c r="L31" i="52" s="1"/>
  <c r="G55" i="33"/>
  <c r="I55" i="33" s="1"/>
  <c r="C55" i="36" s="1"/>
  <c r="D56" i="52" s="1"/>
  <c r="G42" i="33"/>
  <c r="I42" i="33" s="1"/>
  <c r="C42" i="36" s="1"/>
  <c r="D43" i="52" s="1"/>
  <c r="G64" i="35"/>
  <c r="I64" i="35" s="1"/>
  <c r="C64" i="37" s="1"/>
  <c r="D65" i="53" s="1"/>
  <c r="G55" i="35"/>
  <c r="I55" i="35" s="1"/>
  <c r="C55" i="37" s="1"/>
  <c r="D56" i="53" s="1"/>
  <c r="G40" i="35"/>
  <c r="I40" i="35" s="1"/>
  <c r="C40" i="37" s="1"/>
  <c r="D41" i="53" s="1"/>
  <c r="G21" i="35"/>
  <c r="I21" i="35" s="1"/>
  <c r="C21" i="37" s="1"/>
  <c r="D22" i="53" s="1"/>
  <c r="G11" i="35"/>
  <c r="I11" i="35" s="1"/>
  <c r="C11" i="37" s="1"/>
  <c r="G17" i="33"/>
  <c r="I17" i="33" s="1"/>
  <c r="C17" i="36" s="1"/>
  <c r="D18" i="52" s="1"/>
  <c r="G13" i="33"/>
  <c r="I13" i="33" s="1"/>
  <c r="C13" i="36" s="1"/>
  <c r="D14" i="52" s="1"/>
  <c r="G9" i="33"/>
  <c r="I9" i="33" s="1"/>
  <c r="C9" i="36" s="1"/>
  <c r="D10" i="52" s="1"/>
  <c r="C11" i="60"/>
  <c r="G11" i="60" s="1"/>
  <c r="I11" i="60" s="1"/>
  <c r="D11" i="60"/>
  <c r="E11" i="60"/>
  <c r="C28" i="60"/>
  <c r="E28" i="60"/>
  <c r="F28" i="60"/>
  <c r="C32" i="60"/>
  <c r="G32" i="60" s="1"/>
  <c r="I32" i="60" s="1"/>
  <c r="D32" i="60"/>
  <c r="E32" i="60"/>
  <c r="C38" i="60"/>
  <c r="G38" i="60" s="1"/>
  <c r="E38" i="60"/>
  <c r="F38" i="60"/>
  <c r="C65" i="61"/>
  <c r="G65" i="61" s="1"/>
  <c r="I65" i="61" s="1"/>
  <c r="E65" i="61"/>
  <c r="D65" i="61"/>
  <c r="F65" i="61"/>
  <c r="E56" i="61"/>
  <c r="D56" i="61"/>
  <c r="F56" i="61"/>
  <c r="C56" i="61"/>
  <c r="G56" i="61" s="1"/>
  <c r="I56" i="61" s="1"/>
  <c r="F40" i="61"/>
  <c r="C40" i="61"/>
  <c r="G40" i="61" s="1"/>
  <c r="I40" i="61" s="1"/>
  <c r="E40" i="61"/>
  <c r="D40" i="61"/>
  <c r="C21" i="61"/>
  <c r="G21" i="61" s="1"/>
  <c r="I21" i="61" s="1"/>
  <c r="E21" i="61"/>
  <c r="D21" i="61"/>
  <c r="F21" i="61"/>
  <c r="C11" i="61"/>
  <c r="G11" i="61" s="1"/>
  <c r="I11" i="61" s="1"/>
  <c r="E11" i="61"/>
  <c r="D11" i="61"/>
  <c r="F11" i="61"/>
  <c r="E52" i="60"/>
  <c r="D52" i="60"/>
  <c r="C52" i="60"/>
  <c r="G52" i="60" s="1"/>
  <c r="I52" i="60" s="1"/>
  <c r="F52" i="60"/>
  <c r="G29" i="34"/>
  <c r="I29" i="34" s="1"/>
  <c r="C92" i="36" s="1"/>
  <c r="L30" i="52" s="1"/>
  <c r="G41" i="33"/>
  <c r="I41" i="33" s="1"/>
  <c r="C41" i="36" s="1"/>
  <c r="D42" i="52" s="1"/>
  <c r="G72" i="35"/>
  <c r="I72" i="35" s="1"/>
  <c r="C72" i="37" s="1"/>
  <c r="D73" i="53" s="1"/>
  <c r="G63" i="35"/>
  <c r="I63" i="35" s="1"/>
  <c r="C63" i="37" s="1"/>
  <c r="D64" i="53" s="1"/>
  <c r="G35" i="35"/>
  <c r="I35" i="35" s="1"/>
  <c r="C35" i="37" s="1"/>
  <c r="D36" i="53" s="1"/>
  <c r="G20" i="35"/>
  <c r="I20" i="35" s="1"/>
  <c r="C20" i="37" s="1"/>
  <c r="D21" i="53" s="1"/>
  <c r="G6" i="35"/>
  <c r="G24" i="33"/>
  <c r="I24" i="33" s="1"/>
  <c r="C24" i="36" s="1"/>
  <c r="D25" i="52" s="1"/>
  <c r="G20" i="33"/>
  <c r="I20" i="33" s="1"/>
  <c r="C20" i="36" s="1"/>
  <c r="D21" i="52" s="1"/>
  <c r="F11" i="60"/>
  <c r="E56" i="60"/>
  <c r="F56" i="60"/>
  <c r="C56" i="60"/>
  <c r="G56" i="60" s="1"/>
  <c r="I56" i="60" s="1"/>
  <c r="D56" i="60"/>
  <c r="C64" i="61"/>
  <c r="G64" i="61" s="1"/>
  <c r="I64" i="61" s="1"/>
  <c r="E64" i="61"/>
  <c r="D64" i="61"/>
  <c r="F64" i="61"/>
  <c r="C55" i="61"/>
  <c r="G55" i="61" s="1"/>
  <c r="I55" i="61" s="1"/>
  <c r="E55" i="61"/>
  <c r="D55" i="61"/>
  <c r="F55" i="61"/>
  <c r="C35" i="61"/>
  <c r="G35" i="61" s="1"/>
  <c r="I35" i="61" s="1"/>
  <c r="E35" i="61"/>
  <c r="D35" i="61"/>
  <c r="F35" i="61"/>
  <c r="E20" i="61"/>
  <c r="D20" i="61"/>
  <c r="F20" i="61"/>
  <c r="C20" i="61"/>
  <c r="G20" i="61" s="1"/>
  <c r="I20" i="61" s="1"/>
  <c r="F9" i="61"/>
  <c r="C9" i="61"/>
  <c r="G9" i="61" s="1"/>
  <c r="I9" i="61" s="1"/>
  <c r="E9" i="61"/>
  <c r="D9" i="61"/>
  <c r="F60" i="60"/>
  <c r="C60" i="60"/>
  <c r="G60" i="60" s="1"/>
  <c r="I60" i="60" s="1"/>
  <c r="D60" i="60"/>
  <c r="E60" i="60"/>
  <c r="G60" i="34"/>
  <c r="I60" i="34" s="1"/>
  <c r="C123" i="36" s="1"/>
  <c r="L61" i="52" s="1"/>
  <c r="G40" i="34"/>
  <c r="I40" i="34" s="1"/>
  <c r="C103" i="36" s="1"/>
  <c r="L41" i="52" s="1"/>
  <c r="G28" i="34"/>
  <c r="G51" i="33"/>
  <c r="I51" i="33" s="1"/>
  <c r="C51" i="36" s="1"/>
  <c r="D52" i="52" s="1"/>
  <c r="G39" i="33"/>
  <c r="I39" i="33" s="1"/>
  <c r="C39" i="36" s="1"/>
  <c r="D40" i="52" s="1"/>
  <c r="G71" i="35"/>
  <c r="I71" i="35" s="1"/>
  <c r="C71" i="37" s="1"/>
  <c r="D72" i="53" s="1"/>
  <c r="G62" i="35"/>
  <c r="I62" i="35" s="1"/>
  <c r="C62" i="37" s="1"/>
  <c r="D63" i="53" s="1"/>
  <c r="G33" i="35"/>
  <c r="I33" i="35" s="1"/>
  <c r="C33" i="37" s="1"/>
  <c r="D34" i="53" s="1"/>
  <c r="G18" i="35"/>
  <c r="I18" i="35" s="1"/>
  <c r="C18" i="37" s="1"/>
  <c r="D19" i="53" s="1"/>
  <c r="G54" i="35"/>
  <c r="I54" i="35" s="1"/>
  <c r="C54" i="37" s="1"/>
  <c r="G16" i="33"/>
  <c r="I16" i="33" s="1"/>
  <c r="C16" i="36" s="1"/>
  <c r="D17" i="52" s="1"/>
  <c r="G12" i="33"/>
  <c r="I12" i="33" s="1"/>
  <c r="C12" i="36" s="1"/>
  <c r="G8" i="33"/>
  <c r="I8" i="33" s="1"/>
  <c r="C8" i="36" s="1"/>
  <c r="D9" i="52" s="1"/>
  <c r="D28" i="60"/>
  <c r="D14" i="60"/>
  <c r="F14" i="60"/>
  <c r="D10" i="60"/>
  <c r="E10" i="60"/>
  <c r="F10" i="60"/>
  <c r="C10" i="60"/>
  <c r="G10" i="60" s="1"/>
  <c r="I10" i="60" s="1"/>
  <c r="D35" i="60"/>
  <c r="F35" i="60"/>
  <c r="D31" i="60"/>
  <c r="E31" i="60"/>
  <c r="F31" i="60"/>
  <c r="C31" i="60"/>
  <c r="G31" i="60" s="1"/>
  <c r="I31" i="60" s="1"/>
  <c r="D40" i="60"/>
  <c r="F40" i="60"/>
  <c r="E72" i="61"/>
  <c r="D72" i="61"/>
  <c r="F72" i="61"/>
  <c r="C72" i="61"/>
  <c r="G72" i="61" s="1"/>
  <c r="I72" i="61" s="1"/>
  <c r="D63" i="61"/>
  <c r="F63" i="61"/>
  <c r="C63" i="61"/>
  <c r="G63" i="61" s="1"/>
  <c r="I63" i="61" s="1"/>
  <c r="E63" i="61"/>
  <c r="F54" i="61"/>
  <c r="C54" i="61"/>
  <c r="G54" i="61" s="1"/>
  <c r="I54" i="61" s="1"/>
  <c r="E54" i="61"/>
  <c r="D54" i="61"/>
  <c r="C33" i="61"/>
  <c r="G33" i="61" s="1"/>
  <c r="I33" i="61" s="1"/>
  <c r="E33" i="61"/>
  <c r="D33" i="61"/>
  <c r="F33" i="61"/>
  <c r="C18" i="61"/>
  <c r="G18" i="61" s="1"/>
  <c r="I18" i="61" s="1"/>
  <c r="E18" i="61"/>
  <c r="D18" i="61"/>
  <c r="F18" i="61"/>
  <c r="C6" i="61"/>
  <c r="G6" i="61" s="1"/>
  <c r="E6" i="61"/>
  <c r="D6" i="61"/>
  <c r="F6" i="61"/>
  <c r="F51" i="60"/>
  <c r="E51" i="60"/>
  <c r="C51" i="60"/>
  <c r="G51" i="60" s="1"/>
  <c r="I51" i="60" s="1"/>
  <c r="D51" i="60"/>
  <c r="F48" i="60"/>
  <c r="D48" i="60"/>
  <c r="E48" i="60"/>
  <c r="C48" i="60"/>
  <c r="G48" i="60" s="1"/>
  <c r="I48" i="60" s="1"/>
  <c r="D31" i="33"/>
  <c r="D29" i="33" s="1"/>
  <c r="D28" i="33" s="1"/>
  <c r="D34" i="33" s="1"/>
  <c r="E31" i="33"/>
  <c r="F31" i="33"/>
  <c r="C31" i="33"/>
  <c r="C29" i="33" s="1"/>
  <c r="G58" i="34"/>
  <c r="I58" i="34" s="1"/>
  <c r="C121" i="36" s="1"/>
  <c r="L59" i="52" s="1"/>
  <c r="G38" i="34"/>
  <c r="G9" i="34"/>
  <c r="I9" i="34" s="1"/>
  <c r="C72" i="36" s="1"/>
  <c r="L10" i="52" s="1"/>
  <c r="G70" i="35"/>
  <c r="I70" i="35" s="1"/>
  <c r="C70" i="37" s="1"/>
  <c r="D71" i="53" s="1"/>
  <c r="G61" i="35"/>
  <c r="I61" i="35" s="1"/>
  <c r="C61" i="37" s="1"/>
  <c r="D62" i="53" s="1"/>
  <c r="G52" i="35"/>
  <c r="I52" i="35" s="1"/>
  <c r="C52" i="37" s="1"/>
  <c r="D53" i="53" s="1"/>
  <c r="G32" i="35"/>
  <c r="I32" i="35" s="1"/>
  <c r="C32" i="37" s="1"/>
  <c r="D33" i="53" s="1"/>
  <c r="G17" i="35"/>
  <c r="I17" i="35" s="1"/>
  <c r="C17" i="37" s="1"/>
  <c r="D18" i="53" s="1"/>
  <c r="C14" i="60"/>
  <c r="G14" i="60" s="1"/>
  <c r="I14" i="60" s="1"/>
  <c r="F32" i="60"/>
  <c r="C71" i="61"/>
  <c r="G71" i="61" s="1"/>
  <c r="I71" i="61" s="1"/>
  <c r="E71" i="61"/>
  <c r="D71" i="61"/>
  <c r="F71" i="61"/>
  <c r="C62" i="61"/>
  <c r="G62" i="61" s="1"/>
  <c r="I62" i="61" s="1"/>
  <c r="E62" i="61"/>
  <c r="D62" i="61"/>
  <c r="F62" i="61"/>
  <c r="E52" i="61"/>
  <c r="D52" i="61"/>
  <c r="F52" i="61"/>
  <c r="C52" i="61"/>
  <c r="G52" i="61" s="1"/>
  <c r="I52" i="61" s="1"/>
  <c r="D32" i="61"/>
  <c r="F32" i="61"/>
  <c r="C32" i="61"/>
  <c r="G32" i="61" s="1"/>
  <c r="I32" i="61" s="1"/>
  <c r="E32" i="61"/>
  <c r="C17" i="61"/>
  <c r="G17" i="61" s="1"/>
  <c r="I17" i="61" s="1"/>
  <c r="E17" i="61"/>
  <c r="D17" i="61"/>
  <c r="F17" i="61"/>
  <c r="C47" i="60"/>
  <c r="C46" i="60" s="1"/>
  <c r="G46" i="60" s="1"/>
  <c r="I46" i="60" s="1"/>
  <c r="D47" i="60"/>
  <c r="D46" i="60" s="1"/>
  <c r="E47" i="60"/>
  <c r="E46" i="60" s="1"/>
  <c r="F47" i="60"/>
  <c r="F46" i="60" s="1"/>
  <c r="E29" i="33"/>
  <c r="E28" i="33" s="1"/>
  <c r="E34" i="33" s="1"/>
  <c r="F29" i="33"/>
  <c r="F28" i="33" s="1"/>
  <c r="F34" i="33" s="1"/>
  <c r="G57" i="34"/>
  <c r="I57" i="34" s="1"/>
  <c r="C120" i="36" s="1"/>
  <c r="L58" i="52" s="1"/>
  <c r="G35" i="34"/>
  <c r="I35" i="34" s="1"/>
  <c r="C98" i="36" s="1"/>
  <c r="L36" i="52" s="1"/>
  <c r="G8" i="34"/>
  <c r="I8" i="34" s="1"/>
  <c r="C71" i="36" s="1"/>
  <c r="L9" i="52" s="1"/>
  <c r="G46" i="33"/>
  <c r="I46" i="33" s="1"/>
  <c r="C46" i="36" s="1"/>
  <c r="D47" i="52" s="1"/>
  <c r="G69" i="35"/>
  <c r="I69" i="35" s="1"/>
  <c r="C69" i="37" s="1"/>
  <c r="D70" i="53" s="1"/>
  <c r="G60" i="35"/>
  <c r="I60" i="35" s="1"/>
  <c r="C60" i="37" s="1"/>
  <c r="D61" i="53" s="1"/>
  <c r="G51" i="35"/>
  <c r="I51" i="35" s="1"/>
  <c r="C51" i="37" s="1"/>
  <c r="D52" i="53" s="1"/>
  <c r="G31" i="35"/>
  <c r="I31" i="35" s="1"/>
  <c r="C31" i="37" s="1"/>
  <c r="D32" i="53" s="1"/>
  <c r="G16" i="35"/>
  <c r="I16" i="35" s="1"/>
  <c r="C16" i="37" s="1"/>
  <c r="D17" i="53" s="1"/>
  <c r="G7" i="33"/>
  <c r="I7" i="33" s="1"/>
  <c r="C7" i="36" s="1"/>
  <c r="G23" i="33"/>
  <c r="I23" i="33" s="1"/>
  <c r="C23" i="36" s="1"/>
  <c r="D24" i="52" s="1"/>
  <c r="G19" i="33"/>
  <c r="E35" i="60"/>
  <c r="D38" i="60"/>
  <c r="D21" i="60"/>
  <c r="F21" i="60"/>
  <c r="E17" i="60"/>
  <c r="F17" i="60"/>
  <c r="C17" i="60"/>
  <c r="G17" i="60" s="1"/>
  <c r="I17" i="60" s="1"/>
  <c r="D17" i="60"/>
  <c r="C13" i="60"/>
  <c r="G13" i="60" s="1"/>
  <c r="I13" i="60" s="1"/>
  <c r="E13" i="60"/>
  <c r="E9" i="60"/>
  <c r="F9" i="60"/>
  <c r="C9" i="60"/>
  <c r="G9" i="60" s="1"/>
  <c r="I9" i="60" s="1"/>
  <c r="D9" i="60"/>
  <c r="C34" i="60"/>
  <c r="G34" i="60" s="1"/>
  <c r="I34" i="60" s="1"/>
  <c r="E34" i="60"/>
  <c r="E30" i="60"/>
  <c r="F30" i="60"/>
  <c r="G30" i="60" s="1"/>
  <c r="I30" i="60" s="1"/>
  <c r="C30" i="60"/>
  <c r="D30" i="60"/>
  <c r="G58" i="60"/>
  <c r="I58" i="60" s="1"/>
  <c r="F70" i="61"/>
  <c r="C70" i="61"/>
  <c r="G70" i="61" s="1"/>
  <c r="I70" i="61" s="1"/>
  <c r="E70" i="61"/>
  <c r="D70" i="61"/>
  <c r="C61" i="61"/>
  <c r="G61" i="61" s="1"/>
  <c r="I61" i="61" s="1"/>
  <c r="E61" i="61"/>
  <c r="D61" i="61"/>
  <c r="F61" i="61"/>
  <c r="C51" i="61"/>
  <c r="G51" i="61" s="1"/>
  <c r="I51" i="61" s="1"/>
  <c r="E51" i="61"/>
  <c r="D51" i="61"/>
  <c r="F51" i="61"/>
  <c r="C31" i="61"/>
  <c r="G31" i="61" s="1"/>
  <c r="I31" i="61" s="1"/>
  <c r="E31" i="61"/>
  <c r="D31" i="61"/>
  <c r="F31" i="61"/>
  <c r="E16" i="61"/>
  <c r="D16" i="61"/>
  <c r="F16" i="61"/>
  <c r="C16" i="61"/>
  <c r="G16" i="61" s="1"/>
  <c r="I16" i="61" s="1"/>
  <c r="C54" i="60"/>
  <c r="G54" i="60" s="1"/>
  <c r="I54" i="60" s="1"/>
  <c r="D54" i="60"/>
  <c r="E54" i="60"/>
  <c r="F54" i="60"/>
  <c r="C50" i="60"/>
  <c r="G50" i="60" s="1"/>
  <c r="I50" i="60" s="1"/>
  <c r="F50" i="60"/>
  <c r="E50" i="60"/>
  <c r="D50" i="60"/>
  <c r="G45" i="60"/>
  <c r="I45" i="60" s="1"/>
  <c r="D31" i="59"/>
  <c r="D29" i="59" s="1"/>
  <c r="D28" i="59" s="1"/>
  <c r="D34" i="59" s="1"/>
  <c r="E31" i="59"/>
  <c r="E29" i="59" s="1"/>
  <c r="E28" i="59" s="1"/>
  <c r="E34" i="59" s="1"/>
  <c r="F31" i="59"/>
  <c r="F29" i="59" s="1"/>
  <c r="F28" i="59" s="1"/>
  <c r="F34" i="59" s="1"/>
  <c r="C31" i="59"/>
  <c r="G31" i="59" s="1"/>
  <c r="I31" i="59" s="1"/>
  <c r="G54" i="34"/>
  <c r="I54" i="34" s="1"/>
  <c r="C117" i="36" s="1"/>
  <c r="L55" i="52" s="1"/>
  <c r="G34" i="34"/>
  <c r="I34" i="34" s="1"/>
  <c r="C97" i="36" s="1"/>
  <c r="L35" i="52" s="1"/>
  <c r="G7" i="34"/>
  <c r="G45" i="33"/>
  <c r="I45" i="33" s="1"/>
  <c r="C45" i="36" s="1"/>
  <c r="D46" i="52" s="1"/>
  <c r="G32" i="33"/>
  <c r="I32" i="33" s="1"/>
  <c r="C32" i="36" s="1"/>
  <c r="D33" i="52" s="1"/>
  <c r="G68" i="35"/>
  <c r="I68" i="35" s="1"/>
  <c r="C68" i="37" s="1"/>
  <c r="D69" i="53" s="1"/>
  <c r="G59" i="35"/>
  <c r="I59" i="35" s="1"/>
  <c r="C59" i="37" s="1"/>
  <c r="D60" i="53" s="1"/>
  <c r="G50" i="35"/>
  <c r="I50" i="35" s="1"/>
  <c r="C50" i="37" s="1"/>
  <c r="D51" i="53" s="1"/>
  <c r="G29" i="35"/>
  <c r="I29" i="35" s="1"/>
  <c r="C29" i="37" s="1"/>
  <c r="D30" i="53" s="1"/>
  <c r="G15" i="35"/>
  <c r="I15" i="35" s="1"/>
  <c r="C15" i="37" s="1"/>
  <c r="D16" i="53" s="1"/>
  <c r="G15" i="33"/>
  <c r="I15" i="33" s="1"/>
  <c r="C15" i="36" s="1"/>
  <c r="D16" i="52" s="1"/>
  <c r="G11" i="33"/>
  <c r="I11" i="33" s="1"/>
  <c r="C11" i="36" s="1"/>
  <c r="D12" i="52" s="1"/>
  <c r="C21" i="60"/>
  <c r="G21" i="60" s="1"/>
  <c r="I21" i="60" s="1"/>
  <c r="D13" i="60"/>
  <c r="C35" i="60"/>
  <c r="G35" i="60" s="1"/>
  <c r="I35" i="60" s="1"/>
  <c r="G26" i="33"/>
  <c r="I26" i="33" s="1"/>
  <c r="C26" i="36" s="1"/>
  <c r="D27" i="52" s="1"/>
  <c r="G22" i="33"/>
  <c r="I22" i="33" s="1"/>
  <c r="C22" i="36" s="1"/>
  <c r="F34" i="60"/>
  <c r="E40" i="60"/>
  <c r="F16" i="60"/>
  <c r="D16" i="60"/>
  <c r="E16" i="60"/>
  <c r="G16" i="60" s="1"/>
  <c r="I16" i="60" s="1"/>
  <c r="C12" i="60"/>
  <c r="G12" i="60" s="1"/>
  <c r="I12" i="60" s="1"/>
  <c r="D12" i="60"/>
  <c r="F12" i="60"/>
  <c r="F8" i="60"/>
  <c r="D8" i="60"/>
  <c r="E8" i="60"/>
  <c r="G8" i="60" s="1"/>
  <c r="I8" i="60" s="1"/>
  <c r="C33" i="60"/>
  <c r="G33" i="60" s="1"/>
  <c r="I33" i="60" s="1"/>
  <c r="D33" i="60"/>
  <c r="F33" i="60"/>
  <c r="F29" i="60"/>
  <c r="D29" i="60"/>
  <c r="E29" i="60"/>
  <c r="G29" i="60" s="1"/>
  <c r="I29" i="60" s="1"/>
  <c r="G57" i="60"/>
  <c r="I57" i="60" s="1"/>
  <c r="C68" i="61"/>
  <c r="G68" i="61" s="1"/>
  <c r="I68" i="61" s="1"/>
  <c r="E68" i="61"/>
  <c r="D68" i="61"/>
  <c r="F68" i="61"/>
  <c r="C59" i="61"/>
  <c r="G59" i="61" s="1"/>
  <c r="I59" i="61" s="1"/>
  <c r="E59" i="61"/>
  <c r="D59" i="61"/>
  <c r="F59" i="61"/>
  <c r="E47" i="61"/>
  <c r="D47" i="61"/>
  <c r="F47" i="61"/>
  <c r="C47" i="61"/>
  <c r="G47" i="61" s="1"/>
  <c r="I47" i="61" s="1"/>
  <c r="D25" i="61"/>
  <c r="F25" i="61"/>
  <c r="C25" i="61"/>
  <c r="G25" i="61" s="1"/>
  <c r="I25" i="61" s="1"/>
  <c r="E25" i="61"/>
  <c r="F14" i="61"/>
  <c r="C14" i="61"/>
  <c r="G14" i="61" s="1"/>
  <c r="I14" i="61" s="1"/>
  <c r="E14" i="61"/>
  <c r="D14" i="61"/>
  <c r="D53" i="60"/>
  <c r="C53" i="60"/>
  <c r="G53" i="60" s="1"/>
  <c r="I53" i="60" s="1"/>
  <c r="E53" i="60"/>
  <c r="F53" i="60"/>
  <c r="C49" i="60"/>
  <c r="G49" i="60" s="1"/>
  <c r="I49" i="60" s="1"/>
  <c r="D49" i="60"/>
  <c r="E49" i="60"/>
  <c r="F49" i="60"/>
  <c r="G44" i="60"/>
  <c r="I44" i="60" s="1"/>
  <c r="G51" i="34"/>
  <c r="I51" i="34" s="1"/>
  <c r="C114" i="36" s="1"/>
  <c r="L52" i="52" s="1"/>
  <c r="G31" i="34"/>
  <c r="I31" i="34" s="1"/>
  <c r="C94" i="36" s="1"/>
  <c r="L32" i="52" s="1"/>
  <c r="G57" i="33"/>
  <c r="I57" i="33" s="1"/>
  <c r="C57" i="36" s="1"/>
  <c r="D58" i="52" s="1"/>
  <c r="G30" i="33"/>
  <c r="I30" i="33" s="1"/>
  <c r="C30" i="36" s="1"/>
  <c r="D31" i="52" s="1"/>
  <c r="G65" i="35"/>
  <c r="I65" i="35" s="1"/>
  <c r="C65" i="37" s="1"/>
  <c r="D66" i="53" s="1"/>
  <c r="G56" i="35"/>
  <c r="I56" i="35" s="1"/>
  <c r="C56" i="37" s="1"/>
  <c r="D57" i="53" s="1"/>
  <c r="G42" i="35"/>
  <c r="I42" i="35" s="1"/>
  <c r="C42" i="37" s="1"/>
  <c r="D43" i="53" s="1"/>
  <c r="G22" i="35"/>
  <c r="I22" i="35" s="1"/>
  <c r="C22" i="37" s="1"/>
  <c r="D23" i="53" s="1"/>
  <c r="G13" i="35"/>
  <c r="I13" i="35" s="1"/>
  <c r="C13" i="37" s="1"/>
  <c r="D14" i="53" s="1"/>
  <c r="G25" i="33"/>
  <c r="I25" i="33" s="1"/>
  <c r="C25" i="36" s="1"/>
  <c r="D26" i="52" s="1"/>
  <c r="G21" i="33"/>
  <c r="I21" i="33" s="1"/>
  <c r="C21" i="36" s="1"/>
  <c r="D22" i="52" s="1"/>
  <c r="G18" i="33"/>
  <c r="I18" i="33" s="1"/>
  <c r="C18" i="36" s="1"/>
  <c r="G14" i="33"/>
  <c r="I14" i="33" s="1"/>
  <c r="C14" i="36" s="1"/>
  <c r="D15" i="52" s="1"/>
  <c r="G10" i="33"/>
  <c r="I10" i="33" s="1"/>
  <c r="C10" i="36" s="1"/>
  <c r="D11" i="52" s="1"/>
  <c r="E12" i="60"/>
  <c r="D34" i="60"/>
  <c r="C40" i="60"/>
  <c r="G40" i="60" s="1"/>
  <c r="I40" i="60" s="1"/>
  <c r="G11" i="34"/>
  <c r="I11" i="34" s="1"/>
  <c r="C74" i="36" s="1"/>
  <c r="L12" i="52" s="1"/>
  <c r="G25" i="34"/>
  <c r="I25" i="34" s="1"/>
  <c r="C88" i="36" s="1"/>
  <c r="L26" i="52" s="1"/>
  <c r="G19" i="34"/>
  <c r="I19" i="34" s="1"/>
  <c r="C82" i="36" s="1"/>
  <c r="L20" i="52" s="1"/>
  <c r="G17" i="34"/>
  <c r="I17" i="34" s="1"/>
  <c r="C80" i="36" s="1"/>
  <c r="L18" i="52" s="1"/>
  <c r="C43" i="34"/>
  <c r="C59" i="34" s="1"/>
  <c r="C61" i="34" s="1"/>
  <c r="E43" i="34"/>
  <c r="E59" i="34" s="1"/>
  <c r="E61" i="34" s="1"/>
  <c r="D43" i="34"/>
  <c r="D59" i="34" s="1"/>
  <c r="D61" i="34" s="1"/>
  <c r="F43" i="34"/>
  <c r="F59" i="34" s="1"/>
  <c r="F61" i="34" s="1"/>
  <c r="E43" i="60"/>
  <c r="E59" i="60" s="1"/>
  <c r="E61" i="60" s="1"/>
  <c r="G15" i="34"/>
  <c r="I15" i="34" s="1"/>
  <c r="C78" i="36" s="1"/>
  <c r="L16" i="52" s="1"/>
  <c r="G23" i="34"/>
  <c r="I23" i="34" s="1"/>
  <c r="C86" i="36" s="1"/>
  <c r="L24" i="52" s="1"/>
  <c r="G13" i="34"/>
  <c r="I13" i="34" s="1"/>
  <c r="C76" i="36" s="1"/>
  <c r="L14" i="52" s="1"/>
  <c r="G21" i="34"/>
  <c r="I21" i="34" s="1"/>
  <c r="C84" i="36" s="1"/>
  <c r="L22" i="52" s="1"/>
  <c r="G7" i="35"/>
  <c r="I7" i="35" s="1"/>
  <c r="C7" i="37" s="1"/>
  <c r="D8" i="53" s="1"/>
  <c r="G9" i="35"/>
  <c r="I9" i="35" s="1"/>
  <c r="C9" i="37" s="1"/>
  <c r="D10" i="53" s="1"/>
  <c r="G8" i="35"/>
  <c r="I8" i="35" s="1"/>
  <c r="C8" i="37" s="1"/>
  <c r="D9" i="53" s="1"/>
  <c r="C30" i="63" l="1"/>
  <c r="E31" i="36"/>
  <c r="E123" i="36"/>
  <c r="C121" i="63"/>
  <c r="C9" i="63"/>
  <c r="E10" i="36"/>
  <c r="E75" i="36"/>
  <c r="C73" i="63"/>
  <c r="E72" i="36"/>
  <c r="C70" i="63"/>
  <c r="E84" i="36"/>
  <c r="C82" i="63"/>
  <c r="C24" i="64"/>
  <c r="E25" i="37"/>
  <c r="E92" i="36"/>
  <c r="C90" i="63"/>
  <c r="E103" i="36"/>
  <c r="C101" i="63"/>
  <c r="E116" i="36"/>
  <c r="C114" i="63"/>
  <c r="C69" i="64"/>
  <c r="E70" i="37"/>
  <c r="E97" i="36"/>
  <c r="C95" i="63"/>
  <c r="E80" i="36"/>
  <c r="C78" i="63"/>
  <c r="E109" i="36"/>
  <c r="C107" i="63"/>
  <c r="C61" i="64"/>
  <c r="E62" i="37"/>
  <c r="E114" i="36"/>
  <c r="C112" i="63"/>
  <c r="E119" i="36"/>
  <c r="C117" i="63"/>
  <c r="C20" i="64"/>
  <c r="E21" i="37"/>
  <c r="E74" i="36"/>
  <c r="C72" i="63"/>
  <c r="E26" i="37"/>
  <c r="C25" i="64"/>
  <c r="N53" i="54"/>
  <c r="C105" i="38"/>
  <c r="D39" i="2"/>
  <c r="E39" i="2" s="1"/>
  <c r="E40" i="55"/>
  <c r="C86" i="63"/>
  <c r="E88" i="36"/>
  <c r="E56" i="36"/>
  <c r="C55" i="63"/>
  <c r="E38" i="37"/>
  <c r="C37" i="64"/>
  <c r="N57" i="54"/>
  <c r="L54" i="52"/>
  <c r="D42" i="2"/>
  <c r="E42" i="2" s="1"/>
  <c r="E11" i="36"/>
  <c r="C10" i="63"/>
  <c r="E21" i="36"/>
  <c r="C20" i="63"/>
  <c r="E32" i="36"/>
  <c r="C31" i="63"/>
  <c r="E44" i="36"/>
  <c r="C43" i="63"/>
  <c r="E38" i="55"/>
  <c r="E42" i="36"/>
  <c r="C41" i="63"/>
  <c r="C53" i="64"/>
  <c r="E2" i="64" s="1"/>
  <c r="E54" i="37"/>
  <c r="E51" i="36"/>
  <c r="C50" i="63"/>
  <c r="C17" i="63"/>
  <c r="E18" i="36"/>
  <c r="C57" i="64"/>
  <c r="E58" i="37"/>
  <c r="E47" i="55"/>
  <c r="E37" i="37"/>
  <c r="C36" i="64"/>
  <c r="E36" i="37"/>
  <c r="C35" i="64"/>
  <c r="C17" i="64"/>
  <c r="E18" i="37"/>
  <c r="C54" i="64"/>
  <c r="E55" i="37"/>
  <c r="E95" i="36"/>
  <c r="C93" i="63"/>
  <c r="E62" i="54"/>
  <c r="D45" i="52"/>
  <c r="D46" i="2"/>
  <c r="E46" i="2" s="1"/>
  <c r="E8" i="37"/>
  <c r="C7" i="64"/>
  <c r="E53" i="54"/>
  <c r="E35" i="55"/>
  <c r="E37" i="36"/>
  <c r="C36" i="63"/>
  <c r="E61" i="36"/>
  <c r="C60" i="63"/>
  <c r="C50" i="64"/>
  <c r="E51" i="37"/>
  <c r="E44" i="37"/>
  <c r="C43" i="64"/>
  <c r="E111" i="36"/>
  <c r="C109" i="63"/>
  <c r="C71" i="63"/>
  <c r="E73" i="36"/>
  <c r="C39" i="64"/>
  <c r="E40" i="37"/>
  <c r="E87" i="36"/>
  <c r="C85" i="63"/>
  <c r="E12" i="37"/>
  <c r="C11" i="64"/>
  <c r="N47" i="54"/>
  <c r="E43" i="37"/>
  <c r="C42" i="64"/>
  <c r="E49" i="55"/>
  <c r="E45" i="55"/>
  <c r="E39" i="37"/>
  <c r="C38" i="64"/>
  <c r="E28" i="55"/>
  <c r="E54" i="36"/>
  <c r="C53" i="63"/>
  <c r="E52" i="36"/>
  <c r="C51" i="63"/>
  <c r="E9" i="36"/>
  <c r="C8" i="63"/>
  <c r="E113" i="36"/>
  <c r="C111" i="63"/>
  <c r="C16" i="64"/>
  <c r="E17" i="37"/>
  <c r="C70" i="64"/>
  <c r="E71" i="37"/>
  <c r="C62" i="64"/>
  <c r="E63" i="37"/>
  <c r="C10" i="64"/>
  <c r="E11" i="37"/>
  <c r="C64" i="64"/>
  <c r="E65" i="37"/>
  <c r="E39" i="55"/>
  <c r="E27" i="37"/>
  <c r="C26" i="64"/>
  <c r="E28" i="37"/>
  <c r="C27" i="64"/>
  <c r="E55" i="54"/>
  <c r="C14" i="63"/>
  <c r="E15" i="36"/>
  <c r="E25" i="36"/>
  <c r="C24" i="63"/>
  <c r="E39" i="36"/>
  <c r="C38" i="63"/>
  <c r="E45" i="37"/>
  <c r="C44" i="64"/>
  <c r="C19" i="63"/>
  <c r="E20" i="36"/>
  <c r="C13" i="64"/>
  <c r="E14" i="37"/>
  <c r="C67" i="64"/>
  <c r="E68" i="37"/>
  <c r="E117" i="36"/>
  <c r="C115" i="63"/>
  <c r="C60" i="64"/>
  <c r="E61" i="37"/>
  <c r="C92" i="63"/>
  <c r="E94" i="36"/>
  <c r="C8" i="64"/>
  <c r="E9" i="37"/>
  <c r="C55" i="64"/>
  <c r="E56" i="37"/>
  <c r="E54" i="54"/>
  <c r="E51" i="54"/>
  <c r="E14" i="36"/>
  <c r="C13" i="63"/>
  <c r="E24" i="36"/>
  <c r="C23" i="63"/>
  <c r="C65" i="64"/>
  <c r="E66" i="37"/>
  <c r="E57" i="54"/>
  <c r="N51" i="54"/>
  <c r="E17" i="36"/>
  <c r="C16" i="63"/>
  <c r="E46" i="37"/>
  <c r="C45" i="64"/>
  <c r="E50" i="36"/>
  <c r="C49" i="63"/>
  <c r="N46" i="54"/>
  <c r="C58" i="64"/>
  <c r="E59" i="37"/>
  <c r="N49" i="54"/>
  <c r="C46" i="64"/>
  <c r="E47" i="37"/>
  <c r="E98" i="36"/>
  <c r="C96" i="63"/>
  <c r="E79" i="36"/>
  <c r="C77" i="63"/>
  <c r="E96" i="36"/>
  <c r="C94" i="63"/>
  <c r="E112" i="36"/>
  <c r="C110" i="63"/>
  <c r="E71" i="36"/>
  <c r="C69" i="63"/>
  <c r="C30" i="64"/>
  <c r="E31" i="37"/>
  <c r="E93" i="36"/>
  <c r="C91" i="63"/>
  <c r="C15" i="64"/>
  <c r="E16" i="37"/>
  <c r="E76" i="36"/>
  <c r="C111" i="38" s="1"/>
  <c r="C74" i="63"/>
  <c r="C31" i="64"/>
  <c r="E32" i="37"/>
  <c r="E77" i="36"/>
  <c r="C75" i="63"/>
  <c r="I6" i="61"/>
  <c r="G10" i="61"/>
  <c r="C32" i="64"/>
  <c r="E33" i="37"/>
  <c r="C34" i="64"/>
  <c r="E35" i="37"/>
  <c r="C63" i="64"/>
  <c r="E64" i="37"/>
  <c r="E115" i="36"/>
  <c r="C113" i="63"/>
  <c r="E24" i="55"/>
  <c r="E57" i="36"/>
  <c r="C56" i="63"/>
  <c r="E13" i="55"/>
  <c r="E46" i="55"/>
  <c r="E43" i="36"/>
  <c r="C42" i="63"/>
  <c r="C41" i="64"/>
  <c r="E42" i="37"/>
  <c r="E85" i="36"/>
  <c r="C83" i="63"/>
  <c r="E53" i="36"/>
  <c r="C52" i="63"/>
  <c r="E46" i="36"/>
  <c r="C45" i="63"/>
  <c r="N45" i="54"/>
  <c r="C51" i="64"/>
  <c r="E52" i="37"/>
  <c r="E83" i="36"/>
  <c r="C81" i="63"/>
  <c r="C28" i="33"/>
  <c r="C34" i="33" s="1"/>
  <c r="G29" i="33"/>
  <c r="C71" i="64"/>
  <c r="E72" i="37"/>
  <c r="C19" i="64"/>
  <c r="E20" i="37"/>
  <c r="I38" i="60"/>
  <c r="E37" i="55"/>
  <c r="E81" i="36"/>
  <c r="C79" i="63"/>
  <c r="I60" i="59"/>
  <c r="E13" i="36"/>
  <c r="C12" i="63"/>
  <c r="C22" i="63"/>
  <c r="E23" i="36"/>
  <c r="E9" i="55"/>
  <c r="E8" i="55"/>
  <c r="N16" i="54"/>
  <c r="N26" i="54"/>
  <c r="E22" i="54"/>
  <c r="E58" i="54"/>
  <c r="E120" i="36"/>
  <c r="C118" i="63"/>
  <c r="E16" i="54"/>
  <c r="I7" i="34"/>
  <c r="C70" i="36" s="1"/>
  <c r="E70" i="55"/>
  <c r="E71" i="55"/>
  <c r="F10" i="61"/>
  <c r="F19" i="61" s="1"/>
  <c r="F30" i="61" s="1"/>
  <c r="F49" i="61" s="1"/>
  <c r="F53" i="61" s="1"/>
  <c r="F57" i="61" s="1"/>
  <c r="F67" i="61" s="1"/>
  <c r="F73" i="61" s="1"/>
  <c r="F75" i="61"/>
  <c r="D13" i="52"/>
  <c r="E52" i="54"/>
  <c r="E21" i="55"/>
  <c r="G47" i="60"/>
  <c r="I47" i="60" s="1"/>
  <c r="F36" i="60"/>
  <c r="E18" i="54"/>
  <c r="E56" i="54"/>
  <c r="E23" i="37"/>
  <c r="C22" i="64"/>
  <c r="F58" i="59"/>
  <c r="C11" i="63"/>
  <c r="E12" i="36"/>
  <c r="G31" i="66" s="1"/>
  <c r="H31" i="66" s="1"/>
  <c r="F33" i="66" s="1"/>
  <c r="H33" i="66" s="1"/>
  <c r="E7" i="37"/>
  <c r="C6" i="64"/>
  <c r="C91" i="38"/>
  <c r="F42" i="66"/>
  <c r="F43" i="66"/>
  <c r="F44" i="66"/>
  <c r="F45" i="66"/>
  <c r="C28" i="64"/>
  <c r="E29" i="37"/>
  <c r="G14" i="34"/>
  <c r="I14" i="34" s="1"/>
  <c r="C77" i="36" s="1"/>
  <c r="L15" i="52" s="1"/>
  <c r="E34" i="54"/>
  <c r="E36" i="34"/>
  <c r="G49" i="33"/>
  <c r="C30" i="38"/>
  <c r="C92" i="38" s="1"/>
  <c r="J61" i="46"/>
  <c r="L61" i="46" s="1"/>
  <c r="L59" i="46"/>
  <c r="E82" i="36"/>
  <c r="C80" i="63"/>
  <c r="C55" i="67"/>
  <c r="D55" i="67" s="1"/>
  <c r="C64" i="38" s="1"/>
  <c r="G18" i="34"/>
  <c r="I18" i="34" s="1"/>
  <c r="C81" i="36" s="1"/>
  <c r="L19" i="52" s="1"/>
  <c r="E38" i="59"/>
  <c r="E40" i="59" s="1"/>
  <c r="E47" i="59" s="1"/>
  <c r="G19" i="59"/>
  <c r="G36" i="56"/>
  <c r="H36" i="56" s="1"/>
  <c r="G28" i="56"/>
  <c r="H28" i="56" s="1"/>
  <c r="G10" i="56"/>
  <c r="H10" i="56" s="1"/>
  <c r="C3" i="4"/>
  <c r="A3" i="4"/>
  <c r="C65" i="4"/>
  <c r="D48" i="48"/>
  <c r="E75" i="49"/>
  <c r="E43" i="55"/>
  <c r="N12" i="54"/>
  <c r="E26" i="54"/>
  <c r="N32" i="54"/>
  <c r="E16" i="55"/>
  <c r="N35" i="54"/>
  <c r="I19" i="33"/>
  <c r="C19" i="36" s="1"/>
  <c r="G27" i="33"/>
  <c r="I27" i="33" s="1"/>
  <c r="E47" i="54"/>
  <c r="N10" i="54"/>
  <c r="D10" i="61"/>
  <c r="D19" i="61" s="1"/>
  <c r="D30" i="61" s="1"/>
  <c r="D49" i="61" s="1"/>
  <c r="D53" i="61" s="1"/>
  <c r="D57" i="61" s="1"/>
  <c r="D67" i="61" s="1"/>
  <c r="D73" i="61" s="1"/>
  <c r="D75" i="61"/>
  <c r="E17" i="54"/>
  <c r="I28" i="34"/>
  <c r="C91" i="36" s="1"/>
  <c r="G36" i="34"/>
  <c r="I36" i="34" s="1"/>
  <c r="E36" i="55"/>
  <c r="E36" i="60"/>
  <c r="D12" i="53"/>
  <c r="G14" i="66"/>
  <c r="H14" i="66" s="1"/>
  <c r="F32" i="66"/>
  <c r="N31" i="54"/>
  <c r="G36" i="33"/>
  <c r="C38" i="33"/>
  <c r="C40" i="33" s="1"/>
  <c r="C47" i="33" s="1"/>
  <c r="C12" i="64"/>
  <c r="E13" i="37"/>
  <c r="E16" i="36"/>
  <c r="C15" i="63"/>
  <c r="H65" i="4"/>
  <c r="F26" i="56"/>
  <c r="D3" i="5"/>
  <c r="A3" i="5"/>
  <c r="B75" i="35"/>
  <c r="C1" i="4"/>
  <c r="C51" i="67"/>
  <c r="D51" i="67" s="1"/>
  <c r="C60" i="38" s="1"/>
  <c r="C124" i="38" s="1"/>
  <c r="C63" i="33"/>
  <c r="C73" i="67"/>
  <c r="C49" i="64"/>
  <c r="E50" i="37"/>
  <c r="F10" i="35"/>
  <c r="F19" i="35" s="1"/>
  <c r="F30" i="35" s="1"/>
  <c r="F49" i="35" s="1"/>
  <c r="F53" i="35" s="1"/>
  <c r="F57" i="35" s="1"/>
  <c r="F67" i="35" s="1"/>
  <c r="F73" i="35" s="1"/>
  <c r="F75" i="35"/>
  <c r="C36" i="34"/>
  <c r="L62" i="48"/>
  <c r="L63" i="48" s="1"/>
  <c r="E62" i="59"/>
  <c r="E86" i="36"/>
  <c r="C84" i="63"/>
  <c r="D38" i="59"/>
  <c r="D40" i="59" s="1"/>
  <c r="D47" i="59" s="1"/>
  <c r="E2" i="63"/>
  <c r="E14" i="55"/>
  <c r="N52" i="54"/>
  <c r="D23" i="52"/>
  <c r="D45" i="2"/>
  <c r="E45" i="2" s="1"/>
  <c r="E30" i="55"/>
  <c r="N55" i="54"/>
  <c r="E24" i="54"/>
  <c r="N9" i="54"/>
  <c r="I38" i="34"/>
  <c r="C101" i="36" s="1"/>
  <c r="L39" i="52" s="1"/>
  <c r="E75" i="61"/>
  <c r="E10" i="61"/>
  <c r="E19" i="61" s="1"/>
  <c r="E30" i="61" s="1"/>
  <c r="E49" i="61" s="1"/>
  <c r="E53" i="61" s="1"/>
  <c r="E57" i="61" s="1"/>
  <c r="E67" i="61" s="1"/>
  <c r="E73" i="61" s="1"/>
  <c r="D55" i="53"/>
  <c r="N41" i="54"/>
  <c r="C36" i="60"/>
  <c r="E22" i="55"/>
  <c r="G43" i="34"/>
  <c r="C21" i="64"/>
  <c r="E22" i="37"/>
  <c r="E22" i="36"/>
  <c r="C21" i="63"/>
  <c r="B47" i="67"/>
  <c r="F27" i="6"/>
  <c r="D59" i="53"/>
  <c r="F63" i="33"/>
  <c r="C59" i="64"/>
  <c r="E60" i="37"/>
  <c r="D10" i="35"/>
  <c r="D19" i="35" s="1"/>
  <c r="D30" i="35" s="1"/>
  <c r="D49" i="35" s="1"/>
  <c r="D53" i="35" s="1"/>
  <c r="D57" i="35" s="1"/>
  <c r="D67" i="35" s="1"/>
  <c r="D73" i="35" s="1"/>
  <c r="D75" i="35"/>
  <c r="C62" i="67"/>
  <c r="D62" i="67" s="1"/>
  <c r="C71" i="38" s="1"/>
  <c r="F26" i="34"/>
  <c r="F63" i="34"/>
  <c r="G24" i="34"/>
  <c r="I24" i="34" s="1"/>
  <c r="C87" i="36" s="1"/>
  <c r="L25" i="52" s="1"/>
  <c r="D62" i="59"/>
  <c r="C74" i="67"/>
  <c r="D74" i="67" s="1"/>
  <c r="C83" i="38" s="1"/>
  <c r="C58" i="67"/>
  <c r="D58" i="67" s="1"/>
  <c r="C67" i="38" s="1"/>
  <c r="C104" i="38" s="1"/>
  <c r="C29" i="59"/>
  <c r="C63" i="59" s="1"/>
  <c r="A1" i="57" s="1"/>
  <c r="E23" i="55"/>
  <c r="E107" i="36"/>
  <c r="C105" i="63"/>
  <c r="E27" i="54"/>
  <c r="E51" i="55"/>
  <c r="D8" i="52"/>
  <c r="C27" i="36"/>
  <c r="F18" i="66"/>
  <c r="N36" i="54"/>
  <c r="G43" i="60"/>
  <c r="N59" i="54"/>
  <c r="C75" i="61"/>
  <c r="C10" i="61"/>
  <c r="C19" i="61" s="1"/>
  <c r="C30" i="61" s="1"/>
  <c r="C49" i="61" s="1"/>
  <c r="C53" i="61" s="1"/>
  <c r="C57" i="61" s="1"/>
  <c r="C67" i="61" s="1"/>
  <c r="C73" i="61" s="1"/>
  <c r="E19" i="55"/>
  <c r="N61" i="54"/>
  <c r="E64" i="55"/>
  <c r="E41" i="55"/>
  <c r="D47" i="33"/>
  <c r="D62" i="33" s="1"/>
  <c r="G12" i="34"/>
  <c r="I12" i="34" s="1"/>
  <c r="C75" i="36" s="1"/>
  <c r="L13" i="52" s="1"/>
  <c r="C25" i="63"/>
  <c r="E26" i="36"/>
  <c r="E15" i="55"/>
  <c r="E67" i="55"/>
  <c r="E63" i="33"/>
  <c r="C68" i="64"/>
  <c r="E69" i="37"/>
  <c r="E75" i="35"/>
  <c r="E10" i="35"/>
  <c r="E19" i="35" s="1"/>
  <c r="E30" i="35" s="1"/>
  <c r="E49" i="35" s="1"/>
  <c r="E53" i="35" s="1"/>
  <c r="E57" i="35" s="1"/>
  <c r="E67" i="35" s="1"/>
  <c r="E73" i="35" s="1"/>
  <c r="D26" i="34"/>
  <c r="D63" i="34"/>
  <c r="E25" i="55"/>
  <c r="E30" i="36"/>
  <c r="C29" i="63"/>
  <c r="F63" i="60"/>
  <c r="F26" i="60"/>
  <c r="F39" i="60" s="1"/>
  <c r="C61" i="67"/>
  <c r="D61" i="67" s="1"/>
  <c r="C70" i="38" s="1"/>
  <c r="D27" i="33"/>
  <c r="F63" i="59"/>
  <c r="E55" i="36"/>
  <c r="C54" i="63"/>
  <c r="F45" i="56"/>
  <c r="F42" i="56"/>
  <c r="F44" i="56"/>
  <c r="F43" i="56"/>
  <c r="C47" i="6"/>
  <c r="C3" i="6"/>
  <c r="A3" i="6"/>
  <c r="A1" i="6"/>
  <c r="C51" i="6"/>
  <c r="N50" i="54"/>
  <c r="D27" i="53"/>
  <c r="G23" i="66"/>
  <c r="H23" i="66" s="1"/>
  <c r="B62" i="59"/>
  <c r="E121" i="36"/>
  <c r="C119" i="63"/>
  <c r="E17" i="55"/>
  <c r="N58" i="54"/>
  <c r="E18" i="55"/>
  <c r="D59" i="60"/>
  <c r="D61" i="60" s="1"/>
  <c r="E34" i="55"/>
  <c r="E73" i="55"/>
  <c r="E56" i="55"/>
  <c r="E33" i="36"/>
  <c r="C32" i="63"/>
  <c r="E48" i="37"/>
  <c r="C47" i="64"/>
  <c r="E26" i="55"/>
  <c r="G31" i="33"/>
  <c r="I31" i="33" s="1"/>
  <c r="C31" i="36" s="1"/>
  <c r="D32" i="52" s="1"/>
  <c r="D63" i="33"/>
  <c r="C75" i="35"/>
  <c r="C10" i="35"/>
  <c r="C19" i="35" s="1"/>
  <c r="C30" i="35" s="1"/>
  <c r="C49" i="35" s="1"/>
  <c r="C53" i="35" s="1"/>
  <c r="C57" i="35" s="1"/>
  <c r="C67" i="35" s="1"/>
  <c r="C73" i="35" s="1"/>
  <c r="C60" i="67"/>
  <c r="D60" i="67" s="1"/>
  <c r="C69" i="38" s="1"/>
  <c r="N23" i="54"/>
  <c r="E63" i="34"/>
  <c r="E26" i="34"/>
  <c r="E39" i="34" s="1"/>
  <c r="E62" i="34" s="1"/>
  <c r="E63" i="60"/>
  <c r="E26" i="60"/>
  <c r="E39" i="60" s="1"/>
  <c r="E62" i="60" s="1"/>
  <c r="F27" i="33"/>
  <c r="E63" i="59"/>
  <c r="A1" i="58" s="1"/>
  <c r="G10" i="34"/>
  <c r="I10" i="34" s="1"/>
  <c r="C73" i="36" s="1"/>
  <c r="L11" i="52" s="1"/>
  <c r="N62" i="50"/>
  <c r="G49" i="59"/>
  <c r="E10" i="55"/>
  <c r="E11" i="54"/>
  <c r="E57" i="55"/>
  <c r="E69" i="55"/>
  <c r="E32" i="55"/>
  <c r="E33" i="55"/>
  <c r="C59" i="60"/>
  <c r="C61" i="60" s="1"/>
  <c r="E63" i="55"/>
  <c r="E21" i="54"/>
  <c r="E42" i="54"/>
  <c r="E65" i="55"/>
  <c r="C48" i="67"/>
  <c r="D48" i="67" s="1"/>
  <c r="C57" i="38" s="1"/>
  <c r="E41" i="36"/>
  <c r="C40" i="63"/>
  <c r="E41" i="37"/>
  <c r="C40" i="64"/>
  <c r="E48" i="55"/>
  <c r="E24" i="37"/>
  <c r="C23" i="64"/>
  <c r="C63" i="34"/>
  <c r="C26" i="34"/>
  <c r="C39" i="34" s="1"/>
  <c r="C62" i="34" s="1"/>
  <c r="D63" i="60"/>
  <c r="D26" i="60"/>
  <c r="N17" i="54"/>
  <c r="D49" i="67"/>
  <c r="E27" i="33"/>
  <c r="E62" i="33" s="1"/>
  <c r="D63" i="59"/>
  <c r="G28" i="60"/>
  <c r="J39" i="46"/>
  <c r="L26" i="46"/>
  <c r="E42" i="55"/>
  <c r="N37" i="50"/>
  <c r="N40" i="50" s="1"/>
  <c r="G7" i="59"/>
  <c r="I7" i="59" s="1"/>
  <c r="G20" i="56"/>
  <c r="H20" i="56" s="1"/>
  <c r="G38" i="56"/>
  <c r="H38" i="56" s="1"/>
  <c r="G39" i="56"/>
  <c r="H39" i="56" s="1"/>
  <c r="E3" i="4"/>
  <c r="F75" i="53"/>
  <c r="G75" i="53" s="1"/>
  <c r="E75" i="53"/>
  <c r="F49" i="62"/>
  <c r="E49" i="62" s="1"/>
  <c r="C53" i="62"/>
  <c r="F20" i="51"/>
  <c r="E31" i="51"/>
  <c r="E33" i="54"/>
  <c r="E52" i="55"/>
  <c r="E53" i="55"/>
  <c r="D36" i="60"/>
  <c r="D39" i="60" s="1"/>
  <c r="E72" i="55"/>
  <c r="E25" i="54"/>
  <c r="N30" i="54"/>
  <c r="E10" i="54"/>
  <c r="N34" i="54"/>
  <c r="E45" i="36"/>
  <c r="C44" i="63"/>
  <c r="E34" i="37"/>
  <c r="C33" i="64"/>
  <c r="I60" i="33"/>
  <c r="C60" i="36" s="1"/>
  <c r="D61" i="52" s="1"/>
  <c r="C14" i="64"/>
  <c r="E15" i="37"/>
  <c r="F36" i="34"/>
  <c r="F39" i="34" s="1"/>
  <c r="F62" i="34" s="1"/>
  <c r="E44" i="55"/>
  <c r="B44" i="67"/>
  <c r="C63" i="60"/>
  <c r="C26" i="60"/>
  <c r="C39" i="60" s="1"/>
  <c r="G7" i="60"/>
  <c r="C27" i="33"/>
  <c r="C62" i="33"/>
  <c r="C54" i="67"/>
  <c r="D54" i="67" s="1"/>
  <c r="C63" i="38" s="1"/>
  <c r="C38" i="59"/>
  <c r="C40" i="59" s="1"/>
  <c r="C47" i="59" s="1"/>
  <c r="G36" i="59"/>
  <c r="G47" i="34"/>
  <c r="I47" i="34" s="1"/>
  <c r="C110" i="36" s="1"/>
  <c r="L48" i="52" s="1"/>
  <c r="E59" i="50"/>
  <c r="D63" i="48"/>
  <c r="D31" i="49"/>
  <c r="E60" i="55"/>
  <c r="N22" i="54"/>
  <c r="N14" i="54"/>
  <c r="N18" i="54"/>
  <c r="E15" i="54"/>
  <c r="E66" i="55"/>
  <c r="N24" i="54"/>
  <c r="N20" i="54"/>
  <c r="D19" i="52"/>
  <c r="F17" i="66"/>
  <c r="G32" i="66"/>
  <c r="H32" i="66" s="1"/>
  <c r="G33" i="66" s="1"/>
  <c r="E31" i="54"/>
  <c r="E12" i="54"/>
  <c r="E46" i="54"/>
  <c r="E108" i="36"/>
  <c r="C106" i="63"/>
  <c r="E61" i="55"/>
  <c r="E62" i="55"/>
  <c r="F59" i="60"/>
  <c r="F61" i="60" s="1"/>
  <c r="E9" i="54"/>
  <c r="E40" i="54"/>
  <c r="I6" i="35"/>
  <c r="C6" i="37" s="1"/>
  <c r="G10" i="35"/>
  <c r="E14" i="54"/>
  <c r="E43" i="54"/>
  <c r="E44" i="54"/>
  <c r="N21" i="54"/>
  <c r="E8" i="36"/>
  <c r="C7" i="63"/>
  <c r="C102" i="63"/>
  <c r="E104" i="36"/>
  <c r="E29" i="55"/>
  <c r="N33" i="54"/>
  <c r="D36" i="34"/>
  <c r="D39" i="34" s="1"/>
  <c r="D62" i="34" s="1"/>
  <c r="G37" i="33"/>
  <c r="I37" i="33" s="1"/>
  <c r="C37" i="36" s="1"/>
  <c r="D38" i="52" s="1"/>
  <c r="C63" i="67"/>
  <c r="D63" i="67" s="1"/>
  <c r="C72" i="38" s="1"/>
  <c r="C114" i="38" s="1"/>
  <c r="D29" i="67"/>
  <c r="D44" i="67" s="1"/>
  <c r="E78" i="36"/>
  <c r="C76" i="63"/>
  <c r="F62" i="33"/>
  <c r="F38" i="59"/>
  <c r="F40" i="59" s="1"/>
  <c r="F47" i="59" s="1"/>
  <c r="F62" i="59" s="1"/>
  <c r="G26" i="56"/>
  <c r="H26" i="56" s="1"/>
  <c r="G43" i="56"/>
  <c r="H43" i="56" s="1"/>
  <c r="G25" i="56"/>
  <c r="H25" i="56" s="1"/>
  <c r="F20" i="56"/>
  <c r="F22" i="56"/>
  <c r="F21" i="56"/>
  <c r="H62" i="4"/>
  <c r="D65" i="4" s="1"/>
  <c r="N63" i="50" l="1"/>
  <c r="O40" i="50"/>
  <c r="E63" i="50"/>
  <c r="F59" i="50"/>
  <c r="N48" i="54"/>
  <c r="E50" i="51"/>
  <c r="F31" i="51"/>
  <c r="G3" i="4"/>
  <c r="N11" i="54"/>
  <c r="C56" i="52"/>
  <c r="C56" i="48"/>
  <c r="N13" i="54"/>
  <c r="C113" i="38"/>
  <c r="E59" i="55"/>
  <c r="E23" i="54"/>
  <c r="C17" i="48"/>
  <c r="C17" i="52"/>
  <c r="D20" i="52"/>
  <c r="C131" i="36"/>
  <c r="C45" i="38"/>
  <c r="G19" i="61"/>
  <c r="I10" i="61"/>
  <c r="C17" i="53"/>
  <c r="C17" i="49"/>
  <c r="C48" i="53"/>
  <c r="C48" i="49"/>
  <c r="K32" i="52"/>
  <c r="K32" i="48"/>
  <c r="C15" i="53"/>
  <c r="C15" i="49"/>
  <c r="C64" i="53"/>
  <c r="C64" i="49"/>
  <c r="C44" i="53"/>
  <c r="C44" i="49"/>
  <c r="K33" i="52"/>
  <c r="K33" i="48"/>
  <c r="C38" i="53"/>
  <c r="C38" i="49"/>
  <c r="C52" i="52"/>
  <c r="C52" i="48"/>
  <c r="K26" i="52"/>
  <c r="K26" i="48"/>
  <c r="A1" i="32"/>
  <c r="E55" i="55"/>
  <c r="C14" i="53"/>
  <c r="C14" i="49"/>
  <c r="E12" i="55"/>
  <c r="N19" i="54"/>
  <c r="C14" i="48"/>
  <c r="C14" i="52"/>
  <c r="E101" i="36"/>
  <c r="C99" i="63"/>
  <c r="K21" i="52"/>
  <c r="K21" i="48"/>
  <c r="C54" i="52"/>
  <c r="C54" i="48"/>
  <c r="K53" i="52"/>
  <c r="K53" i="48"/>
  <c r="C5" i="64"/>
  <c r="C9" i="64" s="1"/>
  <c r="C18" i="64" s="1"/>
  <c r="C29" i="64" s="1"/>
  <c r="C48" i="64" s="1"/>
  <c r="C52" i="64" s="1"/>
  <c r="E6" i="37"/>
  <c r="K50" i="52"/>
  <c r="K50" i="48"/>
  <c r="C51" i="52"/>
  <c r="C51" i="48"/>
  <c r="C26" i="52"/>
  <c r="C26" i="48"/>
  <c r="C28" i="53"/>
  <c r="C28" i="49"/>
  <c r="K11" i="52"/>
  <c r="K11" i="48"/>
  <c r="C56" i="53"/>
  <c r="C56" i="49"/>
  <c r="C55" i="53"/>
  <c r="E55" i="53" s="1"/>
  <c r="C55" i="49"/>
  <c r="C45" i="52"/>
  <c r="C45" i="48"/>
  <c r="N54" i="54"/>
  <c r="C27" i="53"/>
  <c r="C27" i="49"/>
  <c r="D23" i="66"/>
  <c r="E23" i="66" s="1"/>
  <c r="I23" i="66" s="1"/>
  <c r="D23" i="56"/>
  <c r="E23" i="56" s="1"/>
  <c r="I23" i="56" s="1"/>
  <c r="J23" i="56" s="1"/>
  <c r="K52" i="52"/>
  <c r="K52" i="48"/>
  <c r="K35" i="52"/>
  <c r="K35" i="48"/>
  <c r="K30" i="52"/>
  <c r="K30" i="48"/>
  <c r="K13" i="52"/>
  <c r="M13" i="52" s="1"/>
  <c r="K13" i="48"/>
  <c r="E61" i="54"/>
  <c r="E38" i="54"/>
  <c r="F62" i="60"/>
  <c r="E19" i="54"/>
  <c r="I36" i="59"/>
  <c r="G38" i="59"/>
  <c r="F53" i="62"/>
  <c r="E53" i="62" s="1"/>
  <c r="C57" i="62"/>
  <c r="J62" i="46"/>
  <c r="L39" i="46"/>
  <c r="C42" i="53"/>
  <c r="C42" i="49"/>
  <c r="C106" i="38"/>
  <c r="J23" i="66"/>
  <c r="F3" i="6"/>
  <c r="D3" i="6"/>
  <c r="C52" i="6"/>
  <c r="B65" i="67"/>
  <c r="G75" i="35"/>
  <c r="B76" i="35"/>
  <c r="D37" i="2"/>
  <c r="E37" i="2" s="1"/>
  <c r="C103" i="38"/>
  <c r="I49" i="33"/>
  <c r="C49" i="36" s="1"/>
  <c r="G58" i="33"/>
  <c r="C8" i="53"/>
  <c r="C8" i="49"/>
  <c r="G26" i="34"/>
  <c r="C21" i="53"/>
  <c r="C21" i="49"/>
  <c r="C53" i="53"/>
  <c r="C53" i="49"/>
  <c r="C65" i="53"/>
  <c r="C65" i="49"/>
  <c r="C67" i="53"/>
  <c r="C67" i="49"/>
  <c r="C62" i="53"/>
  <c r="C62" i="49"/>
  <c r="C21" i="52"/>
  <c r="C21" i="48"/>
  <c r="C16" i="48"/>
  <c r="C16" i="52"/>
  <c r="C72" i="53"/>
  <c r="C72" i="49"/>
  <c r="C10" i="52"/>
  <c r="C10" i="48"/>
  <c r="C40" i="53"/>
  <c r="C40" i="49"/>
  <c r="C62" i="52"/>
  <c r="C62" i="48"/>
  <c r="C9" i="53"/>
  <c r="C9" i="49"/>
  <c r="C63" i="53"/>
  <c r="C63" i="49"/>
  <c r="C71" i="53"/>
  <c r="C71" i="49"/>
  <c r="C26" i="53"/>
  <c r="C26" i="49"/>
  <c r="C11" i="52"/>
  <c r="C11" i="48"/>
  <c r="C9" i="48"/>
  <c r="C9" i="52"/>
  <c r="C35" i="53"/>
  <c r="C35" i="49"/>
  <c r="I28" i="60"/>
  <c r="G36" i="60"/>
  <c r="C49" i="53"/>
  <c r="C49" i="49"/>
  <c r="E27" i="55"/>
  <c r="E27" i="53"/>
  <c r="C112" i="38"/>
  <c r="D38" i="2"/>
  <c r="E38" i="2" s="1"/>
  <c r="K45" i="52"/>
  <c r="K45" i="48"/>
  <c r="K24" i="52"/>
  <c r="K24" i="48"/>
  <c r="C51" i="53"/>
  <c r="C51" i="49"/>
  <c r="C13" i="52"/>
  <c r="C13" i="48"/>
  <c r="E13" i="54"/>
  <c r="E13" i="52"/>
  <c r="L8" i="52"/>
  <c r="C89" i="36"/>
  <c r="E60" i="36"/>
  <c r="C59" i="63"/>
  <c r="K23" i="48"/>
  <c r="K23" i="52"/>
  <c r="K15" i="52"/>
  <c r="K15" i="48"/>
  <c r="K31" i="52"/>
  <c r="K31" i="48"/>
  <c r="K34" i="52"/>
  <c r="K34" i="48"/>
  <c r="C47" i="53"/>
  <c r="C47" i="49"/>
  <c r="C19" i="53"/>
  <c r="C19" i="49"/>
  <c r="C59" i="53"/>
  <c r="C59" i="49"/>
  <c r="C33" i="48"/>
  <c r="C33" i="52"/>
  <c r="K12" i="52"/>
  <c r="K12" i="48"/>
  <c r="K46" i="52"/>
  <c r="K46" i="48"/>
  <c r="G19" i="35"/>
  <c r="I10" i="35"/>
  <c r="D50" i="49"/>
  <c r="C102" i="38"/>
  <c r="D36" i="2"/>
  <c r="E36" i="2" s="1"/>
  <c r="E7" i="36"/>
  <c r="C6" i="63"/>
  <c r="C82" i="65" s="1"/>
  <c r="C42" i="52"/>
  <c r="C42" i="48"/>
  <c r="I49" i="59"/>
  <c r="G58" i="59"/>
  <c r="F24" i="66"/>
  <c r="F16" i="66"/>
  <c r="C61" i="53"/>
  <c r="C61" i="49"/>
  <c r="C23" i="52"/>
  <c r="C23" i="48"/>
  <c r="I36" i="33"/>
  <c r="C36" i="36" s="1"/>
  <c r="G38" i="33"/>
  <c r="D31" i="66"/>
  <c r="E31" i="66" s="1"/>
  <c r="D31" i="56"/>
  <c r="E31" i="56" s="1"/>
  <c r="C73" i="53"/>
  <c r="C73" i="49"/>
  <c r="C43" i="53"/>
  <c r="C43" i="49"/>
  <c r="C36" i="53"/>
  <c r="C36" i="49"/>
  <c r="C33" i="53"/>
  <c r="C33" i="49"/>
  <c r="C32" i="53"/>
  <c r="C32" i="49"/>
  <c r="C60" i="53"/>
  <c r="C60" i="49"/>
  <c r="C57" i="53"/>
  <c r="C57" i="49"/>
  <c r="C66" i="53"/>
  <c r="C66" i="49"/>
  <c r="C18" i="53"/>
  <c r="C18" i="49"/>
  <c r="C53" i="52"/>
  <c r="C53" i="48"/>
  <c r="C13" i="53"/>
  <c r="C13" i="49"/>
  <c r="K49" i="52"/>
  <c r="K49" i="48"/>
  <c r="C38" i="52"/>
  <c r="E38" i="52" s="1"/>
  <c r="C38" i="48"/>
  <c r="E45" i="54"/>
  <c r="E45" i="52"/>
  <c r="C22" i="53"/>
  <c r="C22" i="49"/>
  <c r="D7" i="53"/>
  <c r="C10" i="37"/>
  <c r="C88" i="37"/>
  <c r="C46" i="52"/>
  <c r="C46" i="48"/>
  <c r="C100" i="38"/>
  <c r="D40" i="2"/>
  <c r="E40" i="2" s="1"/>
  <c r="C34" i="52"/>
  <c r="C34" i="48"/>
  <c r="D62" i="60"/>
  <c r="K59" i="52"/>
  <c r="K59" i="48"/>
  <c r="E8" i="54"/>
  <c r="N25" i="54"/>
  <c r="C23" i="53"/>
  <c r="C23" i="49"/>
  <c r="C77" i="67"/>
  <c r="D73" i="67"/>
  <c r="K20" i="52"/>
  <c r="K20" i="48"/>
  <c r="E110" i="36"/>
  <c r="C108" i="63"/>
  <c r="K19" i="52"/>
  <c r="K19" i="48"/>
  <c r="C58" i="52"/>
  <c r="C58" i="48"/>
  <c r="K17" i="52"/>
  <c r="K17" i="48"/>
  <c r="C18" i="52"/>
  <c r="C18" i="48"/>
  <c r="C25" i="48"/>
  <c r="C25" i="52"/>
  <c r="K55" i="52"/>
  <c r="K55" i="48"/>
  <c r="C46" i="53"/>
  <c r="C46" i="49"/>
  <c r="C19" i="52"/>
  <c r="E19" i="52" s="1"/>
  <c r="C19" i="48"/>
  <c r="C43" i="52"/>
  <c r="C43" i="48"/>
  <c r="C22" i="48"/>
  <c r="C22" i="52"/>
  <c r="C39" i="53"/>
  <c r="C39" i="49"/>
  <c r="K47" i="52"/>
  <c r="K47" i="48"/>
  <c r="K54" i="52"/>
  <c r="K54" i="48"/>
  <c r="K22" i="52"/>
  <c r="K22" i="48"/>
  <c r="K61" i="52"/>
  <c r="K61" i="48"/>
  <c r="K16" i="52"/>
  <c r="K16" i="48"/>
  <c r="C16" i="53"/>
  <c r="C16" i="49"/>
  <c r="O37" i="50"/>
  <c r="C58" i="38"/>
  <c r="C25" i="53"/>
  <c r="C25" i="49"/>
  <c r="C62" i="60"/>
  <c r="C27" i="52"/>
  <c r="C27" i="48"/>
  <c r="N39" i="54"/>
  <c r="A1" i="31"/>
  <c r="L29" i="52"/>
  <c r="C99" i="36"/>
  <c r="N15" i="54"/>
  <c r="M15" i="52"/>
  <c r="C24" i="48"/>
  <c r="C24" i="52"/>
  <c r="I29" i="33"/>
  <c r="C29" i="36" s="1"/>
  <c r="G28" i="33"/>
  <c r="C34" i="53"/>
  <c r="C34" i="49"/>
  <c r="C10" i="53"/>
  <c r="C10" i="49"/>
  <c r="C69" i="53"/>
  <c r="C69" i="49"/>
  <c r="C12" i="53"/>
  <c r="C12" i="49"/>
  <c r="D14" i="56"/>
  <c r="E14" i="56" s="1"/>
  <c r="I14" i="56" s="1"/>
  <c r="J14" i="56" s="1"/>
  <c r="D14" i="66"/>
  <c r="E14" i="66" s="1"/>
  <c r="I14" i="66" s="1"/>
  <c r="J14" i="66" s="1"/>
  <c r="C32" i="66"/>
  <c r="C32" i="56"/>
  <c r="C55" i="52"/>
  <c r="C55" i="48"/>
  <c r="K25" i="48"/>
  <c r="K25" i="52"/>
  <c r="M25" i="52" s="1"/>
  <c r="C45" i="53"/>
  <c r="C45" i="49"/>
  <c r="C37" i="53"/>
  <c r="C37" i="49"/>
  <c r="D32" i="66"/>
  <c r="E32" i="66" s="1"/>
  <c r="D32" i="56"/>
  <c r="E32" i="56" s="1"/>
  <c r="C32" i="52"/>
  <c r="E32" i="52" s="1"/>
  <c r="C32" i="48"/>
  <c r="I7" i="60"/>
  <c r="G26" i="60"/>
  <c r="I26" i="60" s="1"/>
  <c r="O62" i="50"/>
  <c r="E32" i="54"/>
  <c r="B63" i="59"/>
  <c r="B63" i="60"/>
  <c r="C31" i="48"/>
  <c r="C31" i="52"/>
  <c r="C70" i="53"/>
  <c r="C70" i="49"/>
  <c r="I43" i="60"/>
  <c r="C28" i="59"/>
  <c r="C34" i="59" s="1"/>
  <c r="C62" i="59" s="1"/>
  <c r="G29" i="59"/>
  <c r="I43" i="34"/>
  <c r="C106" i="36" s="1"/>
  <c r="I19" i="59"/>
  <c r="G27" i="59"/>
  <c r="I27" i="59" s="1"/>
  <c r="C30" i="53"/>
  <c r="C30" i="49"/>
  <c r="C24" i="53"/>
  <c r="C24" i="49"/>
  <c r="K58" i="52"/>
  <c r="K58" i="48"/>
  <c r="C47" i="52"/>
  <c r="C47" i="48"/>
  <c r="C44" i="52"/>
  <c r="C44" i="48"/>
  <c r="K14" i="52"/>
  <c r="K14" i="48"/>
  <c r="K9" i="52"/>
  <c r="K9" i="48"/>
  <c r="K36" i="52"/>
  <c r="K36" i="48"/>
  <c r="C15" i="52"/>
  <c r="C15" i="48"/>
  <c r="C40" i="48"/>
  <c r="C40" i="52"/>
  <c r="C29" i="53"/>
  <c r="C29" i="49"/>
  <c r="K51" i="52"/>
  <c r="K51" i="48"/>
  <c r="C41" i="53"/>
  <c r="C41" i="49"/>
  <c r="C52" i="53"/>
  <c r="C52" i="49"/>
  <c r="C12" i="48"/>
  <c r="C12" i="52"/>
  <c r="C57" i="52"/>
  <c r="C57" i="48"/>
  <c r="K57" i="52"/>
  <c r="K57" i="48"/>
  <c r="K18" i="48"/>
  <c r="K18" i="52"/>
  <c r="K41" i="52"/>
  <c r="K41" i="48"/>
  <c r="K10" i="48"/>
  <c r="K10" i="52"/>
  <c r="E106" i="36" l="1"/>
  <c r="C104" i="63"/>
  <c r="N29" i="54"/>
  <c r="L37" i="52"/>
  <c r="L55" i="54"/>
  <c r="N55" i="52"/>
  <c r="O55" i="52" s="1"/>
  <c r="M55" i="52"/>
  <c r="C23" i="55"/>
  <c r="F23" i="53"/>
  <c r="G23" i="53" s="1"/>
  <c r="E23" i="53"/>
  <c r="C18" i="55"/>
  <c r="F18" i="53"/>
  <c r="G18" i="53" s="1"/>
  <c r="E18" i="53"/>
  <c r="C93" i="65"/>
  <c r="C86" i="65"/>
  <c r="C91" i="65" s="1"/>
  <c r="L46" i="54"/>
  <c r="N46" i="52"/>
  <c r="O46" i="52" s="1"/>
  <c r="M46" i="52"/>
  <c r="C59" i="55"/>
  <c r="F59" i="53"/>
  <c r="G59" i="53" s="1"/>
  <c r="L34" i="50"/>
  <c r="N34" i="48"/>
  <c r="O34" i="48" s="1"/>
  <c r="M34" i="48"/>
  <c r="L24" i="54"/>
  <c r="N24" i="52"/>
  <c r="O24" i="52" s="1"/>
  <c r="M24" i="52"/>
  <c r="C26" i="55"/>
  <c r="F26" i="53"/>
  <c r="G26" i="53" s="1"/>
  <c r="E26" i="53"/>
  <c r="C62" i="50"/>
  <c r="F62" i="48"/>
  <c r="G62" i="48" s="1"/>
  <c r="E62" i="48"/>
  <c r="C72" i="55"/>
  <c r="F72" i="53"/>
  <c r="G72" i="53" s="1"/>
  <c r="E72" i="53"/>
  <c r="C67" i="55"/>
  <c r="F67" i="53"/>
  <c r="G67" i="53" s="1"/>
  <c r="E67" i="53"/>
  <c r="C8" i="51"/>
  <c r="F8" i="49"/>
  <c r="G8" i="49" s="1"/>
  <c r="E8" i="49"/>
  <c r="C42" i="55"/>
  <c r="F42" i="53"/>
  <c r="G42" i="53" s="1"/>
  <c r="E42" i="53"/>
  <c r="L35" i="54"/>
  <c r="N35" i="52"/>
  <c r="O35" i="52" s="1"/>
  <c r="M35" i="52"/>
  <c r="L11" i="54"/>
  <c r="N11" i="52"/>
  <c r="O11" i="52" s="1"/>
  <c r="C51" i="54"/>
  <c r="F51" i="52"/>
  <c r="G51" i="52" s="1"/>
  <c r="E51" i="52"/>
  <c r="C54" i="50"/>
  <c r="F54" i="48"/>
  <c r="G54" i="48" s="1"/>
  <c r="E54" i="48"/>
  <c r="C38" i="51"/>
  <c r="F38" i="49"/>
  <c r="G38" i="49" s="1"/>
  <c r="E38" i="49"/>
  <c r="C64" i="51"/>
  <c r="F64" i="49"/>
  <c r="G64" i="49" s="1"/>
  <c r="E64" i="49"/>
  <c r="C17" i="51"/>
  <c r="F17" i="49"/>
  <c r="G17" i="49" s="1"/>
  <c r="E17" i="49"/>
  <c r="E20" i="54"/>
  <c r="D28" i="52"/>
  <c r="M11" i="52"/>
  <c r="L10" i="50"/>
  <c r="N10" i="48"/>
  <c r="O10" i="48" s="1"/>
  <c r="M10" i="48"/>
  <c r="L58" i="50"/>
  <c r="N58" i="48"/>
  <c r="O58" i="48" s="1"/>
  <c r="M58" i="48"/>
  <c r="C37" i="51"/>
  <c r="F37" i="49"/>
  <c r="G37" i="49" s="1"/>
  <c r="E37" i="49"/>
  <c r="C43" i="50"/>
  <c r="F43" i="48"/>
  <c r="G43" i="48" s="1"/>
  <c r="E43" i="48"/>
  <c r="C58" i="54"/>
  <c r="F58" i="52"/>
  <c r="G58" i="52" s="1"/>
  <c r="E58" i="52"/>
  <c r="C73" i="55"/>
  <c r="F73" i="53"/>
  <c r="G73" i="53" s="1"/>
  <c r="E73" i="53"/>
  <c r="L23" i="50"/>
  <c r="N23" i="48"/>
  <c r="O23" i="48" s="1"/>
  <c r="M23" i="48"/>
  <c r="L41" i="50"/>
  <c r="M41" i="48"/>
  <c r="N41" i="48"/>
  <c r="O41" i="48" s="1"/>
  <c r="C57" i="54"/>
  <c r="F57" i="52"/>
  <c r="G57" i="52" s="1"/>
  <c r="E57" i="52"/>
  <c r="L51" i="50"/>
  <c r="N51" i="48"/>
  <c r="O51" i="48" s="1"/>
  <c r="M51" i="48"/>
  <c r="L58" i="54"/>
  <c r="N58" i="52"/>
  <c r="O58" i="52" s="1"/>
  <c r="M58" i="52"/>
  <c r="C18" i="63"/>
  <c r="C26" i="63" s="1"/>
  <c r="E19" i="36"/>
  <c r="C70" i="51"/>
  <c r="F70" i="49"/>
  <c r="G70" i="49" s="1"/>
  <c r="E70" i="49"/>
  <c r="C37" i="55"/>
  <c r="F37" i="53"/>
  <c r="G37" i="53" s="1"/>
  <c r="E37" i="53"/>
  <c r="C55" i="50"/>
  <c r="F55" i="48"/>
  <c r="G55" i="48" s="1"/>
  <c r="E55" i="48"/>
  <c r="C69" i="51"/>
  <c r="F69" i="49"/>
  <c r="G69" i="49" s="1"/>
  <c r="E69" i="49"/>
  <c r="C24" i="54"/>
  <c r="F24" i="52"/>
  <c r="G24" i="52" s="1"/>
  <c r="E24" i="52"/>
  <c r="C27" i="50"/>
  <c r="F27" i="48"/>
  <c r="G27" i="48" s="1"/>
  <c r="E27" i="48"/>
  <c r="L16" i="50"/>
  <c r="N16" i="48"/>
  <c r="O16" i="48" s="1"/>
  <c r="M16" i="48"/>
  <c r="L54" i="54"/>
  <c r="N54" i="52"/>
  <c r="O54" i="52" s="1"/>
  <c r="C43" i="54"/>
  <c r="F43" i="52"/>
  <c r="G43" i="52" s="1"/>
  <c r="E43" i="52"/>
  <c r="C25" i="54"/>
  <c r="F25" i="52"/>
  <c r="G25" i="52" s="1"/>
  <c r="E25" i="52"/>
  <c r="L20" i="50"/>
  <c r="N20" i="48"/>
  <c r="O20" i="48" s="1"/>
  <c r="M20" i="48"/>
  <c r="L59" i="54"/>
  <c r="N59" i="52"/>
  <c r="O59" i="52" s="1"/>
  <c r="M59" i="52"/>
  <c r="C46" i="50"/>
  <c r="F46" i="48"/>
  <c r="G46" i="48" s="1"/>
  <c r="E46" i="48"/>
  <c r="L49" i="54"/>
  <c r="N49" i="52"/>
  <c r="O49" i="52" s="1"/>
  <c r="M49" i="52"/>
  <c r="C66" i="51"/>
  <c r="F66" i="49"/>
  <c r="G66" i="49" s="1"/>
  <c r="E66" i="49"/>
  <c r="C33" i="51"/>
  <c r="F33" i="49"/>
  <c r="G33" i="49" s="1"/>
  <c r="E33" i="49"/>
  <c r="C33" i="56"/>
  <c r="I31" i="56"/>
  <c r="J31" i="56" s="1"/>
  <c r="C8" i="48"/>
  <c r="C8" i="52"/>
  <c r="E27" i="36"/>
  <c r="C18" i="66"/>
  <c r="C18" i="56"/>
  <c r="D32" i="2"/>
  <c r="E32" i="2" s="1"/>
  <c r="L12" i="50"/>
  <c r="N12" i="48"/>
  <c r="O12" i="48" s="1"/>
  <c r="M12" i="48"/>
  <c r="C19" i="51"/>
  <c r="F19" i="49"/>
  <c r="G19" i="49" s="1"/>
  <c r="E19" i="49"/>
  <c r="L34" i="54"/>
  <c r="N34" i="52"/>
  <c r="O34" i="52" s="1"/>
  <c r="M34" i="52"/>
  <c r="L45" i="50"/>
  <c r="N45" i="48"/>
  <c r="O45" i="48" s="1"/>
  <c r="M45" i="48"/>
  <c r="C35" i="51"/>
  <c r="F35" i="49"/>
  <c r="G35" i="49" s="1"/>
  <c r="E35" i="49"/>
  <c r="C71" i="51"/>
  <c r="F71" i="49"/>
  <c r="G71" i="49" s="1"/>
  <c r="E71" i="49"/>
  <c r="C62" i="54"/>
  <c r="F62" i="52"/>
  <c r="G62" i="52" s="1"/>
  <c r="E62" i="52"/>
  <c r="C16" i="54"/>
  <c r="F16" i="52"/>
  <c r="G16" i="52" s="1"/>
  <c r="E16" i="52"/>
  <c r="C65" i="51"/>
  <c r="F65" i="49"/>
  <c r="G65" i="49" s="1"/>
  <c r="E65" i="49"/>
  <c r="C8" i="55"/>
  <c r="F8" i="53"/>
  <c r="G8" i="53" s="1"/>
  <c r="E8" i="53"/>
  <c r="L52" i="50"/>
  <c r="N52" i="48"/>
  <c r="O52" i="48" s="1"/>
  <c r="M52" i="48"/>
  <c r="C45" i="50"/>
  <c r="F45" i="48"/>
  <c r="G45" i="48" s="1"/>
  <c r="E45" i="48"/>
  <c r="C28" i="51"/>
  <c r="F28" i="49"/>
  <c r="G28" i="49" s="1"/>
  <c r="E28" i="49"/>
  <c r="L50" i="50"/>
  <c r="N50" i="48"/>
  <c r="O50" i="48" s="1"/>
  <c r="M50" i="48"/>
  <c r="C54" i="54"/>
  <c r="F54" i="52"/>
  <c r="G54" i="52" s="1"/>
  <c r="E54" i="52"/>
  <c r="C14" i="51"/>
  <c r="F14" i="49"/>
  <c r="G14" i="49" s="1"/>
  <c r="E14" i="49"/>
  <c r="C38" i="55"/>
  <c r="F38" i="53"/>
  <c r="G38" i="53" s="1"/>
  <c r="E38" i="53"/>
  <c r="C64" i="55"/>
  <c r="F64" i="53"/>
  <c r="G64" i="53" s="1"/>
  <c r="E64" i="53"/>
  <c r="C17" i="55"/>
  <c r="F17" i="53"/>
  <c r="G17" i="53" s="1"/>
  <c r="E17" i="53"/>
  <c r="F50" i="51"/>
  <c r="E54" i="51"/>
  <c r="C27" i="54"/>
  <c r="F27" i="52"/>
  <c r="G27" i="52" s="1"/>
  <c r="E27" i="52"/>
  <c r="L16" i="54"/>
  <c r="N16" i="52"/>
  <c r="O16" i="52" s="1"/>
  <c r="M16" i="52"/>
  <c r="L47" i="50"/>
  <c r="N47" i="48"/>
  <c r="O47" i="48" s="1"/>
  <c r="M47" i="48"/>
  <c r="C19" i="50"/>
  <c r="F19" i="48"/>
  <c r="G19" i="48" s="1"/>
  <c r="E19" i="48"/>
  <c r="C25" i="50"/>
  <c r="F25" i="48"/>
  <c r="G25" i="48" s="1"/>
  <c r="E25" i="48"/>
  <c r="L19" i="50"/>
  <c r="N19" i="48"/>
  <c r="O19" i="48" s="1"/>
  <c r="M19" i="48"/>
  <c r="L20" i="54"/>
  <c r="N20" i="52"/>
  <c r="O20" i="52" s="1"/>
  <c r="M20" i="52"/>
  <c r="C46" i="54"/>
  <c r="F46" i="52"/>
  <c r="G46" i="52" s="1"/>
  <c r="E46" i="52"/>
  <c r="C22" i="51"/>
  <c r="F22" i="49"/>
  <c r="G22" i="49" s="1"/>
  <c r="E22" i="49"/>
  <c r="C13" i="51"/>
  <c r="F13" i="49"/>
  <c r="G13" i="49" s="1"/>
  <c r="E13" i="49"/>
  <c r="C66" i="55"/>
  <c r="F66" i="53"/>
  <c r="G66" i="53" s="1"/>
  <c r="E66" i="53"/>
  <c r="C33" i="55"/>
  <c r="F33" i="53"/>
  <c r="G33" i="53" s="1"/>
  <c r="E33" i="53"/>
  <c r="I31" i="66"/>
  <c r="J31" i="66" s="1"/>
  <c r="C33" i="66"/>
  <c r="C23" i="50"/>
  <c r="F23" i="48"/>
  <c r="G23" i="48" s="1"/>
  <c r="E23" i="48"/>
  <c r="L12" i="54"/>
  <c r="N12" i="52"/>
  <c r="O12" i="52" s="1"/>
  <c r="M12" i="52"/>
  <c r="C19" i="55"/>
  <c r="F19" i="53"/>
  <c r="G19" i="53" s="1"/>
  <c r="E19" i="53"/>
  <c r="L31" i="50"/>
  <c r="N31" i="48"/>
  <c r="O31" i="48" s="1"/>
  <c r="M31" i="48"/>
  <c r="C61" i="52"/>
  <c r="C61" i="48"/>
  <c r="L45" i="54"/>
  <c r="N45" i="52"/>
  <c r="O45" i="52" s="1"/>
  <c r="M45" i="52"/>
  <c r="C49" i="51"/>
  <c r="F49" i="49"/>
  <c r="G49" i="49" s="1"/>
  <c r="E49" i="49"/>
  <c r="C35" i="55"/>
  <c r="F35" i="53"/>
  <c r="G35" i="53" s="1"/>
  <c r="E35" i="53"/>
  <c r="C71" i="55"/>
  <c r="F71" i="53"/>
  <c r="G71" i="53" s="1"/>
  <c r="E71" i="53"/>
  <c r="C16" i="50"/>
  <c r="F16" i="48"/>
  <c r="G16" i="48" s="1"/>
  <c r="E16" i="48"/>
  <c r="C65" i="55"/>
  <c r="F65" i="53"/>
  <c r="G65" i="53" s="1"/>
  <c r="E65" i="53"/>
  <c r="I58" i="33"/>
  <c r="L62" i="46"/>
  <c r="A1" i="46" s="1"/>
  <c r="C65" i="46"/>
  <c r="L52" i="54"/>
  <c r="N52" i="52"/>
  <c r="O52" i="52" s="1"/>
  <c r="M52" i="52"/>
  <c r="C45" i="54"/>
  <c r="F45" i="52"/>
  <c r="G45" i="52" s="1"/>
  <c r="C28" i="55"/>
  <c r="F28" i="53"/>
  <c r="G28" i="53" s="1"/>
  <c r="E28" i="53"/>
  <c r="L50" i="54"/>
  <c r="N50" i="52"/>
  <c r="O50" i="52" s="1"/>
  <c r="M50" i="52"/>
  <c r="L21" i="50"/>
  <c r="M21" i="48"/>
  <c r="N21" i="48"/>
  <c r="O21" i="48" s="1"/>
  <c r="C14" i="55"/>
  <c r="F14" i="53"/>
  <c r="G14" i="53" s="1"/>
  <c r="E14" i="53"/>
  <c r="L33" i="50"/>
  <c r="N33" i="48"/>
  <c r="O33" i="48" s="1"/>
  <c r="M33" i="48"/>
  <c r="C15" i="51"/>
  <c r="F15" i="49"/>
  <c r="G15" i="49" s="1"/>
  <c r="E15" i="49"/>
  <c r="C17" i="54"/>
  <c r="F17" i="52"/>
  <c r="G17" i="52" s="1"/>
  <c r="E17" i="52"/>
  <c r="F31" i="50"/>
  <c r="F10" i="50"/>
  <c r="F12" i="50"/>
  <c r="F14" i="50"/>
  <c r="F16" i="50"/>
  <c r="F18" i="50"/>
  <c r="F20" i="50"/>
  <c r="F22" i="50"/>
  <c r="F24" i="50"/>
  <c r="F49" i="50"/>
  <c r="F51" i="50"/>
  <c r="F53" i="50"/>
  <c r="F36" i="50"/>
  <c r="F38" i="50"/>
  <c r="F40" i="50"/>
  <c r="F42" i="50"/>
  <c r="F25" i="50"/>
  <c r="F27" i="50"/>
  <c r="F29" i="50"/>
  <c r="F63" i="50"/>
  <c r="F61" i="50"/>
  <c r="F57" i="50"/>
  <c r="F33" i="50"/>
  <c r="F35" i="50"/>
  <c r="F44" i="50"/>
  <c r="F47" i="50"/>
  <c r="F9" i="50"/>
  <c r="F11" i="50"/>
  <c r="F13" i="50"/>
  <c r="F15" i="50"/>
  <c r="F17" i="50"/>
  <c r="F19" i="50"/>
  <c r="F21" i="50"/>
  <c r="F23" i="50"/>
  <c r="F8" i="50"/>
  <c r="F50" i="50"/>
  <c r="F52" i="50"/>
  <c r="F54" i="50"/>
  <c r="F37" i="50"/>
  <c r="F39" i="50"/>
  <c r="F41" i="50"/>
  <c r="F43" i="50"/>
  <c r="F26" i="50"/>
  <c r="F28" i="50"/>
  <c r="F30" i="50"/>
  <c r="F62" i="50"/>
  <c r="F60" i="50"/>
  <c r="F58" i="50"/>
  <c r="F56" i="50"/>
  <c r="F32" i="50"/>
  <c r="F34" i="50"/>
  <c r="F45" i="50"/>
  <c r="F46" i="50"/>
  <c r="F48" i="50"/>
  <c r="F55" i="50"/>
  <c r="L14" i="54"/>
  <c r="N14" i="52"/>
  <c r="O14" i="52" s="1"/>
  <c r="M14" i="52"/>
  <c r="C12" i="55"/>
  <c r="F12" i="53"/>
  <c r="G12" i="53" s="1"/>
  <c r="C24" i="50"/>
  <c r="F24" i="48"/>
  <c r="G24" i="48" s="1"/>
  <c r="E24" i="48"/>
  <c r="L18" i="54"/>
  <c r="N18" i="52"/>
  <c r="O18" i="52" s="1"/>
  <c r="M18" i="52"/>
  <c r="C12" i="50"/>
  <c r="F12" i="48"/>
  <c r="G12" i="48" s="1"/>
  <c r="E12" i="48"/>
  <c r="C29" i="51"/>
  <c r="F29" i="49"/>
  <c r="G29" i="49" s="1"/>
  <c r="E29" i="49"/>
  <c r="L36" i="50"/>
  <c r="N36" i="48"/>
  <c r="O36" i="48" s="1"/>
  <c r="M36" i="48"/>
  <c r="C44" i="54"/>
  <c r="F44" i="52"/>
  <c r="G44" i="52" s="1"/>
  <c r="E44" i="52"/>
  <c r="G8" i="66"/>
  <c r="H8" i="66" s="1"/>
  <c r="L44" i="52"/>
  <c r="C31" i="54"/>
  <c r="F31" i="52"/>
  <c r="G31" i="52" s="1"/>
  <c r="E31" i="52"/>
  <c r="C10" i="51"/>
  <c r="F10" i="49"/>
  <c r="G10" i="49" s="1"/>
  <c r="E10" i="49"/>
  <c r="C16" i="51"/>
  <c r="F16" i="49"/>
  <c r="G16" i="49" s="1"/>
  <c r="E16" i="49"/>
  <c r="L47" i="54"/>
  <c r="N47" i="52"/>
  <c r="O47" i="52" s="1"/>
  <c r="M47" i="52"/>
  <c r="C19" i="54"/>
  <c r="F19" i="52"/>
  <c r="G19" i="52" s="1"/>
  <c r="C18" i="50"/>
  <c r="F18" i="48"/>
  <c r="G18" i="48" s="1"/>
  <c r="E18" i="48"/>
  <c r="L19" i="54"/>
  <c r="N19" i="52"/>
  <c r="O19" i="52" s="1"/>
  <c r="C34" i="50"/>
  <c r="F34" i="48"/>
  <c r="G34" i="48" s="1"/>
  <c r="E34" i="48"/>
  <c r="C22" i="55"/>
  <c r="F22" i="53"/>
  <c r="G22" i="53" s="1"/>
  <c r="E22" i="53"/>
  <c r="C13" i="55"/>
  <c r="F13" i="53"/>
  <c r="G13" i="53" s="1"/>
  <c r="E13" i="53"/>
  <c r="C57" i="51"/>
  <c r="F57" i="49"/>
  <c r="G57" i="49" s="1"/>
  <c r="E57" i="49"/>
  <c r="C36" i="51"/>
  <c r="F36" i="49"/>
  <c r="G36" i="49" s="1"/>
  <c r="E36" i="49"/>
  <c r="C23" i="54"/>
  <c r="F23" i="52"/>
  <c r="G23" i="52" s="1"/>
  <c r="I58" i="59"/>
  <c r="L31" i="54"/>
  <c r="N31" i="52"/>
  <c r="O31" i="52" s="1"/>
  <c r="M31" i="52"/>
  <c r="C13" i="50"/>
  <c r="F13" i="48"/>
  <c r="G13" i="48" s="1"/>
  <c r="E13" i="48"/>
  <c r="C49" i="55"/>
  <c r="F49" i="53"/>
  <c r="G49" i="53" s="1"/>
  <c r="E49" i="53"/>
  <c r="C9" i="54"/>
  <c r="F9" i="52"/>
  <c r="G9" i="52" s="1"/>
  <c r="E9" i="52"/>
  <c r="C63" i="51"/>
  <c r="F63" i="49"/>
  <c r="G63" i="49" s="1"/>
  <c r="E63" i="49"/>
  <c r="C40" i="51"/>
  <c r="F40" i="49"/>
  <c r="G40" i="49" s="1"/>
  <c r="E40" i="49"/>
  <c r="C21" i="50"/>
  <c r="F21" i="48"/>
  <c r="G21" i="48" s="1"/>
  <c r="E21" i="48"/>
  <c r="C53" i="51"/>
  <c r="F53" i="49"/>
  <c r="G53" i="49" s="1"/>
  <c r="E53" i="49"/>
  <c r="D50" i="52"/>
  <c r="C58" i="36"/>
  <c r="C134" i="36" s="1"/>
  <c r="C67" i="62"/>
  <c r="F57" i="62"/>
  <c r="E57" i="62" s="1"/>
  <c r="L13" i="50"/>
  <c r="N13" i="48"/>
  <c r="O13" i="48" s="1"/>
  <c r="M13" i="48"/>
  <c r="C55" i="51"/>
  <c r="F55" i="49"/>
  <c r="G55" i="49" s="1"/>
  <c r="E55" i="49"/>
  <c r="C26" i="50"/>
  <c r="F26" i="48"/>
  <c r="G26" i="48" s="1"/>
  <c r="E26" i="48"/>
  <c r="C7" i="53"/>
  <c r="E10" i="37"/>
  <c r="C7" i="49"/>
  <c r="E88" i="37"/>
  <c r="L21" i="54"/>
  <c r="N21" i="52"/>
  <c r="O21" i="52" s="1"/>
  <c r="M21" i="52"/>
  <c r="L33" i="54"/>
  <c r="N33" i="52"/>
  <c r="O33" i="52" s="1"/>
  <c r="M33" i="52"/>
  <c r="C15" i="55"/>
  <c r="F15" i="53"/>
  <c r="G15" i="53" s="1"/>
  <c r="E15" i="53"/>
  <c r="G30" i="61"/>
  <c r="I19" i="61"/>
  <c r="C17" i="50"/>
  <c r="F17" i="48"/>
  <c r="G17" i="48" s="1"/>
  <c r="E17" i="48"/>
  <c r="C41" i="55"/>
  <c r="F41" i="53"/>
  <c r="G41" i="53" s="1"/>
  <c r="E41" i="53"/>
  <c r="C101" i="38"/>
  <c r="C32" i="55"/>
  <c r="F32" i="53"/>
  <c r="G32" i="53" s="1"/>
  <c r="E32" i="53"/>
  <c r="C70" i="55"/>
  <c r="F70" i="53"/>
  <c r="G70" i="53" s="1"/>
  <c r="E70" i="53"/>
  <c r="C55" i="54"/>
  <c r="F55" i="52"/>
  <c r="G55" i="52" s="1"/>
  <c r="E55" i="52"/>
  <c r="C24" i="51"/>
  <c r="E24" i="49"/>
  <c r="F24" i="49"/>
  <c r="G24" i="49" s="1"/>
  <c r="I29" i="59"/>
  <c r="G28" i="59"/>
  <c r="C31" i="50"/>
  <c r="F31" i="48"/>
  <c r="G31" i="48" s="1"/>
  <c r="E31" i="48"/>
  <c r="C32" i="50"/>
  <c r="F32" i="48"/>
  <c r="G32" i="48" s="1"/>
  <c r="E32" i="48"/>
  <c r="C45" i="51"/>
  <c r="F45" i="49"/>
  <c r="G45" i="49" s="1"/>
  <c r="E45" i="49"/>
  <c r="C10" i="55"/>
  <c r="F10" i="53"/>
  <c r="G10" i="53" s="1"/>
  <c r="E10" i="53"/>
  <c r="C16" i="55"/>
  <c r="F16" i="53"/>
  <c r="G16" i="53" s="1"/>
  <c r="E16" i="53"/>
  <c r="L61" i="50"/>
  <c r="N61" i="48"/>
  <c r="O61" i="48" s="1"/>
  <c r="M61" i="48"/>
  <c r="C39" i="51"/>
  <c r="F39" i="49"/>
  <c r="G39" i="49" s="1"/>
  <c r="E39" i="49"/>
  <c r="C18" i="54"/>
  <c r="F18" i="52"/>
  <c r="G18" i="52" s="1"/>
  <c r="E18" i="52"/>
  <c r="C82" i="38"/>
  <c r="D77" i="67"/>
  <c r="C34" i="54"/>
  <c r="F34" i="52"/>
  <c r="G34" i="52" s="1"/>
  <c r="E34" i="52"/>
  <c r="C57" i="55"/>
  <c r="F57" i="53"/>
  <c r="G57" i="53" s="1"/>
  <c r="E57" i="53"/>
  <c r="C36" i="55"/>
  <c r="F36" i="53"/>
  <c r="G36" i="53" s="1"/>
  <c r="E36" i="53"/>
  <c r="C61" i="51"/>
  <c r="F61" i="49"/>
  <c r="G61" i="49" s="1"/>
  <c r="E61" i="49"/>
  <c r="C48" i="63"/>
  <c r="C57" i="63" s="1"/>
  <c r="E49" i="36"/>
  <c r="G30" i="35"/>
  <c r="I19" i="35"/>
  <c r="L15" i="50"/>
  <c r="N15" i="48"/>
  <c r="O15" i="48" s="1"/>
  <c r="M15" i="48"/>
  <c r="C13" i="54"/>
  <c r="F13" i="52"/>
  <c r="G13" i="52" s="1"/>
  <c r="C9" i="50"/>
  <c r="E9" i="48"/>
  <c r="F9" i="48"/>
  <c r="G9" i="48" s="1"/>
  <c r="C63" i="55"/>
  <c r="F63" i="53"/>
  <c r="G63" i="53" s="1"/>
  <c r="E63" i="53"/>
  <c r="C40" i="55"/>
  <c r="F40" i="53"/>
  <c r="G40" i="53" s="1"/>
  <c r="E40" i="53"/>
  <c r="C21" i="54"/>
  <c r="F21" i="52"/>
  <c r="G21" i="52" s="1"/>
  <c r="E21" i="52"/>
  <c r="C53" i="55"/>
  <c r="F53" i="53"/>
  <c r="G53" i="53" s="1"/>
  <c r="E53" i="53"/>
  <c r="L13" i="54"/>
  <c r="N13" i="52"/>
  <c r="O13" i="52" s="1"/>
  <c r="C55" i="55"/>
  <c r="F55" i="53"/>
  <c r="G55" i="53" s="1"/>
  <c r="C26" i="54"/>
  <c r="F26" i="52"/>
  <c r="G26" i="52" s="1"/>
  <c r="E26" i="52"/>
  <c r="C56" i="64"/>
  <c r="C66" i="64" s="1"/>
  <c r="C72" i="64" s="1"/>
  <c r="C94" i="65"/>
  <c r="L26" i="50"/>
  <c r="N26" i="48"/>
  <c r="O26" i="48" s="1"/>
  <c r="M26" i="48"/>
  <c r="L32" i="50"/>
  <c r="N32" i="48"/>
  <c r="O32" i="48" s="1"/>
  <c r="M32" i="48"/>
  <c r="C94" i="38"/>
  <c r="E23" i="52"/>
  <c r="C57" i="50"/>
  <c r="F57" i="48"/>
  <c r="G57" i="48" s="1"/>
  <c r="E57" i="48"/>
  <c r="L59" i="50"/>
  <c r="N59" i="48"/>
  <c r="O59" i="48" s="1"/>
  <c r="M59" i="48"/>
  <c r="L41" i="54"/>
  <c r="N41" i="52"/>
  <c r="O41" i="52" s="1"/>
  <c r="M41" i="52"/>
  <c r="C69" i="55"/>
  <c r="F69" i="53"/>
  <c r="G69" i="53" s="1"/>
  <c r="E69" i="53"/>
  <c r="L36" i="54"/>
  <c r="N36" i="52"/>
  <c r="O36" i="52" s="1"/>
  <c r="M36" i="52"/>
  <c r="L9" i="50"/>
  <c r="N9" i="48"/>
  <c r="O9" i="48" s="1"/>
  <c r="M9" i="48"/>
  <c r="C32" i="54"/>
  <c r="F32" i="52"/>
  <c r="G32" i="52" s="1"/>
  <c r="C45" i="55"/>
  <c r="F45" i="53"/>
  <c r="G45" i="53" s="1"/>
  <c r="E45" i="53"/>
  <c r="C34" i="51"/>
  <c r="F34" i="49"/>
  <c r="G34" i="49" s="1"/>
  <c r="E34" i="49"/>
  <c r="C25" i="51"/>
  <c r="E25" i="49"/>
  <c r="F25" i="49"/>
  <c r="G25" i="49" s="1"/>
  <c r="L61" i="54"/>
  <c r="N61" i="52"/>
  <c r="O61" i="52" s="1"/>
  <c r="M61" i="52"/>
  <c r="C39" i="55"/>
  <c r="F39" i="53"/>
  <c r="G39" i="53" s="1"/>
  <c r="E39" i="53"/>
  <c r="C46" i="51"/>
  <c r="F46" i="49"/>
  <c r="G46" i="49" s="1"/>
  <c r="E46" i="49"/>
  <c r="L17" i="50"/>
  <c r="N17" i="48"/>
  <c r="O17" i="48" s="1"/>
  <c r="M17" i="48"/>
  <c r="C89" i="37"/>
  <c r="C19" i="37"/>
  <c r="D11" i="53"/>
  <c r="G11" i="66"/>
  <c r="H11" i="66" s="1"/>
  <c r="G12" i="66"/>
  <c r="H12" i="66" s="1"/>
  <c r="G13" i="66"/>
  <c r="H13" i="66" s="1"/>
  <c r="F28" i="66"/>
  <c r="F29" i="66"/>
  <c r="F30" i="66"/>
  <c r="F31" i="66"/>
  <c r="E11" i="55"/>
  <c r="F11" i="66"/>
  <c r="G45" i="66"/>
  <c r="H45" i="66" s="1"/>
  <c r="C53" i="50"/>
  <c r="F53" i="48"/>
  <c r="G53" i="48" s="1"/>
  <c r="E53" i="48"/>
  <c r="C60" i="51"/>
  <c r="F60" i="49"/>
  <c r="G60" i="49" s="1"/>
  <c r="E60" i="49"/>
  <c r="C43" i="51"/>
  <c r="F43" i="49"/>
  <c r="G43" i="49" s="1"/>
  <c r="E43" i="49"/>
  <c r="C61" i="55"/>
  <c r="F61" i="53"/>
  <c r="G61" i="53" s="1"/>
  <c r="E61" i="53"/>
  <c r="C33" i="54"/>
  <c r="F33" i="52"/>
  <c r="G33" i="52" s="1"/>
  <c r="E33" i="52"/>
  <c r="C47" i="51"/>
  <c r="F47" i="49"/>
  <c r="G47" i="49" s="1"/>
  <c r="E47" i="49"/>
  <c r="L15" i="54"/>
  <c r="N15" i="52"/>
  <c r="O15" i="52" s="1"/>
  <c r="C51" i="51"/>
  <c r="F51" i="49"/>
  <c r="G51" i="49" s="1"/>
  <c r="E51" i="49"/>
  <c r="C11" i="50"/>
  <c r="F11" i="48"/>
  <c r="G11" i="48" s="1"/>
  <c r="E11" i="48"/>
  <c r="C10" i="50"/>
  <c r="F10" i="48"/>
  <c r="G10" i="48" s="1"/>
  <c r="E10" i="48"/>
  <c r="C62" i="51"/>
  <c r="F62" i="49"/>
  <c r="G62" i="49" s="1"/>
  <c r="E62" i="49"/>
  <c r="C21" i="51"/>
  <c r="F21" i="49"/>
  <c r="G21" i="49" s="1"/>
  <c r="E21" i="49"/>
  <c r="L30" i="50"/>
  <c r="N30" i="48"/>
  <c r="O30" i="48" s="1"/>
  <c r="M30" i="48"/>
  <c r="C27" i="51"/>
  <c r="F27" i="49"/>
  <c r="G27" i="49" s="1"/>
  <c r="E27" i="49"/>
  <c r="C56" i="51"/>
  <c r="F56" i="49"/>
  <c r="G56" i="49" s="1"/>
  <c r="E56" i="49"/>
  <c r="L53" i="50"/>
  <c r="N53" i="48"/>
  <c r="O53" i="48" s="1"/>
  <c r="M53" i="48"/>
  <c r="K39" i="52"/>
  <c r="K39" i="48"/>
  <c r="M19" i="52"/>
  <c r="L26" i="54"/>
  <c r="N26" i="52"/>
  <c r="O26" i="52" s="1"/>
  <c r="M26" i="52"/>
  <c r="C44" i="51"/>
  <c r="F44" i="49"/>
  <c r="G44" i="49" s="1"/>
  <c r="E44" i="49"/>
  <c r="L32" i="54"/>
  <c r="N32" i="52"/>
  <c r="O32" i="52" s="1"/>
  <c r="M32" i="52"/>
  <c r="C56" i="50"/>
  <c r="F56" i="48"/>
  <c r="G56" i="48" s="1"/>
  <c r="E56" i="48"/>
  <c r="O21" i="50"/>
  <c r="O23" i="50"/>
  <c r="O26" i="50"/>
  <c r="O22" i="50"/>
  <c r="O24" i="50"/>
  <c r="O31" i="50"/>
  <c r="O39" i="50"/>
  <c r="O10" i="50"/>
  <c r="O12" i="50"/>
  <c r="O14" i="50"/>
  <c r="O16" i="50"/>
  <c r="O18" i="50"/>
  <c r="O20" i="50"/>
  <c r="O29" i="50"/>
  <c r="O59" i="50"/>
  <c r="O61" i="50"/>
  <c r="O35" i="50"/>
  <c r="O56" i="50"/>
  <c r="O58" i="50"/>
  <c r="O46" i="50"/>
  <c r="O48" i="50"/>
  <c r="O50" i="50"/>
  <c r="O52" i="50"/>
  <c r="O54" i="50"/>
  <c r="O44" i="50"/>
  <c r="O30" i="50"/>
  <c r="O32" i="50"/>
  <c r="O38" i="50"/>
  <c r="O9" i="50"/>
  <c r="O11" i="50"/>
  <c r="O13" i="50"/>
  <c r="O15" i="50"/>
  <c r="O17" i="50"/>
  <c r="O19" i="50"/>
  <c r="O28" i="50"/>
  <c r="O8" i="50"/>
  <c r="O34" i="50"/>
  <c r="O36" i="50"/>
  <c r="O63" i="50"/>
  <c r="O57" i="50"/>
  <c r="O45" i="50"/>
  <c r="O47" i="50"/>
  <c r="O49" i="50"/>
  <c r="O51" i="50"/>
  <c r="O53" i="50"/>
  <c r="O55" i="50"/>
  <c r="O41" i="50"/>
  <c r="O43" i="50"/>
  <c r="O42" i="50"/>
  <c r="O25" i="50"/>
  <c r="O60" i="50"/>
  <c r="O33" i="50"/>
  <c r="O27" i="50"/>
  <c r="L49" i="50"/>
  <c r="N49" i="48"/>
  <c r="O49" i="48" s="1"/>
  <c r="M49" i="48"/>
  <c r="C12" i="54"/>
  <c r="F12" i="52"/>
  <c r="G12" i="52" s="1"/>
  <c r="E12" i="52"/>
  <c r="C44" i="50"/>
  <c r="F44" i="48"/>
  <c r="G44" i="48" s="1"/>
  <c r="E44" i="48"/>
  <c r="L18" i="50"/>
  <c r="N18" i="48"/>
  <c r="O18" i="48" s="1"/>
  <c r="M18" i="48"/>
  <c r="C47" i="50"/>
  <c r="F47" i="48"/>
  <c r="G47" i="48" s="1"/>
  <c r="E47" i="48"/>
  <c r="C52" i="51"/>
  <c r="F52" i="49"/>
  <c r="G52" i="49" s="1"/>
  <c r="E52" i="49"/>
  <c r="C47" i="54"/>
  <c r="F47" i="52"/>
  <c r="G47" i="52" s="1"/>
  <c r="E47" i="52"/>
  <c r="C40" i="50"/>
  <c r="F40" i="48"/>
  <c r="G40" i="48" s="1"/>
  <c r="E40" i="48"/>
  <c r="D33" i="56"/>
  <c r="I32" i="56"/>
  <c r="J32" i="56" s="1"/>
  <c r="L25" i="54"/>
  <c r="N25" i="52"/>
  <c r="O25" i="52" s="1"/>
  <c r="C34" i="55"/>
  <c r="F34" i="53"/>
  <c r="G34" i="53" s="1"/>
  <c r="E34" i="53"/>
  <c r="C22" i="54"/>
  <c r="F22" i="52"/>
  <c r="G22" i="52" s="1"/>
  <c r="E22" i="52"/>
  <c r="C46" i="55"/>
  <c r="F46" i="53"/>
  <c r="G46" i="53" s="1"/>
  <c r="E46" i="53"/>
  <c r="L17" i="54"/>
  <c r="N17" i="52"/>
  <c r="O17" i="52" s="1"/>
  <c r="M17" i="52"/>
  <c r="E7" i="55"/>
  <c r="E7" i="53"/>
  <c r="C38" i="50"/>
  <c r="F38" i="48"/>
  <c r="G38" i="48" s="1"/>
  <c r="E38" i="48"/>
  <c r="C53" i="54"/>
  <c r="F53" i="52"/>
  <c r="G53" i="52" s="1"/>
  <c r="E53" i="52"/>
  <c r="C60" i="55"/>
  <c r="F60" i="53"/>
  <c r="G60" i="53" s="1"/>
  <c r="E60" i="53"/>
  <c r="C43" i="55"/>
  <c r="F43" i="53"/>
  <c r="G43" i="53" s="1"/>
  <c r="E43" i="53"/>
  <c r="G40" i="33"/>
  <c r="I38" i="33"/>
  <c r="C42" i="50"/>
  <c r="F42" i="48"/>
  <c r="G42" i="48" s="1"/>
  <c r="E42" i="48"/>
  <c r="D54" i="49"/>
  <c r="C33" i="50"/>
  <c r="F33" i="48"/>
  <c r="G33" i="48" s="1"/>
  <c r="E33" i="48"/>
  <c r="C47" i="55"/>
  <c r="F47" i="53"/>
  <c r="G47" i="53" s="1"/>
  <c r="E47" i="53"/>
  <c r="C102" i="36"/>
  <c r="C136" i="36"/>
  <c r="G18" i="66"/>
  <c r="H18" i="66" s="1"/>
  <c r="G17" i="66"/>
  <c r="H17" i="66" s="1"/>
  <c r="G16" i="66"/>
  <c r="H16" i="66" s="1"/>
  <c r="G42" i="66"/>
  <c r="H42" i="66" s="1"/>
  <c r="C51" i="55"/>
  <c r="F51" i="53"/>
  <c r="G51" i="53" s="1"/>
  <c r="E51" i="53"/>
  <c r="I36" i="60"/>
  <c r="G39" i="60"/>
  <c r="I39" i="60" s="1"/>
  <c r="C11" i="54"/>
  <c r="F11" i="52"/>
  <c r="G11" i="52" s="1"/>
  <c r="E11" i="52"/>
  <c r="C9" i="51"/>
  <c r="F9" i="49"/>
  <c r="G9" i="49" s="1"/>
  <c r="E9" i="49"/>
  <c r="C10" i="54"/>
  <c r="F10" i="52"/>
  <c r="G10" i="52" s="1"/>
  <c r="E10" i="52"/>
  <c r="C62" i="55"/>
  <c r="F62" i="53"/>
  <c r="G62" i="53" s="1"/>
  <c r="E62" i="53"/>
  <c r="C21" i="55"/>
  <c r="F21" i="53"/>
  <c r="G21" i="53" s="1"/>
  <c r="E21" i="53"/>
  <c r="C108" i="38"/>
  <c r="I38" i="59"/>
  <c r="G40" i="59"/>
  <c r="L30" i="54"/>
  <c r="N30" i="52"/>
  <c r="O30" i="52" s="1"/>
  <c r="M30" i="52"/>
  <c r="C27" i="55"/>
  <c r="F27" i="53"/>
  <c r="G27" i="53" s="1"/>
  <c r="C56" i="55"/>
  <c r="F56" i="53"/>
  <c r="G56" i="53" s="1"/>
  <c r="E56" i="53"/>
  <c r="L53" i="54"/>
  <c r="N53" i="52"/>
  <c r="O53" i="52" s="1"/>
  <c r="M53" i="52"/>
  <c r="C14" i="54"/>
  <c r="F14" i="52"/>
  <c r="G14" i="52" s="1"/>
  <c r="E14" i="52"/>
  <c r="C52" i="50"/>
  <c r="F52" i="48"/>
  <c r="G52" i="48" s="1"/>
  <c r="E52" i="48"/>
  <c r="C44" i="55"/>
  <c r="F44" i="53"/>
  <c r="G44" i="53" s="1"/>
  <c r="E44" i="53"/>
  <c r="C48" i="51"/>
  <c r="F48" i="49"/>
  <c r="G48" i="49" s="1"/>
  <c r="E48" i="49"/>
  <c r="C56" i="54"/>
  <c r="F56" i="52"/>
  <c r="G56" i="52" s="1"/>
  <c r="E56" i="52"/>
  <c r="C15" i="54"/>
  <c r="F15" i="52"/>
  <c r="G15" i="52" s="1"/>
  <c r="E15" i="52"/>
  <c r="D30" i="52"/>
  <c r="C28" i="36"/>
  <c r="C34" i="36" s="1"/>
  <c r="L54" i="50"/>
  <c r="N54" i="48"/>
  <c r="O54" i="48" s="1"/>
  <c r="M54" i="48"/>
  <c r="L51" i="54"/>
  <c r="N51" i="52"/>
  <c r="O51" i="52" s="1"/>
  <c r="M51" i="52"/>
  <c r="C29" i="55"/>
  <c r="F29" i="53"/>
  <c r="G29" i="53" s="1"/>
  <c r="E29" i="53"/>
  <c r="L57" i="50"/>
  <c r="N57" i="48"/>
  <c r="O57" i="48" s="1"/>
  <c r="M57" i="48"/>
  <c r="C40" i="54"/>
  <c r="F40" i="52"/>
  <c r="G40" i="52" s="1"/>
  <c r="E40" i="52"/>
  <c r="C24" i="55"/>
  <c r="F24" i="53"/>
  <c r="G24" i="53" s="1"/>
  <c r="E24" i="53"/>
  <c r="L57" i="54"/>
  <c r="N57" i="52"/>
  <c r="O57" i="52" s="1"/>
  <c r="M57" i="52"/>
  <c r="C52" i="55"/>
  <c r="F52" i="53"/>
  <c r="G52" i="53" s="1"/>
  <c r="E52" i="53"/>
  <c r="L9" i="54"/>
  <c r="N9" i="52"/>
  <c r="O9" i="52" s="1"/>
  <c r="M9" i="52"/>
  <c r="C30" i="51"/>
  <c r="F30" i="49"/>
  <c r="G30" i="49" s="1"/>
  <c r="E30" i="49"/>
  <c r="C25" i="55"/>
  <c r="F25" i="53"/>
  <c r="G25" i="53" s="1"/>
  <c r="E25" i="53"/>
  <c r="L22" i="50"/>
  <c r="M22" i="48"/>
  <c r="N22" i="48"/>
  <c r="O22" i="48" s="1"/>
  <c r="L10" i="54"/>
  <c r="N10" i="52"/>
  <c r="O10" i="52" s="1"/>
  <c r="M10" i="52"/>
  <c r="C41" i="51"/>
  <c r="F41" i="49"/>
  <c r="G41" i="49" s="1"/>
  <c r="E41" i="49"/>
  <c r="C15" i="50"/>
  <c r="F15" i="48"/>
  <c r="G15" i="48" s="1"/>
  <c r="E15" i="48"/>
  <c r="L14" i="50"/>
  <c r="N14" i="48"/>
  <c r="O14" i="48" s="1"/>
  <c r="M14" i="48"/>
  <c r="C30" i="55"/>
  <c r="F30" i="53"/>
  <c r="G30" i="53" s="1"/>
  <c r="E30" i="53"/>
  <c r="E70" i="36"/>
  <c r="C68" i="63"/>
  <c r="C87" i="63" s="1"/>
  <c r="I32" i="66"/>
  <c r="J32" i="66" s="1"/>
  <c r="D33" i="66"/>
  <c r="L25" i="50"/>
  <c r="M25" i="48"/>
  <c r="N25" i="48"/>
  <c r="O25" i="48" s="1"/>
  <c r="C12" i="51"/>
  <c r="F12" i="49"/>
  <c r="G12" i="49" s="1"/>
  <c r="E12" i="49"/>
  <c r="G34" i="33"/>
  <c r="I34" i="33" s="1"/>
  <c r="I28" i="33"/>
  <c r="C137" i="36"/>
  <c r="G24" i="66"/>
  <c r="H24" i="66" s="1"/>
  <c r="F25" i="66"/>
  <c r="L22" i="54"/>
  <c r="N22" i="52"/>
  <c r="O22" i="52" s="1"/>
  <c r="M22" i="52"/>
  <c r="C22" i="50"/>
  <c r="F22" i="48"/>
  <c r="G22" i="48" s="1"/>
  <c r="E22" i="48"/>
  <c r="L55" i="50"/>
  <c r="N55" i="48"/>
  <c r="O55" i="48" s="1"/>
  <c r="M55" i="48"/>
  <c r="C58" i="50"/>
  <c r="F58" i="48"/>
  <c r="G58" i="48" s="1"/>
  <c r="E58" i="48"/>
  <c r="K48" i="52"/>
  <c r="K48" i="48"/>
  <c r="C23" i="51"/>
  <c r="F23" i="49"/>
  <c r="G23" i="49" s="1"/>
  <c r="E23" i="49"/>
  <c r="C38" i="54"/>
  <c r="F38" i="52"/>
  <c r="G38" i="52" s="1"/>
  <c r="C18" i="51"/>
  <c r="F18" i="49"/>
  <c r="G18" i="49" s="1"/>
  <c r="E18" i="49"/>
  <c r="C32" i="51"/>
  <c r="F32" i="49"/>
  <c r="G32" i="49" s="1"/>
  <c r="E32" i="49"/>
  <c r="C73" i="51"/>
  <c r="F73" i="49"/>
  <c r="G73" i="49" s="1"/>
  <c r="E73" i="49"/>
  <c r="D37" i="52"/>
  <c r="C38" i="36"/>
  <c r="G40" i="66"/>
  <c r="H40" i="66" s="1"/>
  <c r="C42" i="54"/>
  <c r="F42" i="52"/>
  <c r="G42" i="52" s="1"/>
  <c r="E42" i="52"/>
  <c r="L46" i="50"/>
  <c r="N46" i="48"/>
  <c r="O46" i="48" s="1"/>
  <c r="M46" i="48"/>
  <c r="C59" i="51"/>
  <c r="F59" i="49"/>
  <c r="G59" i="49" s="1"/>
  <c r="E59" i="49"/>
  <c r="L23" i="54"/>
  <c r="N23" i="52"/>
  <c r="O23" i="52" s="1"/>
  <c r="M23" i="52"/>
  <c r="N8" i="54"/>
  <c r="L27" i="52"/>
  <c r="L24" i="50"/>
  <c r="N24" i="48"/>
  <c r="O24" i="48" s="1"/>
  <c r="M24" i="48"/>
  <c r="E91" i="36"/>
  <c r="C89" i="63"/>
  <c r="C97" i="63" s="1"/>
  <c r="C26" i="51"/>
  <c r="F26" i="49"/>
  <c r="G26" i="49" s="1"/>
  <c r="E26" i="49"/>
  <c r="C9" i="55"/>
  <c r="F9" i="53"/>
  <c r="G9" i="53" s="1"/>
  <c r="E9" i="53"/>
  <c r="C72" i="51"/>
  <c r="F72" i="49"/>
  <c r="G72" i="49" s="1"/>
  <c r="E72" i="49"/>
  <c r="C67" i="51"/>
  <c r="F67" i="49"/>
  <c r="G67" i="49" s="1"/>
  <c r="E67" i="49"/>
  <c r="I26" i="34"/>
  <c r="G39" i="34"/>
  <c r="I39" i="34" s="1"/>
  <c r="C42" i="51"/>
  <c r="F42" i="49"/>
  <c r="G42" i="49" s="1"/>
  <c r="E42" i="49"/>
  <c r="C35" i="63"/>
  <c r="E36" i="36"/>
  <c r="L35" i="50"/>
  <c r="N35" i="48"/>
  <c r="O35" i="48" s="1"/>
  <c r="M35" i="48"/>
  <c r="M54" i="52"/>
  <c r="L11" i="50"/>
  <c r="N11" i="48"/>
  <c r="O11" i="48" s="1"/>
  <c r="M11" i="48"/>
  <c r="C51" i="50"/>
  <c r="F51" i="48"/>
  <c r="G51" i="48" s="1"/>
  <c r="E51" i="48"/>
  <c r="C14" i="50"/>
  <c r="F14" i="48"/>
  <c r="G14" i="48" s="1"/>
  <c r="E14" i="48"/>
  <c r="E12" i="53"/>
  <c r="C52" i="54"/>
  <c r="F52" i="52"/>
  <c r="G52" i="52" s="1"/>
  <c r="E52" i="52"/>
  <c r="C48" i="55"/>
  <c r="F48" i="53"/>
  <c r="G48" i="53" s="1"/>
  <c r="E48" i="53"/>
  <c r="E59" i="53"/>
  <c r="L40" i="52" l="1"/>
  <c r="C138" i="36"/>
  <c r="F20" i="66"/>
  <c r="F21" i="66"/>
  <c r="F22" i="66"/>
  <c r="G25" i="66"/>
  <c r="H25" i="66" s="1"/>
  <c r="G43" i="66"/>
  <c r="H43" i="66" s="1"/>
  <c r="D58" i="49"/>
  <c r="L39" i="50"/>
  <c r="N39" i="48"/>
  <c r="O39" i="48" s="1"/>
  <c r="M39" i="48"/>
  <c r="E89" i="37"/>
  <c r="E19" i="37"/>
  <c r="C28" i="56"/>
  <c r="D11" i="66"/>
  <c r="E11" i="66" s="1"/>
  <c r="I11" i="66" s="1"/>
  <c r="J11" i="66" s="1"/>
  <c r="D12" i="66"/>
  <c r="E12" i="66" s="1"/>
  <c r="I12" i="66" s="1"/>
  <c r="J12" i="66" s="1"/>
  <c r="D13" i="66"/>
  <c r="E13" i="66" s="1"/>
  <c r="I13" i="66" s="1"/>
  <c r="J13" i="66" s="1"/>
  <c r="C28" i="66"/>
  <c r="C29" i="66"/>
  <c r="C30" i="66"/>
  <c r="C31" i="66"/>
  <c r="D45" i="56"/>
  <c r="E45" i="56" s="1"/>
  <c r="I45" i="56" s="1"/>
  <c r="J45" i="56" s="1"/>
  <c r="D45" i="66"/>
  <c r="E45" i="66" s="1"/>
  <c r="I45" i="66" s="1"/>
  <c r="J45" i="66" s="1"/>
  <c r="C11" i="56"/>
  <c r="D12" i="56"/>
  <c r="E12" i="56" s="1"/>
  <c r="I12" i="56" s="1"/>
  <c r="J12" i="56" s="1"/>
  <c r="C31" i="56"/>
  <c r="C30" i="56"/>
  <c r="C29" i="56"/>
  <c r="D11" i="56"/>
  <c r="E11" i="56" s="1"/>
  <c r="I11" i="56" s="1"/>
  <c r="J11" i="56" s="1"/>
  <c r="D13" i="56"/>
  <c r="E13" i="56" s="1"/>
  <c r="I13" i="56" s="1"/>
  <c r="J13" i="56" s="1"/>
  <c r="C11" i="66"/>
  <c r="C8" i="54"/>
  <c r="F8" i="52"/>
  <c r="G8" i="52" s="1"/>
  <c r="E8" i="52"/>
  <c r="E37" i="54"/>
  <c r="D39" i="52"/>
  <c r="N27" i="54"/>
  <c r="C132" i="36"/>
  <c r="L39" i="54"/>
  <c r="N39" i="52"/>
  <c r="O39" i="52" s="1"/>
  <c r="M39" i="52"/>
  <c r="C7" i="55"/>
  <c r="F7" i="53"/>
  <c r="G7" i="53" s="1"/>
  <c r="C11" i="53"/>
  <c r="D65" i="55"/>
  <c r="C61" i="50"/>
  <c r="F61" i="48"/>
  <c r="G61" i="48" s="1"/>
  <c r="E61" i="48"/>
  <c r="C8" i="50"/>
  <c r="F8" i="48"/>
  <c r="G8" i="48" s="1"/>
  <c r="E8" i="48"/>
  <c r="D67" i="55"/>
  <c r="E30" i="54"/>
  <c r="D29" i="52"/>
  <c r="D32" i="55"/>
  <c r="G32" i="55" s="1"/>
  <c r="H32" i="55" s="1"/>
  <c r="D14" i="55"/>
  <c r="D35" i="55"/>
  <c r="C61" i="54"/>
  <c r="F61" i="52"/>
  <c r="G61" i="52" s="1"/>
  <c r="E61" i="52"/>
  <c r="E28" i="54"/>
  <c r="D26" i="55"/>
  <c r="G26" i="55" s="1"/>
  <c r="H26" i="55" s="1"/>
  <c r="C37" i="63"/>
  <c r="C39" i="63" s="1"/>
  <c r="D40" i="56"/>
  <c r="E40" i="56" s="1"/>
  <c r="I40" i="56" s="1"/>
  <c r="J40" i="56" s="1"/>
  <c r="D40" i="66"/>
  <c r="E40" i="66" s="1"/>
  <c r="I40" i="66" s="1"/>
  <c r="J40" i="66" s="1"/>
  <c r="L48" i="54"/>
  <c r="N48" i="52"/>
  <c r="O48" i="52" s="1"/>
  <c r="M48" i="52"/>
  <c r="E99" i="36"/>
  <c r="K29" i="52"/>
  <c r="K29" i="48"/>
  <c r="C100" i="63"/>
  <c r="G47" i="59"/>
  <c r="I40" i="59"/>
  <c r="D62" i="55"/>
  <c r="D47" i="55"/>
  <c r="G47" i="55" s="1"/>
  <c r="H47" i="55" s="1"/>
  <c r="D60" i="55"/>
  <c r="F7" i="55"/>
  <c r="F75" i="55"/>
  <c r="F28" i="55"/>
  <c r="F46" i="55"/>
  <c r="F19" i="55"/>
  <c r="F18" i="55"/>
  <c r="F42" i="55"/>
  <c r="F32" i="55"/>
  <c r="F13" i="55"/>
  <c r="F15" i="55"/>
  <c r="F51" i="55"/>
  <c r="F37" i="55"/>
  <c r="F29" i="55"/>
  <c r="F61" i="55"/>
  <c r="F49" i="55"/>
  <c r="F22" i="55"/>
  <c r="F47" i="55"/>
  <c r="F69" i="55"/>
  <c r="F36" i="55"/>
  <c r="F63" i="55"/>
  <c r="F71" i="55"/>
  <c r="F48" i="55"/>
  <c r="F73" i="55"/>
  <c r="F10" i="55"/>
  <c r="F67" i="55"/>
  <c r="F45" i="55"/>
  <c r="F30" i="55"/>
  <c r="F65" i="55"/>
  <c r="F38" i="55"/>
  <c r="F56" i="55"/>
  <c r="F33" i="55"/>
  <c r="F26" i="55"/>
  <c r="F41" i="55"/>
  <c r="F9" i="55"/>
  <c r="F39" i="55"/>
  <c r="F40" i="55"/>
  <c r="F44" i="55"/>
  <c r="F16" i="55"/>
  <c r="F23" i="55"/>
  <c r="F43" i="55"/>
  <c r="F57" i="55"/>
  <c r="F35" i="55"/>
  <c r="F21" i="55"/>
  <c r="F72" i="55"/>
  <c r="F70" i="55"/>
  <c r="F62" i="55"/>
  <c r="F34" i="55"/>
  <c r="F25" i="55"/>
  <c r="F17" i="55"/>
  <c r="F24" i="55"/>
  <c r="F52" i="55"/>
  <c r="F64" i="55"/>
  <c r="F66" i="55"/>
  <c r="F8" i="55"/>
  <c r="F60" i="55"/>
  <c r="F53" i="55"/>
  <c r="F14" i="55"/>
  <c r="D55" i="55"/>
  <c r="G49" i="35"/>
  <c r="I30" i="35"/>
  <c r="D36" i="55"/>
  <c r="G36" i="55" s="1"/>
  <c r="H36" i="55" s="1"/>
  <c r="C107" i="38"/>
  <c r="C86" i="38"/>
  <c r="D31" i="2"/>
  <c r="E31" i="2" s="1"/>
  <c r="D10" i="55"/>
  <c r="G10" i="55" s="1"/>
  <c r="H10" i="55" s="1"/>
  <c r="D28" i="55"/>
  <c r="G28" i="55" s="1"/>
  <c r="H28" i="55" s="1"/>
  <c r="D33" i="55"/>
  <c r="G33" i="55" s="1"/>
  <c r="H33" i="55" s="1"/>
  <c r="D17" i="55"/>
  <c r="G17" i="55" s="1"/>
  <c r="H17" i="55" s="1"/>
  <c r="E33" i="56"/>
  <c r="I33" i="56" s="1"/>
  <c r="J33" i="56" s="1"/>
  <c r="C20" i="48"/>
  <c r="E131" i="36"/>
  <c r="C20" i="52"/>
  <c r="D42" i="55"/>
  <c r="G42" i="55" s="1"/>
  <c r="H42" i="55" s="1"/>
  <c r="F27" i="55"/>
  <c r="K8" i="52"/>
  <c r="K8" i="48"/>
  <c r="E89" i="36"/>
  <c r="C110" i="38"/>
  <c r="D48" i="51"/>
  <c r="G48" i="51" s="1"/>
  <c r="H48" i="51" s="1"/>
  <c r="D56" i="55"/>
  <c r="G56" i="55" s="1"/>
  <c r="H56" i="55" s="1"/>
  <c r="D51" i="51"/>
  <c r="G51" i="51" s="1"/>
  <c r="H51" i="51" s="1"/>
  <c r="F11" i="55"/>
  <c r="E11" i="53"/>
  <c r="D45" i="55"/>
  <c r="G45" i="55" s="1"/>
  <c r="H45" i="55" s="1"/>
  <c r="F55" i="55"/>
  <c r="C50" i="52"/>
  <c r="E58" i="36"/>
  <c r="E134" i="36" s="1"/>
  <c r="C50" i="48"/>
  <c r="G49" i="61"/>
  <c r="I30" i="61"/>
  <c r="D13" i="55"/>
  <c r="G13" i="55" s="1"/>
  <c r="H13" i="55" s="1"/>
  <c r="D12" i="55"/>
  <c r="G12" i="55" s="1"/>
  <c r="H12" i="55" s="1"/>
  <c r="D22" i="51"/>
  <c r="G22" i="51" s="1"/>
  <c r="H22" i="51" s="1"/>
  <c r="D30" i="66"/>
  <c r="E30" i="66" s="1"/>
  <c r="I30" i="66" s="1"/>
  <c r="J30" i="66" s="1"/>
  <c r="D30" i="56"/>
  <c r="E30" i="56" s="1"/>
  <c r="I30" i="56" s="1"/>
  <c r="J30" i="56" s="1"/>
  <c r="F12" i="55"/>
  <c r="D72" i="55"/>
  <c r="G72" i="55" s="1"/>
  <c r="H72" i="55" s="1"/>
  <c r="D59" i="55"/>
  <c r="D18" i="55"/>
  <c r="D12" i="51"/>
  <c r="G12" i="51" s="1"/>
  <c r="H12" i="51" s="1"/>
  <c r="G47" i="33"/>
  <c r="I40" i="33"/>
  <c r="D52" i="51"/>
  <c r="G52" i="51" s="1"/>
  <c r="H52" i="51" s="1"/>
  <c r="C30" i="37"/>
  <c r="C90" i="37"/>
  <c r="D20" i="53"/>
  <c r="E20" i="55"/>
  <c r="F20" i="55" s="1"/>
  <c r="D46" i="51"/>
  <c r="G46" i="51" s="1"/>
  <c r="H46" i="51" s="1"/>
  <c r="G34" i="59"/>
  <c r="I34" i="59" s="1"/>
  <c r="I28" i="59"/>
  <c r="F67" i="62"/>
  <c r="E67" i="62" s="1"/>
  <c r="C73" i="62"/>
  <c r="D35" i="51"/>
  <c r="G35" i="51" s="1"/>
  <c r="H35" i="51" s="1"/>
  <c r="N37" i="54"/>
  <c r="D27" i="55"/>
  <c r="G27" i="55" s="1"/>
  <c r="H27" i="55" s="1"/>
  <c r="D40" i="55"/>
  <c r="G40" i="55" s="1"/>
  <c r="H40" i="55" s="1"/>
  <c r="D57" i="55"/>
  <c r="G57" i="55" s="1"/>
  <c r="H57" i="55" s="1"/>
  <c r="D45" i="51"/>
  <c r="G45" i="51" s="1"/>
  <c r="H45" i="51" s="1"/>
  <c r="C28" i="63"/>
  <c r="C27" i="63" s="1"/>
  <c r="C33" i="63" s="1"/>
  <c r="E29" i="36"/>
  <c r="D36" i="51"/>
  <c r="G36" i="51" s="1"/>
  <c r="H36" i="51" s="1"/>
  <c r="D66" i="55"/>
  <c r="G66" i="55" s="1"/>
  <c r="H66" i="55" s="1"/>
  <c r="F54" i="51"/>
  <c r="E58" i="51"/>
  <c r="D64" i="55"/>
  <c r="G64" i="55" s="1"/>
  <c r="H64" i="55" s="1"/>
  <c r="D8" i="55"/>
  <c r="G8" i="55" s="1"/>
  <c r="H8" i="55" s="1"/>
  <c r="D33" i="51"/>
  <c r="G33" i="51" s="1"/>
  <c r="H33" i="51" s="1"/>
  <c r="D73" i="55"/>
  <c r="G73" i="55" s="1"/>
  <c r="H73" i="55" s="1"/>
  <c r="D8" i="51"/>
  <c r="G8" i="51" s="1"/>
  <c r="H8" i="51" s="1"/>
  <c r="D48" i="55"/>
  <c r="G48" i="55" s="1"/>
  <c r="H48" i="55" s="1"/>
  <c r="D9" i="55"/>
  <c r="G9" i="55" s="1"/>
  <c r="H9" i="55" s="1"/>
  <c r="D32" i="51"/>
  <c r="G32" i="51" s="1"/>
  <c r="H32" i="51" s="1"/>
  <c r="D23" i="51"/>
  <c r="G23" i="51" s="1"/>
  <c r="H23" i="51" s="1"/>
  <c r="C37" i="52"/>
  <c r="E37" i="52" s="1"/>
  <c r="C37" i="48"/>
  <c r="E38" i="36"/>
  <c r="E40" i="36" s="1"/>
  <c r="E47" i="36" s="1"/>
  <c r="E133" i="36" s="1"/>
  <c r="D59" i="51"/>
  <c r="G59" i="51" s="1"/>
  <c r="H59" i="51" s="1"/>
  <c r="C40" i="36"/>
  <c r="E39" i="54"/>
  <c r="L48" i="50"/>
  <c r="N48" i="48"/>
  <c r="O48" i="48" s="1"/>
  <c r="M48" i="48"/>
  <c r="D30" i="55"/>
  <c r="G30" i="55" s="1"/>
  <c r="H30" i="55" s="1"/>
  <c r="D44" i="55"/>
  <c r="G44" i="55" s="1"/>
  <c r="H44" i="55" s="1"/>
  <c r="D56" i="51"/>
  <c r="G56" i="51" s="1"/>
  <c r="H56" i="51" s="1"/>
  <c r="D61" i="55"/>
  <c r="G61" i="55" s="1"/>
  <c r="H61" i="55" s="1"/>
  <c r="D69" i="55"/>
  <c r="G69" i="55" s="1"/>
  <c r="H69" i="55" s="1"/>
  <c r="D16" i="55"/>
  <c r="G16" i="55" s="1"/>
  <c r="H16" i="55" s="1"/>
  <c r="D70" i="55"/>
  <c r="G70" i="55" s="1"/>
  <c r="H70" i="55" s="1"/>
  <c r="D41" i="55"/>
  <c r="G41" i="55" s="1"/>
  <c r="H41" i="55" s="1"/>
  <c r="D15" i="55"/>
  <c r="G15" i="55" s="1"/>
  <c r="H15" i="55" s="1"/>
  <c r="C7" i="51"/>
  <c r="D41" i="51" s="1"/>
  <c r="G41" i="51" s="1"/>
  <c r="H41" i="51" s="1"/>
  <c r="F7" i="49"/>
  <c r="G7" i="49" s="1"/>
  <c r="C11" i="49"/>
  <c r="E7" i="49"/>
  <c r="D55" i="51"/>
  <c r="G55" i="51" s="1"/>
  <c r="H55" i="51" s="1"/>
  <c r="E50" i="54"/>
  <c r="D59" i="52"/>
  <c r="E50" i="52"/>
  <c r="D22" i="55"/>
  <c r="G22" i="55" s="1"/>
  <c r="H22" i="55" s="1"/>
  <c r="D16" i="51"/>
  <c r="G16" i="51" s="1"/>
  <c r="H16" i="51" s="1"/>
  <c r="N44" i="54"/>
  <c r="D71" i="55"/>
  <c r="G71" i="55" s="1"/>
  <c r="H71" i="55" s="1"/>
  <c r="E33" i="66"/>
  <c r="I33" i="66" s="1"/>
  <c r="J33" i="66" s="1"/>
  <c r="C17" i="66"/>
  <c r="C17" i="56"/>
  <c r="C16" i="56"/>
  <c r="C24" i="66"/>
  <c r="C24" i="56"/>
  <c r="C16" i="66"/>
  <c r="G30" i="66"/>
  <c r="H30" i="66" s="1"/>
  <c r="D37" i="55"/>
  <c r="G37" i="55" s="1"/>
  <c r="H37" i="55" s="1"/>
  <c r="D37" i="51"/>
  <c r="G37" i="51" s="1"/>
  <c r="H37" i="51" s="1"/>
  <c r="F59" i="55"/>
  <c r="D23" i="55"/>
  <c r="G23" i="55" s="1"/>
  <c r="H23" i="55" s="1"/>
  <c r="D8" i="56"/>
  <c r="E8" i="56" s="1"/>
  <c r="I8" i="56" s="1"/>
  <c r="J8" i="56" s="1"/>
  <c r="D8" i="66"/>
  <c r="E8" i="66" s="1"/>
  <c r="I8" i="66" s="1"/>
  <c r="J8" i="66" s="1"/>
  <c r="K44" i="52"/>
  <c r="M44" i="52" s="1"/>
  <c r="K44" i="48"/>
  <c r="G55" i="55" l="1"/>
  <c r="H55" i="55" s="1"/>
  <c r="G35" i="55"/>
  <c r="H35" i="55" s="1"/>
  <c r="D26" i="51"/>
  <c r="G26" i="51" s="1"/>
  <c r="H26" i="51" s="1"/>
  <c r="E30" i="37"/>
  <c r="E90" i="37"/>
  <c r="D21" i="51"/>
  <c r="G21" i="51" s="1"/>
  <c r="H21" i="51" s="1"/>
  <c r="F11" i="49"/>
  <c r="G11" i="49" s="1"/>
  <c r="C20" i="49"/>
  <c r="E11" i="49"/>
  <c r="C50" i="54"/>
  <c r="C59" i="52"/>
  <c r="F50" i="52"/>
  <c r="G50" i="52" s="1"/>
  <c r="C20" i="50"/>
  <c r="C28" i="48"/>
  <c r="F20" i="48"/>
  <c r="G20" i="48" s="1"/>
  <c r="E20" i="48"/>
  <c r="C98" i="38"/>
  <c r="D34" i="2"/>
  <c r="E34" i="2" s="1"/>
  <c r="D71" i="51"/>
  <c r="G71" i="51" s="1"/>
  <c r="H71" i="51" s="1"/>
  <c r="G14" i="55"/>
  <c r="H14" i="55" s="1"/>
  <c r="G67" i="55"/>
  <c r="H67" i="55" s="1"/>
  <c r="D65" i="51"/>
  <c r="G65" i="51" s="1"/>
  <c r="H65" i="51" s="1"/>
  <c r="G65" i="55"/>
  <c r="H65" i="55" s="1"/>
  <c r="D7" i="55"/>
  <c r="G7" i="55" s="1"/>
  <c r="H7" i="55" s="1"/>
  <c r="C11" i="55"/>
  <c r="D75" i="55"/>
  <c r="G75" i="55" s="1"/>
  <c r="H75" i="55" s="1"/>
  <c r="D46" i="55"/>
  <c r="G46" i="55" s="1"/>
  <c r="H46" i="55" s="1"/>
  <c r="D19" i="55"/>
  <c r="G19" i="55" s="1"/>
  <c r="H19" i="55" s="1"/>
  <c r="D68" i="49"/>
  <c r="C11" i="51"/>
  <c r="D75" i="51"/>
  <c r="G75" i="51" s="1"/>
  <c r="H75" i="51" s="1"/>
  <c r="D7" i="51"/>
  <c r="G7" i="51" s="1"/>
  <c r="H7" i="51" s="1"/>
  <c r="D17" i="51"/>
  <c r="G17" i="51" s="1"/>
  <c r="H17" i="51" s="1"/>
  <c r="D28" i="51"/>
  <c r="G28" i="51" s="1"/>
  <c r="H28" i="51" s="1"/>
  <c r="I64" i="46"/>
  <c r="B75" i="61"/>
  <c r="F73" i="62"/>
  <c r="I47" i="33"/>
  <c r="G62" i="33"/>
  <c r="G18" i="55"/>
  <c r="H18" i="55" s="1"/>
  <c r="D15" i="51"/>
  <c r="G15" i="51" s="1"/>
  <c r="H15" i="51" s="1"/>
  <c r="D30" i="51"/>
  <c r="G30" i="51" s="1"/>
  <c r="H30" i="51" s="1"/>
  <c r="D35" i="52"/>
  <c r="D38" i="55"/>
  <c r="G38" i="55" s="1"/>
  <c r="H38" i="55" s="1"/>
  <c r="D24" i="51"/>
  <c r="G24" i="51" s="1"/>
  <c r="H24" i="51" s="1"/>
  <c r="D34" i="51"/>
  <c r="G34" i="51" s="1"/>
  <c r="H34" i="51" s="1"/>
  <c r="D29" i="55"/>
  <c r="G29" i="55" s="1"/>
  <c r="H29" i="55" s="1"/>
  <c r="D61" i="51"/>
  <c r="G61" i="51" s="1"/>
  <c r="H61" i="51" s="1"/>
  <c r="D21" i="55"/>
  <c r="G21" i="55" s="1"/>
  <c r="H21" i="55" s="1"/>
  <c r="C47" i="36"/>
  <c r="F40" i="66"/>
  <c r="G29" i="66"/>
  <c r="H29" i="66" s="1"/>
  <c r="E41" i="54"/>
  <c r="G59" i="55"/>
  <c r="H59" i="55" s="1"/>
  <c r="G53" i="61"/>
  <c r="I49" i="61"/>
  <c r="C96" i="38"/>
  <c r="D62" i="51"/>
  <c r="G62" i="51" s="1"/>
  <c r="H62" i="51" s="1"/>
  <c r="G62" i="55"/>
  <c r="H62" i="55" s="1"/>
  <c r="D73" i="51"/>
  <c r="G73" i="51" s="1"/>
  <c r="H73" i="51" s="1"/>
  <c r="D10" i="51"/>
  <c r="G10" i="51" s="1"/>
  <c r="H10" i="51" s="1"/>
  <c r="E29" i="54"/>
  <c r="D29" i="51"/>
  <c r="G29" i="51" s="1"/>
  <c r="H29" i="51" s="1"/>
  <c r="D47" i="51"/>
  <c r="G47" i="51" s="1"/>
  <c r="H47" i="51" s="1"/>
  <c r="D51" i="55"/>
  <c r="G51" i="55" s="1"/>
  <c r="H51" i="55" s="1"/>
  <c r="D25" i="55"/>
  <c r="G25" i="55" s="1"/>
  <c r="H25" i="55" s="1"/>
  <c r="D41" i="52"/>
  <c r="D53" i="55"/>
  <c r="G53" i="55" s="1"/>
  <c r="H53" i="55" s="1"/>
  <c r="E102" i="36"/>
  <c r="E136" i="36"/>
  <c r="D16" i="56"/>
  <c r="E16" i="56" s="1"/>
  <c r="I16" i="56" s="1"/>
  <c r="J16" i="56" s="1"/>
  <c r="D17" i="56"/>
  <c r="E17" i="56" s="1"/>
  <c r="I17" i="56" s="1"/>
  <c r="J17" i="56" s="1"/>
  <c r="D17" i="66"/>
  <c r="E17" i="66" s="1"/>
  <c r="I17" i="66" s="1"/>
  <c r="J17" i="66" s="1"/>
  <c r="D18" i="56"/>
  <c r="E18" i="56" s="1"/>
  <c r="I18" i="56" s="1"/>
  <c r="J18" i="56" s="1"/>
  <c r="D42" i="66"/>
  <c r="E42" i="66" s="1"/>
  <c r="I42" i="66" s="1"/>
  <c r="J42" i="66" s="1"/>
  <c r="D16" i="66"/>
  <c r="E16" i="66" s="1"/>
  <c r="I16" i="66" s="1"/>
  <c r="J16" i="66" s="1"/>
  <c r="D18" i="66"/>
  <c r="E18" i="66" s="1"/>
  <c r="I18" i="66" s="1"/>
  <c r="J18" i="66" s="1"/>
  <c r="D42" i="56"/>
  <c r="E42" i="56" s="1"/>
  <c r="I42" i="56" s="1"/>
  <c r="J42" i="56" s="1"/>
  <c r="D44" i="51"/>
  <c r="G44" i="51" s="1"/>
  <c r="H44" i="51" s="1"/>
  <c r="L29" i="50"/>
  <c r="N29" i="48"/>
  <c r="O29" i="48" s="1"/>
  <c r="M29" i="48"/>
  <c r="K37" i="48"/>
  <c r="D43" i="51"/>
  <c r="G43" i="51" s="1"/>
  <c r="H43" i="51" s="1"/>
  <c r="D52" i="55"/>
  <c r="G52" i="55" s="1"/>
  <c r="H52" i="55" s="1"/>
  <c r="D69" i="51"/>
  <c r="G69" i="51" s="1"/>
  <c r="H69" i="51" s="1"/>
  <c r="D13" i="51"/>
  <c r="G13" i="51" s="1"/>
  <c r="H13" i="51" s="1"/>
  <c r="D39" i="51"/>
  <c r="G39" i="51" s="1"/>
  <c r="H39" i="51" s="1"/>
  <c r="D9" i="51"/>
  <c r="G9" i="51" s="1"/>
  <c r="H9" i="51" s="1"/>
  <c r="D24" i="55"/>
  <c r="G24" i="55" s="1"/>
  <c r="H24" i="55" s="1"/>
  <c r="E59" i="54"/>
  <c r="D42" i="51"/>
  <c r="G42" i="51" s="1"/>
  <c r="H42" i="51" s="1"/>
  <c r="D49" i="51"/>
  <c r="G49" i="51" s="1"/>
  <c r="H49" i="51" s="1"/>
  <c r="C49" i="37"/>
  <c r="C91" i="37" s="1"/>
  <c r="D31" i="53"/>
  <c r="F12" i="66"/>
  <c r="F14" i="66"/>
  <c r="E31" i="55"/>
  <c r="F31" i="55" s="1"/>
  <c r="L8" i="50"/>
  <c r="K27" i="48"/>
  <c r="N8" i="48"/>
  <c r="O8" i="48" s="1"/>
  <c r="M8" i="48"/>
  <c r="D38" i="51"/>
  <c r="G38" i="51" s="1"/>
  <c r="H38" i="51" s="1"/>
  <c r="I47" i="59"/>
  <c r="G62" i="59"/>
  <c r="L29" i="54"/>
  <c r="N29" i="52"/>
  <c r="O29" i="52" s="1"/>
  <c r="M29" i="52"/>
  <c r="K37" i="52"/>
  <c r="C46" i="63"/>
  <c r="C40" i="66"/>
  <c r="C40" i="56"/>
  <c r="D53" i="51"/>
  <c r="G53" i="51" s="1"/>
  <c r="H53" i="51" s="1"/>
  <c r="D27" i="51"/>
  <c r="G27" i="51" s="1"/>
  <c r="H27" i="51" s="1"/>
  <c r="D66" i="51"/>
  <c r="G66" i="51" s="1"/>
  <c r="H66" i="51" s="1"/>
  <c r="D57" i="51"/>
  <c r="G57" i="51" s="1"/>
  <c r="H57" i="51" s="1"/>
  <c r="D18" i="51"/>
  <c r="G18" i="51" s="1"/>
  <c r="H18" i="51" s="1"/>
  <c r="D67" i="51"/>
  <c r="G67" i="51" s="1"/>
  <c r="H67" i="51" s="1"/>
  <c r="D40" i="51"/>
  <c r="G40" i="51" s="1"/>
  <c r="H40" i="51" s="1"/>
  <c r="E59" i="52"/>
  <c r="L44" i="50"/>
  <c r="N44" i="48"/>
  <c r="O44" i="48" s="1"/>
  <c r="M44" i="48"/>
  <c r="C37" i="50"/>
  <c r="C39" i="48"/>
  <c r="F37" i="48"/>
  <c r="G37" i="48" s="1"/>
  <c r="E37" i="48"/>
  <c r="E68" i="51"/>
  <c r="F58" i="51"/>
  <c r="C30" i="48"/>
  <c r="E28" i="36"/>
  <c r="E34" i="36" s="1"/>
  <c r="C30" i="52"/>
  <c r="D25" i="51"/>
  <c r="G25" i="51" s="1"/>
  <c r="H25" i="51" s="1"/>
  <c r="D60" i="51"/>
  <c r="G60" i="51" s="1"/>
  <c r="H60" i="51" s="1"/>
  <c r="D14" i="51"/>
  <c r="G14" i="51" s="1"/>
  <c r="H14" i="51" s="1"/>
  <c r="L8" i="54"/>
  <c r="K27" i="52"/>
  <c r="N8" i="52"/>
  <c r="O8" i="52" s="1"/>
  <c r="M8" i="52"/>
  <c r="D63" i="51"/>
  <c r="G63" i="51" s="1"/>
  <c r="H63" i="51" s="1"/>
  <c r="G53" i="35"/>
  <c r="I49" i="35"/>
  <c r="E137" i="36"/>
  <c r="D24" i="66"/>
  <c r="E24" i="66" s="1"/>
  <c r="I24" i="66" s="1"/>
  <c r="J24" i="66" s="1"/>
  <c r="D24" i="56"/>
  <c r="E24" i="56" s="1"/>
  <c r="I24" i="56" s="1"/>
  <c r="J24" i="56" s="1"/>
  <c r="C25" i="56"/>
  <c r="C25" i="66"/>
  <c r="D49" i="55"/>
  <c r="G49" i="55" s="1"/>
  <c r="H49" i="55" s="1"/>
  <c r="D19" i="51"/>
  <c r="G19" i="51" s="1"/>
  <c r="H19" i="51" s="1"/>
  <c r="D39" i="55"/>
  <c r="G39" i="55" s="1"/>
  <c r="H39" i="55" s="1"/>
  <c r="D34" i="55"/>
  <c r="G34" i="55" s="1"/>
  <c r="H34" i="55" s="1"/>
  <c r="L44" i="54"/>
  <c r="N44" i="52"/>
  <c r="O44" i="52" s="1"/>
  <c r="C37" i="54"/>
  <c r="C39" i="52"/>
  <c r="E39" i="52" s="1"/>
  <c r="F37" i="52"/>
  <c r="G37" i="52" s="1"/>
  <c r="C50" i="50"/>
  <c r="C59" i="48"/>
  <c r="F50" i="48"/>
  <c r="G50" i="48" s="1"/>
  <c r="E50" i="48"/>
  <c r="C20" i="54"/>
  <c r="C28" i="52"/>
  <c r="F20" i="52"/>
  <c r="G20" i="52" s="1"/>
  <c r="E20" i="52"/>
  <c r="G60" i="55"/>
  <c r="H60" i="55" s="1"/>
  <c r="D72" i="51"/>
  <c r="G72" i="51" s="1"/>
  <c r="H72" i="51" s="1"/>
  <c r="D70" i="51"/>
  <c r="G70" i="51" s="1"/>
  <c r="H70" i="51" s="1"/>
  <c r="F11" i="53"/>
  <c r="G11" i="53" s="1"/>
  <c r="C20" i="53"/>
  <c r="E20" i="53" s="1"/>
  <c r="D63" i="55"/>
  <c r="G63" i="55" s="1"/>
  <c r="H63" i="55" s="1"/>
  <c r="N40" i="54"/>
  <c r="D64" i="51"/>
  <c r="G64" i="51" s="1"/>
  <c r="H64" i="51" s="1"/>
  <c r="D43" i="55"/>
  <c r="G43" i="55" s="1"/>
  <c r="H43" i="55" s="1"/>
  <c r="F28" i="52" l="1"/>
  <c r="G28" i="52" s="1"/>
  <c r="E28" i="52"/>
  <c r="C39" i="54"/>
  <c r="K40" i="48"/>
  <c r="N27" i="48"/>
  <c r="O27" i="48" s="1"/>
  <c r="M27" i="48"/>
  <c r="L37" i="50"/>
  <c r="C59" i="54"/>
  <c r="L27" i="50"/>
  <c r="D48" i="52"/>
  <c r="E48" i="54"/>
  <c r="I62" i="33"/>
  <c r="C20" i="55"/>
  <c r="D11" i="55"/>
  <c r="G11" i="55" s="1"/>
  <c r="H11" i="55" s="1"/>
  <c r="C28" i="54"/>
  <c r="G57" i="35"/>
  <c r="I53" i="35"/>
  <c r="C47" i="67" s="1"/>
  <c r="F39" i="48"/>
  <c r="G39" i="48" s="1"/>
  <c r="C41" i="48"/>
  <c r="E39" i="48"/>
  <c r="L37" i="54"/>
  <c r="F20" i="49"/>
  <c r="G20" i="49" s="1"/>
  <c r="C31" i="49"/>
  <c r="E20" i="49"/>
  <c r="C30" i="54"/>
  <c r="C29" i="52"/>
  <c r="F30" i="52"/>
  <c r="G30" i="52" s="1"/>
  <c r="E30" i="52"/>
  <c r="E132" i="36"/>
  <c r="E62" i="36"/>
  <c r="I62" i="59"/>
  <c r="E73" i="62"/>
  <c r="A1" i="62"/>
  <c r="C20" i="51"/>
  <c r="D11" i="51"/>
  <c r="G11" i="51" s="1"/>
  <c r="H11" i="51" s="1"/>
  <c r="C39" i="50"/>
  <c r="F59" i="48"/>
  <c r="G59" i="48" s="1"/>
  <c r="E59" i="48"/>
  <c r="C30" i="50"/>
  <c r="C29" i="48"/>
  <c r="F30" i="48"/>
  <c r="G30" i="48" s="1"/>
  <c r="E30" i="48"/>
  <c r="C133" i="36"/>
  <c r="C62" i="36"/>
  <c r="G75" i="61"/>
  <c r="B76" i="61"/>
  <c r="F28" i="48"/>
  <c r="G28" i="48" s="1"/>
  <c r="E28" i="48"/>
  <c r="C59" i="50"/>
  <c r="K40" i="52"/>
  <c r="N27" i="52"/>
  <c r="O27" i="52" s="1"/>
  <c r="M27" i="52"/>
  <c r="N37" i="48"/>
  <c r="O37" i="48" s="1"/>
  <c r="M37" i="48"/>
  <c r="E138" i="36"/>
  <c r="D25" i="66"/>
  <c r="E25" i="66" s="1"/>
  <c r="I25" i="66" s="1"/>
  <c r="J25" i="66" s="1"/>
  <c r="D43" i="56"/>
  <c r="E43" i="56" s="1"/>
  <c r="I43" i="56" s="1"/>
  <c r="J43" i="56" s="1"/>
  <c r="D43" i="66"/>
  <c r="E43" i="66" s="1"/>
  <c r="I43" i="66" s="1"/>
  <c r="J43" i="66" s="1"/>
  <c r="C20" i="56"/>
  <c r="C20" i="66"/>
  <c r="C21" i="66"/>
  <c r="C22" i="66"/>
  <c r="D25" i="56"/>
  <c r="E25" i="56" s="1"/>
  <c r="I25" i="56" s="1"/>
  <c r="J25" i="56" s="1"/>
  <c r="C22" i="56"/>
  <c r="C21" i="56"/>
  <c r="D74" i="49"/>
  <c r="C28" i="50"/>
  <c r="L27" i="54"/>
  <c r="E74" i="51"/>
  <c r="F74" i="51" s="1"/>
  <c r="F68" i="51"/>
  <c r="D29" i="66"/>
  <c r="E29" i="66" s="1"/>
  <c r="I29" i="66" s="1"/>
  <c r="J29" i="66" s="1"/>
  <c r="D29" i="56"/>
  <c r="E29" i="56" s="1"/>
  <c r="I29" i="56" s="1"/>
  <c r="J29" i="56" s="1"/>
  <c r="G57" i="61"/>
  <c r="I53" i="61"/>
  <c r="E91" i="37"/>
  <c r="E49" i="37"/>
  <c r="C14" i="66"/>
  <c r="C14" i="56"/>
  <c r="C31" i="53"/>
  <c r="F20" i="53"/>
  <c r="G20" i="53" s="1"/>
  <c r="C41" i="52"/>
  <c r="F39" i="52"/>
  <c r="G39" i="52" s="1"/>
  <c r="N37" i="52"/>
  <c r="O37" i="52" s="1"/>
  <c r="M37" i="52"/>
  <c r="C53" i="37"/>
  <c r="D50" i="53"/>
  <c r="F7" i="66"/>
  <c r="F10" i="66"/>
  <c r="E50" i="55"/>
  <c r="F50" i="55" s="1"/>
  <c r="F23" i="66"/>
  <c r="E35" i="54"/>
  <c r="E63" i="54" s="1"/>
  <c r="F59" i="52"/>
  <c r="G59" i="52" s="1"/>
  <c r="C61" i="63"/>
  <c r="F36" i="54" l="1"/>
  <c r="F49" i="54"/>
  <c r="F63" i="54"/>
  <c r="F60" i="54"/>
  <c r="F42" i="54"/>
  <c r="F47" i="54"/>
  <c r="F62" i="54"/>
  <c r="F26" i="54"/>
  <c r="F27" i="54"/>
  <c r="F57" i="54"/>
  <c r="F14" i="54"/>
  <c r="F51" i="54"/>
  <c r="F10" i="54"/>
  <c r="F21" i="54"/>
  <c r="F46" i="54"/>
  <c r="F16" i="54"/>
  <c r="F33" i="54"/>
  <c r="F31" i="54"/>
  <c r="F53" i="54"/>
  <c r="F56" i="54"/>
  <c r="F22" i="54"/>
  <c r="F54" i="54"/>
  <c r="F55" i="54"/>
  <c r="F44" i="54"/>
  <c r="F52" i="54"/>
  <c r="F24" i="54"/>
  <c r="F12" i="54"/>
  <c r="F9" i="54"/>
  <c r="F43" i="54"/>
  <c r="F34" i="54"/>
  <c r="F11" i="54"/>
  <c r="F18" i="54"/>
  <c r="F25" i="54"/>
  <c r="F17" i="54"/>
  <c r="F58" i="54"/>
  <c r="F15" i="54"/>
  <c r="F40" i="54"/>
  <c r="F8" i="54"/>
  <c r="F23" i="54"/>
  <c r="F19" i="54"/>
  <c r="F61" i="54"/>
  <c r="F38" i="54"/>
  <c r="F32" i="54"/>
  <c r="F13" i="54"/>
  <c r="F45" i="54"/>
  <c r="F20" i="54"/>
  <c r="F30" i="54"/>
  <c r="F37" i="54"/>
  <c r="F28" i="54"/>
  <c r="F50" i="54"/>
  <c r="F39" i="54"/>
  <c r="F29" i="54"/>
  <c r="F41" i="54"/>
  <c r="F59" i="54"/>
  <c r="L40" i="54"/>
  <c r="N40" i="52"/>
  <c r="O40" i="52" s="1"/>
  <c r="M40" i="52"/>
  <c r="D63" i="52"/>
  <c r="N40" i="48"/>
  <c r="O40" i="48" s="1"/>
  <c r="M40" i="48"/>
  <c r="C48" i="52"/>
  <c r="E48" i="52" s="1"/>
  <c r="F41" i="52"/>
  <c r="G41" i="52" s="1"/>
  <c r="G67" i="61"/>
  <c r="I57" i="61"/>
  <c r="C41" i="50"/>
  <c r="D20" i="55"/>
  <c r="G20" i="55" s="1"/>
  <c r="H20" i="55" s="1"/>
  <c r="C31" i="55"/>
  <c r="L40" i="50"/>
  <c r="D10" i="66"/>
  <c r="E10" i="66" s="1"/>
  <c r="I10" i="66" s="1"/>
  <c r="J10" i="66" s="1"/>
  <c r="D36" i="66"/>
  <c r="E36" i="66" s="1"/>
  <c r="I36" i="66" s="1"/>
  <c r="J36" i="66" s="1"/>
  <c r="D28" i="66"/>
  <c r="E28" i="66" s="1"/>
  <c r="I28" i="66" s="1"/>
  <c r="J28" i="66" s="1"/>
  <c r="D28" i="56"/>
  <c r="E28" i="56" s="1"/>
  <c r="I28" i="56" s="1"/>
  <c r="J28" i="56" s="1"/>
  <c r="D10" i="56"/>
  <c r="E10" i="56" s="1"/>
  <c r="I10" i="56" s="1"/>
  <c r="J10" i="56" s="1"/>
  <c r="D36" i="56"/>
  <c r="E36" i="56" s="1"/>
  <c r="I36" i="56" s="1"/>
  <c r="J36" i="56" s="1"/>
  <c r="C35" i="48"/>
  <c r="F29" i="48"/>
  <c r="G29" i="48" s="1"/>
  <c r="E29" i="48"/>
  <c r="C35" i="52"/>
  <c r="F29" i="52"/>
  <c r="G29" i="52" s="1"/>
  <c r="E29" i="52"/>
  <c r="C48" i="48"/>
  <c r="F41" i="48"/>
  <c r="G41" i="48" s="1"/>
  <c r="E41" i="48"/>
  <c r="F31" i="53"/>
  <c r="G31" i="53" s="1"/>
  <c r="C50" i="53"/>
  <c r="C29" i="50"/>
  <c r="C29" i="54"/>
  <c r="E31" i="53"/>
  <c r="D20" i="51"/>
  <c r="G20" i="51" s="1"/>
  <c r="H20" i="51" s="1"/>
  <c r="C31" i="51"/>
  <c r="E135" i="36"/>
  <c r="D38" i="56"/>
  <c r="E38" i="56" s="1"/>
  <c r="I38" i="56" s="1"/>
  <c r="J38" i="56" s="1"/>
  <c r="D20" i="66"/>
  <c r="E20" i="66" s="1"/>
  <c r="I20" i="66" s="1"/>
  <c r="J20" i="66" s="1"/>
  <c r="D39" i="66"/>
  <c r="E39" i="66" s="1"/>
  <c r="I39" i="66" s="1"/>
  <c r="J39" i="66" s="1"/>
  <c r="D39" i="56"/>
  <c r="E39" i="56" s="1"/>
  <c r="I39" i="56" s="1"/>
  <c r="J39" i="56" s="1"/>
  <c r="D20" i="56"/>
  <c r="E20" i="56" s="1"/>
  <c r="I20" i="56" s="1"/>
  <c r="J20" i="56" s="1"/>
  <c r="D38" i="66"/>
  <c r="E38" i="66" s="1"/>
  <c r="I38" i="66" s="1"/>
  <c r="J38" i="66" s="1"/>
  <c r="C65" i="67"/>
  <c r="D47" i="67"/>
  <c r="C41" i="54"/>
  <c r="E50" i="53"/>
  <c r="C57" i="37"/>
  <c r="D54" i="53"/>
  <c r="F8" i="66"/>
  <c r="E54" i="55"/>
  <c r="F54" i="55" s="1"/>
  <c r="G44" i="66"/>
  <c r="H44" i="66" s="1"/>
  <c r="F9" i="66"/>
  <c r="F13" i="66"/>
  <c r="D41" i="2"/>
  <c r="E41" i="2" s="1"/>
  <c r="C50" i="49"/>
  <c r="F31" i="49"/>
  <c r="G31" i="49" s="1"/>
  <c r="E31" i="49"/>
  <c r="G67" i="35"/>
  <c r="I57" i="35"/>
  <c r="F48" i="54"/>
  <c r="C92" i="37"/>
  <c r="F35" i="54"/>
  <c r="E53" i="37"/>
  <c r="C7" i="66"/>
  <c r="C23" i="56"/>
  <c r="C23" i="66"/>
  <c r="E92" i="37"/>
  <c r="C10" i="56"/>
  <c r="C10" i="66"/>
  <c r="C12" i="66"/>
  <c r="C12" i="56"/>
  <c r="C7" i="56"/>
  <c r="C135" i="36"/>
  <c r="G38" i="66"/>
  <c r="H38" i="66" s="1"/>
  <c r="G10" i="66"/>
  <c r="H10" i="66" s="1"/>
  <c r="G36" i="66"/>
  <c r="H36" i="66" s="1"/>
  <c r="G20" i="66"/>
  <c r="H20" i="66" s="1"/>
  <c r="G39" i="66"/>
  <c r="H39" i="66" s="1"/>
  <c r="G28" i="66"/>
  <c r="H28" i="66" s="1"/>
  <c r="A5" i="62"/>
  <c r="E74" i="62"/>
  <c r="E41" i="52"/>
  <c r="F35" i="52" l="1"/>
  <c r="G35" i="52" s="1"/>
  <c r="E35" i="52"/>
  <c r="C56" i="38"/>
  <c r="D65" i="67"/>
  <c r="G73" i="35"/>
  <c r="I67" i="35"/>
  <c r="C50" i="55"/>
  <c r="D31" i="55"/>
  <c r="G31" i="55" s="1"/>
  <c r="H31" i="55" s="1"/>
  <c r="G73" i="61"/>
  <c r="I67" i="61"/>
  <c r="E57" i="37"/>
  <c r="E67" i="37" s="1"/>
  <c r="E73" i="37" s="1"/>
  <c r="C8" i="66"/>
  <c r="D44" i="66"/>
  <c r="E44" i="66" s="1"/>
  <c r="I44" i="66" s="1"/>
  <c r="J44" i="66" s="1"/>
  <c r="D44" i="56"/>
  <c r="E44" i="56" s="1"/>
  <c r="I44" i="56" s="1"/>
  <c r="J44" i="56" s="1"/>
  <c r="C9" i="56"/>
  <c r="C13" i="56"/>
  <c r="C8" i="56"/>
  <c r="C9" i="66"/>
  <c r="C13" i="66"/>
  <c r="C54" i="49"/>
  <c r="F50" i="49"/>
  <c r="G50" i="49" s="1"/>
  <c r="E50" i="49"/>
  <c r="C35" i="54"/>
  <c r="F48" i="52"/>
  <c r="G48" i="52" s="1"/>
  <c r="C63" i="52"/>
  <c r="F63" i="52" s="1"/>
  <c r="G63" i="52" s="1"/>
  <c r="C67" i="37"/>
  <c r="D58" i="53"/>
  <c r="E58" i="55"/>
  <c r="F58" i="55" s="1"/>
  <c r="C50" i="51"/>
  <c r="D31" i="51"/>
  <c r="G31" i="51" s="1"/>
  <c r="H31" i="51" s="1"/>
  <c r="C35" i="50"/>
  <c r="F48" i="48"/>
  <c r="G48" i="48" s="1"/>
  <c r="E48" i="48"/>
  <c r="C63" i="48"/>
  <c r="C48" i="50"/>
  <c r="C48" i="54"/>
  <c r="F50" i="53"/>
  <c r="G50" i="53" s="1"/>
  <c r="C54" i="53"/>
  <c r="E54" i="53" s="1"/>
  <c r="F35" i="48"/>
  <c r="G35" i="48" s="1"/>
  <c r="E35" i="48"/>
  <c r="E93" i="37" l="1"/>
  <c r="C2" i="37"/>
  <c r="D30" i="2"/>
  <c r="E30" i="2" s="1"/>
  <c r="C94" i="37"/>
  <c r="E128" i="63"/>
  <c r="C26" i="66"/>
  <c r="C26" i="56"/>
  <c r="D48" i="54"/>
  <c r="G48" i="54" s="1"/>
  <c r="H48" i="54" s="1"/>
  <c r="C63" i="54"/>
  <c r="I73" i="61"/>
  <c r="G55" i="60" s="1"/>
  <c r="G76" i="61"/>
  <c r="C99" i="38"/>
  <c r="C74" i="38"/>
  <c r="D35" i="2"/>
  <c r="E35" i="2" s="1"/>
  <c r="D35" i="54"/>
  <c r="G35" i="54" s="1"/>
  <c r="H35" i="54" s="1"/>
  <c r="D50" i="51"/>
  <c r="G50" i="51" s="1"/>
  <c r="H50" i="51" s="1"/>
  <c r="C54" i="51"/>
  <c r="C54" i="55"/>
  <c r="D50" i="55"/>
  <c r="G50" i="55" s="1"/>
  <c r="H50" i="55" s="1"/>
  <c r="C63" i="50"/>
  <c r="E63" i="52"/>
  <c r="E58" i="53"/>
  <c r="I73" i="35"/>
  <c r="G55" i="34" s="1"/>
  <c r="G76" i="35"/>
  <c r="C58" i="53"/>
  <c r="F54" i="53"/>
  <c r="G54" i="53" s="1"/>
  <c r="F63" i="48"/>
  <c r="G63" i="48" s="1"/>
  <c r="E63" i="48"/>
  <c r="C73" i="37"/>
  <c r="D68" i="53"/>
  <c r="E68" i="55"/>
  <c r="F68" i="55" s="1"/>
  <c r="C58" i="49"/>
  <c r="F54" i="49"/>
  <c r="G54" i="49" s="1"/>
  <c r="E54" i="49"/>
  <c r="D36" i="50" l="1"/>
  <c r="G36" i="50" s="1"/>
  <c r="H36" i="50" s="1"/>
  <c r="D49" i="50"/>
  <c r="G49" i="50" s="1"/>
  <c r="H49" i="50" s="1"/>
  <c r="D63" i="50"/>
  <c r="G63" i="50" s="1"/>
  <c r="H63" i="50" s="1"/>
  <c r="D60" i="50"/>
  <c r="G60" i="50" s="1"/>
  <c r="H60" i="50" s="1"/>
  <c r="D53" i="50"/>
  <c r="G53" i="50" s="1"/>
  <c r="H53" i="50" s="1"/>
  <c r="D19" i="50"/>
  <c r="G19" i="50" s="1"/>
  <c r="H19" i="50" s="1"/>
  <c r="D43" i="50"/>
  <c r="G43" i="50" s="1"/>
  <c r="H43" i="50" s="1"/>
  <c r="D15" i="50"/>
  <c r="G15" i="50" s="1"/>
  <c r="H15" i="50" s="1"/>
  <c r="D47" i="50"/>
  <c r="G47" i="50" s="1"/>
  <c r="H47" i="50" s="1"/>
  <c r="D57" i="50"/>
  <c r="G57" i="50" s="1"/>
  <c r="H57" i="50" s="1"/>
  <c r="D31" i="50"/>
  <c r="G31" i="50" s="1"/>
  <c r="H31" i="50" s="1"/>
  <c r="D54" i="50"/>
  <c r="G54" i="50" s="1"/>
  <c r="H54" i="50" s="1"/>
  <c r="D62" i="50"/>
  <c r="G62" i="50" s="1"/>
  <c r="H62" i="50" s="1"/>
  <c r="D51" i="50"/>
  <c r="G51" i="50" s="1"/>
  <c r="H51" i="50" s="1"/>
  <c r="D22" i="50"/>
  <c r="G22" i="50" s="1"/>
  <c r="H22" i="50" s="1"/>
  <c r="D11" i="50"/>
  <c r="G11" i="50" s="1"/>
  <c r="H11" i="50" s="1"/>
  <c r="D34" i="50"/>
  <c r="G34" i="50" s="1"/>
  <c r="H34" i="50" s="1"/>
  <c r="D12" i="50"/>
  <c r="G12" i="50" s="1"/>
  <c r="H12" i="50" s="1"/>
  <c r="D33" i="50"/>
  <c r="G33" i="50" s="1"/>
  <c r="H33" i="50" s="1"/>
  <c r="D32" i="50"/>
  <c r="G32" i="50" s="1"/>
  <c r="H32" i="50" s="1"/>
  <c r="D25" i="50"/>
  <c r="G25" i="50" s="1"/>
  <c r="H25" i="50" s="1"/>
  <c r="D56" i="50"/>
  <c r="G56" i="50" s="1"/>
  <c r="H56" i="50" s="1"/>
  <c r="D55" i="50"/>
  <c r="G55" i="50" s="1"/>
  <c r="H55" i="50" s="1"/>
  <c r="D38" i="50"/>
  <c r="G38" i="50" s="1"/>
  <c r="H38" i="50" s="1"/>
  <c r="D24" i="50"/>
  <c r="G24" i="50" s="1"/>
  <c r="H24" i="50" s="1"/>
  <c r="D27" i="50"/>
  <c r="G27" i="50" s="1"/>
  <c r="H27" i="50" s="1"/>
  <c r="D9" i="50"/>
  <c r="G9" i="50" s="1"/>
  <c r="H9" i="50" s="1"/>
  <c r="D44" i="50"/>
  <c r="G44" i="50" s="1"/>
  <c r="H44" i="50" s="1"/>
  <c r="D23" i="50"/>
  <c r="G23" i="50" s="1"/>
  <c r="H23" i="50" s="1"/>
  <c r="D40" i="50"/>
  <c r="G40" i="50" s="1"/>
  <c r="H40" i="50" s="1"/>
  <c r="D46" i="50"/>
  <c r="G46" i="50" s="1"/>
  <c r="H46" i="50" s="1"/>
  <c r="D58" i="50"/>
  <c r="G58" i="50" s="1"/>
  <c r="H58" i="50" s="1"/>
  <c r="D14" i="50"/>
  <c r="G14" i="50" s="1"/>
  <c r="H14" i="50" s="1"/>
  <c r="D26" i="50"/>
  <c r="G26" i="50" s="1"/>
  <c r="H26" i="50" s="1"/>
  <c r="D16" i="50"/>
  <c r="G16" i="50" s="1"/>
  <c r="H16" i="50" s="1"/>
  <c r="D21" i="50"/>
  <c r="G21" i="50" s="1"/>
  <c r="H21" i="50" s="1"/>
  <c r="D45" i="50"/>
  <c r="G45" i="50" s="1"/>
  <c r="H45" i="50" s="1"/>
  <c r="D52" i="50"/>
  <c r="G52" i="50" s="1"/>
  <c r="H52" i="50" s="1"/>
  <c r="D17" i="50"/>
  <c r="G17" i="50" s="1"/>
  <c r="H17" i="50" s="1"/>
  <c r="D42" i="50"/>
  <c r="G42" i="50" s="1"/>
  <c r="H42" i="50" s="1"/>
  <c r="D13" i="50"/>
  <c r="G13" i="50" s="1"/>
  <c r="H13" i="50" s="1"/>
  <c r="D10" i="50"/>
  <c r="G10" i="50" s="1"/>
  <c r="H10" i="50" s="1"/>
  <c r="D18" i="50"/>
  <c r="G18" i="50" s="1"/>
  <c r="H18" i="50" s="1"/>
  <c r="D8" i="50"/>
  <c r="G8" i="50" s="1"/>
  <c r="H8" i="50" s="1"/>
  <c r="D61" i="50"/>
  <c r="G61" i="50" s="1"/>
  <c r="H61" i="50" s="1"/>
  <c r="D37" i="50"/>
  <c r="G37" i="50" s="1"/>
  <c r="H37" i="50" s="1"/>
  <c r="D50" i="50"/>
  <c r="G50" i="50" s="1"/>
  <c r="H50" i="50" s="1"/>
  <c r="D20" i="50"/>
  <c r="G20" i="50" s="1"/>
  <c r="H20" i="50" s="1"/>
  <c r="D39" i="50"/>
  <c r="G39" i="50" s="1"/>
  <c r="H39" i="50" s="1"/>
  <c r="D30" i="50"/>
  <c r="G30" i="50" s="1"/>
  <c r="H30" i="50" s="1"/>
  <c r="D28" i="50"/>
  <c r="G28" i="50" s="1"/>
  <c r="H28" i="50" s="1"/>
  <c r="D59" i="50"/>
  <c r="G59" i="50" s="1"/>
  <c r="H59" i="50" s="1"/>
  <c r="D29" i="50"/>
  <c r="G29" i="50" s="1"/>
  <c r="H29" i="50" s="1"/>
  <c r="D41" i="50"/>
  <c r="G41" i="50" s="1"/>
  <c r="H41" i="50" s="1"/>
  <c r="C97" i="38"/>
  <c r="D33" i="2"/>
  <c r="E33" i="2" s="1"/>
  <c r="D35" i="50"/>
  <c r="G35" i="50" s="1"/>
  <c r="H35" i="50" s="1"/>
  <c r="D48" i="50"/>
  <c r="G48" i="50" s="1"/>
  <c r="H48" i="50" s="1"/>
  <c r="C93" i="37"/>
  <c r="D74" i="53"/>
  <c r="E74" i="55"/>
  <c r="F74" i="55" s="1"/>
  <c r="F26" i="66"/>
  <c r="C95" i="38"/>
  <c r="F58" i="53"/>
  <c r="G58" i="53" s="1"/>
  <c r="C68" i="53"/>
  <c r="D54" i="55"/>
  <c r="G54" i="55" s="1"/>
  <c r="H54" i="55" s="1"/>
  <c r="C58" i="55"/>
  <c r="C68" i="49"/>
  <c r="F58" i="49"/>
  <c r="G58" i="49" s="1"/>
  <c r="E58" i="49"/>
  <c r="D54" i="51"/>
  <c r="G54" i="51" s="1"/>
  <c r="H54" i="51" s="1"/>
  <c r="C58" i="51"/>
  <c r="I55" i="60"/>
  <c r="G59" i="60"/>
  <c r="E68" i="53"/>
  <c r="I55" i="34"/>
  <c r="C118" i="36" s="1"/>
  <c r="G59" i="34"/>
  <c r="D63" i="54"/>
  <c r="G63" i="54" s="1"/>
  <c r="H63" i="54" s="1"/>
  <c r="D36" i="54"/>
  <c r="G36" i="54" s="1"/>
  <c r="H36" i="54" s="1"/>
  <c r="D49" i="54"/>
  <c r="G49" i="54" s="1"/>
  <c r="H49" i="54" s="1"/>
  <c r="D60" i="54"/>
  <c r="G60" i="54" s="1"/>
  <c r="H60" i="54" s="1"/>
  <c r="D56" i="54"/>
  <c r="G56" i="54" s="1"/>
  <c r="H56" i="54" s="1"/>
  <c r="D21" i="54"/>
  <c r="G21" i="54" s="1"/>
  <c r="H21" i="54" s="1"/>
  <c r="D11" i="54"/>
  <c r="G11" i="54" s="1"/>
  <c r="H11" i="54" s="1"/>
  <c r="D47" i="54"/>
  <c r="G47" i="54" s="1"/>
  <c r="H47" i="54" s="1"/>
  <c r="D40" i="54"/>
  <c r="G40" i="54" s="1"/>
  <c r="H40" i="54" s="1"/>
  <c r="D45" i="54"/>
  <c r="G45" i="54" s="1"/>
  <c r="H45" i="54" s="1"/>
  <c r="D46" i="54"/>
  <c r="G46" i="54" s="1"/>
  <c r="H46" i="54" s="1"/>
  <c r="D34" i="54"/>
  <c r="G34" i="54" s="1"/>
  <c r="H34" i="54" s="1"/>
  <c r="D23" i="54"/>
  <c r="G23" i="54" s="1"/>
  <c r="H23" i="54" s="1"/>
  <c r="D22" i="54"/>
  <c r="G22" i="54" s="1"/>
  <c r="H22" i="54" s="1"/>
  <c r="D16" i="54"/>
  <c r="G16" i="54" s="1"/>
  <c r="H16" i="54" s="1"/>
  <c r="D10" i="54"/>
  <c r="G10" i="54" s="1"/>
  <c r="H10" i="54" s="1"/>
  <c r="D32" i="54"/>
  <c r="G32" i="54" s="1"/>
  <c r="H32" i="54" s="1"/>
  <c r="D9" i="54"/>
  <c r="G9" i="54" s="1"/>
  <c r="H9" i="54" s="1"/>
  <c r="D19" i="54"/>
  <c r="G19" i="54" s="1"/>
  <c r="H19" i="54" s="1"/>
  <c r="D44" i="54"/>
  <c r="G44" i="54" s="1"/>
  <c r="H44" i="54" s="1"/>
  <c r="D55" i="54"/>
  <c r="G55" i="54" s="1"/>
  <c r="H55" i="54" s="1"/>
  <c r="D15" i="54"/>
  <c r="G15" i="54" s="1"/>
  <c r="H15" i="54" s="1"/>
  <c r="D57" i="54"/>
  <c r="G57" i="54" s="1"/>
  <c r="H57" i="54" s="1"/>
  <c r="D54" i="54"/>
  <c r="G54" i="54" s="1"/>
  <c r="H54" i="54" s="1"/>
  <c r="D53" i="54"/>
  <c r="G53" i="54" s="1"/>
  <c r="H53" i="54" s="1"/>
  <c r="D58" i="54"/>
  <c r="G58" i="54" s="1"/>
  <c r="H58" i="54" s="1"/>
  <c r="D43" i="54"/>
  <c r="G43" i="54" s="1"/>
  <c r="H43" i="54" s="1"/>
  <c r="D27" i="54"/>
  <c r="G27" i="54" s="1"/>
  <c r="H27" i="54" s="1"/>
  <c r="D13" i="54"/>
  <c r="G13" i="54" s="1"/>
  <c r="H13" i="54" s="1"/>
  <c r="D42" i="54"/>
  <c r="G42" i="54" s="1"/>
  <c r="H42" i="54" s="1"/>
  <c r="D62" i="54"/>
  <c r="G62" i="54" s="1"/>
  <c r="H62" i="54" s="1"/>
  <c r="D25" i="54"/>
  <c r="G25" i="54" s="1"/>
  <c r="H25" i="54" s="1"/>
  <c r="D17" i="54"/>
  <c r="G17" i="54" s="1"/>
  <c r="H17" i="54" s="1"/>
  <c r="D51" i="54"/>
  <c r="G51" i="54" s="1"/>
  <c r="H51" i="54" s="1"/>
  <c r="D38" i="54"/>
  <c r="G38" i="54" s="1"/>
  <c r="H38" i="54" s="1"/>
  <c r="D24" i="54"/>
  <c r="G24" i="54" s="1"/>
  <c r="H24" i="54" s="1"/>
  <c r="D14" i="54"/>
  <c r="G14" i="54" s="1"/>
  <c r="H14" i="54" s="1"/>
  <c r="D52" i="54"/>
  <c r="G52" i="54" s="1"/>
  <c r="H52" i="54" s="1"/>
  <c r="D18" i="54"/>
  <c r="G18" i="54" s="1"/>
  <c r="H18" i="54" s="1"/>
  <c r="D12" i="54"/>
  <c r="G12" i="54" s="1"/>
  <c r="H12" i="54" s="1"/>
  <c r="D26" i="54"/>
  <c r="G26" i="54" s="1"/>
  <c r="H26" i="54" s="1"/>
  <c r="D33" i="54"/>
  <c r="G33" i="54" s="1"/>
  <c r="H33" i="54" s="1"/>
  <c r="D31" i="54"/>
  <c r="G31" i="54" s="1"/>
  <c r="H31" i="54" s="1"/>
  <c r="D61" i="54"/>
  <c r="G61" i="54" s="1"/>
  <c r="H61" i="54" s="1"/>
  <c r="D8" i="54"/>
  <c r="G8" i="54" s="1"/>
  <c r="H8" i="54" s="1"/>
  <c r="D20" i="54"/>
  <c r="G20" i="54" s="1"/>
  <c r="H20" i="54" s="1"/>
  <c r="D37" i="54"/>
  <c r="G37" i="54" s="1"/>
  <c r="H37" i="54" s="1"/>
  <c r="D50" i="54"/>
  <c r="G50" i="54" s="1"/>
  <c r="H50" i="54" s="1"/>
  <c r="D28" i="54"/>
  <c r="G28" i="54" s="1"/>
  <c r="H28" i="54" s="1"/>
  <c r="D30" i="54"/>
  <c r="G30" i="54" s="1"/>
  <c r="H30" i="54" s="1"/>
  <c r="D59" i="54"/>
  <c r="G59" i="54" s="1"/>
  <c r="H59" i="54" s="1"/>
  <c r="D39" i="54"/>
  <c r="G39" i="54" s="1"/>
  <c r="H39" i="54" s="1"/>
  <c r="D41" i="54"/>
  <c r="G41" i="54" s="1"/>
  <c r="H41" i="54" s="1"/>
  <c r="D29" i="54"/>
  <c r="G29" i="54" s="1"/>
  <c r="H29" i="54" s="1"/>
  <c r="D58" i="51" l="1"/>
  <c r="G58" i="51" s="1"/>
  <c r="H58" i="51" s="1"/>
  <c r="C68" i="51"/>
  <c r="G61" i="34"/>
  <c r="I59" i="34"/>
  <c r="L56" i="52"/>
  <c r="C130" i="36"/>
  <c r="D28" i="2"/>
  <c r="E28" i="2" s="1"/>
  <c r="C122" i="36"/>
  <c r="F68" i="49"/>
  <c r="G68" i="49" s="1"/>
  <c r="C74" i="49"/>
  <c r="E68" i="49"/>
  <c r="C68" i="55"/>
  <c r="D58" i="55"/>
  <c r="G58" i="55" s="1"/>
  <c r="H58" i="55" s="1"/>
  <c r="G61" i="60"/>
  <c r="I59" i="60"/>
  <c r="C116" i="63"/>
  <c r="E118" i="36"/>
  <c r="F68" i="53"/>
  <c r="G68" i="53" s="1"/>
  <c r="C74" i="53"/>
  <c r="F74" i="53" s="1"/>
  <c r="G74" i="53" s="1"/>
  <c r="C124" i="36" l="1"/>
  <c r="C139" i="36"/>
  <c r="G62" i="60"/>
  <c r="I61" i="60"/>
  <c r="N56" i="54"/>
  <c r="L60" i="52"/>
  <c r="G62" i="34"/>
  <c r="I61" i="34"/>
  <c r="D68" i="55"/>
  <c r="G68" i="55" s="1"/>
  <c r="H68" i="55" s="1"/>
  <c r="C74" i="55"/>
  <c r="D74" i="55" s="1"/>
  <c r="G74" i="55" s="1"/>
  <c r="H74" i="55" s="1"/>
  <c r="E74" i="53"/>
  <c r="K56" i="52"/>
  <c r="M56" i="52" s="1"/>
  <c r="K56" i="48"/>
  <c r="E130" i="36"/>
  <c r="D29" i="2"/>
  <c r="E29" i="2" s="1"/>
  <c r="E122" i="36"/>
  <c r="G7" i="66" s="1"/>
  <c r="H7" i="66" s="1"/>
  <c r="F74" i="49"/>
  <c r="G74" i="49" s="1"/>
  <c r="E74" i="49"/>
  <c r="C74" i="51"/>
  <c r="D74" i="51" s="1"/>
  <c r="G74" i="51" s="1"/>
  <c r="H74" i="51" s="1"/>
  <c r="D68" i="51"/>
  <c r="G68" i="51" s="1"/>
  <c r="H68" i="51" s="1"/>
  <c r="C127" i="63"/>
  <c r="C120" i="63"/>
  <c r="C122" i="63" s="1"/>
  <c r="L56" i="50" l="1"/>
  <c r="N56" i="48"/>
  <c r="O56" i="48" s="1"/>
  <c r="M56" i="48"/>
  <c r="K60" i="48"/>
  <c r="A4" i="60"/>
  <c r="I62" i="60"/>
  <c r="G63" i="59"/>
  <c r="N60" i="54"/>
  <c r="E139" i="36"/>
  <c r="E124" i="36"/>
  <c r="E140" i="36"/>
  <c r="L56" i="54"/>
  <c r="N56" i="52"/>
  <c r="O56" i="52" s="1"/>
  <c r="K60" i="52"/>
  <c r="M60" i="52" s="1"/>
  <c r="A4" i="34"/>
  <c r="I62" i="34"/>
  <c r="G63" i="33"/>
  <c r="G9" i="66"/>
  <c r="H9" i="66" s="1"/>
  <c r="F35" i="66"/>
  <c r="G22" i="66"/>
  <c r="H22" i="66" s="1"/>
  <c r="G21" i="66"/>
  <c r="H21" i="66" s="1"/>
  <c r="G26" i="66"/>
  <c r="H26" i="66" s="1"/>
  <c r="C125" i="36"/>
  <c r="D9" i="66"/>
  <c r="E9" i="66" s="1"/>
  <c r="I9" i="66" s="1"/>
  <c r="J9" i="66" s="1"/>
  <c r="D9" i="56"/>
  <c r="E9" i="56" s="1"/>
  <c r="I9" i="56" s="1"/>
  <c r="J9" i="56" s="1"/>
  <c r="D7" i="66"/>
  <c r="E7" i="66" s="1"/>
  <c r="I7" i="66" s="1"/>
  <c r="J7" i="66" s="1"/>
  <c r="D7" i="56"/>
  <c r="E7" i="56" s="1"/>
  <c r="I7" i="56" s="1"/>
  <c r="J7" i="56" s="1"/>
  <c r="C123" i="63"/>
  <c r="L62" i="52"/>
  <c r="C140" i="36"/>
  <c r="C141" i="36" l="1"/>
  <c r="C129" i="36"/>
  <c r="D26" i="2"/>
  <c r="E26" i="2" s="1"/>
  <c r="C2" i="36"/>
  <c r="L63" i="52"/>
  <c r="I63" i="60"/>
  <c r="I64" i="60"/>
  <c r="A4" i="59"/>
  <c r="I63" i="59"/>
  <c r="A4" i="61"/>
  <c r="K62" i="48"/>
  <c r="N60" i="48"/>
  <c r="O60" i="48" s="1"/>
  <c r="M60" i="48"/>
  <c r="D22" i="56"/>
  <c r="E22" i="56" s="1"/>
  <c r="I22" i="56" s="1"/>
  <c r="J22" i="56" s="1"/>
  <c r="C35" i="66"/>
  <c r="D22" i="66"/>
  <c r="E22" i="66" s="1"/>
  <c r="I22" i="66" s="1"/>
  <c r="J22" i="66" s="1"/>
  <c r="D21" i="56"/>
  <c r="E21" i="56" s="1"/>
  <c r="I21" i="56" s="1"/>
  <c r="J21" i="56" s="1"/>
  <c r="C35" i="56"/>
  <c r="D21" i="66"/>
  <c r="E21" i="66" s="1"/>
  <c r="I21" i="66" s="1"/>
  <c r="J21" i="66" s="1"/>
  <c r="G35" i="66"/>
  <c r="H35" i="66" s="1"/>
  <c r="D26" i="66"/>
  <c r="E26" i="66" s="1"/>
  <c r="I26" i="66" s="1"/>
  <c r="J26" i="66" s="1"/>
  <c r="E125" i="36"/>
  <c r="D26" i="56"/>
  <c r="E26" i="56" s="1"/>
  <c r="I26" i="56" s="1"/>
  <c r="J26" i="56" s="1"/>
  <c r="N60" i="52"/>
  <c r="O60" i="52" s="1"/>
  <c r="K62" i="52"/>
  <c r="M62" i="52" s="1"/>
  <c r="C2" i="63"/>
  <c r="C126" i="63"/>
  <c r="L60" i="54"/>
  <c r="I63" i="34"/>
  <c r="I63" i="33"/>
  <c r="A4" i="35"/>
  <c r="A4" i="33"/>
  <c r="N62" i="54"/>
  <c r="L60" i="50"/>
  <c r="L62" i="50" l="1"/>
  <c r="N62" i="48"/>
  <c r="O62" i="48" s="1"/>
  <c r="M62" i="48"/>
  <c r="K63" i="48"/>
  <c r="E141" i="36"/>
  <c r="E129" i="36"/>
  <c r="D27" i="2"/>
  <c r="E27" i="2" s="1"/>
  <c r="E2" i="36"/>
  <c r="N63" i="54"/>
  <c r="L62" i="54"/>
  <c r="N62" i="52"/>
  <c r="O62" i="52" s="1"/>
  <c r="K63" i="52"/>
  <c r="N63" i="52" s="1"/>
  <c r="O63" i="52" s="1"/>
  <c r="L63" i="54" l="1"/>
  <c r="N63" i="48"/>
  <c r="O63" i="48" s="1"/>
  <c r="M63" i="48"/>
  <c r="O63" i="54"/>
  <c r="O43" i="54"/>
  <c r="O42" i="54"/>
  <c r="O38" i="54"/>
  <c r="O28" i="54"/>
  <c r="O22" i="54"/>
  <c r="O23" i="54"/>
  <c r="O36" i="54"/>
  <c r="O35" i="54"/>
  <c r="O49" i="54"/>
  <c r="O21" i="54"/>
  <c r="O50" i="54"/>
  <c r="O24" i="54"/>
  <c r="O59" i="54"/>
  <c r="O16" i="54"/>
  <c r="O53" i="54"/>
  <c r="O41" i="54"/>
  <c r="O33" i="54"/>
  <c r="O9" i="54"/>
  <c r="O12" i="54"/>
  <c r="O14" i="54"/>
  <c r="O17" i="54"/>
  <c r="O32" i="54"/>
  <c r="O57" i="54"/>
  <c r="O10" i="54"/>
  <c r="O26" i="54"/>
  <c r="O46" i="54"/>
  <c r="O34" i="54"/>
  <c r="O61" i="54"/>
  <c r="O58" i="54"/>
  <c r="O52" i="54"/>
  <c r="O47" i="54"/>
  <c r="O30" i="54"/>
  <c r="O20" i="54"/>
  <c r="O55" i="54"/>
  <c r="O45" i="54"/>
  <c r="O31" i="54"/>
  <c r="O51" i="54"/>
  <c r="O18" i="54"/>
  <c r="O48" i="54"/>
  <c r="O54" i="54"/>
  <c r="O39" i="54"/>
  <c r="O19" i="54"/>
  <c r="O13" i="54"/>
  <c r="O11" i="54"/>
  <c r="O25" i="54"/>
  <c r="O15" i="54"/>
  <c r="O8" i="54"/>
  <c r="O29" i="54"/>
  <c r="O37" i="54"/>
  <c r="O27" i="54"/>
  <c r="O44" i="54"/>
  <c r="O40" i="54"/>
  <c r="O56" i="54"/>
  <c r="O60" i="54"/>
  <c r="O62" i="54"/>
  <c r="L63" i="50"/>
  <c r="M62" i="50" s="1"/>
  <c r="P62" i="50" s="1"/>
  <c r="Q62" i="50" s="1"/>
  <c r="M63" i="52"/>
  <c r="M38" i="50" l="1"/>
  <c r="P38" i="50" s="1"/>
  <c r="Q38" i="50" s="1"/>
  <c r="M28" i="50"/>
  <c r="P28" i="50" s="1"/>
  <c r="Q28" i="50" s="1"/>
  <c r="M63" i="50"/>
  <c r="P63" i="50" s="1"/>
  <c r="Q63" i="50" s="1"/>
  <c r="M42" i="50"/>
  <c r="P42" i="50" s="1"/>
  <c r="Q42" i="50" s="1"/>
  <c r="M43" i="50"/>
  <c r="P43" i="50" s="1"/>
  <c r="Q43" i="50" s="1"/>
  <c r="M45" i="50"/>
  <c r="P45" i="50" s="1"/>
  <c r="Q45" i="50" s="1"/>
  <c r="M34" i="50"/>
  <c r="P34" i="50" s="1"/>
  <c r="Q34" i="50" s="1"/>
  <c r="M30" i="50"/>
  <c r="P30" i="50" s="1"/>
  <c r="Q30" i="50" s="1"/>
  <c r="M21" i="50"/>
  <c r="P21" i="50" s="1"/>
  <c r="Q21" i="50" s="1"/>
  <c r="M11" i="50"/>
  <c r="P11" i="50" s="1"/>
  <c r="Q11" i="50" s="1"/>
  <c r="M15" i="50"/>
  <c r="P15" i="50" s="1"/>
  <c r="Q15" i="50" s="1"/>
  <c r="M46" i="50"/>
  <c r="P46" i="50" s="1"/>
  <c r="Q46" i="50" s="1"/>
  <c r="M13" i="50"/>
  <c r="P13" i="50" s="1"/>
  <c r="Q13" i="50" s="1"/>
  <c r="M51" i="50"/>
  <c r="P51" i="50" s="1"/>
  <c r="Q51" i="50" s="1"/>
  <c r="M52" i="50"/>
  <c r="P52" i="50" s="1"/>
  <c r="Q52" i="50" s="1"/>
  <c r="M23" i="50"/>
  <c r="P23" i="50" s="1"/>
  <c r="Q23" i="50" s="1"/>
  <c r="M61" i="50"/>
  <c r="P61" i="50" s="1"/>
  <c r="Q61" i="50" s="1"/>
  <c r="M20" i="50"/>
  <c r="P20" i="50" s="1"/>
  <c r="Q20" i="50" s="1"/>
  <c r="M33" i="50"/>
  <c r="P33" i="50" s="1"/>
  <c r="Q33" i="50" s="1"/>
  <c r="M25" i="50"/>
  <c r="P25" i="50" s="1"/>
  <c r="Q25" i="50" s="1"/>
  <c r="M14" i="50"/>
  <c r="P14" i="50" s="1"/>
  <c r="Q14" i="50" s="1"/>
  <c r="M58" i="50"/>
  <c r="P58" i="50" s="1"/>
  <c r="Q58" i="50" s="1"/>
  <c r="M18" i="50"/>
  <c r="P18" i="50" s="1"/>
  <c r="Q18" i="50" s="1"/>
  <c r="M12" i="50"/>
  <c r="P12" i="50" s="1"/>
  <c r="Q12" i="50" s="1"/>
  <c r="M55" i="50"/>
  <c r="P55" i="50" s="1"/>
  <c r="Q55" i="50" s="1"/>
  <c r="M47" i="50"/>
  <c r="P47" i="50" s="1"/>
  <c r="Q47" i="50" s="1"/>
  <c r="M32" i="50"/>
  <c r="P32" i="50" s="1"/>
  <c r="Q32" i="50" s="1"/>
  <c r="M49" i="50"/>
  <c r="P49" i="50" s="1"/>
  <c r="Q49" i="50" s="1"/>
  <c r="M31" i="50"/>
  <c r="P31" i="50" s="1"/>
  <c r="Q31" i="50" s="1"/>
  <c r="M22" i="50"/>
  <c r="P22" i="50" s="1"/>
  <c r="Q22" i="50" s="1"/>
  <c r="M54" i="50"/>
  <c r="P54" i="50" s="1"/>
  <c r="Q54" i="50" s="1"/>
  <c r="M17" i="50"/>
  <c r="P17" i="50" s="1"/>
  <c r="Q17" i="50" s="1"/>
  <c r="M10" i="50"/>
  <c r="P10" i="50" s="1"/>
  <c r="Q10" i="50" s="1"/>
  <c r="M36" i="50"/>
  <c r="P36" i="50" s="1"/>
  <c r="Q36" i="50" s="1"/>
  <c r="M57" i="50"/>
  <c r="P57" i="50" s="1"/>
  <c r="Q57" i="50" s="1"/>
  <c r="M50" i="50"/>
  <c r="P50" i="50" s="1"/>
  <c r="Q50" i="50" s="1"/>
  <c r="M53" i="50"/>
  <c r="P53" i="50" s="1"/>
  <c r="Q53" i="50" s="1"/>
  <c r="M35" i="50"/>
  <c r="P35" i="50" s="1"/>
  <c r="Q35" i="50" s="1"/>
  <c r="M16" i="50"/>
  <c r="P16" i="50" s="1"/>
  <c r="Q16" i="50" s="1"/>
  <c r="M9" i="50"/>
  <c r="P9" i="50" s="1"/>
  <c r="Q9" i="50" s="1"/>
  <c r="M26" i="50"/>
  <c r="P26" i="50" s="1"/>
  <c r="Q26" i="50" s="1"/>
  <c r="M41" i="50"/>
  <c r="P41" i="50" s="1"/>
  <c r="Q41" i="50" s="1"/>
  <c r="M59" i="50"/>
  <c r="P59" i="50" s="1"/>
  <c r="Q59" i="50" s="1"/>
  <c r="M19" i="50"/>
  <c r="P19" i="50" s="1"/>
  <c r="Q19" i="50" s="1"/>
  <c r="M24" i="50"/>
  <c r="P24" i="50" s="1"/>
  <c r="Q24" i="50" s="1"/>
  <c r="M39" i="50"/>
  <c r="P39" i="50" s="1"/>
  <c r="Q39" i="50" s="1"/>
  <c r="M48" i="50"/>
  <c r="P48" i="50" s="1"/>
  <c r="Q48" i="50" s="1"/>
  <c r="M29" i="50"/>
  <c r="P29" i="50" s="1"/>
  <c r="Q29" i="50" s="1"/>
  <c r="M44" i="50"/>
  <c r="P44" i="50" s="1"/>
  <c r="Q44" i="50" s="1"/>
  <c r="M8" i="50"/>
  <c r="P8" i="50" s="1"/>
  <c r="Q8" i="50" s="1"/>
  <c r="M37" i="50"/>
  <c r="P37" i="50" s="1"/>
  <c r="Q37" i="50" s="1"/>
  <c r="M27" i="50"/>
  <c r="P27" i="50" s="1"/>
  <c r="Q27" i="50" s="1"/>
  <c r="M40" i="50"/>
  <c r="P40" i="50" s="1"/>
  <c r="Q40" i="50" s="1"/>
  <c r="M56" i="50"/>
  <c r="P56" i="50" s="1"/>
  <c r="Q56" i="50" s="1"/>
  <c r="M60" i="50"/>
  <c r="P60" i="50" s="1"/>
  <c r="Q60" i="50" s="1"/>
  <c r="M63" i="54"/>
  <c r="P63" i="54" s="1"/>
  <c r="Q63" i="54" s="1"/>
  <c r="M43" i="54"/>
  <c r="P43" i="54" s="1"/>
  <c r="Q43" i="54" s="1"/>
  <c r="M42" i="54"/>
  <c r="P42" i="54" s="1"/>
  <c r="Q42" i="54" s="1"/>
  <c r="M38" i="54"/>
  <c r="P38" i="54" s="1"/>
  <c r="Q38" i="54" s="1"/>
  <c r="M28" i="54"/>
  <c r="P28" i="54" s="1"/>
  <c r="Q28" i="54" s="1"/>
  <c r="M25" i="54"/>
  <c r="P25" i="54" s="1"/>
  <c r="Q25" i="54" s="1"/>
  <c r="M33" i="54"/>
  <c r="P33" i="54" s="1"/>
  <c r="Q33" i="54" s="1"/>
  <c r="M10" i="54"/>
  <c r="P10" i="54" s="1"/>
  <c r="Q10" i="54" s="1"/>
  <c r="M22" i="54"/>
  <c r="P22" i="54" s="1"/>
  <c r="Q22" i="54" s="1"/>
  <c r="M13" i="54"/>
  <c r="P13" i="54" s="1"/>
  <c r="Q13" i="54" s="1"/>
  <c r="M34" i="54"/>
  <c r="P34" i="54" s="1"/>
  <c r="Q34" i="54" s="1"/>
  <c r="M15" i="54"/>
  <c r="P15" i="54" s="1"/>
  <c r="Q15" i="54" s="1"/>
  <c r="M24" i="54"/>
  <c r="P24" i="54" s="1"/>
  <c r="Q24" i="54" s="1"/>
  <c r="M35" i="54"/>
  <c r="P35" i="54" s="1"/>
  <c r="Q35" i="54" s="1"/>
  <c r="M53" i="54"/>
  <c r="P53" i="54" s="1"/>
  <c r="Q53" i="54" s="1"/>
  <c r="M55" i="54"/>
  <c r="P55" i="54" s="1"/>
  <c r="Q55" i="54" s="1"/>
  <c r="M19" i="54"/>
  <c r="P19" i="54" s="1"/>
  <c r="Q19" i="54" s="1"/>
  <c r="M57" i="54"/>
  <c r="P57" i="54" s="1"/>
  <c r="Q57" i="54" s="1"/>
  <c r="M46" i="54"/>
  <c r="P46" i="54" s="1"/>
  <c r="Q46" i="54" s="1"/>
  <c r="M30" i="54"/>
  <c r="P30" i="54" s="1"/>
  <c r="Q30" i="54" s="1"/>
  <c r="M47" i="54"/>
  <c r="P47" i="54" s="1"/>
  <c r="Q47" i="54" s="1"/>
  <c r="M11" i="54"/>
  <c r="P11" i="54" s="1"/>
  <c r="Q11" i="54" s="1"/>
  <c r="M51" i="54"/>
  <c r="P51" i="54" s="1"/>
  <c r="Q51" i="54" s="1"/>
  <c r="M54" i="54"/>
  <c r="P54" i="54" s="1"/>
  <c r="Q54" i="54" s="1"/>
  <c r="M32" i="54"/>
  <c r="P32" i="54" s="1"/>
  <c r="Q32" i="54" s="1"/>
  <c r="M50" i="54"/>
  <c r="P50" i="54" s="1"/>
  <c r="Q50" i="54" s="1"/>
  <c r="M36" i="54"/>
  <c r="P36" i="54" s="1"/>
  <c r="Q36" i="54" s="1"/>
  <c r="M49" i="54"/>
  <c r="P49" i="54" s="1"/>
  <c r="Q49" i="54" s="1"/>
  <c r="M21" i="54"/>
  <c r="P21" i="54" s="1"/>
  <c r="Q21" i="54" s="1"/>
  <c r="M9" i="54"/>
  <c r="P9" i="54" s="1"/>
  <c r="Q9" i="54" s="1"/>
  <c r="M52" i="54"/>
  <c r="P52" i="54" s="1"/>
  <c r="Q52" i="54" s="1"/>
  <c r="M16" i="54"/>
  <c r="P16" i="54" s="1"/>
  <c r="Q16" i="54" s="1"/>
  <c r="M17" i="54"/>
  <c r="P17" i="54" s="1"/>
  <c r="Q17" i="54" s="1"/>
  <c r="M18" i="54"/>
  <c r="P18" i="54" s="1"/>
  <c r="Q18" i="54" s="1"/>
  <c r="M45" i="54"/>
  <c r="P45" i="54" s="1"/>
  <c r="Q45" i="54" s="1"/>
  <c r="M41" i="54"/>
  <c r="P41" i="54" s="1"/>
  <c r="Q41" i="54" s="1"/>
  <c r="M61" i="54"/>
  <c r="P61" i="54" s="1"/>
  <c r="Q61" i="54" s="1"/>
  <c r="M12" i="54"/>
  <c r="P12" i="54" s="1"/>
  <c r="Q12" i="54" s="1"/>
  <c r="M31" i="54"/>
  <c r="P31" i="54" s="1"/>
  <c r="Q31" i="54" s="1"/>
  <c r="M14" i="54"/>
  <c r="P14" i="54" s="1"/>
  <c r="Q14" i="54" s="1"/>
  <c r="M26" i="54"/>
  <c r="P26" i="54" s="1"/>
  <c r="Q26" i="54" s="1"/>
  <c r="M58" i="54"/>
  <c r="P58" i="54" s="1"/>
  <c r="Q58" i="54" s="1"/>
  <c r="M59" i="54"/>
  <c r="P59" i="54" s="1"/>
  <c r="Q59" i="54" s="1"/>
  <c r="M20" i="54"/>
  <c r="P20" i="54" s="1"/>
  <c r="Q20" i="54" s="1"/>
  <c r="M23" i="54"/>
  <c r="P23" i="54" s="1"/>
  <c r="Q23" i="54" s="1"/>
  <c r="M48" i="54"/>
  <c r="P48" i="54" s="1"/>
  <c r="Q48" i="54" s="1"/>
  <c r="M39" i="54"/>
  <c r="P39" i="54" s="1"/>
  <c r="Q39" i="54" s="1"/>
  <c r="M44" i="54"/>
  <c r="P44" i="54" s="1"/>
  <c r="Q44" i="54" s="1"/>
  <c r="M8" i="54"/>
  <c r="P8" i="54" s="1"/>
  <c r="Q8" i="54" s="1"/>
  <c r="M29" i="54"/>
  <c r="P29" i="54" s="1"/>
  <c r="Q29" i="54" s="1"/>
  <c r="M37" i="54"/>
  <c r="P37" i="54" s="1"/>
  <c r="Q37" i="54" s="1"/>
  <c r="M27" i="54"/>
  <c r="P27" i="54" s="1"/>
  <c r="Q27" i="54" s="1"/>
  <c r="M40" i="54"/>
  <c r="P40" i="54" s="1"/>
  <c r="Q40" i="54" s="1"/>
  <c r="M56" i="54"/>
  <c r="P56" i="54" s="1"/>
  <c r="Q56" i="54" s="1"/>
  <c r="M60" i="54"/>
  <c r="P60" i="54" s="1"/>
  <c r="Q60" i="54" s="1"/>
  <c r="M62" i="54"/>
  <c r="P62" i="54" s="1"/>
  <c r="Q62" i="54" s="1"/>
</calcChain>
</file>

<file path=xl/comments1.xml><?xml version="1.0" encoding="utf-8"?>
<comments xmlns="http://schemas.openxmlformats.org/spreadsheetml/2006/main">
  <authors>
    <author>标准部</author>
  </authors>
  <commentList>
    <comment ref="F7" authorId="0" shapeId="0">
      <text>
        <r>
          <rPr>
            <sz val="9"/>
            <color indexed="81"/>
            <rFont val="宋体"/>
            <family val="3"/>
            <charset val="134"/>
          </rPr>
          <t>从利润表上自动过录。</t>
        </r>
      </text>
    </comment>
    <comment ref="F36" authorId="0" shapeId="0">
      <text>
        <r>
          <rPr>
            <sz val="9"/>
            <color indexed="81"/>
            <rFont val="宋体"/>
            <family val="3"/>
            <charset val="134"/>
          </rPr>
          <t>从资产负债表上自动过录。</t>
        </r>
      </text>
    </comment>
    <comment ref="F37" authorId="0" shapeId="0">
      <text>
        <r>
          <rPr>
            <sz val="9"/>
            <color indexed="81"/>
            <rFont val="宋体"/>
            <family val="3"/>
            <charset val="134"/>
          </rPr>
          <t>从资产负债表上自动过录。</t>
        </r>
      </text>
    </comment>
  </commentList>
</comments>
</file>

<file path=xl/sharedStrings.xml><?xml version="1.0" encoding="utf-8"?>
<sst xmlns="http://schemas.openxmlformats.org/spreadsheetml/2006/main" count="1604" uniqueCount="1032">
  <si>
    <t>资本公积</t>
    <phoneticPr fontId="3" type="noConversion"/>
  </si>
  <si>
    <t>盈余公积━法定或任意公积</t>
    <phoneticPr fontId="3" type="noConversion"/>
  </si>
  <si>
    <t>盈余公积━法定公益金</t>
    <phoneticPr fontId="3" type="noConversion"/>
  </si>
  <si>
    <t>附注</t>
    <phoneticPr fontId="3" type="noConversion"/>
  </si>
  <si>
    <t>固定资产</t>
    <phoneticPr fontId="3" type="noConversion"/>
  </si>
  <si>
    <t>累计折旧</t>
    <phoneticPr fontId="3" type="noConversion"/>
  </si>
  <si>
    <t>固定资产减值准备</t>
    <phoneticPr fontId="3" type="noConversion"/>
  </si>
  <si>
    <t>长期投资：</t>
  </si>
  <si>
    <t>长期投资合计</t>
  </si>
  <si>
    <t>固定资产：</t>
  </si>
  <si>
    <t>流动资产合计</t>
  </si>
  <si>
    <t>固定资产合计</t>
  </si>
  <si>
    <t>无形资产及其他资产：</t>
    <phoneticPr fontId="3" type="noConversion"/>
  </si>
  <si>
    <t>无形资产及其他资产合计</t>
  </si>
  <si>
    <t>递延税项：</t>
  </si>
  <si>
    <t>资 产 总 计</t>
  </si>
  <si>
    <t>资产负债表</t>
  </si>
  <si>
    <t>现  金  流  量  表</t>
  </si>
  <si>
    <t>长期债权投资</t>
  </si>
  <si>
    <t>行</t>
    <phoneticPr fontId="3" type="noConversion"/>
  </si>
  <si>
    <t>会计年度（上期）：</t>
    <phoneticPr fontId="3" type="noConversion"/>
  </si>
  <si>
    <t>少数股东权益</t>
    <phoneticPr fontId="3" type="noConversion"/>
  </si>
  <si>
    <t>少数股东收益</t>
    <phoneticPr fontId="3" type="noConversion"/>
  </si>
  <si>
    <t>补贴收入</t>
    <phoneticPr fontId="3" type="noConversion"/>
  </si>
  <si>
    <t>营业外收入</t>
    <phoneticPr fontId="3" type="noConversion"/>
  </si>
  <si>
    <t>五、现金及现金等价物净增加额</t>
  </si>
  <si>
    <t>预提费用</t>
  </si>
  <si>
    <t>应付票据</t>
    <phoneticPr fontId="3" type="noConversion"/>
  </si>
  <si>
    <t>期货保证金</t>
    <phoneticPr fontId="3" type="noConversion"/>
  </si>
  <si>
    <t>应收出口退税</t>
    <phoneticPr fontId="3" type="noConversion"/>
  </si>
  <si>
    <t>其中：原材料</t>
  </si>
  <si>
    <t>库存商品（产成品）</t>
  </si>
  <si>
    <t xml:space="preserve">  其中：原材料</t>
    <phoneticPr fontId="3" type="noConversion"/>
  </si>
  <si>
    <t>待处理流动资产净损失</t>
    <phoneticPr fontId="3" type="noConversion"/>
  </si>
  <si>
    <r>
      <t>*</t>
    </r>
    <r>
      <rPr>
        <sz val="10"/>
        <rFont val="宋体"/>
        <family val="3"/>
        <charset val="134"/>
      </rPr>
      <t>合并价差</t>
    </r>
    <phoneticPr fontId="3" type="noConversion"/>
  </si>
  <si>
    <t>合并价差</t>
    <phoneticPr fontId="3" type="noConversion"/>
  </si>
  <si>
    <t>待处理固定资产净损失</t>
  </si>
  <si>
    <t>待处理固定资产净损失</t>
    <phoneticPr fontId="3" type="noConversion"/>
  </si>
  <si>
    <t>其中：土地使用权</t>
  </si>
  <si>
    <t>其中：固定资产修理</t>
    <phoneticPr fontId="3" type="noConversion"/>
  </si>
  <si>
    <t xml:space="preserve">  其中：土地使用权</t>
    <phoneticPr fontId="3" type="noConversion"/>
  </si>
  <si>
    <t xml:space="preserve">  其中：固定资产修理</t>
    <phoneticPr fontId="3" type="noConversion"/>
  </si>
  <si>
    <t xml:space="preserve">  其中：特准储备物资</t>
    <phoneticPr fontId="3" type="noConversion"/>
  </si>
  <si>
    <t xml:space="preserve">  其中：特准储备资金</t>
    <phoneticPr fontId="3" type="noConversion"/>
  </si>
  <si>
    <t>其中：特准储备资金</t>
    <phoneticPr fontId="3" type="noConversion"/>
  </si>
  <si>
    <t>其中：特准储备物资</t>
    <phoneticPr fontId="3" type="noConversion"/>
  </si>
  <si>
    <t>固定资产改良支出</t>
    <phoneticPr fontId="3" type="noConversion"/>
  </si>
  <si>
    <t>*少数股东权益</t>
    <phoneticPr fontId="3" type="noConversion"/>
  </si>
  <si>
    <t>国家资本</t>
    <phoneticPr fontId="3" type="noConversion"/>
  </si>
  <si>
    <t>集体资本</t>
    <phoneticPr fontId="3" type="noConversion"/>
  </si>
  <si>
    <t>法人资本</t>
    <phoneticPr fontId="3" type="noConversion"/>
  </si>
  <si>
    <t>其中：国有法人资本</t>
    <phoneticPr fontId="3" type="noConversion"/>
  </si>
  <si>
    <t>集体法人资本</t>
    <phoneticPr fontId="3" type="noConversion"/>
  </si>
  <si>
    <t>个人资本</t>
    <phoneticPr fontId="3" type="noConversion"/>
  </si>
  <si>
    <t>外商资本</t>
    <phoneticPr fontId="3" type="noConversion"/>
  </si>
  <si>
    <t xml:space="preserve"> 个人资本</t>
    <phoneticPr fontId="3" type="noConversion"/>
  </si>
  <si>
    <t>未确认的投资损失</t>
    <phoneticPr fontId="3" type="noConversion"/>
  </si>
  <si>
    <t>其中：现金股利</t>
    <phoneticPr fontId="3" type="noConversion"/>
  </si>
  <si>
    <t xml:space="preserve">  其中：现金股利</t>
    <phoneticPr fontId="3" type="noConversion"/>
  </si>
  <si>
    <t>外币报表折算差额</t>
    <phoneticPr fontId="3" type="noConversion"/>
  </si>
  <si>
    <t>二、主营业务收入净额</t>
  </si>
  <si>
    <t>二、主营业务收入净额</t>
    <phoneticPr fontId="3" type="noConversion"/>
  </si>
  <si>
    <r>
      <t xml:space="preserve">    </t>
    </r>
    <r>
      <rPr>
        <sz val="10"/>
        <rFont val="宋体"/>
        <family val="3"/>
        <charset val="134"/>
      </rPr>
      <t>减：（一）主营业务成本</t>
    </r>
    <phoneticPr fontId="3" type="noConversion"/>
  </si>
  <si>
    <t>经营费用</t>
    <phoneticPr fontId="3" type="noConversion"/>
  </si>
  <si>
    <t>递延收益</t>
    <phoneticPr fontId="3" type="noConversion"/>
  </si>
  <si>
    <t>代购代销收入</t>
    <phoneticPr fontId="3" type="noConversion"/>
  </si>
  <si>
    <t xml:space="preserve">    减：（一）营业费用</t>
  </si>
  <si>
    <t>三、主营业务利润</t>
  </si>
  <si>
    <t>四、营业利润</t>
  </si>
  <si>
    <t xml:space="preserve">    加：（一）投资收益</t>
  </si>
  <si>
    <t xml:space="preserve">             其中：补贴前亏损的企业补贴收入</t>
  </si>
  <si>
    <t>期货收益</t>
    <phoneticPr fontId="3" type="noConversion"/>
  </si>
  <si>
    <t xml:space="preserve">             其中：处置固定资产净收益</t>
  </si>
  <si>
    <t xml:space="preserve">             其中：用以前年度含量工资结余弥补利润</t>
  </si>
  <si>
    <t xml:space="preserve">    减：（一）营业外支出</t>
  </si>
  <si>
    <t xml:space="preserve">             其中：处置固定资产净损失</t>
  </si>
  <si>
    <t xml:space="preserve">                   出售无形资产损失</t>
  </si>
  <si>
    <t xml:space="preserve">                   罚款支出</t>
  </si>
  <si>
    <t xml:space="preserve">                   捐赠支出</t>
  </si>
  <si>
    <t xml:space="preserve">             其中：结转的含量工资包干结余</t>
  </si>
  <si>
    <t>其他支出</t>
    <phoneticPr fontId="3" type="noConversion"/>
  </si>
  <si>
    <t>五、利润总额</t>
  </si>
  <si>
    <t xml:space="preserve">    减：所得税</t>
  </si>
  <si>
    <t xml:space="preserve">       *少数股东损益</t>
  </si>
  <si>
    <t>六、净利润</t>
  </si>
  <si>
    <t xml:space="preserve">    加：（一）年初未分配利润</t>
  </si>
  <si>
    <t>七、可供分配的利润</t>
  </si>
  <si>
    <t xml:space="preserve">    减：（一）提取法定盈余公积</t>
  </si>
  <si>
    <t xml:space="preserve">        （三）提取职工奖励及福利基金</t>
  </si>
  <si>
    <t>提取法定公积金</t>
  </si>
  <si>
    <t>提取职工福利及奖励金</t>
  </si>
  <si>
    <t>提取储备基金</t>
    <phoneticPr fontId="3" type="noConversion"/>
  </si>
  <si>
    <t xml:space="preserve">提取企业发展基金 </t>
    <phoneticPr fontId="3" type="noConversion"/>
  </si>
  <si>
    <t xml:space="preserve">利润归还投资 </t>
    <phoneticPr fontId="3" type="noConversion"/>
  </si>
  <si>
    <t>补充流动资本</t>
    <phoneticPr fontId="3" type="noConversion"/>
  </si>
  <si>
    <t>单项留用的利润</t>
    <phoneticPr fontId="3" type="noConversion"/>
  </si>
  <si>
    <t>八、可供投资者分配的利润</t>
  </si>
  <si>
    <t xml:space="preserve">    减：（一）应付优先股股利</t>
  </si>
  <si>
    <t>九、未分配利润</t>
  </si>
  <si>
    <t xml:space="preserve">    其中：应由以后年度税前利润弥补的亏损（以“+”号填列）</t>
  </si>
  <si>
    <r>
      <t>加：</t>
    </r>
    <r>
      <rPr>
        <sz val="10"/>
        <rFont val="Times New Roman"/>
        <family val="1"/>
      </rPr>
      <t>*</t>
    </r>
    <r>
      <rPr>
        <sz val="10"/>
        <rFont val="宋体"/>
        <family val="3"/>
        <charset val="134"/>
      </rPr>
      <t>少数股东损益</t>
    </r>
    <phoneticPr fontId="3" type="noConversion"/>
  </si>
  <si>
    <t>少数股东损益</t>
    <phoneticPr fontId="3" type="noConversion"/>
  </si>
  <si>
    <t>减：*未确认的投资损失</t>
    <phoneticPr fontId="3" type="noConversion"/>
  </si>
  <si>
    <t>长期股权投资</t>
  </si>
  <si>
    <t>固定资产原价</t>
  </si>
  <si>
    <t>固定资产原价</t>
    <phoneticPr fontId="3" type="noConversion"/>
  </si>
  <si>
    <t>固定资产净值</t>
    <phoneticPr fontId="3" type="noConversion"/>
  </si>
  <si>
    <t>工程物资</t>
  </si>
  <si>
    <t>在建工程</t>
    <phoneticPr fontId="3" type="noConversion"/>
  </si>
  <si>
    <t>无形资产</t>
    <phoneticPr fontId="3" type="noConversion"/>
  </si>
  <si>
    <t>货币资金</t>
    <phoneticPr fontId="3" type="noConversion"/>
  </si>
  <si>
    <t>短期投资</t>
    <phoneticPr fontId="3" type="noConversion"/>
  </si>
  <si>
    <t xml:space="preserve">  减：固定资产减值准备</t>
    <phoneticPr fontId="3" type="noConversion"/>
  </si>
  <si>
    <t xml:space="preserve">       固定资产改良支出</t>
    <phoneticPr fontId="3" type="noConversion"/>
  </si>
  <si>
    <t>递延税款借项</t>
    <phoneticPr fontId="3" type="noConversion"/>
  </si>
  <si>
    <t>短期借款</t>
    <phoneticPr fontId="3" type="noConversion"/>
  </si>
  <si>
    <t>预收账款</t>
  </si>
  <si>
    <t>应交税金</t>
  </si>
  <si>
    <t>其他应交款</t>
  </si>
  <si>
    <t>其他应付款</t>
  </si>
  <si>
    <t>预计负债</t>
  </si>
  <si>
    <t>其他流动负债</t>
  </si>
  <si>
    <t>应付工资</t>
  </si>
  <si>
    <t>专项应付款</t>
  </si>
  <si>
    <t>其他长期负债</t>
  </si>
  <si>
    <t>递延税款贷项</t>
    <phoneticPr fontId="3" type="noConversion"/>
  </si>
  <si>
    <t>盈余公积</t>
    <phoneticPr fontId="3" type="noConversion"/>
  </si>
  <si>
    <r>
      <t xml:space="preserve">  </t>
    </r>
    <r>
      <rPr>
        <sz val="10"/>
        <rFont val="宋体"/>
        <family val="3"/>
        <charset val="134"/>
      </rPr>
      <t>其中：法定公益金</t>
    </r>
    <phoneticPr fontId="3" type="noConversion"/>
  </si>
  <si>
    <t xml:space="preserve"> 国家资本</t>
    <phoneticPr fontId="3" type="noConversion"/>
  </si>
  <si>
    <t xml:space="preserve"> 集体资本</t>
    <phoneticPr fontId="3" type="noConversion"/>
  </si>
  <si>
    <t xml:space="preserve"> 法人资本</t>
    <phoneticPr fontId="3" type="noConversion"/>
  </si>
  <si>
    <t xml:space="preserve">   其中：国有法人资本</t>
    <phoneticPr fontId="3" type="noConversion"/>
  </si>
  <si>
    <t xml:space="preserve">         集体法人资本</t>
    <phoneticPr fontId="3" type="noConversion"/>
  </si>
  <si>
    <t xml:space="preserve"> 外商资本</t>
    <phoneticPr fontId="3" type="noConversion"/>
  </si>
  <si>
    <t>项          目</t>
  </si>
  <si>
    <t>附注</t>
    <phoneticPr fontId="9" type="noConversion"/>
  </si>
  <si>
    <r>
      <t xml:space="preserve">              </t>
    </r>
    <r>
      <rPr>
        <sz val="10"/>
        <rFont val="宋体"/>
        <family val="3"/>
        <charset val="134"/>
      </rPr>
      <t>其中：出口产品（商品）销售成本</t>
    </r>
    <phoneticPr fontId="3" type="noConversion"/>
  </si>
  <si>
    <r>
      <t xml:space="preserve">        </t>
    </r>
    <r>
      <rPr>
        <sz val="10"/>
        <rFont val="宋体"/>
        <family val="3"/>
        <charset val="134"/>
      </rPr>
      <t>（二）管理费用</t>
    </r>
    <phoneticPr fontId="3" type="noConversion"/>
  </si>
  <si>
    <r>
      <t xml:space="preserve">        </t>
    </r>
    <r>
      <rPr>
        <sz val="10"/>
        <rFont val="宋体"/>
        <family val="3"/>
        <charset val="134"/>
      </rPr>
      <t>（三）财务费用</t>
    </r>
    <phoneticPr fontId="3" type="noConversion"/>
  </si>
  <si>
    <t xml:space="preserve">         其中：利息支出</t>
    <phoneticPr fontId="3" type="noConversion"/>
  </si>
  <si>
    <r>
      <t xml:space="preserve">               </t>
    </r>
    <r>
      <rPr>
        <sz val="10"/>
        <rFont val="宋体"/>
        <family val="3"/>
        <charset val="134"/>
      </rPr>
      <t>汇兑净损失</t>
    </r>
    <phoneticPr fontId="3" type="noConversion"/>
  </si>
  <si>
    <r>
      <t xml:space="preserve">               </t>
    </r>
    <r>
      <rPr>
        <sz val="10"/>
        <rFont val="宋体"/>
        <family val="3"/>
        <charset val="134"/>
      </rPr>
      <t>利息收入</t>
    </r>
    <phoneticPr fontId="3" type="noConversion"/>
  </si>
  <si>
    <r>
      <t xml:space="preserve">        </t>
    </r>
    <r>
      <rPr>
        <sz val="10"/>
        <rFont val="宋体"/>
        <family val="3"/>
        <charset val="134"/>
      </rPr>
      <t>（四）其他</t>
    </r>
    <phoneticPr fontId="3" type="noConversion"/>
  </si>
  <si>
    <r>
      <t xml:space="preserve">        </t>
    </r>
    <r>
      <rPr>
        <sz val="10"/>
        <rFont val="宋体"/>
        <family val="3"/>
        <charset val="134"/>
      </rPr>
      <t>（二）期货收益</t>
    </r>
    <phoneticPr fontId="3" type="noConversion"/>
  </si>
  <si>
    <r>
      <t xml:space="preserve">        </t>
    </r>
    <r>
      <rPr>
        <sz val="10"/>
        <rFont val="宋体"/>
        <family val="3"/>
        <charset val="134"/>
      </rPr>
      <t>（三）补贴收入</t>
    </r>
    <phoneticPr fontId="3" type="noConversion"/>
  </si>
  <si>
    <r>
      <t xml:space="preserve">        </t>
    </r>
    <r>
      <rPr>
        <sz val="10"/>
        <rFont val="宋体"/>
        <family val="3"/>
        <charset val="134"/>
      </rPr>
      <t>（四）营业外收入</t>
    </r>
    <phoneticPr fontId="3" type="noConversion"/>
  </si>
  <si>
    <r>
      <t xml:space="preserve">                   </t>
    </r>
    <r>
      <rPr>
        <sz val="10"/>
        <rFont val="宋体"/>
        <family val="3"/>
        <charset val="134"/>
      </rPr>
      <t>非货币性交易收益</t>
    </r>
    <phoneticPr fontId="3" type="noConversion"/>
  </si>
  <si>
    <r>
      <t xml:space="preserve">                   </t>
    </r>
    <r>
      <rPr>
        <sz val="10"/>
        <rFont val="宋体"/>
        <family val="3"/>
        <charset val="134"/>
      </rPr>
      <t>出售无形资产收益</t>
    </r>
    <phoneticPr fontId="3" type="noConversion"/>
  </si>
  <si>
    <r>
      <t xml:space="preserve">                   </t>
    </r>
    <r>
      <rPr>
        <sz val="10"/>
        <rFont val="宋体"/>
        <family val="3"/>
        <charset val="134"/>
      </rPr>
      <t>罚款净收入</t>
    </r>
    <phoneticPr fontId="3" type="noConversion"/>
  </si>
  <si>
    <r>
      <t xml:space="preserve">        </t>
    </r>
    <r>
      <rPr>
        <sz val="10"/>
        <rFont val="宋体"/>
        <family val="3"/>
        <charset val="134"/>
      </rPr>
      <t>（五）其他</t>
    </r>
    <phoneticPr fontId="3" type="noConversion"/>
  </si>
  <si>
    <r>
      <t xml:space="preserve">        </t>
    </r>
    <r>
      <rPr>
        <sz val="10"/>
        <rFont val="宋体"/>
        <family val="3"/>
        <charset val="134"/>
      </rPr>
      <t>（二）其他支出</t>
    </r>
    <phoneticPr fontId="3" type="noConversion"/>
  </si>
  <si>
    <r>
      <t xml:space="preserve">        </t>
    </r>
    <r>
      <rPr>
        <sz val="10"/>
        <rFont val="宋体"/>
        <family val="3"/>
        <charset val="134"/>
      </rPr>
      <t>（二）盈余公积补亏</t>
    </r>
    <phoneticPr fontId="3" type="noConversion"/>
  </si>
  <si>
    <r>
      <t xml:space="preserve">        </t>
    </r>
    <r>
      <rPr>
        <sz val="10"/>
        <rFont val="宋体"/>
        <family val="3"/>
        <charset val="134"/>
      </rPr>
      <t>（三）其他调整因素</t>
    </r>
    <phoneticPr fontId="3" type="noConversion"/>
  </si>
  <si>
    <t xml:space="preserve">        （二）提取法定公益金</t>
    <phoneticPr fontId="3" type="noConversion"/>
  </si>
  <si>
    <t xml:space="preserve">        （四）提取储备基金</t>
    <phoneticPr fontId="3" type="noConversion"/>
  </si>
  <si>
    <t xml:space="preserve">        （五）提取企业发展基金 </t>
    <phoneticPr fontId="3" type="noConversion"/>
  </si>
  <si>
    <r>
      <t xml:space="preserve">        </t>
    </r>
    <r>
      <rPr>
        <sz val="10"/>
        <rFont val="宋体"/>
        <family val="3"/>
        <charset val="134"/>
      </rPr>
      <t>（六）利润归还投资</t>
    </r>
    <r>
      <rPr>
        <sz val="10"/>
        <rFont val="Times New Roman"/>
        <family val="1"/>
      </rPr>
      <t xml:space="preserve"> </t>
    </r>
    <phoneticPr fontId="3" type="noConversion"/>
  </si>
  <si>
    <r>
      <t xml:space="preserve">        </t>
    </r>
    <r>
      <rPr>
        <sz val="10"/>
        <rFont val="宋体"/>
        <family val="3"/>
        <charset val="134"/>
      </rPr>
      <t>（七）补充流动资本</t>
    </r>
    <phoneticPr fontId="3" type="noConversion"/>
  </si>
  <si>
    <r>
      <t xml:space="preserve">        </t>
    </r>
    <r>
      <rPr>
        <sz val="10"/>
        <rFont val="宋体"/>
        <family val="3"/>
        <charset val="134"/>
      </rPr>
      <t>（八）单项留用的利润</t>
    </r>
    <phoneticPr fontId="3" type="noConversion"/>
  </si>
  <si>
    <r>
      <t xml:space="preserve">        </t>
    </r>
    <r>
      <rPr>
        <sz val="10"/>
        <rFont val="宋体"/>
        <family val="3"/>
        <charset val="134"/>
      </rPr>
      <t>（九）其他</t>
    </r>
    <phoneticPr fontId="3" type="noConversion"/>
  </si>
  <si>
    <r>
      <t xml:space="preserve">        </t>
    </r>
    <r>
      <rPr>
        <sz val="10"/>
        <rFont val="宋体"/>
        <family val="3"/>
        <charset val="134"/>
      </rPr>
      <t>（二）提取任意盈余公积</t>
    </r>
    <phoneticPr fontId="3" type="noConversion"/>
  </si>
  <si>
    <r>
      <t xml:space="preserve">        </t>
    </r>
    <r>
      <rPr>
        <sz val="10"/>
        <rFont val="宋体"/>
        <family val="3"/>
        <charset val="134"/>
      </rPr>
      <t>（三）应付普通股股利（应付利润）</t>
    </r>
    <phoneticPr fontId="3" type="noConversion"/>
  </si>
  <si>
    <r>
      <t xml:space="preserve">        </t>
    </r>
    <r>
      <rPr>
        <sz val="10"/>
        <rFont val="宋体"/>
        <family val="3"/>
        <charset val="134"/>
      </rPr>
      <t>（四）转作资本（股本）的普通股股利</t>
    </r>
    <phoneticPr fontId="3" type="noConversion"/>
  </si>
  <si>
    <t>补充资料：</t>
  </si>
  <si>
    <t>利润及利润分配表</t>
    <phoneticPr fontId="3" type="noConversion"/>
  </si>
  <si>
    <t>行次</t>
    <phoneticPr fontId="9" type="noConversion"/>
  </si>
  <si>
    <t xml:space="preserve">    减：折扣与折让</t>
    <phoneticPr fontId="3" type="noConversion"/>
  </si>
  <si>
    <t>折扣与折让</t>
    <phoneticPr fontId="3" type="noConversion"/>
  </si>
  <si>
    <t>无形资产及其他资产：</t>
  </si>
  <si>
    <t>流动负债合计</t>
  </si>
  <si>
    <t>长期负债合计</t>
  </si>
  <si>
    <t>所有者权益：</t>
  </si>
  <si>
    <t>所有者权益小计</t>
  </si>
  <si>
    <t>负债及所有者权益合计</t>
  </si>
  <si>
    <t>主营业务收入</t>
    <phoneticPr fontId="59" type="noConversion"/>
  </si>
  <si>
    <t>主营业务税金及附加</t>
    <phoneticPr fontId="59" type="noConversion"/>
  </si>
  <si>
    <t>经营费用</t>
    <phoneticPr fontId="59" type="noConversion"/>
  </si>
  <si>
    <t>代购代销收入</t>
    <phoneticPr fontId="59" type="noConversion"/>
  </si>
  <si>
    <t>其他业务利润</t>
    <phoneticPr fontId="59" type="noConversion"/>
  </si>
  <si>
    <t>营业费用</t>
    <phoneticPr fontId="59" type="noConversion"/>
  </si>
  <si>
    <t>管理费用</t>
    <phoneticPr fontId="59" type="noConversion"/>
  </si>
  <si>
    <t>财务费用</t>
    <phoneticPr fontId="59" type="noConversion"/>
  </si>
  <si>
    <t>投资收益</t>
    <phoneticPr fontId="59" type="noConversion"/>
  </si>
  <si>
    <t>期货收益</t>
    <phoneticPr fontId="59" type="noConversion"/>
  </si>
  <si>
    <t>补贴收入</t>
    <phoneticPr fontId="59" type="noConversion"/>
  </si>
  <si>
    <t>营业外支出</t>
    <phoneticPr fontId="59" type="noConversion"/>
  </si>
  <si>
    <t>所得税</t>
    <phoneticPr fontId="59" type="noConversion"/>
  </si>
  <si>
    <t>年初未分配利润</t>
    <phoneticPr fontId="59" type="noConversion"/>
  </si>
  <si>
    <t>盈余公积补亏</t>
    <phoneticPr fontId="59" type="noConversion"/>
  </si>
  <si>
    <t>其他调整因素</t>
    <phoneticPr fontId="59" type="noConversion"/>
  </si>
  <si>
    <t>提取法定盈余公积</t>
    <phoneticPr fontId="59" type="noConversion"/>
  </si>
  <si>
    <t>提取法定公益金</t>
    <phoneticPr fontId="59" type="noConversion"/>
  </si>
  <si>
    <t>提取职工奖励及福利基金</t>
    <phoneticPr fontId="59" type="noConversion"/>
  </si>
  <si>
    <t>提取储备基金</t>
    <phoneticPr fontId="59" type="noConversion"/>
  </si>
  <si>
    <t>补充流动资本</t>
    <phoneticPr fontId="59" type="noConversion"/>
  </si>
  <si>
    <t>单项留用的利润</t>
    <phoneticPr fontId="59" type="noConversion"/>
  </si>
  <si>
    <t>应付优先股股利</t>
    <phoneticPr fontId="59" type="noConversion"/>
  </si>
  <si>
    <t>提取任意盈余公积</t>
    <phoneticPr fontId="59" type="noConversion"/>
  </si>
  <si>
    <t>应付普通股股利（应付利润）</t>
    <phoneticPr fontId="59" type="noConversion"/>
  </si>
  <si>
    <t>转作资本（股本）的普通股股利</t>
    <phoneticPr fontId="59" type="noConversion"/>
  </si>
  <si>
    <t>九、未分配利润</t>
    <phoneticPr fontId="59" type="noConversion"/>
  </si>
  <si>
    <t>未处理资产损失</t>
    <phoneticPr fontId="59" type="noConversion"/>
  </si>
  <si>
    <t>资产总计</t>
  </si>
  <si>
    <t>固定资产减值准备</t>
    <phoneticPr fontId="59" type="noConversion"/>
  </si>
  <si>
    <t>递延税款借项</t>
    <phoneticPr fontId="59" type="noConversion"/>
  </si>
  <si>
    <t>流动负债：</t>
    <phoneticPr fontId="59" type="noConversion"/>
  </si>
  <si>
    <t>code</t>
    <phoneticPr fontId="59" type="noConversion"/>
  </si>
  <si>
    <t>主营业务成本</t>
    <phoneticPr fontId="59" type="noConversion"/>
  </si>
  <si>
    <t xml:space="preserve">    加：*未确认的投资损失</t>
    <phoneticPr fontId="3" type="noConversion"/>
  </si>
  <si>
    <t>报表勾稽关系审核表</t>
    <phoneticPr fontId="3" type="noConversion"/>
  </si>
  <si>
    <t>No.</t>
    <phoneticPr fontId="3" type="noConversion"/>
  </si>
  <si>
    <t>勾稽审核内容</t>
    <phoneticPr fontId="15" type="noConversion"/>
  </si>
  <si>
    <t>审核结果</t>
    <phoneticPr fontId="3" type="noConversion"/>
  </si>
  <si>
    <t>不符原因</t>
    <phoneticPr fontId="3" type="noConversion"/>
  </si>
  <si>
    <t>金额</t>
    <phoneticPr fontId="3" type="noConversion"/>
  </si>
  <si>
    <t>北京京都会计师事务所</t>
    <phoneticPr fontId="3" type="noConversion"/>
  </si>
  <si>
    <t>北京二锅头有限责任公司</t>
    <phoneticPr fontId="3" type="noConversion"/>
  </si>
  <si>
    <r>
      <t>本表没有颜色的单元格可以根据需要进行修改，本系统的其它表格将随之改变。比如，可将“存货”改为“存货</t>
    </r>
    <r>
      <rPr>
        <b/>
        <sz val="10"/>
        <color indexed="12"/>
        <rFont val="Times New Roman"/>
        <family val="1"/>
      </rPr>
      <t>1</t>
    </r>
    <r>
      <rPr>
        <b/>
        <sz val="10"/>
        <color indexed="12"/>
        <rFont val="宋体"/>
        <family val="3"/>
        <charset val="134"/>
      </rPr>
      <t>”。正确的修改方法，是在拟修改的单元格直接输入</t>
    </r>
    <r>
      <rPr>
        <b/>
        <sz val="10"/>
        <color indexed="12"/>
        <rFont val="宋体"/>
        <family val="3"/>
        <charset val="134"/>
      </rPr>
      <t>新的内容，请不要使用剪切或拖拽功能</t>
    </r>
    <r>
      <rPr>
        <b/>
        <sz val="10"/>
        <color indexed="12"/>
        <rFont val="宋体"/>
        <family val="3"/>
        <charset val="134"/>
      </rPr>
      <t>。</t>
    </r>
    <phoneticPr fontId="3" type="noConversion"/>
  </si>
  <si>
    <t>索引号：</t>
    <phoneticPr fontId="3" type="noConversion"/>
  </si>
  <si>
    <t>日期：</t>
  </si>
  <si>
    <t>流动资产：</t>
  </si>
  <si>
    <t>在建工程</t>
  </si>
  <si>
    <t>固定资产清理</t>
  </si>
  <si>
    <t>应付福利费</t>
  </si>
  <si>
    <t>一年内到期的长期负债</t>
  </si>
  <si>
    <t>长期负债：</t>
  </si>
  <si>
    <t>长期借款</t>
  </si>
  <si>
    <t>应付债券</t>
  </si>
  <si>
    <t>长期应付款</t>
  </si>
  <si>
    <t>递延税款贷项</t>
  </si>
  <si>
    <t>负债合计</t>
  </si>
  <si>
    <t>资本公积</t>
  </si>
  <si>
    <t>盈余公积</t>
  </si>
  <si>
    <t>未分配利润</t>
  </si>
  <si>
    <t>外币报表折算差额</t>
  </si>
  <si>
    <t>提取法定公益金</t>
  </si>
  <si>
    <t>提取企业发展基金</t>
  </si>
  <si>
    <t>利润归还投资</t>
  </si>
  <si>
    <t>索引：</t>
    <phoneticPr fontId="59" type="noConversion"/>
  </si>
  <si>
    <t>借方调整累计</t>
    <phoneticPr fontId="59" type="noConversion"/>
  </si>
  <si>
    <t>页码：</t>
    <phoneticPr fontId="59" type="noConversion"/>
  </si>
  <si>
    <t>贷方调整累计</t>
    <phoneticPr fontId="59" type="noConversion"/>
  </si>
  <si>
    <t>序号</t>
    <phoneticPr fontId="3" type="noConversion"/>
  </si>
  <si>
    <t>索引号</t>
    <phoneticPr fontId="59" type="noConversion"/>
  </si>
  <si>
    <t>调整说明</t>
    <phoneticPr fontId="3" type="noConversion"/>
  </si>
  <si>
    <t>借方科目</t>
    <phoneticPr fontId="3" type="noConversion"/>
  </si>
  <si>
    <t>二级科目</t>
    <phoneticPr fontId="3" type="noConversion"/>
  </si>
  <si>
    <t>贷方科目</t>
    <phoneticPr fontId="3" type="noConversion"/>
  </si>
  <si>
    <t>金额</t>
    <phoneticPr fontId="3" type="noConversion"/>
  </si>
  <si>
    <t>索引：</t>
    <phoneticPr fontId="59" type="noConversion"/>
  </si>
  <si>
    <t>借方调整累计</t>
    <phoneticPr fontId="59" type="noConversion"/>
  </si>
  <si>
    <t>页码：</t>
    <phoneticPr fontId="59" type="noConversion"/>
  </si>
  <si>
    <t>贷方调整累计</t>
    <phoneticPr fontId="59" type="noConversion"/>
  </si>
  <si>
    <t>索引号</t>
    <phoneticPr fontId="59" type="noConversion"/>
  </si>
  <si>
    <t>调整说明</t>
    <phoneticPr fontId="3" type="noConversion"/>
  </si>
  <si>
    <t>借方科目</t>
    <phoneticPr fontId="3" type="noConversion"/>
  </si>
  <si>
    <t>二级科目</t>
    <phoneticPr fontId="3" type="noConversion"/>
  </si>
  <si>
    <t>贷方科目</t>
    <phoneticPr fontId="3" type="noConversion"/>
  </si>
  <si>
    <t>一年内到期的长期债权投资</t>
    <phoneticPr fontId="3" type="noConversion"/>
  </si>
  <si>
    <t>累计折旧</t>
    <phoneticPr fontId="59" type="noConversion"/>
  </si>
  <si>
    <t>固定资产净额</t>
    <phoneticPr fontId="3" type="noConversion"/>
  </si>
  <si>
    <t>工程物资</t>
    <phoneticPr fontId="3" type="noConversion"/>
  </si>
  <si>
    <t>少数股东损益</t>
    <phoneticPr fontId="59" type="noConversion"/>
  </si>
  <si>
    <t>未确认的投资损失</t>
    <phoneticPr fontId="59" type="noConversion"/>
  </si>
  <si>
    <t>未分配利润</t>
    <phoneticPr fontId="3" type="noConversion"/>
  </si>
  <si>
    <t>code</t>
    <phoneticPr fontId="59" type="noConversion"/>
  </si>
  <si>
    <t>资产负债表试算平衡</t>
    <phoneticPr fontId="3" type="noConversion"/>
  </si>
  <si>
    <r>
      <t>索引：</t>
    </r>
    <r>
      <rPr>
        <sz val="10"/>
        <rFont val="Arial Narrow"/>
        <family val="2"/>
      </rPr>
      <t xml:space="preserve"> </t>
    </r>
    <r>
      <rPr>
        <u/>
        <sz val="10"/>
        <rFont val="Arial Narrow"/>
        <family val="2"/>
      </rPr>
      <t xml:space="preserve">           </t>
    </r>
    <phoneticPr fontId="3" type="noConversion"/>
  </si>
  <si>
    <t>日期：</t>
    <phoneticPr fontId="3" type="noConversion"/>
  </si>
  <si>
    <r>
      <t>分页：</t>
    </r>
    <r>
      <rPr>
        <u/>
        <sz val="10"/>
        <rFont val="Arial Narrow"/>
        <family val="2"/>
      </rPr>
      <t xml:space="preserve">       </t>
    </r>
    <r>
      <rPr>
        <sz val="10"/>
        <rFont val="Arial Narrow"/>
        <family val="2"/>
      </rPr>
      <t xml:space="preserve">    </t>
    </r>
    <phoneticPr fontId="3" type="noConversion"/>
  </si>
  <si>
    <t>企业原报数</t>
    <phoneticPr fontId="3" type="noConversion"/>
  </si>
  <si>
    <t>账项调整</t>
    <phoneticPr fontId="3" type="noConversion"/>
  </si>
  <si>
    <t>报表调整</t>
    <phoneticPr fontId="3" type="noConversion"/>
  </si>
  <si>
    <t>调后数</t>
    <phoneticPr fontId="3" type="noConversion"/>
  </si>
  <si>
    <t>剥离调整</t>
    <phoneticPr fontId="3" type="noConversion"/>
  </si>
  <si>
    <t>审定数</t>
    <phoneticPr fontId="3" type="noConversion"/>
  </si>
  <si>
    <t>资产负债表试算平衡（续）</t>
    <phoneticPr fontId="3" type="noConversion"/>
  </si>
  <si>
    <t>利润表及利润分配表试算平衡</t>
    <phoneticPr fontId="3" type="noConversion"/>
  </si>
  <si>
    <t>项      目</t>
  </si>
  <si>
    <t xml:space="preserve">      收到的其他与经营活动有关的现金</t>
  </si>
  <si>
    <t xml:space="preserve">            现金流入小计</t>
  </si>
  <si>
    <t xml:space="preserve">      购买商品、接受劳务支付的现金</t>
  </si>
  <si>
    <t xml:space="preserve">      支付给职工以及为职工支付的现金</t>
  </si>
  <si>
    <t xml:space="preserve">      支付的其他与经营活动有关的现金</t>
  </si>
  <si>
    <t xml:space="preserve">            现金流出小计</t>
  </si>
  <si>
    <t xml:space="preserve">      收到的其他与投资活动有关的现金</t>
  </si>
  <si>
    <t xml:space="preserve">      支付的其他与投资活动有关的现金</t>
  </si>
  <si>
    <t xml:space="preserve">    投资活动产生的现金流量净额</t>
  </si>
  <si>
    <t xml:space="preserve">      借款所收到的现金</t>
  </si>
  <si>
    <t xml:space="preserve">      收到的其他与筹资活动有关的现金</t>
  </si>
  <si>
    <t xml:space="preserve">      偿还债务所支付的现金</t>
  </si>
  <si>
    <t xml:space="preserve">      支付的其他与筹资活动有关的现金</t>
  </si>
  <si>
    <t xml:space="preserve">    筹资活动产生的现金流量净额</t>
  </si>
  <si>
    <t>四、汇率变动对现金的影响</t>
  </si>
  <si>
    <t>资产负债表</t>
    <phoneticPr fontId="3" type="noConversion"/>
  </si>
  <si>
    <t xml:space="preserve">  项   目</t>
    <phoneticPr fontId="3" type="noConversion"/>
  </si>
  <si>
    <t>资产负债表（续）</t>
    <phoneticPr fontId="3" type="noConversion"/>
  </si>
  <si>
    <t>金额</t>
    <phoneticPr fontId="77" type="noConversion"/>
  </si>
  <si>
    <t xml:space="preserve">      销售商品、提供劳务收到的现金</t>
    <phoneticPr fontId="3" type="noConversion"/>
  </si>
  <si>
    <t xml:space="preserve">      收到的税费返还</t>
    <phoneticPr fontId="3" type="noConversion"/>
  </si>
  <si>
    <t xml:space="preserve">      支付的各项税费 </t>
    <phoneticPr fontId="3" type="noConversion"/>
  </si>
  <si>
    <t xml:space="preserve">     经营活动产生的现金流量净额</t>
    <phoneticPr fontId="77" type="noConversion"/>
  </si>
  <si>
    <t>二、投资活动产生的现金流量：</t>
    <phoneticPr fontId="3" type="noConversion"/>
  </si>
  <si>
    <t xml:space="preserve">      收回投资所收到的现金</t>
    <phoneticPr fontId="3" type="noConversion"/>
  </si>
  <si>
    <t xml:space="preserve">      取得投资收益所收到的现金</t>
    <phoneticPr fontId="3" type="noConversion"/>
  </si>
  <si>
    <t xml:space="preserve">      处置固定资产、无形资产和其他长期资产所收回的现金净额</t>
    <phoneticPr fontId="3" type="noConversion"/>
  </si>
  <si>
    <t xml:space="preserve">      购建固定资产、无形资产和其他长期资产所支付的现金</t>
    <phoneticPr fontId="3" type="noConversion"/>
  </si>
  <si>
    <t xml:space="preserve">      投资所支付的现金</t>
    <phoneticPr fontId="3" type="noConversion"/>
  </si>
  <si>
    <t>三、筹资活动产生的现金流量：</t>
    <phoneticPr fontId="3" type="noConversion"/>
  </si>
  <si>
    <t xml:space="preserve">      吸收投资所收到的现金</t>
    <phoneticPr fontId="3" type="noConversion"/>
  </si>
  <si>
    <t xml:space="preserve">      分配股利、利润或偿付利息所支付的现金</t>
    <phoneticPr fontId="3" type="noConversion"/>
  </si>
  <si>
    <t>现金流量表--补充资料</t>
    <phoneticPr fontId="3" type="noConversion"/>
  </si>
  <si>
    <r>
      <t>项</t>
    </r>
    <r>
      <rPr>
        <b/>
        <sz val="10"/>
        <rFont val="Times New Roman"/>
        <family val="1"/>
      </rPr>
      <t xml:space="preserve">            </t>
    </r>
    <r>
      <rPr>
        <b/>
        <sz val="10"/>
        <rFont val="宋体"/>
        <family val="3"/>
        <charset val="134"/>
      </rPr>
      <t>目</t>
    </r>
    <phoneticPr fontId="77" type="noConversion"/>
  </si>
  <si>
    <t>1、将净利润调节为经营活动现金流量：</t>
    <phoneticPr fontId="3" type="noConversion"/>
  </si>
  <si>
    <t xml:space="preserve">   净利润</t>
    <phoneticPr fontId="3" type="noConversion"/>
  </si>
  <si>
    <t xml:space="preserve">   加：少数股东损益</t>
    <phoneticPr fontId="77" type="noConversion"/>
  </si>
  <si>
    <t xml:space="preserve">       固定资产折旧</t>
    <phoneticPr fontId="3" type="noConversion"/>
  </si>
  <si>
    <t xml:space="preserve">       无形资产摊销</t>
    <phoneticPr fontId="3" type="noConversion"/>
  </si>
  <si>
    <t xml:space="preserve">       长期待摊费用摊销</t>
    <phoneticPr fontId="3" type="noConversion"/>
  </si>
  <si>
    <t xml:space="preserve">       待摊费用减少（减：增加）</t>
    <phoneticPr fontId="3" type="noConversion"/>
  </si>
  <si>
    <t xml:space="preserve">       预提费用增加（减：减少）</t>
    <phoneticPr fontId="3" type="noConversion"/>
  </si>
  <si>
    <t xml:space="preserve">       处置固定资产、无形资产和其他长期资产的损失（减：收益）</t>
    <phoneticPr fontId="3" type="noConversion"/>
  </si>
  <si>
    <t xml:space="preserve">       固定资产报废损失</t>
    <phoneticPr fontId="3" type="noConversion"/>
  </si>
  <si>
    <t xml:space="preserve">       财务费用</t>
    <phoneticPr fontId="3" type="noConversion"/>
  </si>
  <si>
    <t xml:space="preserve">       投资损失（减：收益）</t>
    <phoneticPr fontId="3" type="noConversion"/>
  </si>
  <si>
    <t xml:space="preserve">       递延税款贷项（减：借项）</t>
    <phoneticPr fontId="3" type="noConversion"/>
  </si>
  <si>
    <t xml:space="preserve">       存货的减少（减：增加）</t>
    <phoneticPr fontId="3" type="noConversion"/>
  </si>
  <si>
    <t xml:space="preserve">       经营性应收项目的减少（减：增加）</t>
    <phoneticPr fontId="3" type="noConversion"/>
  </si>
  <si>
    <t xml:space="preserve">       经营性应付项目的增加（减：减少）</t>
    <phoneticPr fontId="3" type="noConversion"/>
  </si>
  <si>
    <t xml:space="preserve">       其他</t>
    <phoneticPr fontId="3" type="noConversion"/>
  </si>
  <si>
    <t xml:space="preserve">    经营活动产生的现金流量净额</t>
    <phoneticPr fontId="3" type="noConversion"/>
  </si>
  <si>
    <t>2、不涉及现金收支的投资和筹资活动：</t>
    <phoneticPr fontId="3" type="noConversion"/>
  </si>
  <si>
    <t xml:space="preserve">    债务转为资本</t>
    <phoneticPr fontId="3" type="noConversion"/>
  </si>
  <si>
    <t xml:space="preserve">    一年内到期的可转换公司债券</t>
    <phoneticPr fontId="3" type="noConversion"/>
  </si>
  <si>
    <t xml:space="preserve">    融资租入固定资产</t>
    <phoneticPr fontId="3" type="noConversion"/>
  </si>
  <si>
    <t>3、现金及现金等价物净增加情况：</t>
    <phoneticPr fontId="3" type="noConversion"/>
  </si>
  <si>
    <t xml:space="preserve">   现金的期末余额</t>
    <phoneticPr fontId="3" type="noConversion"/>
  </si>
  <si>
    <t xml:space="preserve">   减：现金的期初余额</t>
    <phoneticPr fontId="3" type="noConversion"/>
  </si>
  <si>
    <t xml:space="preserve">   加：现金等价物的期末余额</t>
    <phoneticPr fontId="3" type="noConversion"/>
  </si>
  <si>
    <t xml:space="preserve">   减：现金等价物的期初余额</t>
    <phoneticPr fontId="3" type="noConversion"/>
  </si>
  <si>
    <t xml:space="preserve">   现金及现金等价物净增加额</t>
    <phoneticPr fontId="3" type="noConversion"/>
  </si>
  <si>
    <r>
      <t>1999</t>
    </r>
    <r>
      <rPr>
        <sz val="11"/>
        <rFont val="宋体"/>
        <family val="3"/>
        <charset val="134"/>
      </rPr>
      <t>年度</t>
    </r>
    <r>
      <rPr>
        <sz val="11"/>
        <rFont val="Times New Roman"/>
        <family val="1"/>
      </rPr>
      <t xml:space="preserve"> </t>
    </r>
    <r>
      <rPr>
        <sz val="11"/>
        <color indexed="14"/>
        <rFont val="宋体"/>
        <family val="3"/>
        <charset val="134"/>
      </rPr>
      <t>或</t>
    </r>
    <r>
      <rPr>
        <sz val="11"/>
        <rFont val="Times New Roman"/>
        <family val="1"/>
      </rPr>
      <t xml:space="preserve"> 1997</t>
    </r>
    <r>
      <rPr>
        <sz val="11"/>
        <rFont val="宋体"/>
        <family val="3"/>
        <charset val="134"/>
      </rPr>
      <t>年</t>
    </r>
    <r>
      <rPr>
        <sz val="11"/>
        <rFont val="Times New Roman"/>
        <family val="1"/>
      </rPr>
      <t>10</t>
    </r>
    <r>
      <rPr>
        <sz val="11"/>
        <rFont val="宋体"/>
        <family val="3"/>
        <charset val="134"/>
      </rPr>
      <t>月</t>
    </r>
    <r>
      <rPr>
        <sz val="11"/>
        <rFont val="Times New Roman"/>
        <family val="1"/>
      </rPr>
      <t>20</t>
    </r>
    <r>
      <rPr>
        <sz val="11"/>
        <rFont val="宋体"/>
        <family val="3"/>
        <charset val="134"/>
      </rPr>
      <t>日～</t>
    </r>
    <r>
      <rPr>
        <sz val="11"/>
        <rFont val="Times New Roman"/>
        <family val="1"/>
      </rPr>
      <t>1998</t>
    </r>
    <r>
      <rPr>
        <sz val="11"/>
        <rFont val="宋体"/>
        <family val="3"/>
        <charset val="134"/>
      </rPr>
      <t>年</t>
    </r>
    <r>
      <rPr>
        <sz val="11"/>
        <rFont val="Times New Roman"/>
        <family val="1"/>
      </rPr>
      <t>8</t>
    </r>
    <r>
      <rPr>
        <sz val="11"/>
        <rFont val="宋体"/>
        <family val="3"/>
        <charset val="134"/>
      </rPr>
      <t>月</t>
    </r>
    <r>
      <rPr>
        <sz val="11"/>
        <rFont val="Times New Roman"/>
        <family val="1"/>
      </rPr>
      <t>10</t>
    </r>
    <r>
      <rPr>
        <sz val="11"/>
        <rFont val="宋体"/>
        <family val="3"/>
        <charset val="134"/>
      </rPr>
      <t>日</t>
    </r>
    <phoneticPr fontId="3" type="noConversion"/>
  </si>
  <si>
    <t>会计年度（本期）：</t>
    <phoneticPr fontId="3" type="noConversion"/>
  </si>
  <si>
    <r>
      <t>2000</t>
    </r>
    <r>
      <rPr>
        <sz val="11"/>
        <rFont val="宋体"/>
        <family val="3"/>
        <charset val="134"/>
      </rPr>
      <t>年度</t>
    </r>
    <r>
      <rPr>
        <sz val="11"/>
        <rFont val="Times New Roman"/>
        <family val="1"/>
      </rPr>
      <t xml:space="preserve"> </t>
    </r>
    <r>
      <rPr>
        <sz val="11"/>
        <color indexed="14"/>
        <rFont val="宋体"/>
        <family val="3"/>
        <charset val="134"/>
      </rPr>
      <t>或</t>
    </r>
    <r>
      <rPr>
        <sz val="11"/>
        <rFont val="Times New Roman"/>
        <family val="1"/>
      </rPr>
      <t xml:space="preserve">  1998</t>
    </r>
    <r>
      <rPr>
        <sz val="11"/>
        <rFont val="宋体"/>
        <family val="3"/>
        <charset val="134"/>
      </rPr>
      <t>年</t>
    </r>
    <r>
      <rPr>
        <sz val="11"/>
        <rFont val="Times New Roman"/>
        <family val="1"/>
      </rPr>
      <t>8</t>
    </r>
    <r>
      <rPr>
        <sz val="11"/>
        <rFont val="宋体"/>
        <family val="3"/>
        <charset val="134"/>
      </rPr>
      <t>月</t>
    </r>
    <r>
      <rPr>
        <sz val="11"/>
        <rFont val="Times New Roman"/>
        <family val="1"/>
      </rPr>
      <t>10</t>
    </r>
    <r>
      <rPr>
        <sz val="11"/>
        <rFont val="宋体"/>
        <family val="3"/>
        <charset val="134"/>
      </rPr>
      <t>日～</t>
    </r>
    <r>
      <rPr>
        <sz val="11"/>
        <rFont val="Times New Roman"/>
        <family val="1"/>
      </rPr>
      <t>2000</t>
    </r>
    <r>
      <rPr>
        <sz val="11"/>
        <rFont val="宋体"/>
        <family val="3"/>
        <charset val="134"/>
      </rPr>
      <t>年</t>
    </r>
    <r>
      <rPr>
        <sz val="11"/>
        <rFont val="Times New Roman"/>
        <family val="1"/>
      </rPr>
      <t>10</t>
    </r>
    <r>
      <rPr>
        <sz val="11"/>
        <rFont val="宋体"/>
        <family val="3"/>
        <charset val="134"/>
      </rPr>
      <t>月</t>
    </r>
    <r>
      <rPr>
        <sz val="11"/>
        <rFont val="Times New Roman"/>
        <family val="1"/>
      </rPr>
      <t>20</t>
    </r>
    <r>
      <rPr>
        <sz val="11"/>
        <rFont val="宋体"/>
        <family val="3"/>
        <charset val="134"/>
      </rPr>
      <t>日</t>
    </r>
    <phoneticPr fontId="3" type="noConversion"/>
  </si>
  <si>
    <t>会计截止（上期）：</t>
    <phoneticPr fontId="3" type="noConversion"/>
  </si>
  <si>
    <r>
      <t>1999</t>
    </r>
    <r>
      <rPr>
        <sz val="11"/>
        <rFont val="宋体"/>
        <family val="3"/>
        <charset val="134"/>
      </rPr>
      <t>年</t>
    </r>
    <r>
      <rPr>
        <sz val="11"/>
        <rFont val="Times New Roman"/>
        <family val="1"/>
      </rPr>
      <t>12</t>
    </r>
    <r>
      <rPr>
        <sz val="11"/>
        <rFont val="宋体"/>
        <family val="3"/>
        <charset val="134"/>
      </rPr>
      <t>月</t>
    </r>
    <r>
      <rPr>
        <sz val="11"/>
        <rFont val="Times New Roman"/>
        <family val="1"/>
      </rPr>
      <t>31</t>
    </r>
    <r>
      <rPr>
        <sz val="11"/>
        <rFont val="宋体"/>
        <family val="3"/>
        <charset val="134"/>
      </rPr>
      <t>日</t>
    </r>
    <r>
      <rPr>
        <sz val="11"/>
        <rFont val="Times New Roman"/>
        <family val="1"/>
      </rPr>
      <t xml:space="preserve"> </t>
    </r>
    <r>
      <rPr>
        <sz val="11"/>
        <color indexed="14"/>
        <rFont val="宋体"/>
        <family val="3"/>
        <charset val="134"/>
      </rPr>
      <t>或</t>
    </r>
    <r>
      <rPr>
        <sz val="11"/>
        <rFont val="Times New Roman"/>
        <family val="1"/>
      </rPr>
      <t xml:space="preserve">  </t>
    </r>
    <r>
      <rPr>
        <sz val="11"/>
        <rFont val="宋体"/>
        <family val="3"/>
        <charset val="134"/>
      </rPr>
      <t>1998年8月10日</t>
    </r>
    <phoneticPr fontId="3" type="noConversion"/>
  </si>
  <si>
    <t>会计截止（本期）：</t>
    <phoneticPr fontId="3" type="noConversion"/>
  </si>
  <si>
    <r>
      <t>2000</t>
    </r>
    <r>
      <rPr>
        <sz val="11"/>
        <rFont val="宋体"/>
        <family val="3"/>
        <charset val="134"/>
      </rPr>
      <t>年</t>
    </r>
    <r>
      <rPr>
        <sz val="11"/>
        <rFont val="Times New Roman"/>
        <family val="1"/>
      </rPr>
      <t>12</t>
    </r>
    <r>
      <rPr>
        <sz val="11"/>
        <rFont val="宋体"/>
        <family val="3"/>
        <charset val="134"/>
      </rPr>
      <t>月</t>
    </r>
    <r>
      <rPr>
        <sz val="11"/>
        <rFont val="Times New Roman"/>
        <family val="1"/>
      </rPr>
      <t>31</t>
    </r>
    <r>
      <rPr>
        <sz val="11"/>
        <rFont val="宋体"/>
        <family val="3"/>
        <charset val="134"/>
      </rPr>
      <t>日</t>
    </r>
    <r>
      <rPr>
        <sz val="11"/>
        <rFont val="Times New Roman"/>
        <family val="1"/>
      </rPr>
      <t xml:space="preserve"> </t>
    </r>
    <r>
      <rPr>
        <sz val="11"/>
        <color indexed="14"/>
        <rFont val="宋体"/>
        <family val="3"/>
        <charset val="134"/>
      </rPr>
      <t>或</t>
    </r>
    <r>
      <rPr>
        <sz val="11"/>
        <rFont val="Times New Roman"/>
        <family val="1"/>
      </rPr>
      <t xml:space="preserve">  2000</t>
    </r>
    <r>
      <rPr>
        <sz val="11"/>
        <rFont val="宋体"/>
        <family val="3"/>
        <charset val="134"/>
      </rPr>
      <t>年</t>
    </r>
    <r>
      <rPr>
        <sz val="11"/>
        <rFont val="Times New Roman"/>
        <family val="1"/>
      </rPr>
      <t>10</t>
    </r>
    <r>
      <rPr>
        <sz val="11"/>
        <rFont val="宋体"/>
        <family val="3"/>
        <charset val="134"/>
      </rPr>
      <t>月</t>
    </r>
    <r>
      <rPr>
        <sz val="11"/>
        <rFont val="Times New Roman"/>
        <family val="1"/>
      </rPr>
      <t>20</t>
    </r>
    <r>
      <rPr>
        <sz val="11"/>
        <rFont val="宋体"/>
        <family val="3"/>
        <charset val="134"/>
      </rPr>
      <t>日</t>
    </r>
    <phoneticPr fontId="3" type="noConversion"/>
  </si>
  <si>
    <t>金额单位：</t>
    <phoneticPr fontId="3" type="noConversion"/>
  </si>
  <si>
    <t>审计单位名称：</t>
    <phoneticPr fontId="3" type="noConversion"/>
  </si>
  <si>
    <t>会计报表</t>
    <phoneticPr fontId="3" type="noConversion"/>
  </si>
  <si>
    <t>底稿编制人：</t>
    <phoneticPr fontId="3" type="noConversion"/>
  </si>
  <si>
    <t>应付票据</t>
    <phoneticPr fontId="3" type="noConversion"/>
  </si>
  <si>
    <t>长期借款</t>
    <phoneticPr fontId="3" type="noConversion"/>
  </si>
  <si>
    <t>应付债券</t>
    <phoneticPr fontId="3" type="noConversion"/>
  </si>
  <si>
    <t>长期应付款</t>
    <phoneticPr fontId="3" type="noConversion"/>
  </si>
  <si>
    <t>其他业务利润</t>
    <phoneticPr fontId="3" type="noConversion"/>
  </si>
  <si>
    <t>投资收益</t>
    <phoneticPr fontId="3" type="noConversion"/>
  </si>
  <si>
    <t>营业外支出</t>
    <phoneticPr fontId="3" type="noConversion"/>
  </si>
  <si>
    <t>所得税</t>
    <phoneticPr fontId="3" type="noConversion"/>
  </si>
  <si>
    <t>年初未分配利润</t>
    <phoneticPr fontId="3" type="noConversion"/>
  </si>
  <si>
    <t>应付优先股股利</t>
    <phoneticPr fontId="3" type="noConversion"/>
  </si>
  <si>
    <t>应付普通股股利</t>
    <phoneticPr fontId="3" type="noConversion"/>
  </si>
  <si>
    <t>金           额</t>
  </si>
  <si>
    <t>金          额</t>
  </si>
  <si>
    <t xml:space="preserve"> </t>
    <phoneticPr fontId="3" type="noConversion"/>
  </si>
  <si>
    <t>行次</t>
    <phoneticPr fontId="3" type="noConversion"/>
  </si>
  <si>
    <t>报表项目</t>
    <phoneticPr fontId="3" type="noConversion"/>
  </si>
  <si>
    <t>序号</t>
    <phoneticPr fontId="3" type="noConversion"/>
  </si>
  <si>
    <r>
      <t>项</t>
    </r>
    <r>
      <rPr>
        <b/>
        <sz val="12"/>
        <rFont val="Times New Roman"/>
        <family val="1"/>
      </rPr>
      <t xml:space="preserve">                 </t>
    </r>
    <r>
      <rPr>
        <b/>
        <sz val="12"/>
        <rFont val="宋体"/>
        <family val="3"/>
        <charset val="134"/>
      </rPr>
      <t>目</t>
    </r>
    <phoneticPr fontId="3" type="noConversion"/>
  </si>
  <si>
    <r>
      <t>参</t>
    </r>
    <r>
      <rPr>
        <b/>
        <sz val="12"/>
        <rFont val="Times New Roman"/>
        <family val="1"/>
      </rPr>
      <t xml:space="preserve">                 </t>
    </r>
    <r>
      <rPr>
        <b/>
        <sz val="12"/>
        <rFont val="宋体"/>
        <family val="3"/>
        <charset val="134"/>
      </rPr>
      <t>数</t>
    </r>
    <phoneticPr fontId="3" type="noConversion"/>
  </si>
  <si>
    <t>参考格式</t>
    <phoneticPr fontId="3" type="noConversion"/>
  </si>
  <si>
    <t>客户情况</t>
    <phoneticPr fontId="3" type="noConversion"/>
  </si>
  <si>
    <t>审计单位</t>
    <phoneticPr fontId="3" type="noConversion"/>
  </si>
  <si>
    <t>流动负债：</t>
    <phoneticPr fontId="3" type="noConversion"/>
  </si>
  <si>
    <t>应付工资</t>
    <phoneticPr fontId="3" type="noConversion"/>
  </si>
  <si>
    <t>应付福利费</t>
    <phoneticPr fontId="3" type="noConversion"/>
  </si>
  <si>
    <t>应付股利</t>
    <phoneticPr fontId="3" type="noConversion"/>
  </si>
  <si>
    <t>应交税金</t>
    <phoneticPr fontId="3" type="noConversion"/>
  </si>
  <si>
    <t>其他未交款</t>
    <phoneticPr fontId="3" type="noConversion"/>
  </si>
  <si>
    <t>其他应付款</t>
    <phoneticPr fontId="3" type="noConversion"/>
  </si>
  <si>
    <t>预提费用</t>
    <phoneticPr fontId="3" type="noConversion"/>
  </si>
  <si>
    <t>一年内到期的长期负债</t>
    <phoneticPr fontId="3" type="noConversion"/>
  </si>
  <si>
    <t>其他流动负债</t>
    <phoneticPr fontId="3" type="noConversion"/>
  </si>
  <si>
    <t>盈余公积金转入数</t>
    <phoneticPr fontId="3" type="noConversion"/>
  </si>
  <si>
    <t>长期负债：</t>
    <phoneticPr fontId="3" type="noConversion"/>
  </si>
  <si>
    <t>其他长期负债</t>
    <phoneticPr fontId="3" type="noConversion"/>
  </si>
  <si>
    <t>递延税项：</t>
    <phoneticPr fontId="3" type="noConversion"/>
  </si>
  <si>
    <t>递延税款贷项</t>
    <phoneticPr fontId="3" type="noConversion"/>
  </si>
  <si>
    <t>工程物资</t>
    <phoneticPr fontId="3" type="noConversion"/>
  </si>
  <si>
    <t>无形资产</t>
    <phoneticPr fontId="3" type="noConversion"/>
  </si>
  <si>
    <t>递延税款借项</t>
    <phoneticPr fontId="3" type="noConversion"/>
  </si>
  <si>
    <t>流动资产：</t>
    <phoneticPr fontId="3" type="noConversion"/>
  </si>
  <si>
    <t>流动负债合计</t>
    <phoneticPr fontId="3" type="noConversion"/>
  </si>
  <si>
    <t>长期负债合计</t>
    <phoneticPr fontId="3" type="noConversion"/>
  </si>
  <si>
    <t>应收账款</t>
    <phoneticPr fontId="3" type="noConversion"/>
  </si>
  <si>
    <t>应付账款</t>
    <phoneticPr fontId="3" type="noConversion"/>
  </si>
  <si>
    <t>预收账款</t>
    <phoneticPr fontId="3" type="noConversion"/>
  </si>
  <si>
    <t>会计报表格式及科目名称</t>
    <phoneticPr fontId="3" type="noConversion"/>
  </si>
  <si>
    <t>负债及所有者权益类</t>
    <phoneticPr fontId="3" type="noConversion"/>
  </si>
  <si>
    <t>现金流量表类</t>
    <phoneticPr fontId="3" type="noConversion"/>
  </si>
  <si>
    <t>三、筹资活动产生的现金流量</t>
    <phoneticPr fontId="3" type="noConversion"/>
  </si>
  <si>
    <t>四、汇率变动对现金的影响额</t>
    <phoneticPr fontId="3" type="noConversion"/>
  </si>
  <si>
    <r>
      <t>3</t>
    </r>
    <r>
      <rPr>
        <sz val="10"/>
        <rFont val="宋体"/>
        <family val="3"/>
        <charset val="134"/>
      </rPr>
      <t>、现金及现金等价物净增加情况</t>
    </r>
    <phoneticPr fontId="3" type="noConversion"/>
  </si>
  <si>
    <t>二、投资活动产生的现金流量</t>
    <phoneticPr fontId="3" type="noConversion"/>
  </si>
  <si>
    <t>一、经营活动产生的现金流量</t>
    <phoneticPr fontId="3" type="noConversion"/>
  </si>
  <si>
    <r>
      <t xml:space="preserve">     </t>
    </r>
    <r>
      <rPr>
        <sz val="10"/>
        <rFont val="宋体"/>
        <family val="3"/>
        <charset val="134"/>
      </rPr>
      <t>收到的税费返还</t>
    </r>
    <phoneticPr fontId="3" type="noConversion"/>
  </si>
  <si>
    <r>
      <t xml:space="preserve">     </t>
    </r>
    <r>
      <rPr>
        <sz val="10"/>
        <rFont val="宋体"/>
        <family val="3"/>
        <charset val="134"/>
      </rPr>
      <t>收到的其他与经营活动有关的现金</t>
    </r>
    <phoneticPr fontId="3" type="noConversion"/>
  </si>
  <si>
    <r>
      <t xml:space="preserve">     </t>
    </r>
    <r>
      <rPr>
        <b/>
        <sz val="10"/>
        <rFont val="宋体"/>
        <family val="3"/>
        <charset val="134"/>
      </rPr>
      <t>现金流入小计</t>
    </r>
    <phoneticPr fontId="3" type="noConversion"/>
  </si>
  <si>
    <r>
      <t xml:space="preserve">     </t>
    </r>
    <r>
      <rPr>
        <sz val="10"/>
        <rFont val="宋体"/>
        <family val="3"/>
        <charset val="134"/>
      </rPr>
      <t>购买商品、接受劳务支付的现金</t>
    </r>
    <phoneticPr fontId="3" type="noConversion"/>
  </si>
  <si>
    <r>
      <t xml:space="preserve">     </t>
    </r>
    <r>
      <rPr>
        <sz val="10"/>
        <rFont val="宋体"/>
        <family val="3"/>
        <charset val="134"/>
      </rPr>
      <t>支付的其他与经营活动有关的现金</t>
    </r>
    <phoneticPr fontId="3" type="noConversion"/>
  </si>
  <si>
    <r>
      <t xml:space="preserve">     </t>
    </r>
    <r>
      <rPr>
        <b/>
        <sz val="10"/>
        <rFont val="宋体"/>
        <family val="3"/>
        <charset val="134"/>
      </rPr>
      <t>现金流出小计</t>
    </r>
    <phoneticPr fontId="3" type="noConversion"/>
  </si>
  <si>
    <r>
      <t xml:space="preserve">     </t>
    </r>
    <r>
      <rPr>
        <b/>
        <sz val="10"/>
        <rFont val="宋体"/>
        <family val="3"/>
        <charset val="134"/>
      </rPr>
      <t>经营活动产生的现金流量净额</t>
    </r>
    <phoneticPr fontId="3" type="noConversion"/>
  </si>
  <si>
    <r>
      <t xml:space="preserve">     </t>
    </r>
    <r>
      <rPr>
        <sz val="10"/>
        <rFont val="宋体"/>
        <family val="3"/>
        <charset val="134"/>
      </rPr>
      <t>收到的其他与投资活动有关的现金</t>
    </r>
    <phoneticPr fontId="3" type="noConversion"/>
  </si>
  <si>
    <r>
      <t xml:space="preserve">     </t>
    </r>
    <r>
      <rPr>
        <b/>
        <sz val="10"/>
        <rFont val="宋体"/>
        <family val="3"/>
        <charset val="134"/>
      </rPr>
      <t>现金流入小计</t>
    </r>
    <phoneticPr fontId="3" type="noConversion"/>
  </si>
  <si>
    <r>
      <t xml:space="preserve">     </t>
    </r>
    <r>
      <rPr>
        <sz val="10"/>
        <rFont val="宋体"/>
        <family val="3"/>
        <charset val="134"/>
      </rPr>
      <t>购置固定资产、无形资产和其他长期资产所支付的现金</t>
    </r>
    <phoneticPr fontId="3" type="noConversion"/>
  </si>
  <si>
    <r>
      <t xml:space="preserve">     </t>
    </r>
    <r>
      <rPr>
        <b/>
        <sz val="10"/>
        <rFont val="宋体"/>
        <family val="3"/>
        <charset val="134"/>
      </rPr>
      <t>投资活动产生的现金流量净额</t>
    </r>
    <phoneticPr fontId="3" type="noConversion"/>
  </si>
  <si>
    <r>
      <t xml:space="preserve">     </t>
    </r>
    <r>
      <rPr>
        <sz val="10"/>
        <rFont val="宋体"/>
        <family val="3"/>
        <charset val="134"/>
      </rPr>
      <t>净利润</t>
    </r>
    <phoneticPr fontId="3" type="noConversion"/>
  </si>
  <si>
    <r>
      <t xml:space="preserve">     </t>
    </r>
    <r>
      <rPr>
        <sz val="10"/>
        <rFont val="宋体"/>
        <family val="3"/>
        <charset val="134"/>
      </rPr>
      <t>固定资产折旧</t>
    </r>
    <phoneticPr fontId="3" type="noConversion"/>
  </si>
  <si>
    <r>
      <t xml:space="preserve">     </t>
    </r>
    <r>
      <rPr>
        <sz val="10"/>
        <rFont val="宋体"/>
        <family val="3"/>
        <charset val="134"/>
      </rPr>
      <t>无形资产摊销</t>
    </r>
    <phoneticPr fontId="3" type="noConversion"/>
  </si>
  <si>
    <r>
      <t xml:space="preserve">     </t>
    </r>
    <r>
      <rPr>
        <sz val="10"/>
        <rFont val="宋体"/>
        <family val="3"/>
        <charset val="134"/>
      </rPr>
      <t>预提费用的增加（减：减少）</t>
    </r>
    <phoneticPr fontId="3" type="noConversion"/>
  </si>
  <si>
    <r>
      <t xml:space="preserve">     </t>
    </r>
    <r>
      <rPr>
        <sz val="10"/>
        <rFont val="宋体"/>
        <family val="3"/>
        <charset val="134"/>
      </rPr>
      <t>处置固定资产、无形资产和其他长期资产的损失（减：收益）</t>
    </r>
    <phoneticPr fontId="3" type="noConversion"/>
  </si>
  <si>
    <r>
      <t xml:space="preserve">     </t>
    </r>
    <r>
      <rPr>
        <sz val="10"/>
        <rFont val="宋体"/>
        <family val="3"/>
        <charset val="134"/>
      </rPr>
      <t>固定资产报废损失</t>
    </r>
    <phoneticPr fontId="3" type="noConversion"/>
  </si>
  <si>
    <r>
      <t xml:space="preserve">     </t>
    </r>
    <r>
      <rPr>
        <sz val="10"/>
        <rFont val="宋体"/>
        <family val="3"/>
        <charset val="134"/>
      </rPr>
      <t>财务费用</t>
    </r>
    <phoneticPr fontId="3" type="noConversion"/>
  </si>
  <si>
    <r>
      <t xml:space="preserve">     </t>
    </r>
    <r>
      <rPr>
        <sz val="10"/>
        <rFont val="宋体"/>
        <family val="3"/>
        <charset val="134"/>
      </rPr>
      <t>递延税款贷项（减：借项）</t>
    </r>
    <phoneticPr fontId="3" type="noConversion"/>
  </si>
  <si>
    <r>
      <t xml:space="preserve">     </t>
    </r>
    <r>
      <rPr>
        <sz val="10"/>
        <rFont val="宋体"/>
        <family val="3"/>
        <charset val="134"/>
      </rPr>
      <t>存货的减少（减：增加）</t>
    </r>
    <phoneticPr fontId="3" type="noConversion"/>
  </si>
  <si>
    <r>
      <t xml:space="preserve">     </t>
    </r>
    <r>
      <rPr>
        <sz val="10"/>
        <rFont val="宋体"/>
        <family val="3"/>
        <charset val="134"/>
      </rPr>
      <t>经营性应收项目的减少（减：增加）</t>
    </r>
    <phoneticPr fontId="3" type="noConversion"/>
  </si>
  <si>
    <r>
      <t xml:space="preserve">     </t>
    </r>
    <r>
      <rPr>
        <sz val="10"/>
        <rFont val="宋体"/>
        <family val="3"/>
        <charset val="134"/>
      </rPr>
      <t>经营性应付项目的增加（减：减少）</t>
    </r>
    <phoneticPr fontId="3" type="noConversion"/>
  </si>
  <si>
    <r>
      <t xml:space="preserve">     </t>
    </r>
    <r>
      <rPr>
        <sz val="10"/>
        <rFont val="宋体"/>
        <family val="3"/>
        <charset val="134"/>
      </rPr>
      <t>其他</t>
    </r>
    <phoneticPr fontId="3" type="noConversion"/>
  </si>
  <si>
    <r>
      <t xml:space="preserve">     </t>
    </r>
    <r>
      <rPr>
        <b/>
        <sz val="10"/>
        <rFont val="宋体"/>
        <family val="3"/>
        <charset val="134"/>
      </rPr>
      <t>经营活动产生的现金流量净额</t>
    </r>
    <phoneticPr fontId="3" type="noConversion"/>
  </si>
  <si>
    <t>汇率变动对现金的影响额</t>
    <phoneticPr fontId="3" type="noConversion"/>
  </si>
  <si>
    <t>应收股利</t>
    <phoneticPr fontId="3" type="noConversion"/>
  </si>
  <si>
    <t>固定资产清理</t>
    <phoneticPr fontId="3" type="noConversion"/>
  </si>
  <si>
    <t>在建工程</t>
    <phoneticPr fontId="3" type="noConversion"/>
  </si>
  <si>
    <t>现金流量表</t>
    <phoneticPr fontId="3" type="noConversion"/>
  </si>
  <si>
    <t>报表类型</t>
    <phoneticPr fontId="3" type="noConversion"/>
  </si>
  <si>
    <t>提取任意盈余公积金</t>
    <phoneticPr fontId="3" type="noConversion"/>
  </si>
  <si>
    <r>
      <t>资</t>
    </r>
    <r>
      <rPr>
        <sz val="10"/>
        <rFont val="Times New Roman"/>
        <family val="1"/>
      </rPr>
      <t xml:space="preserve">           </t>
    </r>
    <r>
      <rPr>
        <sz val="10"/>
        <rFont val="宋体"/>
        <family val="3"/>
        <charset val="134"/>
      </rPr>
      <t>产</t>
    </r>
    <phoneticPr fontId="3" type="noConversion"/>
  </si>
  <si>
    <r>
      <t xml:space="preserve">     </t>
    </r>
    <r>
      <rPr>
        <sz val="10"/>
        <rFont val="宋体"/>
        <family val="3"/>
        <charset val="134"/>
      </rPr>
      <t>支付各项税费</t>
    </r>
    <phoneticPr fontId="3" type="noConversion"/>
  </si>
  <si>
    <r>
      <t xml:space="preserve">     </t>
    </r>
    <r>
      <rPr>
        <sz val="10"/>
        <rFont val="宋体"/>
        <family val="3"/>
        <charset val="134"/>
      </rPr>
      <t>处置固定资产、无形资产和其他长期资产所收回的现金净额</t>
    </r>
    <phoneticPr fontId="3" type="noConversion"/>
  </si>
  <si>
    <t>股份有限公司</t>
    <phoneticPr fontId="3" type="noConversion"/>
  </si>
  <si>
    <t>偿还债务所支付的现金</t>
    <phoneticPr fontId="3" type="noConversion"/>
  </si>
  <si>
    <t>支付的其他与筹资活动有关的现金</t>
    <phoneticPr fontId="3" type="noConversion"/>
  </si>
  <si>
    <r>
      <t xml:space="preserve">     </t>
    </r>
    <r>
      <rPr>
        <b/>
        <sz val="10"/>
        <rFont val="宋体"/>
        <family val="3"/>
        <charset val="134"/>
      </rPr>
      <t>筹资活动产生的现金流量净额</t>
    </r>
    <phoneticPr fontId="3" type="noConversion"/>
  </si>
  <si>
    <r>
      <t xml:space="preserve">    </t>
    </r>
    <r>
      <rPr>
        <sz val="10"/>
        <rFont val="宋体"/>
        <family val="3"/>
        <charset val="134"/>
      </rPr>
      <t>偿还债务所支付的现金</t>
    </r>
    <phoneticPr fontId="3" type="noConversion"/>
  </si>
  <si>
    <r>
      <t xml:space="preserve">    </t>
    </r>
    <r>
      <rPr>
        <sz val="10"/>
        <rFont val="宋体"/>
        <family val="3"/>
        <charset val="134"/>
      </rPr>
      <t>分配股利、利润和偿付利息所支付的现金</t>
    </r>
    <phoneticPr fontId="3" type="noConversion"/>
  </si>
  <si>
    <r>
      <t xml:space="preserve">    </t>
    </r>
    <r>
      <rPr>
        <sz val="10"/>
        <rFont val="宋体"/>
        <family val="3"/>
        <charset val="134"/>
      </rPr>
      <t>支付的其他与筹资活动有关的现金</t>
    </r>
    <phoneticPr fontId="3" type="noConversion"/>
  </si>
  <si>
    <r>
      <t xml:space="preserve">     </t>
    </r>
    <r>
      <rPr>
        <sz val="10"/>
        <rFont val="宋体"/>
        <family val="3"/>
        <charset val="134"/>
      </rPr>
      <t>收回投资所收到的现金</t>
    </r>
    <phoneticPr fontId="3" type="noConversion"/>
  </si>
  <si>
    <r>
      <t xml:space="preserve">     </t>
    </r>
    <r>
      <rPr>
        <sz val="10"/>
        <rFont val="宋体"/>
        <family val="3"/>
        <charset val="134"/>
      </rPr>
      <t>取得投资收益所收到的现金</t>
    </r>
    <phoneticPr fontId="3" type="noConversion"/>
  </si>
  <si>
    <r>
      <t xml:space="preserve">     </t>
    </r>
    <r>
      <rPr>
        <sz val="10"/>
        <rFont val="宋体"/>
        <family val="3"/>
        <charset val="134"/>
      </rPr>
      <t>销售商品、提供劳务收到的现金</t>
    </r>
    <phoneticPr fontId="3" type="noConversion"/>
  </si>
  <si>
    <r>
      <t xml:space="preserve">     </t>
    </r>
    <r>
      <rPr>
        <sz val="10"/>
        <rFont val="宋体"/>
        <family val="3"/>
        <charset val="134"/>
      </rPr>
      <t>投资所支付的现金</t>
    </r>
    <phoneticPr fontId="3" type="noConversion"/>
  </si>
  <si>
    <r>
      <t xml:space="preserve">     </t>
    </r>
    <r>
      <rPr>
        <sz val="10"/>
        <rFont val="宋体"/>
        <family val="3"/>
        <charset val="134"/>
      </rPr>
      <t>支付的其他与投资活动有关的现金</t>
    </r>
    <phoneticPr fontId="3" type="noConversion"/>
  </si>
  <si>
    <r>
      <t xml:space="preserve">     </t>
    </r>
    <r>
      <rPr>
        <sz val="10"/>
        <rFont val="宋体"/>
        <family val="3"/>
        <charset val="134"/>
      </rPr>
      <t>支付给职工以及为职工支付的现金</t>
    </r>
    <phoneticPr fontId="3" type="noConversion"/>
  </si>
  <si>
    <r>
      <t xml:space="preserve">     </t>
    </r>
    <r>
      <rPr>
        <sz val="10"/>
        <rFont val="宋体"/>
        <family val="3"/>
        <charset val="134"/>
      </rPr>
      <t>吸收投资所收到的现金</t>
    </r>
    <phoneticPr fontId="3" type="noConversion"/>
  </si>
  <si>
    <r>
      <t xml:space="preserve">     </t>
    </r>
    <r>
      <rPr>
        <sz val="10"/>
        <rFont val="宋体"/>
        <family val="3"/>
        <charset val="134"/>
      </rPr>
      <t>取得借款所收到的现金</t>
    </r>
    <phoneticPr fontId="3" type="noConversion"/>
  </si>
  <si>
    <r>
      <t xml:space="preserve">     </t>
    </r>
    <r>
      <rPr>
        <sz val="10"/>
        <rFont val="宋体"/>
        <family val="3"/>
        <charset val="134"/>
      </rPr>
      <t>收到的其他与筹资活动有关的现金</t>
    </r>
    <phoneticPr fontId="3" type="noConversion"/>
  </si>
  <si>
    <r>
      <t xml:space="preserve">     </t>
    </r>
    <r>
      <rPr>
        <sz val="10"/>
        <rFont val="宋体"/>
        <family val="3"/>
        <charset val="134"/>
      </rPr>
      <t>长期待摊费用摊销</t>
    </r>
    <phoneticPr fontId="3" type="noConversion"/>
  </si>
  <si>
    <r>
      <t xml:space="preserve">     </t>
    </r>
    <r>
      <rPr>
        <sz val="10"/>
        <rFont val="宋体"/>
        <family val="3"/>
        <charset val="134"/>
      </rPr>
      <t>待摊费用的减少（减：增加）</t>
    </r>
    <phoneticPr fontId="3" type="noConversion"/>
  </si>
  <si>
    <r>
      <t>1</t>
    </r>
    <r>
      <rPr>
        <sz val="10"/>
        <rFont val="宋体"/>
        <family val="3"/>
        <charset val="134"/>
      </rPr>
      <t>、将净利润调节为经营活动现金流量</t>
    </r>
    <phoneticPr fontId="3" type="noConversion"/>
  </si>
  <si>
    <t>收到的税费返还</t>
    <phoneticPr fontId="3" type="noConversion"/>
  </si>
  <si>
    <t>收到的其他与经营活动有关的现金</t>
    <phoneticPr fontId="3" type="noConversion"/>
  </si>
  <si>
    <t>购买商品、接受劳务支付的现金</t>
    <phoneticPr fontId="3" type="noConversion"/>
  </si>
  <si>
    <t>支付给职工以及为职工支付的现金</t>
    <phoneticPr fontId="3" type="noConversion"/>
  </si>
  <si>
    <t>支付各项税费</t>
    <phoneticPr fontId="3" type="noConversion"/>
  </si>
  <si>
    <t>支付的其他与经营活动有关的现金</t>
    <phoneticPr fontId="3" type="noConversion"/>
  </si>
  <si>
    <t>收回投资所收到的现金</t>
    <phoneticPr fontId="3" type="noConversion"/>
  </si>
  <si>
    <t>取得投资收益所收到的现金</t>
    <phoneticPr fontId="3" type="noConversion"/>
  </si>
  <si>
    <t>处置固定资产、无形资产和其他长期资产所收回的现金净额</t>
    <phoneticPr fontId="3" type="noConversion"/>
  </si>
  <si>
    <t>收到的其他与投资活动有关的现金</t>
    <phoneticPr fontId="3" type="noConversion"/>
  </si>
  <si>
    <t>购置固定资产、无形资产和其他长期资产所支付的现金</t>
    <phoneticPr fontId="3" type="noConversion"/>
  </si>
  <si>
    <t>投资所支付的现金</t>
    <phoneticPr fontId="3" type="noConversion"/>
  </si>
  <si>
    <t>支付的其他与投资活动有关的现金</t>
    <phoneticPr fontId="3" type="noConversion"/>
  </si>
  <si>
    <t>吸收投资所收到的现金</t>
    <phoneticPr fontId="3" type="noConversion"/>
  </si>
  <si>
    <t>取得借款所收到的现金</t>
    <phoneticPr fontId="3" type="noConversion"/>
  </si>
  <si>
    <t>收到的其他与筹资活动有关的现金</t>
    <phoneticPr fontId="3" type="noConversion"/>
  </si>
  <si>
    <t>分配股利、利润和偿付利息所支付的现金</t>
    <phoneticPr fontId="3" type="noConversion"/>
  </si>
  <si>
    <r>
      <t>2</t>
    </r>
    <r>
      <rPr>
        <sz val="10"/>
        <rFont val="宋体"/>
        <family val="3"/>
        <charset val="134"/>
      </rPr>
      <t>、不涉及现金收支的投资和筹资活动</t>
    </r>
    <phoneticPr fontId="3" type="noConversion"/>
  </si>
  <si>
    <t>债务转为资本</t>
    <phoneticPr fontId="3" type="noConversion"/>
  </si>
  <si>
    <t>一年内到期的可转换公司债券</t>
    <phoneticPr fontId="3" type="noConversion"/>
  </si>
  <si>
    <t>融资租入固定资产</t>
    <phoneticPr fontId="3" type="noConversion"/>
  </si>
  <si>
    <r>
      <t xml:space="preserve">     </t>
    </r>
    <r>
      <rPr>
        <sz val="10"/>
        <rFont val="宋体"/>
        <family val="3"/>
        <charset val="134"/>
      </rPr>
      <t>现金的期末余额</t>
    </r>
    <phoneticPr fontId="3" type="noConversion"/>
  </si>
  <si>
    <r>
      <t xml:space="preserve">     </t>
    </r>
    <r>
      <rPr>
        <sz val="10"/>
        <rFont val="宋体"/>
        <family val="3"/>
        <charset val="134"/>
      </rPr>
      <t>债务转为资本</t>
    </r>
    <phoneticPr fontId="3" type="noConversion"/>
  </si>
  <si>
    <r>
      <t xml:space="preserve">     </t>
    </r>
    <r>
      <rPr>
        <sz val="10"/>
        <rFont val="宋体"/>
        <family val="3"/>
        <charset val="134"/>
      </rPr>
      <t>一年内到期的可转换公司债券</t>
    </r>
    <phoneticPr fontId="3" type="noConversion"/>
  </si>
  <si>
    <r>
      <t xml:space="preserve">     </t>
    </r>
    <r>
      <rPr>
        <sz val="10"/>
        <rFont val="宋体"/>
        <family val="3"/>
        <charset val="134"/>
      </rPr>
      <t>融资租入固定资产</t>
    </r>
    <phoneticPr fontId="3" type="noConversion"/>
  </si>
  <si>
    <r>
      <t xml:space="preserve">     </t>
    </r>
    <r>
      <rPr>
        <sz val="10"/>
        <rFont val="宋体"/>
        <family val="3"/>
        <charset val="134"/>
      </rPr>
      <t>减：现金的期初余额</t>
    </r>
    <phoneticPr fontId="3" type="noConversion"/>
  </si>
  <si>
    <r>
      <t xml:space="preserve">     </t>
    </r>
    <r>
      <rPr>
        <sz val="10"/>
        <rFont val="宋体"/>
        <family val="3"/>
        <charset val="134"/>
      </rPr>
      <t>加：现金等价物的期末余额</t>
    </r>
    <phoneticPr fontId="3" type="noConversion"/>
  </si>
  <si>
    <r>
      <t xml:space="preserve">     </t>
    </r>
    <r>
      <rPr>
        <sz val="10"/>
        <rFont val="宋体"/>
        <family val="3"/>
        <charset val="134"/>
      </rPr>
      <t>减：现金等价物的期初余额</t>
    </r>
    <phoneticPr fontId="3" type="noConversion"/>
  </si>
  <si>
    <t>固定资产折旧</t>
    <phoneticPr fontId="3" type="noConversion"/>
  </si>
  <si>
    <t>无形资产摊销</t>
    <phoneticPr fontId="3" type="noConversion"/>
  </si>
  <si>
    <t>长期待摊费用摊销</t>
    <phoneticPr fontId="3" type="noConversion"/>
  </si>
  <si>
    <t>待摊费用的减少（减：增加）</t>
    <phoneticPr fontId="3" type="noConversion"/>
  </si>
  <si>
    <t>预提费用的增加（减：减少）</t>
    <phoneticPr fontId="3" type="noConversion"/>
  </si>
  <si>
    <t>处置固定资产、无形资产和其他长期资产的损失（减：收益）</t>
    <phoneticPr fontId="3" type="noConversion"/>
  </si>
  <si>
    <t>固定资产报废损失</t>
    <phoneticPr fontId="3" type="noConversion"/>
  </si>
  <si>
    <t>财务费用</t>
    <phoneticPr fontId="3" type="noConversion"/>
  </si>
  <si>
    <t>投资损失（减：收益）</t>
    <phoneticPr fontId="3" type="noConversion"/>
  </si>
  <si>
    <t>递延税款贷项（减：借项）</t>
    <phoneticPr fontId="3" type="noConversion"/>
  </si>
  <si>
    <t>存货的减少（减：增加）</t>
    <phoneticPr fontId="3" type="noConversion"/>
  </si>
  <si>
    <t>经营性应收项目的减少（减：增加）</t>
    <phoneticPr fontId="3" type="noConversion"/>
  </si>
  <si>
    <t>经营性应付项目的增加（减：减少）</t>
    <phoneticPr fontId="3" type="noConversion"/>
  </si>
  <si>
    <t>其他</t>
    <phoneticPr fontId="3" type="noConversion"/>
  </si>
  <si>
    <t>现金的期末余额</t>
    <phoneticPr fontId="3" type="noConversion"/>
  </si>
  <si>
    <t>现金的期初余额</t>
    <phoneticPr fontId="3" type="noConversion"/>
  </si>
  <si>
    <t>现金等价物的期末余额</t>
    <phoneticPr fontId="3" type="noConversion"/>
  </si>
  <si>
    <t>现金等价物的期初余额</t>
    <phoneticPr fontId="3" type="noConversion"/>
  </si>
  <si>
    <r>
      <t>报</t>
    </r>
    <r>
      <rPr>
        <sz val="8.5"/>
        <rFont val="Times New Roman"/>
        <family val="1"/>
      </rPr>
      <t xml:space="preserve">    </t>
    </r>
    <r>
      <rPr>
        <sz val="8.5"/>
        <rFont val="宋体"/>
        <family val="3"/>
        <charset val="134"/>
      </rPr>
      <t>表</t>
    </r>
    <r>
      <rPr>
        <sz val="8.5"/>
        <rFont val="Times New Roman"/>
        <family val="1"/>
      </rPr>
      <t xml:space="preserve">    </t>
    </r>
    <r>
      <rPr>
        <sz val="8.5"/>
        <rFont val="宋体"/>
        <family val="3"/>
        <charset val="134"/>
      </rPr>
      <t>项</t>
    </r>
    <r>
      <rPr>
        <sz val="8.5"/>
        <rFont val="Times New Roman"/>
        <family val="1"/>
      </rPr>
      <t xml:space="preserve">    </t>
    </r>
    <r>
      <rPr>
        <sz val="8.5"/>
        <rFont val="宋体"/>
        <family val="3"/>
        <charset val="134"/>
      </rPr>
      <t>目</t>
    </r>
    <phoneticPr fontId="3" type="noConversion"/>
  </si>
  <si>
    <r>
      <t>补</t>
    </r>
    <r>
      <rPr>
        <sz val="8.5"/>
        <rFont val="Times New Roman"/>
        <family val="1"/>
      </rPr>
      <t xml:space="preserve">    </t>
    </r>
    <r>
      <rPr>
        <sz val="8.5"/>
        <rFont val="宋体"/>
        <family val="3"/>
        <charset val="134"/>
      </rPr>
      <t>充</t>
    </r>
    <r>
      <rPr>
        <sz val="8.5"/>
        <rFont val="Times New Roman"/>
        <family val="1"/>
      </rPr>
      <t xml:space="preserve">    </t>
    </r>
    <r>
      <rPr>
        <sz val="8.5"/>
        <rFont val="宋体"/>
        <family val="3"/>
        <charset val="134"/>
      </rPr>
      <t>资</t>
    </r>
    <r>
      <rPr>
        <sz val="8.5"/>
        <rFont val="Times New Roman"/>
        <family val="1"/>
      </rPr>
      <t xml:space="preserve">    </t>
    </r>
    <r>
      <rPr>
        <sz val="8.5"/>
        <rFont val="宋体"/>
        <family val="3"/>
        <charset val="134"/>
      </rPr>
      <t>料</t>
    </r>
    <phoneticPr fontId="3" type="noConversion"/>
  </si>
  <si>
    <t>一、主营业务收入</t>
    <phoneticPr fontId="3" type="noConversion"/>
  </si>
  <si>
    <t>主营业务成本</t>
    <phoneticPr fontId="3" type="noConversion"/>
  </si>
  <si>
    <t>主营业务税金及附加</t>
    <phoneticPr fontId="3" type="noConversion"/>
  </si>
  <si>
    <t>营业费用</t>
    <phoneticPr fontId="3" type="noConversion"/>
  </si>
  <si>
    <t>管理费用</t>
    <phoneticPr fontId="3" type="noConversion"/>
  </si>
  <si>
    <t>长期待摊费用</t>
    <phoneticPr fontId="3" type="noConversion"/>
  </si>
  <si>
    <t>其他长期资产</t>
    <phoneticPr fontId="3" type="noConversion"/>
  </si>
  <si>
    <t>专项应付款</t>
    <phoneticPr fontId="3" type="noConversion"/>
  </si>
  <si>
    <t>预计负债</t>
    <phoneticPr fontId="3" type="noConversion"/>
  </si>
  <si>
    <t>转作资本的普通股股利</t>
    <phoneticPr fontId="3" type="noConversion"/>
  </si>
  <si>
    <t>一般企业（执行统一会计制度）</t>
    <phoneticPr fontId="3" type="noConversion"/>
  </si>
  <si>
    <r>
      <t>负</t>
    </r>
    <r>
      <rPr>
        <b/>
        <sz val="10"/>
        <rFont val="Times New Roman"/>
        <family val="1"/>
      </rPr>
      <t xml:space="preserve"> </t>
    </r>
    <r>
      <rPr>
        <b/>
        <sz val="10"/>
        <rFont val="宋体"/>
        <family val="3"/>
        <charset val="134"/>
      </rPr>
      <t>债</t>
    </r>
    <r>
      <rPr>
        <b/>
        <sz val="10"/>
        <rFont val="Times New Roman"/>
        <family val="1"/>
      </rPr>
      <t xml:space="preserve"> </t>
    </r>
    <r>
      <rPr>
        <b/>
        <sz val="10"/>
        <rFont val="宋体"/>
        <family val="3"/>
        <charset val="134"/>
      </rPr>
      <t>合</t>
    </r>
    <r>
      <rPr>
        <b/>
        <sz val="10"/>
        <rFont val="Times New Roman"/>
        <family val="1"/>
      </rPr>
      <t xml:space="preserve"> </t>
    </r>
    <r>
      <rPr>
        <b/>
        <sz val="10"/>
        <rFont val="宋体"/>
        <family val="3"/>
        <charset val="134"/>
      </rPr>
      <t>计</t>
    </r>
    <phoneticPr fontId="3" type="noConversion"/>
  </si>
  <si>
    <t>预付账款</t>
    <phoneticPr fontId="3" type="noConversion"/>
  </si>
  <si>
    <r>
      <t xml:space="preserve">     </t>
    </r>
    <r>
      <rPr>
        <sz val="10"/>
        <rFont val="宋体"/>
        <family val="3"/>
        <charset val="134"/>
      </rPr>
      <t>投资损失（减：收益）</t>
    </r>
    <phoneticPr fontId="3" type="noConversion"/>
  </si>
  <si>
    <t>张一二</t>
    <phoneticPr fontId="3" type="noConversion"/>
  </si>
  <si>
    <t>陈一二</t>
    <phoneticPr fontId="3" type="noConversion"/>
  </si>
  <si>
    <t>王一二</t>
    <phoneticPr fontId="3" type="noConversion"/>
  </si>
  <si>
    <t>刘一二</t>
    <phoneticPr fontId="3" type="noConversion"/>
  </si>
  <si>
    <t>周一二</t>
    <phoneticPr fontId="3" type="noConversion"/>
  </si>
  <si>
    <t>底稿复核人：</t>
    <phoneticPr fontId="3" type="noConversion"/>
  </si>
  <si>
    <t>单位名称：</t>
    <phoneticPr fontId="3" type="noConversion"/>
  </si>
  <si>
    <t>应收票据</t>
    <phoneticPr fontId="3" type="noConversion"/>
  </si>
  <si>
    <t>应收利息</t>
    <phoneticPr fontId="3" type="noConversion"/>
  </si>
  <si>
    <t>其他应收款</t>
    <phoneticPr fontId="3" type="noConversion"/>
  </si>
  <si>
    <t>应收补贴款</t>
    <phoneticPr fontId="3" type="noConversion"/>
  </si>
  <si>
    <t>存货</t>
    <phoneticPr fontId="3" type="noConversion"/>
  </si>
  <si>
    <t>待摊费用</t>
    <phoneticPr fontId="3" type="noConversion"/>
  </si>
  <si>
    <t>一年内到期的长期债权投资</t>
    <phoneticPr fontId="3" type="noConversion"/>
  </si>
  <si>
    <t>其他流动资产</t>
    <phoneticPr fontId="3" type="noConversion"/>
  </si>
  <si>
    <t>加：计提的资产减值准备</t>
    <phoneticPr fontId="3" type="noConversion"/>
  </si>
  <si>
    <t>计提的资产减值准备</t>
    <phoneticPr fontId="3" type="noConversion"/>
  </si>
  <si>
    <t>人民币元</t>
    <phoneticPr fontId="3" type="noConversion"/>
  </si>
  <si>
    <t>人民币元</t>
    <phoneticPr fontId="3" type="noConversion"/>
  </si>
  <si>
    <r>
      <t>股份有限公司</t>
    </r>
    <r>
      <rPr>
        <sz val="11"/>
        <color indexed="14"/>
        <rFont val="宋体"/>
        <family val="3"/>
        <charset val="134"/>
      </rPr>
      <t>或</t>
    </r>
    <r>
      <rPr>
        <sz val="11"/>
        <rFont val="宋体"/>
        <family val="3"/>
        <charset val="134"/>
      </rPr>
      <t>一般企业</t>
    </r>
    <r>
      <rPr>
        <sz val="11"/>
        <rFont val="Times New Roman"/>
        <family val="1"/>
      </rPr>
      <t>(</t>
    </r>
    <r>
      <rPr>
        <sz val="11"/>
        <rFont val="宋体"/>
        <family val="3"/>
        <charset val="134"/>
      </rPr>
      <t>执行统一会计制度</t>
    </r>
    <r>
      <rPr>
        <sz val="11"/>
        <rFont val="Times New Roman"/>
        <family val="1"/>
      </rPr>
      <t>)</t>
    </r>
    <phoneticPr fontId="3" type="noConversion"/>
  </si>
  <si>
    <t>货币资金</t>
    <phoneticPr fontId="3" type="noConversion"/>
  </si>
  <si>
    <t>长期股权投资</t>
    <phoneticPr fontId="3" type="noConversion"/>
  </si>
  <si>
    <t>短期借款</t>
    <phoneticPr fontId="3" type="noConversion"/>
  </si>
  <si>
    <t>短期投资</t>
    <phoneticPr fontId="3" type="noConversion"/>
  </si>
  <si>
    <t>主营业务收入</t>
    <phoneticPr fontId="3" type="noConversion"/>
  </si>
  <si>
    <t>销售商品、提供劳务收到的现金</t>
    <phoneticPr fontId="3" type="noConversion"/>
  </si>
  <si>
    <t>净利润</t>
    <phoneticPr fontId="3" type="noConversion"/>
  </si>
  <si>
    <t>报表数值</t>
    <phoneticPr fontId="3" type="noConversion"/>
  </si>
  <si>
    <t>逻辑值</t>
    <phoneticPr fontId="3" type="noConversion"/>
  </si>
  <si>
    <t>判断值</t>
    <phoneticPr fontId="3" type="noConversion"/>
  </si>
  <si>
    <t>报表项目</t>
    <phoneticPr fontId="59" type="noConversion"/>
  </si>
  <si>
    <t>其中：法定公益金</t>
    <phoneticPr fontId="59" type="noConversion"/>
  </si>
  <si>
    <t>递延收益</t>
    <phoneticPr fontId="59" type="noConversion"/>
  </si>
  <si>
    <t>营业外收入</t>
    <phoneticPr fontId="59" type="noConversion"/>
  </si>
  <si>
    <t>本表没有颜色的单元格可以根据需要进行修改</t>
    <phoneticPr fontId="3" type="noConversion"/>
  </si>
  <si>
    <t>项目负责人：</t>
    <phoneticPr fontId="3" type="noConversion"/>
  </si>
  <si>
    <t>行次</t>
    <phoneticPr fontId="3" type="noConversion"/>
  </si>
  <si>
    <t>资产负债表期初核对</t>
    <phoneticPr fontId="3" type="noConversion"/>
  </si>
  <si>
    <t>页次：</t>
    <phoneticPr fontId="3" type="noConversion"/>
  </si>
  <si>
    <t>北京京都会计师事务所</t>
  </si>
  <si>
    <t>上期审定数
①</t>
    <phoneticPr fontId="3" type="noConversion"/>
  </si>
  <si>
    <t>本年期初数
②</t>
    <phoneticPr fontId="3" type="noConversion"/>
  </si>
  <si>
    <t>差异
①-②</t>
    <phoneticPr fontId="3" type="noConversion"/>
  </si>
  <si>
    <t>参数</t>
  </si>
  <si>
    <t>报表格式</t>
  </si>
  <si>
    <t>报表调整</t>
  </si>
  <si>
    <t>“参数表”</t>
  </si>
  <si>
    <t>“报表格式”</t>
  </si>
  <si>
    <t>“账项调整”、</t>
  </si>
  <si>
    <t>“报表调整”</t>
  </si>
  <si>
    <t>期初核对BS</t>
  </si>
  <si>
    <t>未审BS</t>
  </si>
  <si>
    <t>未审PL</t>
  </si>
  <si>
    <t>未审CF</t>
  </si>
  <si>
    <t>账项调整</t>
  </si>
  <si>
    <t>TB资产</t>
  </si>
  <si>
    <t>TB负债</t>
  </si>
  <si>
    <t>TB损益</t>
  </si>
  <si>
    <t>审定BS</t>
  </si>
  <si>
    <t>审定PL</t>
  </si>
  <si>
    <t>审定CF</t>
  </si>
  <si>
    <t>借方</t>
    <phoneticPr fontId="3" type="noConversion"/>
  </si>
  <si>
    <t>贷方</t>
    <phoneticPr fontId="3" type="noConversion"/>
  </si>
  <si>
    <t>本表可根据需要插入行，</t>
    <phoneticPr fontId="59" type="noConversion"/>
  </si>
  <si>
    <t>请勿删除行。</t>
    <phoneticPr fontId="59" type="noConversion"/>
  </si>
  <si>
    <t>行次</t>
    <phoneticPr fontId="3" type="noConversion"/>
  </si>
  <si>
    <t>上年已审数</t>
    <phoneticPr fontId="3" type="noConversion"/>
  </si>
  <si>
    <t>本年未审数</t>
    <phoneticPr fontId="3" type="noConversion"/>
  </si>
  <si>
    <t>本年比上年增长</t>
    <phoneticPr fontId="3" type="noConversion"/>
  </si>
  <si>
    <t>①</t>
    <phoneticPr fontId="3" type="noConversion"/>
  </si>
  <si>
    <t>②</t>
  </si>
  <si>
    <t>③=②-①</t>
  </si>
  <si>
    <t>④=③/①</t>
  </si>
  <si>
    <r>
      <t>资</t>
    </r>
    <r>
      <rPr>
        <b/>
        <sz val="10"/>
        <rFont val="Times New Roman"/>
        <family val="1"/>
      </rPr>
      <t xml:space="preserve">           </t>
    </r>
    <r>
      <rPr>
        <b/>
        <sz val="10"/>
        <rFont val="宋体"/>
        <family val="3"/>
        <charset val="134"/>
      </rPr>
      <t>产</t>
    </r>
    <phoneticPr fontId="3" type="noConversion"/>
  </si>
  <si>
    <t>变动额</t>
    <phoneticPr fontId="3" type="noConversion"/>
  </si>
  <si>
    <t>变动％</t>
    <phoneticPr fontId="3" type="noConversion"/>
  </si>
  <si>
    <t>利润表及利润分配表</t>
    <phoneticPr fontId="3" type="noConversion"/>
  </si>
  <si>
    <r>
      <t>索引：</t>
    </r>
    <r>
      <rPr>
        <sz val="10"/>
        <rFont val="Arial Narrow"/>
        <family val="2"/>
      </rPr>
      <t/>
    </r>
    <phoneticPr fontId="3" type="noConversion"/>
  </si>
  <si>
    <r>
      <t>分页：</t>
    </r>
    <r>
      <rPr>
        <u/>
        <sz val="10"/>
        <rFont val="Arial Narrow"/>
        <family val="2"/>
      </rPr>
      <t/>
    </r>
    <phoneticPr fontId="3" type="noConversion"/>
  </si>
  <si>
    <t>未审资产负债表横向趋势分析－负债</t>
    <phoneticPr fontId="3" type="noConversion"/>
  </si>
  <si>
    <t>未审资产负债表横向趋势分析－资产</t>
    <phoneticPr fontId="3" type="noConversion"/>
  </si>
  <si>
    <t>未审利润表及利润分配表横向分析</t>
    <phoneticPr fontId="3" type="noConversion"/>
  </si>
  <si>
    <t>变动额</t>
    <phoneticPr fontId="3" type="noConversion"/>
  </si>
  <si>
    <t>变动％</t>
    <phoneticPr fontId="3" type="noConversion"/>
  </si>
  <si>
    <t>未审资产负债表纵向趋势分析－资产</t>
    <phoneticPr fontId="3" type="noConversion"/>
  </si>
  <si>
    <t>已审数</t>
  </si>
  <si>
    <r>
      <t>比重</t>
    </r>
    <r>
      <rPr>
        <sz val="10"/>
        <rFont val="Times New Roman"/>
        <family val="1"/>
      </rPr>
      <t>%</t>
    </r>
    <phoneticPr fontId="3" type="noConversion"/>
  </si>
  <si>
    <t>②</t>
    <phoneticPr fontId="3" type="noConversion"/>
  </si>
  <si>
    <t>③</t>
    <phoneticPr fontId="3" type="noConversion"/>
  </si>
  <si>
    <t>未审数</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</si>
  <si>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</si>
  <si>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</si>
  <si>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r>
      <t>本年比上年</t>
    </r>
    <r>
      <rPr>
        <sz val="10"/>
        <rFont val="Times New Roman"/>
        <family val="1"/>
      </rPr>
      <t xml:space="preserve">
</t>
    </r>
    <r>
      <rPr>
        <sz val="10"/>
        <rFont val="宋体"/>
        <family val="3"/>
        <charset val="134"/>
      </rPr>
      <t>增长差异</t>
    </r>
    <phoneticPr fontId="3" type="noConversion"/>
  </si>
  <si>
    <r>
      <t>本年比上年</t>
    </r>
    <r>
      <rPr>
        <sz val="10"/>
        <rFont val="Times New Roman"/>
        <family val="1"/>
      </rPr>
      <t xml:space="preserve">
</t>
    </r>
    <r>
      <rPr>
        <sz val="10"/>
        <rFont val="宋体"/>
        <family val="3"/>
        <charset val="134"/>
      </rPr>
      <t>增长差异</t>
    </r>
    <phoneticPr fontId="3" type="noConversion"/>
  </si>
  <si>
    <t>未审资产负债表纵向趋势分析－负债</t>
    <phoneticPr fontId="3" type="noConversion"/>
  </si>
  <si>
    <r>
      <t>索引：</t>
    </r>
    <r>
      <rPr>
        <sz val="10"/>
        <rFont val="Arial Narrow"/>
        <family val="2"/>
      </rPr>
      <t/>
    </r>
    <phoneticPr fontId="3" type="noConversion"/>
  </si>
  <si>
    <r>
      <t>分页：</t>
    </r>
    <r>
      <rPr>
        <u/>
        <sz val="10"/>
        <rFont val="Arial Narrow"/>
        <family val="2"/>
      </rPr>
      <t/>
    </r>
    <phoneticPr fontId="3" type="noConversion"/>
  </si>
  <si>
    <t>未审利润表及利润分配表纵向分析</t>
    <phoneticPr fontId="3" type="noConversion"/>
  </si>
  <si>
    <t>②</t>
    <phoneticPr fontId="3" type="noConversion"/>
  </si>
  <si>
    <t>④</t>
    <phoneticPr fontId="3" type="noConversion"/>
  </si>
  <si>
    <r>
      <t>⑤</t>
    </r>
    <r>
      <rPr>
        <sz val="10"/>
        <rFont val="Times New Roman"/>
        <family val="1"/>
      </rPr>
      <t>=</t>
    </r>
    <r>
      <rPr>
        <sz val="10"/>
        <rFont val="宋体"/>
        <family val="3"/>
        <charset val="134"/>
      </rPr>
      <t>④</t>
    </r>
    <r>
      <rPr>
        <sz val="10"/>
        <rFont val="Times New Roman"/>
        <family val="1"/>
      </rPr>
      <t>-</t>
    </r>
    <r>
      <rPr>
        <sz val="10"/>
        <rFont val="宋体"/>
        <family val="3"/>
        <charset val="134"/>
      </rPr>
      <t>②</t>
    </r>
    <phoneticPr fontId="3" type="noConversion"/>
  </si>
  <si>
    <t>本年已审数</t>
    <phoneticPr fontId="3" type="noConversion"/>
  </si>
  <si>
    <t>已审资产负债表横向趋势分析－资产</t>
    <phoneticPr fontId="3" type="noConversion"/>
  </si>
  <si>
    <t>已审资产负债表横向趋势分析－负债</t>
    <phoneticPr fontId="3" type="noConversion"/>
  </si>
  <si>
    <t>行次</t>
    <phoneticPr fontId="9" type="noConversion"/>
  </si>
  <si>
    <t>已审利润表及利润分配表横向分析</t>
    <phoneticPr fontId="3" type="noConversion"/>
  </si>
  <si>
    <t>已审资产负债表纵向趋势分析－资产</t>
    <phoneticPr fontId="3" type="noConversion"/>
  </si>
  <si>
    <t>已审资产负债表纵向趋势分析－负债</t>
    <phoneticPr fontId="3" type="noConversion"/>
  </si>
  <si>
    <t>已审利润表及利润分配表纵向分析</t>
    <phoneticPr fontId="3" type="noConversion"/>
  </si>
  <si>
    <t>指标名称</t>
    <phoneticPr fontId="3" type="noConversion"/>
  </si>
  <si>
    <t>分子数值</t>
    <phoneticPr fontId="3" type="noConversion"/>
  </si>
  <si>
    <t>分母数值</t>
    <phoneticPr fontId="3" type="noConversion"/>
  </si>
  <si>
    <t>增减</t>
    <phoneticPr fontId="3" type="noConversion"/>
  </si>
  <si>
    <t>结论</t>
    <phoneticPr fontId="3" type="noConversion"/>
  </si>
  <si>
    <t>一、获利能力分析</t>
    <phoneticPr fontId="3" type="noConversion"/>
  </si>
  <si>
    <r>
      <t>1</t>
    </r>
    <r>
      <rPr>
        <sz val="9"/>
        <rFont val="宋体"/>
        <family val="3"/>
        <charset val="134"/>
      </rPr>
      <t>、长期资本报酬率</t>
    </r>
    <phoneticPr fontId="3" type="noConversion"/>
  </si>
  <si>
    <r>
      <t>2</t>
    </r>
    <r>
      <rPr>
        <sz val="9"/>
        <rFont val="宋体"/>
        <family val="3"/>
        <charset val="134"/>
      </rPr>
      <t>、资本金收益率</t>
    </r>
    <phoneticPr fontId="3" type="noConversion"/>
  </si>
  <si>
    <r>
      <t>3</t>
    </r>
    <r>
      <rPr>
        <sz val="9"/>
        <rFont val="宋体"/>
        <family val="3"/>
        <charset val="134"/>
      </rPr>
      <t>、股东权益报酬率</t>
    </r>
    <phoneticPr fontId="3" type="noConversion"/>
  </si>
  <si>
    <r>
      <t>5</t>
    </r>
    <r>
      <rPr>
        <sz val="9"/>
        <rFont val="宋体"/>
        <family val="3"/>
        <charset val="134"/>
      </rPr>
      <t>、毛利率</t>
    </r>
    <phoneticPr fontId="3" type="noConversion"/>
  </si>
  <si>
    <r>
      <t>6</t>
    </r>
    <r>
      <rPr>
        <sz val="9"/>
        <rFont val="宋体"/>
        <family val="3"/>
        <charset val="134"/>
      </rPr>
      <t>、营业利润率</t>
    </r>
    <phoneticPr fontId="3" type="noConversion"/>
  </si>
  <si>
    <r>
      <t>7</t>
    </r>
    <r>
      <rPr>
        <sz val="9"/>
        <rFont val="宋体"/>
        <family val="3"/>
        <charset val="134"/>
      </rPr>
      <t>、销售净利率</t>
    </r>
    <phoneticPr fontId="3" type="noConversion"/>
  </si>
  <si>
    <r>
      <t>8</t>
    </r>
    <r>
      <rPr>
        <sz val="9"/>
        <rFont val="宋体"/>
        <family val="3"/>
        <charset val="134"/>
      </rPr>
      <t>、成本费用利润率</t>
    </r>
    <phoneticPr fontId="3" type="noConversion"/>
  </si>
  <si>
    <r>
      <t>营业利润</t>
    </r>
    <r>
      <rPr>
        <sz val="9"/>
        <rFont val="Times New Roman"/>
        <family val="1"/>
      </rPr>
      <t>/</t>
    </r>
    <r>
      <rPr>
        <sz val="9"/>
        <rFont val="宋体"/>
        <family val="3"/>
        <charset val="134"/>
      </rPr>
      <t>（销售成本</t>
    </r>
    <r>
      <rPr>
        <sz val="9"/>
        <rFont val="Times New Roman"/>
        <family val="1"/>
      </rPr>
      <t>+</t>
    </r>
    <r>
      <rPr>
        <sz val="9"/>
        <rFont val="宋体"/>
        <family val="3"/>
        <charset val="134"/>
      </rPr>
      <t>销售费用</t>
    </r>
    <r>
      <rPr>
        <sz val="9"/>
        <rFont val="Times New Roman"/>
        <family val="1"/>
      </rPr>
      <t>+</t>
    </r>
    <r>
      <rPr>
        <sz val="9"/>
        <rFont val="宋体"/>
        <family val="3"/>
        <charset val="134"/>
      </rPr>
      <t>管理费用</t>
    </r>
    <r>
      <rPr>
        <sz val="9"/>
        <rFont val="Times New Roman"/>
        <family val="1"/>
      </rPr>
      <t>+</t>
    </r>
    <r>
      <rPr>
        <sz val="9"/>
        <rFont val="宋体"/>
        <family val="3"/>
        <charset val="134"/>
      </rPr>
      <t>财务费用）</t>
    </r>
    <phoneticPr fontId="3" type="noConversion"/>
  </si>
  <si>
    <t>二、短期偿债能力分析</t>
    <phoneticPr fontId="3" type="noConversion"/>
  </si>
  <si>
    <r>
      <t>1</t>
    </r>
    <r>
      <rPr>
        <sz val="9"/>
        <rFont val="宋体"/>
        <family val="3"/>
        <charset val="134"/>
      </rPr>
      <t>、流动比率</t>
    </r>
    <phoneticPr fontId="3" type="noConversion"/>
  </si>
  <si>
    <r>
      <t>流动资产</t>
    </r>
    <r>
      <rPr>
        <sz val="9"/>
        <rFont val="Times New Roman"/>
        <family val="1"/>
      </rPr>
      <t>/</t>
    </r>
    <r>
      <rPr>
        <sz val="9"/>
        <rFont val="宋体"/>
        <family val="3"/>
        <charset val="134"/>
      </rPr>
      <t>流动负债</t>
    </r>
    <phoneticPr fontId="3" type="noConversion"/>
  </si>
  <si>
    <r>
      <t>2</t>
    </r>
    <r>
      <rPr>
        <sz val="9"/>
        <rFont val="宋体"/>
        <family val="3"/>
        <charset val="134"/>
      </rPr>
      <t>、速动比率</t>
    </r>
    <phoneticPr fontId="3" type="noConversion"/>
  </si>
  <si>
    <r>
      <t>速动资产</t>
    </r>
    <r>
      <rPr>
        <sz val="9"/>
        <rFont val="Times New Roman"/>
        <family val="1"/>
      </rPr>
      <t>/</t>
    </r>
    <r>
      <rPr>
        <sz val="9"/>
        <rFont val="宋体"/>
        <family val="3"/>
        <charset val="134"/>
      </rPr>
      <t>流动负债</t>
    </r>
    <phoneticPr fontId="3" type="noConversion"/>
  </si>
  <si>
    <r>
      <t>3</t>
    </r>
    <r>
      <rPr>
        <sz val="9"/>
        <rFont val="宋体"/>
        <family val="3"/>
        <charset val="134"/>
      </rPr>
      <t>、现金比率</t>
    </r>
    <phoneticPr fontId="3" type="noConversion"/>
  </si>
  <si>
    <r>
      <t>（货币资金</t>
    </r>
    <r>
      <rPr>
        <sz val="9"/>
        <rFont val="Times New Roman"/>
        <family val="1"/>
      </rPr>
      <t>+</t>
    </r>
    <r>
      <rPr>
        <sz val="9"/>
        <rFont val="宋体"/>
        <family val="3"/>
        <charset val="134"/>
      </rPr>
      <t>有价证券）</t>
    </r>
    <r>
      <rPr>
        <sz val="9"/>
        <rFont val="Times New Roman"/>
        <family val="1"/>
      </rPr>
      <t>/</t>
    </r>
    <r>
      <rPr>
        <sz val="9"/>
        <rFont val="宋体"/>
        <family val="3"/>
        <charset val="134"/>
      </rPr>
      <t>流动负债</t>
    </r>
    <phoneticPr fontId="3" type="noConversion"/>
  </si>
  <si>
    <t>三、长期偿债能力分析</t>
    <phoneticPr fontId="3" type="noConversion"/>
  </si>
  <si>
    <r>
      <t>1</t>
    </r>
    <r>
      <rPr>
        <sz val="9"/>
        <rFont val="宋体"/>
        <family val="3"/>
        <charset val="134"/>
      </rPr>
      <t>、资产负债比率</t>
    </r>
    <phoneticPr fontId="3" type="noConversion"/>
  </si>
  <si>
    <r>
      <t>负债总额</t>
    </r>
    <r>
      <rPr>
        <sz val="9"/>
        <rFont val="Times New Roman"/>
        <family val="1"/>
      </rPr>
      <t>/</t>
    </r>
    <r>
      <rPr>
        <sz val="9"/>
        <rFont val="宋体"/>
        <family val="3"/>
        <charset val="134"/>
      </rPr>
      <t>资产总额</t>
    </r>
    <phoneticPr fontId="3" type="noConversion"/>
  </si>
  <si>
    <r>
      <t>2</t>
    </r>
    <r>
      <rPr>
        <sz val="9"/>
        <rFont val="宋体"/>
        <family val="3"/>
        <charset val="134"/>
      </rPr>
      <t>、产权比率</t>
    </r>
    <phoneticPr fontId="3" type="noConversion"/>
  </si>
  <si>
    <r>
      <t>负债总额</t>
    </r>
    <r>
      <rPr>
        <sz val="9"/>
        <rFont val="Times New Roman"/>
        <family val="1"/>
      </rPr>
      <t>/</t>
    </r>
    <r>
      <rPr>
        <sz val="9"/>
        <rFont val="宋体"/>
        <family val="3"/>
        <charset val="134"/>
      </rPr>
      <t>所有者权益总额</t>
    </r>
    <phoneticPr fontId="3" type="noConversion"/>
  </si>
  <si>
    <r>
      <t>3</t>
    </r>
    <r>
      <rPr>
        <sz val="9"/>
        <rFont val="宋体"/>
        <family val="3"/>
        <charset val="134"/>
      </rPr>
      <t>、有形净值债务比率</t>
    </r>
    <phoneticPr fontId="3" type="noConversion"/>
  </si>
  <si>
    <r>
      <t>负债总额</t>
    </r>
    <r>
      <rPr>
        <sz val="9"/>
        <rFont val="Times New Roman"/>
        <family val="1"/>
      </rPr>
      <t>/</t>
    </r>
    <r>
      <rPr>
        <sz val="9"/>
        <rFont val="宋体"/>
        <family val="3"/>
        <charset val="134"/>
      </rPr>
      <t>（所有者权益</t>
    </r>
    <r>
      <rPr>
        <sz val="9"/>
        <rFont val="Times New Roman"/>
        <family val="1"/>
      </rPr>
      <t>-</t>
    </r>
    <r>
      <rPr>
        <sz val="9"/>
        <rFont val="宋体"/>
        <family val="3"/>
        <charset val="134"/>
      </rPr>
      <t>无形资产</t>
    </r>
    <r>
      <rPr>
        <sz val="9"/>
        <rFont val="Times New Roman"/>
        <family val="1"/>
      </rPr>
      <t>-</t>
    </r>
    <r>
      <rPr>
        <sz val="9"/>
        <rFont val="宋体"/>
        <family val="3"/>
        <charset val="134"/>
      </rPr>
      <t>递延资产）</t>
    </r>
    <phoneticPr fontId="3" type="noConversion"/>
  </si>
  <si>
    <r>
      <t>4</t>
    </r>
    <r>
      <rPr>
        <sz val="9"/>
        <rFont val="宋体"/>
        <family val="3"/>
        <charset val="134"/>
      </rPr>
      <t>、利息保障倍数</t>
    </r>
    <phoneticPr fontId="3" type="noConversion"/>
  </si>
  <si>
    <r>
      <t>5</t>
    </r>
    <r>
      <rPr>
        <sz val="9"/>
        <rFont val="宋体"/>
        <family val="3"/>
        <charset val="134"/>
      </rPr>
      <t>、营运资金长期负债比率</t>
    </r>
    <phoneticPr fontId="3" type="noConversion"/>
  </si>
  <si>
    <r>
      <t>（流动资产</t>
    </r>
    <r>
      <rPr>
        <sz val="9"/>
        <rFont val="Times New Roman"/>
        <family val="1"/>
      </rPr>
      <t>-</t>
    </r>
    <r>
      <rPr>
        <sz val="9"/>
        <rFont val="宋体"/>
        <family val="3"/>
        <charset val="134"/>
      </rPr>
      <t>流动负债）</t>
    </r>
    <r>
      <rPr>
        <sz val="9"/>
        <rFont val="Times New Roman"/>
        <family val="1"/>
      </rPr>
      <t>/</t>
    </r>
    <r>
      <rPr>
        <sz val="9"/>
        <rFont val="宋体"/>
        <family val="3"/>
        <charset val="134"/>
      </rPr>
      <t>长期负债</t>
    </r>
    <phoneticPr fontId="3" type="noConversion"/>
  </si>
  <si>
    <r>
      <t>6</t>
    </r>
    <r>
      <rPr>
        <sz val="9"/>
        <rFont val="宋体"/>
        <family val="3"/>
        <charset val="134"/>
      </rPr>
      <t>、长期负债比率</t>
    </r>
    <phoneticPr fontId="3" type="noConversion"/>
  </si>
  <si>
    <r>
      <t>长期负债</t>
    </r>
    <r>
      <rPr>
        <sz val="9"/>
        <rFont val="Times New Roman"/>
        <family val="1"/>
      </rPr>
      <t>/</t>
    </r>
    <r>
      <rPr>
        <sz val="9"/>
        <rFont val="宋体"/>
        <family val="3"/>
        <charset val="134"/>
      </rPr>
      <t>负债总额</t>
    </r>
    <phoneticPr fontId="3" type="noConversion"/>
  </si>
  <si>
    <r>
      <t>7</t>
    </r>
    <r>
      <rPr>
        <sz val="9"/>
        <rFont val="宋体"/>
        <family val="3"/>
        <charset val="134"/>
      </rPr>
      <t>、融资结构弹性比率</t>
    </r>
    <phoneticPr fontId="3" type="noConversion"/>
  </si>
  <si>
    <r>
      <t>1</t>
    </r>
    <r>
      <rPr>
        <sz val="9"/>
        <rFont val="宋体"/>
        <family val="3"/>
        <charset val="134"/>
      </rPr>
      <t>、总资产周转率</t>
    </r>
    <phoneticPr fontId="3" type="noConversion"/>
  </si>
  <si>
    <r>
      <t>2</t>
    </r>
    <r>
      <rPr>
        <sz val="9"/>
        <rFont val="宋体"/>
        <family val="3"/>
        <charset val="134"/>
      </rPr>
      <t>、固定资产周转率</t>
    </r>
    <phoneticPr fontId="3" type="noConversion"/>
  </si>
  <si>
    <r>
      <t>3</t>
    </r>
    <r>
      <rPr>
        <sz val="9"/>
        <rFont val="宋体"/>
        <family val="3"/>
        <charset val="134"/>
      </rPr>
      <t>、流动资产周转率</t>
    </r>
    <phoneticPr fontId="3" type="noConversion"/>
  </si>
  <si>
    <r>
      <t>4</t>
    </r>
    <r>
      <rPr>
        <sz val="9"/>
        <rFont val="宋体"/>
        <family val="3"/>
        <charset val="134"/>
      </rPr>
      <t>、应收账款周转率</t>
    </r>
    <phoneticPr fontId="3" type="noConversion"/>
  </si>
  <si>
    <r>
      <t>5</t>
    </r>
    <r>
      <rPr>
        <sz val="9"/>
        <rFont val="宋体"/>
        <family val="3"/>
        <charset val="134"/>
      </rPr>
      <t>、存货周转率</t>
    </r>
    <phoneticPr fontId="3" type="noConversion"/>
  </si>
  <si>
    <r>
      <t>6</t>
    </r>
    <r>
      <rPr>
        <sz val="9"/>
        <rFont val="宋体"/>
        <family val="3"/>
        <charset val="134"/>
      </rPr>
      <t>、营业周期</t>
    </r>
    <phoneticPr fontId="3" type="noConversion"/>
  </si>
  <si>
    <r>
      <t>应收账款周转天数</t>
    </r>
    <r>
      <rPr>
        <sz val="9"/>
        <rFont val="Times New Roman"/>
        <family val="1"/>
      </rPr>
      <t>+</t>
    </r>
    <r>
      <rPr>
        <sz val="9"/>
        <rFont val="宋体"/>
        <family val="3"/>
        <charset val="134"/>
      </rPr>
      <t>存货周转天数</t>
    </r>
    <phoneticPr fontId="3" type="noConversion"/>
  </si>
  <si>
    <r>
      <t>1</t>
    </r>
    <r>
      <rPr>
        <sz val="9"/>
        <rFont val="宋体"/>
        <family val="3"/>
        <charset val="134"/>
      </rPr>
      <t>、经营活动净现金比率</t>
    </r>
    <r>
      <rPr>
        <sz val="9"/>
        <rFont val="Times New Roman"/>
        <family val="1"/>
      </rPr>
      <t>1</t>
    </r>
    <phoneticPr fontId="3" type="noConversion"/>
  </si>
  <si>
    <r>
      <t>经营活动净现金流量</t>
    </r>
    <r>
      <rPr>
        <sz val="9"/>
        <rFont val="Times New Roman"/>
        <family val="1"/>
      </rPr>
      <t>/</t>
    </r>
    <r>
      <rPr>
        <sz val="9"/>
        <rFont val="宋体"/>
        <family val="3"/>
        <charset val="134"/>
      </rPr>
      <t>流动负债</t>
    </r>
    <phoneticPr fontId="3" type="noConversion"/>
  </si>
  <si>
    <r>
      <t>2</t>
    </r>
    <r>
      <rPr>
        <sz val="9"/>
        <rFont val="宋体"/>
        <family val="3"/>
        <charset val="134"/>
      </rPr>
      <t>、经营活动净现金比率</t>
    </r>
    <r>
      <rPr>
        <sz val="9"/>
        <rFont val="Times New Roman"/>
        <family val="1"/>
      </rPr>
      <t>2</t>
    </r>
    <phoneticPr fontId="3" type="noConversion"/>
  </si>
  <si>
    <r>
      <t>经营活动净现金流量</t>
    </r>
    <r>
      <rPr>
        <sz val="9"/>
        <rFont val="Times New Roman"/>
        <family val="1"/>
      </rPr>
      <t>/</t>
    </r>
    <r>
      <rPr>
        <sz val="9"/>
        <rFont val="宋体"/>
        <family val="3"/>
        <charset val="134"/>
      </rPr>
      <t>负债总额</t>
    </r>
    <phoneticPr fontId="3" type="noConversion"/>
  </si>
  <si>
    <r>
      <t>3</t>
    </r>
    <r>
      <rPr>
        <sz val="9"/>
        <rFont val="宋体"/>
        <family val="3"/>
        <charset val="134"/>
      </rPr>
      <t>、净利润现金保证比率</t>
    </r>
    <phoneticPr fontId="3" type="noConversion"/>
  </si>
  <si>
    <r>
      <t>经营活动净现金流量</t>
    </r>
    <r>
      <rPr>
        <sz val="9"/>
        <rFont val="Times New Roman"/>
        <family val="1"/>
      </rPr>
      <t>/</t>
    </r>
    <r>
      <rPr>
        <sz val="9"/>
        <rFont val="宋体"/>
        <family val="3"/>
        <charset val="134"/>
      </rPr>
      <t>净利润</t>
    </r>
    <phoneticPr fontId="3" type="noConversion"/>
  </si>
  <si>
    <r>
      <t>4</t>
    </r>
    <r>
      <rPr>
        <sz val="9"/>
        <rFont val="宋体"/>
        <family val="3"/>
        <charset val="134"/>
      </rPr>
      <t>、销售收入现金回收比率</t>
    </r>
    <phoneticPr fontId="3" type="noConversion"/>
  </si>
  <si>
    <t>注：</t>
    <phoneticPr fontId="3" type="noConversion"/>
  </si>
  <si>
    <t>未审报表财务比率分析</t>
    <phoneticPr fontId="3" type="noConversion"/>
  </si>
  <si>
    <t>指标值</t>
    <phoneticPr fontId="3" type="noConversion"/>
  </si>
  <si>
    <t>计算公式</t>
    <phoneticPr fontId="3" type="noConversion"/>
  </si>
  <si>
    <r>
      <t>产品销售收入净额</t>
    </r>
    <r>
      <rPr>
        <sz val="9"/>
        <rFont val="Times New Roman"/>
        <family val="1"/>
      </rPr>
      <t>(annualized)/</t>
    </r>
    <r>
      <rPr>
        <sz val="9"/>
        <rFont val="宋体"/>
        <family val="3"/>
        <charset val="134"/>
      </rPr>
      <t>平均资产总额</t>
    </r>
    <phoneticPr fontId="3" type="noConversion"/>
  </si>
  <si>
    <r>
      <t>产品销售收入净额</t>
    </r>
    <r>
      <rPr>
        <sz val="9"/>
        <rFont val="Times New Roman"/>
        <family val="1"/>
      </rPr>
      <t>(annualized)/</t>
    </r>
    <r>
      <rPr>
        <sz val="9"/>
        <rFont val="宋体"/>
        <family val="3"/>
        <charset val="134"/>
      </rPr>
      <t>固定资产平均净值</t>
    </r>
    <phoneticPr fontId="3" type="noConversion"/>
  </si>
  <si>
    <r>
      <t>赊销收入净额</t>
    </r>
    <r>
      <rPr>
        <sz val="9"/>
        <rFont val="Times New Roman"/>
        <family val="1"/>
      </rPr>
      <t>(annualized)/</t>
    </r>
    <r>
      <rPr>
        <sz val="9"/>
        <rFont val="宋体"/>
        <family val="3"/>
        <charset val="134"/>
      </rPr>
      <t>应收账款平均余额</t>
    </r>
    <phoneticPr fontId="3" type="noConversion"/>
  </si>
  <si>
    <r>
      <t>销货成本</t>
    </r>
    <r>
      <rPr>
        <sz val="9"/>
        <rFont val="Times New Roman"/>
        <family val="1"/>
      </rPr>
      <t>(annualized)/</t>
    </r>
    <r>
      <rPr>
        <sz val="9"/>
        <rFont val="宋体"/>
        <family val="3"/>
        <charset val="134"/>
      </rPr>
      <t>存货平均余额</t>
    </r>
    <phoneticPr fontId="3" type="noConversion"/>
  </si>
  <si>
    <r>
      <t>（利润总额</t>
    </r>
    <r>
      <rPr>
        <sz val="9"/>
        <rFont val="Times New Roman"/>
        <family val="1"/>
      </rPr>
      <t>+</t>
    </r>
    <r>
      <rPr>
        <sz val="9"/>
        <rFont val="宋体"/>
        <family val="3"/>
        <charset val="134"/>
      </rPr>
      <t>利息支出净额）</t>
    </r>
    <r>
      <rPr>
        <sz val="9"/>
        <rFont val="Times New Roman"/>
        <family val="1"/>
      </rPr>
      <t>/</t>
    </r>
    <r>
      <rPr>
        <sz val="9"/>
        <rFont val="宋体"/>
        <family val="3"/>
        <charset val="134"/>
      </rPr>
      <t>（长期负债平均值</t>
    </r>
    <r>
      <rPr>
        <sz val="9"/>
        <rFont val="Times New Roman"/>
        <family val="1"/>
      </rPr>
      <t>+</t>
    </r>
    <r>
      <rPr>
        <sz val="9"/>
        <rFont val="宋体"/>
        <family val="3"/>
        <charset val="134"/>
      </rPr>
      <t>所有者权益平均值）</t>
    </r>
    <phoneticPr fontId="3" type="noConversion"/>
  </si>
  <si>
    <r>
      <t>4</t>
    </r>
    <r>
      <rPr>
        <sz val="9"/>
        <rFont val="宋体"/>
        <family val="3"/>
        <charset val="134"/>
      </rPr>
      <t>、总资产报酬率</t>
    </r>
    <phoneticPr fontId="3" type="noConversion"/>
  </si>
  <si>
    <t>四、资产管理效率分析</t>
    <phoneticPr fontId="3" type="noConversion"/>
  </si>
  <si>
    <t>六、现金流量分析</t>
    <phoneticPr fontId="3" type="noConversion"/>
  </si>
  <si>
    <t>五、资产管理效果分析</t>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</si>
  <si>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</si>
  <si>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</si>
  <si>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</si>
  <si>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3</t>
    </r>
    <r>
      <rPr>
        <sz val="9"/>
        <rFont val="宋体"/>
        <family val="3"/>
        <charset val="134"/>
      </rPr>
      <t>、社会积累率</t>
    </r>
    <phoneticPr fontId="3" type="noConversion"/>
  </si>
  <si>
    <t>上交国家财政总额/企业社会贡献总额</t>
    <phoneticPr fontId="3" type="noConversion"/>
  </si>
  <si>
    <r>
      <t>4</t>
    </r>
    <r>
      <rPr>
        <sz val="9"/>
        <rFont val="宋体"/>
        <family val="3"/>
        <charset val="134"/>
      </rPr>
      <t>、不良资产比率</t>
    </r>
    <phoneticPr fontId="3" type="noConversion"/>
  </si>
  <si>
    <t>年末不良资产/年末资产总额</t>
    <phoneticPr fontId="3" type="noConversion"/>
  </si>
  <si>
    <r>
      <t>5</t>
    </r>
    <r>
      <rPr>
        <sz val="9"/>
        <rFont val="宋体"/>
        <family val="3"/>
        <charset val="134"/>
      </rPr>
      <t>、资产损失率</t>
    </r>
    <phoneticPr fontId="3" type="noConversion"/>
  </si>
  <si>
    <t>待处理资产损失净额/年末资产总额</t>
    <phoneticPr fontId="3" type="noConversion"/>
  </si>
  <si>
    <r>
      <t>6</t>
    </r>
    <r>
      <rPr>
        <sz val="9"/>
        <rFont val="宋体"/>
        <family val="3"/>
        <charset val="134"/>
      </rPr>
      <t>、固定资产成新率</t>
    </r>
    <phoneticPr fontId="3" type="noConversion"/>
  </si>
  <si>
    <t>平均固定资产净值/平均固定资产原价</t>
    <phoneticPr fontId="3" type="noConversion"/>
  </si>
  <si>
    <t xml:space="preserve"> </t>
    <phoneticPr fontId="3" type="noConversion"/>
  </si>
  <si>
    <t>辅助列</t>
    <phoneticPr fontId="3" type="noConversion"/>
  </si>
  <si>
    <t>变动状况（显著/关注)</t>
    <phoneticPr fontId="3" type="noConversion"/>
  </si>
  <si>
    <t>显著变动
原因分析</t>
    <phoneticPr fontId="3" type="noConversion"/>
  </si>
  <si>
    <t>本年已审数</t>
    <phoneticPr fontId="3" type="noConversion"/>
  </si>
  <si>
    <t>已审数</t>
    <phoneticPr fontId="3" type="noConversion"/>
  </si>
  <si>
    <t>code</t>
    <phoneticPr fontId="59" type="noConversion"/>
  </si>
  <si>
    <t>本表可根据需要插入行，</t>
    <phoneticPr fontId="59" type="noConversion"/>
  </si>
  <si>
    <t>请勿删除行。</t>
    <phoneticPr fontId="59" type="noConversion"/>
  </si>
  <si>
    <t>借方</t>
    <phoneticPr fontId="3" type="noConversion"/>
  </si>
  <si>
    <t>上期审定数</t>
    <phoneticPr fontId="3" type="noConversion"/>
  </si>
  <si>
    <t>利润表及利润分配表期初核对</t>
    <phoneticPr fontId="3" type="noConversion"/>
  </si>
  <si>
    <t>本期上期数
②</t>
    <phoneticPr fontId="3" type="noConversion"/>
  </si>
  <si>
    <t>期初核对PL</t>
  </si>
  <si>
    <t>未审横向BS</t>
  </si>
  <si>
    <t xml:space="preserve">未审横向PL </t>
  </si>
  <si>
    <t xml:space="preserve">未审纵向BS </t>
  </si>
  <si>
    <t>未审纵向PL</t>
  </si>
  <si>
    <t>未审比率分析</t>
  </si>
  <si>
    <t>已审横向BS</t>
  </si>
  <si>
    <t>已审横向PL</t>
  </si>
  <si>
    <t>已审纵向BS</t>
  </si>
  <si>
    <t>已审纵向PL</t>
  </si>
  <si>
    <t>NB</t>
    <phoneticPr fontId="3" type="noConversion"/>
  </si>
  <si>
    <t>资产负债表</t>
    <phoneticPr fontId="3" type="noConversion"/>
  </si>
  <si>
    <t xml:space="preserve">  项   目</t>
    <phoneticPr fontId="3" type="noConversion"/>
  </si>
  <si>
    <t>附注</t>
    <phoneticPr fontId="3" type="noConversion"/>
  </si>
  <si>
    <t xml:space="preserve">  项   目</t>
    <phoneticPr fontId="3" type="noConversion"/>
  </si>
  <si>
    <t>附注</t>
    <phoneticPr fontId="3" type="noConversion"/>
  </si>
  <si>
    <t>利润及利润分配表</t>
    <phoneticPr fontId="3" type="noConversion"/>
  </si>
  <si>
    <t>附注</t>
    <phoneticPr fontId="9" type="noConversion"/>
  </si>
  <si>
    <t>现金流量表</t>
    <phoneticPr fontId="3" type="noConversion"/>
  </si>
  <si>
    <t>金额</t>
    <phoneticPr fontId="77" type="noConversion"/>
  </si>
  <si>
    <t>一、经营活动产生的现金流量：</t>
    <phoneticPr fontId="3" type="noConversion"/>
  </si>
  <si>
    <t xml:space="preserve">      销售商品、提供劳务收到的现金</t>
    <phoneticPr fontId="3" type="noConversion"/>
  </si>
  <si>
    <t xml:space="preserve">      支付的各项税费 </t>
    <phoneticPr fontId="3" type="noConversion"/>
  </si>
  <si>
    <t xml:space="preserve">     经营活动产生的现金流量净额</t>
    <phoneticPr fontId="77" type="noConversion"/>
  </si>
  <si>
    <t>二、投资活动产生的现金流量：</t>
    <phoneticPr fontId="3" type="noConversion"/>
  </si>
  <si>
    <t xml:space="preserve">      收回投资所收到的现金</t>
    <phoneticPr fontId="3" type="noConversion"/>
  </si>
  <si>
    <t xml:space="preserve">      取得投资收益所收到的现金</t>
    <phoneticPr fontId="3" type="noConversion"/>
  </si>
  <si>
    <t xml:space="preserve">      处置固定资产、无形资产和其他长期资产所收回的现金净额</t>
    <phoneticPr fontId="3" type="noConversion"/>
  </si>
  <si>
    <t xml:space="preserve">      购建固定资产、无形资产和其他长期资产所支付的现金</t>
    <phoneticPr fontId="3" type="noConversion"/>
  </si>
  <si>
    <t xml:space="preserve">      投资所支付的现金</t>
    <phoneticPr fontId="3" type="noConversion"/>
  </si>
  <si>
    <t>三、筹资活动产生的现金流量：</t>
    <phoneticPr fontId="3" type="noConversion"/>
  </si>
  <si>
    <t xml:space="preserve">      吸收投资所收到的现金</t>
    <phoneticPr fontId="3" type="noConversion"/>
  </si>
  <si>
    <t xml:space="preserve">      分配股利、利润或偿付利息所支付的现金</t>
    <phoneticPr fontId="3" type="noConversion"/>
  </si>
  <si>
    <t>现金流量表--补充资料</t>
    <phoneticPr fontId="3" type="noConversion"/>
  </si>
  <si>
    <r>
      <t>项</t>
    </r>
    <r>
      <rPr>
        <b/>
        <sz val="10"/>
        <rFont val="Times New Roman"/>
        <family val="1"/>
      </rPr>
      <t xml:space="preserve">            </t>
    </r>
    <r>
      <rPr>
        <b/>
        <sz val="10"/>
        <rFont val="宋体"/>
        <family val="3"/>
        <charset val="134"/>
      </rPr>
      <t>目</t>
    </r>
    <phoneticPr fontId="77" type="noConversion"/>
  </si>
  <si>
    <t>附注</t>
    <phoneticPr fontId="3" type="noConversion"/>
  </si>
  <si>
    <t>金额</t>
    <phoneticPr fontId="77" type="noConversion"/>
  </si>
  <si>
    <t>1、将净利润调节为经营活动现金流量：</t>
    <phoneticPr fontId="3" type="noConversion"/>
  </si>
  <si>
    <t xml:space="preserve">   净利润</t>
    <phoneticPr fontId="3" type="noConversion"/>
  </si>
  <si>
    <t xml:space="preserve">       固定资产折旧</t>
    <phoneticPr fontId="3" type="noConversion"/>
  </si>
  <si>
    <t xml:space="preserve">       无形资产摊销</t>
    <phoneticPr fontId="3" type="noConversion"/>
  </si>
  <si>
    <t xml:space="preserve">       长期待摊费用摊销</t>
    <phoneticPr fontId="3" type="noConversion"/>
  </si>
  <si>
    <t xml:space="preserve">       待摊费用减少（减：增加）</t>
    <phoneticPr fontId="3" type="noConversion"/>
  </si>
  <si>
    <t xml:space="preserve">       预提费用增加（减：减少）</t>
    <phoneticPr fontId="3" type="noConversion"/>
  </si>
  <si>
    <t xml:space="preserve">       处置固定资产、无形资产和其他长期资产的损失（减：收益）</t>
    <phoneticPr fontId="3" type="noConversion"/>
  </si>
  <si>
    <t xml:space="preserve">       固定资产报废损失</t>
    <phoneticPr fontId="3" type="noConversion"/>
  </si>
  <si>
    <t xml:space="preserve">       投资损失（减：收益）</t>
    <phoneticPr fontId="3" type="noConversion"/>
  </si>
  <si>
    <t xml:space="preserve">       递延税款贷项（减：借项）</t>
    <phoneticPr fontId="3" type="noConversion"/>
  </si>
  <si>
    <t xml:space="preserve">       经营性应收项目的减少（减：增加）</t>
    <phoneticPr fontId="3" type="noConversion"/>
  </si>
  <si>
    <t xml:space="preserve">       其他</t>
    <phoneticPr fontId="3" type="noConversion"/>
  </si>
  <si>
    <t xml:space="preserve">    经营活动产生的现金流量净额</t>
    <phoneticPr fontId="3" type="noConversion"/>
  </si>
  <si>
    <t xml:space="preserve">    融资租入固定资产</t>
    <phoneticPr fontId="3" type="noConversion"/>
  </si>
  <si>
    <t>3、现金及现金等价物净增加情况：</t>
    <phoneticPr fontId="3" type="noConversion"/>
  </si>
  <si>
    <t xml:space="preserve">   减：现金的期初余额</t>
    <phoneticPr fontId="3" type="noConversion"/>
  </si>
  <si>
    <t xml:space="preserve">   加：现金等价物的期末余额</t>
    <phoneticPr fontId="3" type="noConversion"/>
  </si>
  <si>
    <t>说明</t>
  </si>
  <si>
    <r>
      <t>（营业利润</t>
    </r>
    <r>
      <rPr>
        <sz val="9"/>
        <rFont val="Times New Roman"/>
        <family val="1"/>
      </rPr>
      <t>+</t>
    </r>
    <r>
      <rPr>
        <sz val="9"/>
        <rFont val="宋体"/>
        <family val="3"/>
        <charset val="134"/>
      </rPr>
      <t>利息支出净额）</t>
    </r>
    <r>
      <rPr>
        <sz val="9"/>
        <rFont val="Times New Roman"/>
        <family val="1"/>
      </rPr>
      <t>/</t>
    </r>
    <r>
      <rPr>
        <sz val="9"/>
        <rFont val="宋体"/>
        <family val="3"/>
        <charset val="134"/>
      </rPr>
      <t>销售收入净额</t>
    </r>
    <phoneticPr fontId="3" type="noConversion"/>
  </si>
  <si>
    <r>
      <t>毛利</t>
    </r>
    <r>
      <rPr>
        <sz val="9"/>
        <rFont val="Times New Roman"/>
        <family val="1"/>
      </rPr>
      <t>/</t>
    </r>
    <r>
      <rPr>
        <sz val="9"/>
        <rFont val="宋体"/>
        <family val="3"/>
        <charset val="134"/>
      </rPr>
      <t>销售收入净额</t>
    </r>
    <phoneticPr fontId="3" type="noConversion"/>
  </si>
  <si>
    <r>
      <t>净利润</t>
    </r>
    <r>
      <rPr>
        <sz val="9"/>
        <rFont val="Times New Roman"/>
        <family val="1"/>
      </rPr>
      <t>/</t>
    </r>
    <r>
      <rPr>
        <sz val="9"/>
        <rFont val="宋体"/>
        <family val="3"/>
        <charset val="134"/>
      </rPr>
      <t>销售收入净额</t>
    </r>
    <phoneticPr fontId="3" type="noConversion"/>
  </si>
  <si>
    <r>
      <t>（税前利润</t>
    </r>
    <r>
      <rPr>
        <sz val="9"/>
        <rFont val="Times New Roman"/>
        <family val="1"/>
      </rPr>
      <t>+</t>
    </r>
    <r>
      <rPr>
        <sz val="9"/>
        <rFont val="宋体"/>
        <family val="3"/>
        <charset val="134"/>
      </rPr>
      <t>利息支出）</t>
    </r>
    <r>
      <rPr>
        <sz val="9"/>
        <rFont val="Times New Roman"/>
        <family val="1"/>
      </rPr>
      <t>/</t>
    </r>
    <r>
      <rPr>
        <sz val="9"/>
        <rFont val="宋体"/>
        <family val="3"/>
        <charset val="134"/>
      </rPr>
      <t>利息支出</t>
    </r>
    <phoneticPr fontId="3" type="noConversion"/>
  </si>
  <si>
    <r>
      <t>经营活动净现金流量</t>
    </r>
    <r>
      <rPr>
        <sz val="9"/>
        <rFont val="Times New Roman"/>
        <family val="1"/>
      </rPr>
      <t>/</t>
    </r>
    <r>
      <rPr>
        <sz val="9"/>
        <rFont val="宋体"/>
        <family val="3"/>
        <charset val="134"/>
      </rPr>
      <t>销售收入净额</t>
    </r>
    <phoneticPr fontId="3" type="noConversion"/>
  </si>
  <si>
    <r>
      <t>弹性融资（流动负债融资</t>
    </r>
    <r>
      <rPr>
        <sz val="9"/>
        <rFont val="Times New Roman"/>
        <family val="1"/>
      </rPr>
      <t>+</t>
    </r>
    <r>
      <rPr>
        <sz val="9"/>
        <rFont val="宋体"/>
        <family val="3"/>
        <charset val="134"/>
      </rPr>
      <t>未分配利润）</t>
    </r>
    <r>
      <rPr>
        <sz val="9"/>
        <rFont val="Times New Roman"/>
        <family val="1"/>
      </rPr>
      <t>/</t>
    </r>
    <r>
      <rPr>
        <sz val="9"/>
        <rFont val="宋体"/>
        <family val="3"/>
        <charset val="134"/>
      </rPr>
      <t>融资总量</t>
    </r>
    <phoneticPr fontId="3" type="noConversion"/>
  </si>
  <si>
    <r>
      <t>净利润</t>
    </r>
    <r>
      <rPr>
        <sz val="9"/>
        <rFont val="Times New Roman"/>
        <family val="1"/>
      </rPr>
      <t>(annualized)/</t>
    </r>
    <r>
      <rPr>
        <sz val="9"/>
        <rFont val="宋体"/>
        <family val="3"/>
        <charset val="134"/>
      </rPr>
      <t>资本金总额</t>
    </r>
    <phoneticPr fontId="3" type="noConversion"/>
  </si>
  <si>
    <r>
      <t>净利润</t>
    </r>
    <r>
      <rPr>
        <sz val="9"/>
        <rFont val="Times New Roman"/>
        <family val="1"/>
      </rPr>
      <t>(annualized)/</t>
    </r>
    <r>
      <rPr>
        <sz val="9"/>
        <rFont val="宋体"/>
        <family val="3"/>
        <charset val="134"/>
      </rPr>
      <t>股东权益平均值</t>
    </r>
    <phoneticPr fontId="3" type="noConversion"/>
  </si>
  <si>
    <r>
      <t>（利润总额</t>
    </r>
    <r>
      <rPr>
        <sz val="9"/>
        <rFont val="Times New Roman"/>
        <family val="1"/>
      </rPr>
      <t>+</t>
    </r>
    <r>
      <rPr>
        <sz val="9"/>
        <rFont val="宋体"/>
        <family val="3"/>
        <charset val="134"/>
      </rPr>
      <t>利息支出净额）</t>
    </r>
    <r>
      <rPr>
        <sz val="9"/>
        <rFont val="Times New Roman"/>
        <family val="1"/>
      </rPr>
      <t>(annualized)/</t>
    </r>
    <r>
      <rPr>
        <sz val="9"/>
        <rFont val="宋体"/>
        <family val="3"/>
        <charset val="134"/>
      </rPr>
      <t>平均资产总值</t>
    </r>
    <phoneticPr fontId="3" type="noConversion"/>
  </si>
  <si>
    <r>
      <t>1</t>
    </r>
    <r>
      <rPr>
        <sz val="9"/>
        <rFont val="宋体"/>
        <family val="3"/>
        <charset val="134"/>
      </rPr>
      <t>、资本保值增值率</t>
    </r>
    <phoneticPr fontId="3" type="noConversion"/>
  </si>
  <si>
    <t>期末所有者权益总额/期初所有者权益总额</t>
    <phoneticPr fontId="3" type="noConversion"/>
  </si>
  <si>
    <r>
      <t>2</t>
    </r>
    <r>
      <rPr>
        <sz val="9"/>
        <rFont val="宋体"/>
        <family val="3"/>
        <charset val="134"/>
      </rPr>
      <t>、社会贡献率</t>
    </r>
    <phoneticPr fontId="3" type="noConversion"/>
  </si>
  <si>
    <r>
      <t>3</t>
    </r>
    <r>
      <rPr>
        <sz val="9"/>
        <rFont val="宋体"/>
        <family val="3"/>
        <charset val="134"/>
      </rPr>
      <t>、社会积累率</t>
    </r>
    <phoneticPr fontId="3" type="noConversion"/>
  </si>
  <si>
    <t>上交国家财政总额/企业社会贡献总额</t>
    <phoneticPr fontId="3" type="noConversion"/>
  </si>
  <si>
    <t>已审报表财务比率分析</t>
    <phoneticPr fontId="3" type="noConversion"/>
  </si>
  <si>
    <r>
      <t>企业社会贡献总额</t>
    </r>
    <r>
      <rPr>
        <sz val="9"/>
        <rFont val="Arial Narrow"/>
        <family val="2"/>
      </rPr>
      <t>(annualized)</t>
    </r>
    <r>
      <rPr>
        <sz val="9"/>
        <rFont val="宋体"/>
        <family val="3"/>
        <charset val="134"/>
      </rPr>
      <t>/平均资产总额</t>
    </r>
    <phoneticPr fontId="3" type="noConversion"/>
  </si>
  <si>
    <r>
      <t>3</t>
    </r>
    <r>
      <rPr>
        <sz val="9"/>
        <rFont val="宋体"/>
        <family val="3"/>
        <charset val="134"/>
      </rPr>
      <t>、流动比率正常值为</t>
    </r>
    <r>
      <rPr>
        <sz val="9"/>
        <rFont val="Times New Roman"/>
        <family val="1"/>
      </rPr>
      <t>2</t>
    </r>
    <r>
      <rPr>
        <sz val="9"/>
        <rFont val="宋体"/>
        <family val="3"/>
        <charset val="134"/>
      </rPr>
      <t>，速动比率正常值为</t>
    </r>
    <r>
      <rPr>
        <sz val="9"/>
        <rFont val="Times New Roman"/>
        <family val="1"/>
      </rPr>
      <t>1</t>
    </r>
    <r>
      <rPr>
        <sz val="9"/>
        <rFont val="宋体"/>
        <family val="3"/>
        <charset val="134"/>
      </rPr>
      <t>，现金比率正常值为</t>
    </r>
    <r>
      <rPr>
        <sz val="9"/>
        <rFont val="Times New Roman"/>
        <family val="1"/>
      </rPr>
      <t>0.3</t>
    </r>
    <r>
      <rPr>
        <sz val="9"/>
        <rFont val="宋体"/>
        <family val="3"/>
        <charset val="134"/>
      </rPr>
      <t>。</t>
    </r>
    <phoneticPr fontId="3" type="noConversion"/>
  </si>
  <si>
    <r>
      <t>1</t>
    </r>
    <r>
      <rPr>
        <sz val="9"/>
        <rFont val="宋体"/>
        <family val="3"/>
        <charset val="134"/>
      </rPr>
      <t>、凡涉及平均数的比率，按年末、年初算术平均计算。</t>
    </r>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</si>
  <si>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</si>
  <si>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r>
      <t>1</t>
    </r>
    <r>
      <rPr>
        <sz val="9"/>
        <rFont val="宋体"/>
        <family val="3"/>
        <charset val="134"/>
      </rPr>
      <t>、凡涉及平均数的比率，按期末、期初算术平均计算。</t>
    </r>
    <phoneticPr fontId="3" type="noConversion"/>
  </si>
  <si>
    <t>已审比率分析</t>
  </si>
  <si>
    <t>期末资产总计＝期末负债和股东权益总计</t>
    <phoneticPr fontId="15" type="noConversion"/>
  </si>
  <si>
    <t>期初资产总计＝期初负债和股东权益总计</t>
    <phoneticPr fontId="15" type="noConversion"/>
  </si>
  <si>
    <r>
      <t>B/S</t>
    </r>
    <r>
      <rPr>
        <sz val="10"/>
        <rFont val="宋体"/>
        <family val="3"/>
        <charset val="134"/>
      </rPr>
      <t>期末未分配利润＝</t>
    </r>
    <r>
      <rPr>
        <sz val="10"/>
        <rFont val="Arial Narrow"/>
        <family val="2"/>
      </rPr>
      <t>P/L</t>
    </r>
    <r>
      <rPr>
        <sz val="10"/>
        <rFont val="宋体"/>
        <family val="3"/>
        <charset val="134"/>
      </rPr>
      <t>期末未分配利润</t>
    </r>
    <phoneticPr fontId="15" type="noConversion"/>
  </si>
  <si>
    <r>
      <t>B/S</t>
    </r>
    <r>
      <rPr>
        <sz val="10"/>
        <rFont val="宋体"/>
        <family val="3"/>
        <charset val="134"/>
      </rPr>
      <t>期初未分配利润＝</t>
    </r>
    <r>
      <rPr>
        <sz val="10"/>
        <rFont val="Arial Narrow"/>
        <family val="2"/>
      </rPr>
      <t>P/L</t>
    </r>
    <r>
      <rPr>
        <sz val="10"/>
        <rFont val="宋体"/>
        <family val="3"/>
        <charset val="134"/>
      </rPr>
      <t>期初未分配利润</t>
    </r>
    <phoneticPr fontId="15" type="noConversion"/>
  </si>
  <si>
    <t>期末年初未分配利润＝期初未分配利润</t>
    <phoneticPr fontId="15" type="noConversion"/>
  </si>
  <si>
    <r>
      <t>B/S</t>
    </r>
    <r>
      <rPr>
        <sz val="10"/>
        <rFont val="宋体"/>
        <family val="3"/>
        <charset val="134"/>
      </rPr>
      <t>期末货币资金＝</t>
    </r>
    <r>
      <rPr>
        <sz val="10"/>
        <rFont val="Arial Narrow"/>
        <family val="2"/>
      </rPr>
      <t>Cashflow</t>
    </r>
    <r>
      <rPr>
        <sz val="10"/>
        <rFont val="宋体"/>
        <family val="3"/>
        <charset val="134"/>
      </rPr>
      <t>期末货币资金</t>
    </r>
    <phoneticPr fontId="15" type="noConversion"/>
  </si>
  <si>
    <r>
      <t>B/S</t>
    </r>
    <r>
      <rPr>
        <sz val="10"/>
        <rFont val="宋体"/>
        <family val="3"/>
        <charset val="134"/>
      </rPr>
      <t>期初货币资金＝</t>
    </r>
    <r>
      <rPr>
        <sz val="10"/>
        <rFont val="Arial Narrow"/>
        <family val="2"/>
      </rPr>
      <t>Cashflow</t>
    </r>
    <r>
      <rPr>
        <sz val="10"/>
        <rFont val="宋体"/>
        <family val="3"/>
        <charset val="134"/>
      </rPr>
      <t>期初货币资金</t>
    </r>
    <phoneticPr fontId="15" type="noConversion"/>
  </si>
  <si>
    <r>
      <t>直接法</t>
    </r>
    <r>
      <rPr>
        <sz val="10"/>
        <rFont val="Arial Narrow"/>
        <family val="2"/>
      </rPr>
      <t>OperatingCF</t>
    </r>
    <r>
      <rPr>
        <sz val="10"/>
        <rFont val="宋体"/>
        <family val="3"/>
        <charset val="134"/>
      </rPr>
      <t>＝间接法</t>
    </r>
    <r>
      <rPr>
        <sz val="10"/>
        <rFont val="Arial Narrow"/>
        <family val="2"/>
      </rPr>
      <t>OperatingCF</t>
    </r>
    <phoneticPr fontId="15" type="noConversion"/>
  </si>
  <si>
    <r>
      <t>直接法</t>
    </r>
    <r>
      <rPr>
        <sz val="10"/>
        <rFont val="Arial Narrow"/>
        <family val="2"/>
      </rPr>
      <t>NetCashflow</t>
    </r>
    <r>
      <rPr>
        <sz val="10"/>
        <rFont val="宋体"/>
        <family val="3"/>
        <charset val="134"/>
      </rPr>
      <t>＝间接法</t>
    </r>
    <r>
      <rPr>
        <sz val="10"/>
        <rFont val="Arial Narrow"/>
        <family val="2"/>
      </rPr>
      <t>NetCashflow</t>
    </r>
    <phoneticPr fontId="15" type="noConversion"/>
  </si>
  <si>
    <r>
      <t>P/L</t>
    </r>
    <r>
      <rPr>
        <sz val="10"/>
        <rFont val="宋体"/>
        <family val="3"/>
        <charset val="134"/>
      </rPr>
      <t>净利润＝</t>
    </r>
    <r>
      <rPr>
        <sz val="10"/>
        <rFont val="Arial Narrow"/>
        <family val="2"/>
      </rPr>
      <t>Cashflow</t>
    </r>
    <r>
      <rPr>
        <sz val="10"/>
        <rFont val="宋体"/>
        <family val="3"/>
        <charset val="134"/>
      </rPr>
      <t>间接法净利润</t>
    </r>
    <phoneticPr fontId="15" type="noConversion"/>
  </si>
  <si>
    <r>
      <t>Cashflow</t>
    </r>
    <r>
      <rPr>
        <sz val="10"/>
        <rFont val="宋体"/>
        <family val="3"/>
        <charset val="134"/>
      </rPr>
      <t>待摊费用减少＝</t>
    </r>
    <r>
      <rPr>
        <sz val="10"/>
        <rFont val="Arial Narrow"/>
        <family val="2"/>
      </rPr>
      <t>B/S</t>
    </r>
    <r>
      <rPr>
        <sz val="10"/>
        <rFont val="宋体"/>
        <family val="3"/>
        <charset val="134"/>
      </rPr>
      <t>待摊费用减少</t>
    </r>
    <phoneticPr fontId="15" type="noConversion"/>
  </si>
  <si>
    <r>
      <t>Cashflow</t>
    </r>
    <r>
      <rPr>
        <sz val="10"/>
        <rFont val="宋体"/>
        <family val="3"/>
        <charset val="134"/>
      </rPr>
      <t>预提费用增加＝</t>
    </r>
    <r>
      <rPr>
        <sz val="10"/>
        <rFont val="Arial Narrow"/>
        <family val="2"/>
      </rPr>
      <t>B/S</t>
    </r>
    <r>
      <rPr>
        <sz val="10"/>
        <rFont val="宋体"/>
        <family val="3"/>
        <charset val="134"/>
      </rPr>
      <t>预提费用增加</t>
    </r>
    <phoneticPr fontId="15" type="noConversion"/>
  </si>
  <si>
    <r>
      <t>Cashflow</t>
    </r>
    <r>
      <rPr>
        <sz val="10"/>
        <rFont val="宋体"/>
        <family val="3"/>
        <charset val="134"/>
      </rPr>
      <t>存货的减少＝</t>
    </r>
    <r>
      <rPr>
        <sz val="10"/>
        <rFont val="Arial Narrow"/>
        <family val="2"/>
      </rPr>
      <t>B/S</t>
    </r>
    <r>
      <rPr>
        <sz val="10"/>
        <rFont val="宋体"/>
        <family val="3"/>
        <charset val="134"/>
      </rPr>
      <t>存货的减少</t>
    </r>
    <phoneticPr fontId="15" type="noConversion"/>
  </si>
  <si>
    <r>
      <t>Cashflow</t>
    </r>
    <r>
      <rPr>
        <sz val="10"/>
        <rFont val="宋体"/>
        <family val="3"/>
        <charset val="134"/>
      </rPr>
      <t>投资收益＝</t>
    </r>
    <r>
      <rPr>
        <sz val="10"/>
        <rFont val="Arial Narrow"/>
        <family val="2"/>
      </rPr>
      <t>P/L</t>
    </r>
    <r>
      <rPr>
        <sz val="10"/>
        <rFont val="宋体"/>
        <family val="3"/>
        <charset val="134"/>
      </rPr>
      <t>投资收益</t>
    </r>
    <phoneticPr fontId="15" type="noConversion"/>
  </si>
  <si>
    <r>
      <t>Cashflow</t>
    </r>
    <r>
      <rPr>
        <sz val="10"/>
        <rFont val="宋体"/>
        <family val="3"/>
        <charset val="134"/>
      </rPr>
      <t>少数股东损益＝</t>
    </r>
    <r>
      <rPr>
        <sz val="10"/>
        <rFont val="Arial Narrow"/>
        <family val="2"/>
      </rPr>
      <t>P/L</t>
    </r>
    <r>
      <rPr>
        <sz val="10"/>
        <rFont val="宋体"/>
        <family val="3"/>
        <charset val="134"/>
      </rPr>
      <t>少数股东损益</t>
    </r>
    <phoneticPr fontId="15" type="noConversion"/>
  </si>
  <si>
    <r>
      <t>按净利润的</t>
    </r>
    <r>
      <rPr>
        <sz val="10"/>
        <rFont val="Arial Narrow"/>
        <family val="2"/>
      </rPr>
      <t>10%</t>
    </r>
    <r>
      <rPr>
        <sz val="10"/>
        <rFont val="宋体"/>
        <family val="3"/>
        <charset val="134"/>
      </rPr>
      <t>提取法定盈余公积</t>
    </r>
    <phoneticPr fontId="15" type="noConversion"/>
  </si>
  <si>
    <t>法定公益金余额结转盈余公积后余额为零</t>
    <phoneticPr fontId="15" type="noConversion"/>
  </si>
  <si>
    <t>待处理流动资产净损益科目年末余额为零</t>
    <phoneticPr fontId="15" type="noConversion"/>
  </si>
  <si>
    <t>待处理固定资产净损益科目年末余额为零</t>
    <phoneticPr fontId="15" type="noConversion"/>
  </si>
  <si>
    <t>少数股东权益</t>
    <phoneticPr fontId="3" type="noConversion"/>
  </si>
  <si>
    <t>本期审定上期数</t>
    <phoneticPr fontId="3" type="noConversion"/>
  </si>
  <si>
    <t>法定代表人：</t>
  </si>
  <si>
    <t>财务负责人：</t>
  </si>
  <si>
    <t>会计主管：</t>
  </si>
  <si>
    <t xml:space="preserve">        库存商品（产成品）</t>
    <phoneticPr fontId="3" type="noConversion"/>
  </si>
  <si>
    <t>长期投资</t>
    <phoneticPr fontId="3" type="noConversion"/>
  </si>
  <si>
    <t xml:space="preserve">  减：累计折旧</t>
    <phoneticPr fontId="3" type="noConversion"/>
  </si>
  <si>
    <t xml:space="preserve">  其中：长期股权投资</t>
    <phoneticPr fontId="3" type="noConversion"/>
  </si>
  <si>
    <t xml:space="preserve">       长期债权投资</t>
    <phoneticPr fontId="3" type="noConversion"/>
  </si>
  <si>
    <t>应付股利（利润）</t>
    <phoneticPr fontId="3" type="noConversion"/>
  </si>
  <si>
    <t>减：未处理资产损失</t>
    <phoneticPr fontId="3" type="noConversion"/>
  </si>
  <si>
    <t xml:space="preserve">    其中：进口产品（商品）销售收入</t>
    <phoneticPr fontId="3" type="noConversion"/>
  </si>
  <si>
    <t xml:space="preserve">          出口产品（商品）销售收入</t>
    <phoneticPr fontId="3" type="noConversion"/>
  </si>
  <si>
    <t xml:space="preserve">        （二）主营业务税金及附加</t>
    <phoneticPr fontId="3" type="noConversion"/>
  </si>
  <si>
    <t xml:space="preserve">        （三）经营费用</t>
    <phoneticPr fontId="3" type="noConversion"/>
  </si>
  <si>
    <t xml:space="preserve">        （四）其他</t>
    <phoneticPr fontId="3" type="noConversion"/>
  </si>
  <si>
    <r>
      <t xml:space="preserve">    </t>
    </r>
    <r>
      <rPr>
        <sz val="10"/>
        <rFont val="宋体"/>
        <family val="3"/>
        <charset val="134"/>
      </rPr>
      <t>加：（一）递延收益</t>
    </r>
    <phoneticPr fontId="3" type="noConversion"/>
  </si>
  <si>
    <t xml:space="preserve">        （二）代购代销收入</t>
    <phoneticPr fontId="3" type="noConversion"/>
  </si>
  <si>
    <t xml:space="preserve">        （三）其他</t>
    <phoneticPr fontId="3" type="noConversion"/>
  </si>
  <si>
    <t>三、主营业务利润</t>
    <phoneticPr fontId="3" type="noConversion"/>
  </si>
  <si>
    <t xml:space="preserve">    加：其他业务利润</t>
    <phoneticPr fontId="3" type="noConversion"/>
  </si>
  <si>
    <t>一、经营活动产生的现金流量</t>
  </si>
  <si>
    <t xml:space="preserve">   减：*未确认投资损失</t>
    <phoneticPr fontId="77" type="noConversion"/>
  </si>
  <si>
    <t xml:space="preserve">   加：计提的资产减值准备</t>
    <phoneticPr fontId="3" type="noConversion"/>
  </si>
  <si>
    <t>股权分置流通权</t>
    <phoneticPr fontId="3" type="noConversion"/>
  </si>
  <si>
    <t>应付利息</t>
    <phoneticPr fontId="3" type="noConversion"/>
  </si>
  <si>
    <t>递延收益</t>
    <phoneticPr fontId="3" type="noConversion"/>
  </si>
  <si>
    <t>应付权证</t>
    <phoneticPr fontId="3" type="noConversion"/>
  </si>
  <si>
    <t xml:space="preserve">         其中：业务招待费</t>
    <phoneticPr fontId="3" type="noConversion"/>
  </si>
  <si>
    <r>
      <t xml:space="preserve">               </t>
    </r>
    <r>
      <rPr>
        <sz val="10"/>
        <rFont val="宋体"/>
        <family val="3"/>
        <charset val="134"/>
      </rPr>
      <t>研究与开发费</t>
    </r>
    <phoneticPr fontId="3" type="noConversion"/>
  </si>
  <si>
    <t>一、出售、处置部门或被投资单位所得收益</t>
    <phoneticPr fontId="9" type="noConversion"/>
  </si>
  <si>
    <t>二、自然灾害发生的损失</t>
    <phoneticPr fontId="9" type="noConversion"/>
  </si>
  <si>
    <t>三、会计政策变更增加（或减少）利润总额</t>
    <phoneticPr fontId="9" type="noConversion"/>
  </si>
  <si>
    <t>四、会计估计变更增加（或减少）利润总额</t>
    <phoneticPr fontId="9" type="noConversion"/>
  </si>
  <si>
    <t>五、债务重组损失</t>
    <phoneticPr fontId="9" type="noConversion"/>
  </si>
  <si>
    <t>六、其他非经营性损益</t>
    <phoneticPr fontId="9" type="noConversion"/>
  </si>
  <si>
    <t xml:space="preserve">     其中：出售子公司所收到的现金</t>
    <phoneticPr fontId="3" type="noConversion"/>
  </si>
  <si>
    <t xml:space="preserve">     其中：购买子公司所支付的现金</t>
    <phoneticPr fontId="3" type="noConversion"/>
  </si>
  <si>
    <t xml:space="preserve">      其中：出售子公司所收到的现金</t>
    <phoneticPr fontId="77" type="noConversion"/>
  </si>
  <si>
    <t xml:space="preserve">      其中：购买子公司所支付的现金</t>
    <phoneticPr fontId="77" type="noConversion"/>
  </si>
  <si>
    <t xml:space="preserve">      其中：出售子公司所收到的现金</t>
    <phoneticPr fontId="77" type="noConversion"/>
  </si>
  <si>
    <t xml:space="preserve">      其中：购买子公司所支付的现金</t>
    <phoneticPr fontId="77" type="noConversion"/>
  </si>
  <si>
    <r>
      <t>2006</t>
    </r>
    <r>
      <rPr>
        <sz val="11"/>
        <rFont val="宋体"/>
        <family val="3"/>
        <charset val="134"/>
      </rPr>
      <t>年度</t>
    </r>
    <phoneticPr fontId="3" type="noConversion"/>
  </si>
  <si>
    <t>*未确认的投资损失（以“-”号填列）</t>
    <phoneticPr fontId="3" type="noConversion"/>
  </si>
  <si>
    <t>调整年末科目名称</t>
    <phoneticPr fontId="3" type="noConversion"/>
  </si>
  <si>
    <t>调整年初科目名称</t>
    <phoneticPr fontId="3" type="noConversion"/>
  </si>
  <si>
    <t>调整本期科目名称</t>
    <phoneticPr fontId="3" type="noConversion"/>
  </si>
  <si>
    <t>调整上期科目名称</t>
    <phoneticPr fontId="3" type="noConversion"/>
  </si>
  <si>
    <t>科目名称</t>
    <phoneticPr fontId="3" type="noConversion"/>
  </si>
  <si>
    <t>补充资料</t>
    <phoneticPr fontId="3" type="noConversion"/>
  </si>
  <si>
    <r>
      <t>资</t>
    </r>
    <r>
      <rPr>
        <b/>
        <sz val="11"/>
        <color indexed="56"/>
        <rFont val="Times New Roman"/>
        <family val="1"/>
      </rPr>
      <t xml:space="preserve">   </t>
    </r>
    <r>
      <rPr>
        <b/>
        <sz val="11"/>
        <color indexed="56"/>
        <rFont val="宋体"/>
        <family val="3"/>
        <charset val="134"/>
      </rPr>
      <t>产</t>
    </r>
    <r>
      <rPr>
        <b/>
        <sz val="11"/>
        <color indexed="56"/>
        <rFont val="Times New Roman"/>
        <family val="1"/>
      </rPr>
      <t xml:space="preserve">   </t>
    </r>
    <r>
      <rPr>
        <b/>
        <sz val="11"/>
        <color indexed="56"/>
        <rFont val="宋体"/>
        <family val="3"/>
        <charset val="134"/>
      </rPr>
      <t>类</t>
    </r>
    <phoneticPr fontId="3" type="noConversion"/>
  </si>
  <si>
    <r>
      <t>损</t>
    </r>
    <r>
      <rPr>
        <b/>
        <sz val="11"/>
        <color indexed="56"/>
        <rFont val="Times New Roman"/>
        <family val="1"/>
      </rPr>
      <t xml:space="preserve">   </t>
    </r>
    <r>
      <rPr>
        <b/>
        <sz val="11"/>
        <color indexed="56"/>
        <rFont val="宋体"/>
        <family val="3"/>
        <charset val="134"/>
      </rPr>
      <t>益</t>
    </r>
    <r>
      <rPr>
        <b/>
        <sz val="11"/>
        <color indexed="56"/>
        <rFont val="Times New Roman"/>
        <family val="1"/>
      </rPr>
      <t xml:space="preserve">   </t>
    </r>
    <r>
      <rPr>
        <b/>
        <sz val="11"/>
        <color indexed="56"/>
        <rFont val="宋体"/>
        <family val="3"/>
        <charset val="134"/>
      </rPr>
      <t>类</t>
    </r>
    <phoneticPr fontId="3" type="noConversion"/>
  </si>
  <si>
    <t>五、现金及现金等价物净增加额</t>
    <phoneticPr fontId="3" type="noConversion"/>
  </si>
  <si>
    <r>
      <t xml:space="preserve">     </t>
    </r>
    <r>
      <rPr>
        <b/>
        <sz val="10"/>
        <rFont val="宋体"/>
        <family val="3"/>
        <charset val="134"/>
      </rPr>
      <t>现金及现金等价物净增加额</t>
    </r>
    <phoneticPr fontId="3" type="noConversion"/>
  </si>
  <si>
    <t>D1</t>
    <phoneticPr fontId="3" type="noConversion"/>
  </si>
  <si>
    <t>D3</t>
    <phoneticPr fontId="3" type="noConversion"/>
  </si>
  <si>
    <t>D11</t>
    <phoneticPr fontId="3" type="noConversion"/>
  </si>
  <si>
    <t>D12</t>
    <phoneticPr fontId="3" type="noConversion"/>
  </si>
  <si>
    <t>D21</t>
    <phoneticPr fontId="3" type="noConversion"/>
  </si>
  <si>
    <t>D22</t>
    <phoneticPr fontId="3" type="noConversion"/>
  </si>
  <si>
    <t>E1</t>
    <phoneticPr fontId="3" type="noConversion"/>
  </si>
  <si>
    <t>E3</t>
    <phoneticPr fontId="3" type="noConversion"/>
  </si>
  <si>
    <t>E11</t>
    <phoneticPr fontId="3" type="noConversion"/>
  </si>
  <si>
    <t>E12</t>
    <phoneticPr fontId="3" type="noConversion"/>
  </si>
  <si>
    <t>E16</t>
    <phoneticPr fontId="3" type="noConversion"/>
  </si>
  <si>
    <t>E17</t>
  </si>
  <si>
    <t>E21</t>
    <phoneticPr fontId="3" type="noConversion"/>
  </si>
  <si>
    <t>F1</t>
    <phoneticPr fontId="3" type="noConversion"/>
  </si>
  <si>
    <t>F2</t>
    <phoneticPr fontId="3" type="noConversion"/>
  </si>
  <si>
    <t>F3</t>
    <phoneticPr fontId="3" type="noConversion"/>
  </si>
  <si>
    <t>F5</t>
    <phoneticPr fontId="3" type="noConversion"/>
  </si>
  <si>
    <t>F6</t>
    <phoneticPr fontId="3" type="noConversion"/>
  </si>
  <si>
    <t>F11</t>
    <phoneticPr fontId="3" type="noConversion"/>
  </si>
  <si>
    <t>F12</t>
    <phoneticPr fontId="3" type="noConversion"/>
  </si>
  <si>
    <t>F13</t>
    <phoneticPr fontId="3" type="noConversion"/>
  </si>
  <si>
    <t>F14</t>
    <phoneticPr fontId="3" type="noConversion"/>
  </si>
  <si>
    <t>F15</t>
    <phoneticPr fontId="3" type="noConversion"/>
  </si>
  <si>
    <t>F16</t>
    <phoneticPr fontId="3" type="noConversion"/>
  </si>
  <si>
    <t>F17</t>
    <phoneticPr fontId="3" type="noConversion"/>
  </si>
  <si>
    <t>F18</t>
    <phoneticPr fontId="3" type="noConversion"/>
  </si>
  <si>
    <t>F19</t>
    <phoneticPr fontId="3" type="noConversion"/>
  </si>
  <si>
    <t>F21</t>
    <phoneticPr fontId="3" type="noConversion"/>
  </si>
  <si>
    <t>F22</t>
    <phoneticPr fontId="3" type="noConversion"/>
  </si>
  <si>
    <t>G123</t>
    <phoneticPr fontId="3" type="noConversion"/>
  </si>
  <si>
    <t>G4</t>
    <phoneticPr fontId="3" type="noConversion"/>
  </si>
  <si>
    <t>G11</t>
    <phoneticPr fontId="3" type="noConversion"/>
  </si>
  <si>
    <t>G12</t>
    <phoneticPr fontId="3" type="noConversion"/>
  </si>
  <si>
    <t>G13</t>
    <phoneticPr fontId="3" type="noConversion"/>
  </si>
  <si>
    <t>H1</t>
    <phoneticPr fontId="3" type="noConversion"/>
  </si>
  <si>
    <t>H2</t>
  </si>
  <si>
    <t>H3</t>
    <phoneticPr fontId="3" type="noConversion"/>
  </si>
  <si>
    <t>H4</t>
    <phoneticPr fontId="3" type="noConversion"/>
  </si>
  <si>
    <t>H5</t>
    <phoneticPr fontId="3" type="noConversion"/>
  </si>
  <si>
    <t>H6</t>
    <phoneticPr fontId="3" type="noConversion"/>
  </si>
  <si>
    <t>H7</t>
    <phoneticPr fontId="3" type="noConversion"/>
  </si>
  <si>
    <t>I1</t>
    <phoneticPr fontId="3" type="noConversion"/>
  </si>
  <si>
    <t>I2</t>
    <phoneticPr fontId="3" type="noConversion"/>
  </si>
  <si>
    <t>I4</t>
    <phoneticPr fontId="3" type="noConversion"/>
  </si>
  <si>
    <t>I5</t>
    <phoneticPr fontId="3" type="noConversion"/>
  </si>
  <si>
    <t>I6</t>
    <phoneticPr fontId="3" type="noConversion"/>
  </si>
  <si>
    <t>I11</t>
    <phoneticPr fontId="3" type="noConversion"/>
  </si>
  <si>
    <t>I16</t>
    <phoneticPr fontId="3" type="noConversion"/>
  </si>
  <si>
    <t>I17</t>
    <phoneticPr fontId="3" type="noConversion"/>
  </si>
  <si>
    <t>I18-2</t>
    <phoneticPr fontId="3" type="noConversion"/>
  </si>
  <si>
    <t>I18-1</t>
    <phoneticPr fontId="3" type="noConversion"/>
  </si>
  <si>
    <t>I19</t>
    <phoneticPr fontId="3" type="noConversion"/>
  </si>
  <si>
    <t>I21</t>
    <phoneticPr fontId="3" type="noConversion"/>
  </si>
  <si>
    <t>I22</t>
    <phoneticPr fontId="3" type="noConversion"/>
  </si>
  <si>
    <t>I23</t>
    <phoneticPr fontId="3" type="noConversion"/>
  </si>
  <si>
    <t>I24</t>
  </si>
  <si>
    <t>I25</t>
    <phoneticPr fontId="3" type="noConversion"/>
  </si>
  <si>
    <t>I26</t>
    <phoneticPr fontId="3" type="noConversion"/>
  </si>
  <si>
    <t>I28</t>
    <phoneticPr fontId="3" type="noConversion"/>
  </si>
  <si>
    <r>
      <t>2</t>
    </r>
    <r>
      <rPr>
        <sz val="9"/>
        <rFont val="宋体"/>
        <family val="3"/>
        <charset val="134"/>
      </rPr>
      <t>、凡是时期数据除时点数据的比率，对时期数据要进行年化处理</t>
    </r>
    <r>
      <rPr>
        <sz val="9"/>
        <rFont val="Times New Roman"/>
        <family val="1"/>
      </rPr>
      <t>(annualized)</t>
    </r>
    <r>
      <rPr>
        <sz val="9"/>
        <rFont val="宋体"/>
        <family val="3"/>
        <charset val="134"/>
      </rPr>
      <t>——本期数据</t>
    </r>
    <r>
      <rPr>
        <sz val="9"/>
        <rFont val="Times New Roman"/>
        <family val="1"/>
      </rPr>
      <t>÷</t>
    </r>
    <r>
      <rPr>
        <sz val="9"/>
        <rFont val="宋体"/>
        <family val="3"/>
        <charset val="134"/>
      </rPr>
      <t>本期月份数×</t>
    </r>
    <r>
      <rPr>
        <sz val="9"/>
        <rFont val="Times New Roman"/>
        <family val="1"/>
      </rPr>
      <t>12</t>
    </r>
    <phoneticPr fontId="3" type="noConversion"/>
  </si>
  <si>
    <t>使用说明：</t>
    <phoneticPr fontId="15" type="noConversion"/>
  </si>
  <si>
    <t>序号</t>
    <phoneticPr fontId="15" type="noConversion"/>
  </si>
  <si>
    <t>目录</t>
    <phoneticPr fontId="15" type="noConversion"/>
  </si>
  <si>
    <t>本工作簿用于单项会计报表审计调整、试算平衡；未审报表及审定报表的横向、纵向、比率分析。</t>
    <phoneticPr fontId="15" type="noConversion"/>
  </si>
  <si>
    <t>本工作簿没有颜色的单元格可以根据需要进行修改，</t>
    <phoneticPr fontId="15" type="noConversion"/>
  </si>
  <si>
    <t>修改时，请在拟修改的单元格直接输入新的内容，请不要使用剪切或拖拽填充功能。</t>
    <phoneticPr fontId="15" type="noConversion"/>
  </si>
  <si>
    <t>请在</t>
    <phoneticPr fontId="15" type="noConversion"/>
  </si>
  <si>
    <t>中没有颜色的单元格中输入项目基本情况，其他工作表相应区域会随之改变。</t>
    <phoneticPr fontId="15" type="noConversion"/>
  </si>
  <si>
    <t>未审报表、试算平衡表（TB）、审定报表、比较分析表的格式由</t>
    <phoneticPr fontId="15" type="noConversion"/>
  </si>
  <si>
    <t>链接控制；</t>
    <phoneticPr fontId="15" type="noConversion"/>
  </si>
  <si>
    <t>如需修改报表科目，请在</t>
    <phoneticPr fontId="15" type="noConversion"/>
  </si>
  <si>
    <t>中没有颜色的单元格区域修改，其他报表会相应改变。</t>
    <phoneticPr fontId="15" type="noConversion"/>
  </si>
  <si>
    <t>可以根据需要插入行，请勿删除行；调整金额会自动链接到试算平衡表，</t>
    <phoneticPr fontId="15" type="noConversion"/>
  </si>
  <si>
    <t>若调整未全部链入试算平衡表，请检查调整分录的借贷方科目是否为报表科目。若需添加或更改报表科目，</t>
    <phoneticPr fontId="15" type="noConversion"/>
  </si>
  <si>
    <t>请在</t>
    <phoneticPr fontId="15" type="noConversion"/>
  </si>
  <si>
    <t>中没有颜色的单元格区域进行修改，并相应修改</t>
    <phoneticPr fontId="15" type="noConversion"/>
  </si>
  <si>
    <r>
      <t>索引号：</t>
    </r>
    <r>
      <rPr>
        <sz val="8"/>
        <rFont val="Times New Roman"/>
        <family val="1"/>
      </rPr>
      <t xml:space="preserve">             </t>
    </r>
    <r>
      <rPr>
        <sz val="8"/>
        <rFont val="宋体"/>
        <family val="3"/>
        <charset val="134"/>
      </rPr>
      <t>页次：</t>
    </r>
    <phoneticPr fontId="3" type="noConversion"/>
  </si>
  <si>
    <t>上期审定BS平衡</t>
    <phoneticPr fontId="3" type="noConversion"/>
  </si>
  <si>
    <t>本年期初BS平衡</t>
    <phoneticPr fontId="3" type="noConversion"/>
  </si>
  <si>
    <t>Ope.CashFlow</t>
    <phoneticPr fontId="3" type="noConversion"/>
  </si>
  <si>
    <t>Net CashFlow</t>
    <phoneticPr fontId="3" type="noConversion"/>
  </si>
  <si>
    <t>上期审定未分配利润勾稽</t>
    <phoneticPr fontId="3" type="noConversion"/>
  </si>
  <si>
    <t>本年期初未分配利润勾稽</t>
    <phoneticPr fontId="3" type="noConversion"/>
  </si>
  <si>
    <t>期初现金勾稽</t>
    <phoneticPr fontId="3" type="noConversion"/>
  </si>
  <si>
    <t>期末现金勾稽</t>
    <phoneticPr fontId="3" type="noConversion"/>
  </si>
  <si>
    <t>两年未分配利润勾稽</t>
  </si>
  <si>
    <t>两年未分配利润勾稽</t>
    <phoneticPr fontId="3" type="noConversion"/>
  </si>
  <si>
    <t>现金流量表调整</t>
    <phoneticPr fontId="3" type="noConversion"/>
  </si>
  <si>
    <t>原报金额</t>
    <phoneticPr fontId="77" type="noConversion"/>
  </si>
  <si>
    <t>调整金额</t>
    <phoneticPr fontId="77" type="noConversion"/>
  </si>
  <si>
    <t>审定金额</t>
    <phoneticPr fontId="77" type="noConversion"/>
  </si>
  <si>
    <t>净利润勾稽</t>
    <phoneticPr fontId="3" type="noConversion"/>
  </si>
  <si>
    <r>
      <t>BS</t>
    </r>
    <r>
      <rPr>
        <sz val="10"/>
        <rFont val="宋体"/>
        <family val="3"/>
        <charset val="134"/>
      </rPr>
      <t>平衡</t>
    </r>
    <phoneticPr fontId="3" type="noConversion"/>
  </si>
  <si>
    <r>
      <t>BS/PL</t>
    </r>
    <r>
      <rPr>
        <sz val="10"/>
        <rFont val="宋体"/>
        <family val="3"/>
        <charset val="134"/>
      </rPr>
      <t>未分配利润平衡</t>
    </r>
    <phoneticPr fontId="3" type="noConversion"/>
  </si>
  <si>
    <t>CF调整</t>
  </si>
  <si>
    <t>TB资产(期初)</t>
  </si>
  <si>
    <t>TB负债(期初)</t>
  </si>
  <si>
    <t>TB损益(期初)</t>
  </si>
  <si>
    <t>审定BS(上期)</t>
  </si>
  <si>
    <t>审定PL(上期)</t>
  </si>
  <si>
    <t>审定CF(上期)</t>
  </si>
  <si>
    <t>账项调整(期初)</t>
  </si>
  <si>
    <t>报表调整(期初)</t>
  </si>
  <si>
    <t>“报表格式AA列”</t>
    <phoneticPr fontId="15" type="noConversion"/>
  </si>
  <si>
    <t>勾稽核对：</t>
    <phoneticPr fontId="15" type="noConversion"/>
  </si>
  <si>
    <t>检验流动资产公式</t>
  </si>
  <si>
    <t>检验长期投资公式</t>
  </si>
  <si>
    <t>检验固定资产公式</t>
  </si>
  <si>
    <t>检验无形、其他资产公式</t>
  </si>
  <si>
    <t>检验总资产公式</t>
  </si>
  <si>
    <t>检验流动负债公式</t>
  </si>
  <si>
    <t>检验长期负债公式</t>
  </si>
  <si>
    <t>检验总负债公式</t>
  </si>
  <si>
    <t>检验权益公式</t>
  </si>
  <si>
    <t>检验负债权益公式</t>
  </si>
  <si>
    <t>资产负债平衡</t>
    <phoneticPr fontId="15" type="noConversion"/>
  </si>
  <si>
    <r>
      <t>未分配利润</t>
    </r>
    <r>
      <rPr>
        <sz val="10"/>
        <rFont val="Arial Narrow"/>
        <family val="2"/>
      </rPr>
      <t>B/S</t>
    </r>
    <r>
      <rPr>
        <sz val="10"/>
        <rFont val="宋体"/>
        <family val="3"/>
        <charset val="134"/>
      </rPr>
      <t>与</t>
    </r>
    <r>
      <rPr>
        <sz val="10"/>
        <rFont val="Arial Narrow"/>
        <family val="2"/>
      </rPr>
      <t>P/L</t>
    </r>
    <r>
      <rPr>
        <sz val="10"/>
        <rFont val="宋体"/>
        <family val="3"/>
        <charset val="134"/>
      </rPr>
      <t>核对</t>
    </r>
    <phoneticPr fontId="15" type="noConversion"/>
  </si>
  <si>
    <t>检验剔除未处理资产损失后权益公式</t>
    <phoneticPr fontId="15" type="noConversion"/>
  </si>
  <si>
    <t>检验主营业务收入公式</t>
  </si>
  <si>
    <t>检验主营业务利润公式</t>
  </si>
  <si>
    <t>检验营业利润公式</t>
  </si>
  <si>
    <t>检验利润总额公式</t>
  </si>
  <si>
    <t>检验净利润公式</t>
  </si>
  <si>
    <t>检验未分配利润公式</t>
  </si>
  <si>
    <t>辅助检验：</t>
    <phoneticPr fontId="15" type="noConversion"/>
  </si>
  <si>
    <t>勾稽核对：</t>
    <phoneticPr fontId="15" type="noConversion"/>
  </si>
  <si>
    <t>主表经营活动现金净流量公式</t>
    <phoneticPr fontId="15" type="noConversion"/>
  </si>
  <si>
    <t>主表投资活动现金净流量公式</t>
    <phoneticPr fontId="15" type="noConversion"/>
  </si>
  <si>
    <t>主表筹资活动现金净流量公式</t>
    <phoneticPr fontId="15" type="noConversion"/>
  </si>
  <si>
    <t>主表现金及现金等价物净增加额公式</t>
    <phoneticPr fontId="15" type="noConversion"/>
  </si>
  <si>
    <t>附表经营活动现金流量净额公式</t>
    <phoneticPr fontId="15" type="noConversion"/>
  </si>
  <si>
    <t>附表现金及现金等价物增加额公式</t>
    <phoneticPr fontId="15" type="noConversion"/>
  </si>
  <si>
    <t>主附表经营活动现金净流量检验</t>
    <phoneticPr fontId="15" type="noConversion"/>
  </si>
  <si>
    <t>主附表现金及现金等价物净增加额检验</t>
    <phoneticPr fontId="15" type="noConversion"/>
  </si>
  <si>
    <t>附表净利润与P/L净利润勾稽</t>
  </si>
  <si>
    <t>附表少数股东损益与P/L少数股东损益勾稽</t>
  </si>
  <si>
    <t>附表未确认投资损失与P/L未确认投资损失勾稽</t>
  </si>
  <si>
    <t>附表待摊费用的减少与B/S待摊费用勾稽</t>
  </si>
  <si>
    <t>附表预提费用的增加与B/S预提费用勾稽</t>
  </si>
  <si>
    <t>附表财务费用与P/L财务费用-利息支出勾稽</t>
  </si>
  <si>
    <t>附表投资损失与P/L投资收益勾稽</t>
  </si>
  <si>
    <t>附表递递延税款贷项（减：借项）与B/S递延税款勾稽</t>
    <phoneticPr fontId="77" type="noConversion"/>
  </si>
  <si>
    <t>附表期末现金余额与B/S期末货币资金勾稽</t>
  </si>
  <si>
    <t>附表期初现金余额与B/S期初货币资金勾稽</t>
  </si>
  <si>
    <t>主表借款、还款与B/S长短期借款检验</t>
    <phoneticPr fontId="15" type="noConversion"/>
  </si>
  <si>
    <t>主表分配股利、利润和偿付利息所支付的现金</t>
  </si>
  <si>
    <t>附表存货的减少与B/S存货检验</t>
    <phoneticPr fontId="15" type="noConversion"/>
  </si>
  <si>
    <t>附表经营性应收项目的减少与B/S经营性应收检验（坏账准备后）</t>
    <phoneticPr fontId="15" type="noConversion"/>
  </si>
  <si>
    <t>附表经营性应付项目的增加与B/S经营性应付检验</t>
    <phoneticPr fontId="15" type="noConversion"/>
  </si>
  <si>
    <t>附注金额：</t>
    <phoneticPr fontId="15" type="noConversion"/>
  </si>
  <si>
    <t>计提的资产减值准备</t>
    <phoneticPr fontId="15" type="noConversion"/>
  </si>
  <si>
    <t>固定资产折旧</t>
    <phoneticPr fontId="15" type="noConversion"/>
  </si>
  <si>
    <t>无形资产摊销</t>
    <phoneticPr fontId="15" type="noConversion"/>
  </si>
  <si>
    <t>长期待摊费用摊销</t>
    <phoneticPr fontId="15" type="noConversion"/>
  </si>
  <si>
    <t>处置固定资产、无形资产和其他长期资产的损失（减：收益）</t>
    <phoneticPr fontId="15" type="noConversion"/>
  </si>
  <si>
    <t>固定资产报废损失</t>
    <phoneticPr fontId="15" type="noConversion"/>
  </si>
  <si>
    <t>差异：</t>
    <phoneticPr fontId="15" type="noConversion"/>
  </si>
  <si>
    <t>固定资产折旧</t>
    <phoneticPr fontId="15" type="noConversion"/>
  </si>
  <si>
    <t>无形资产摊销</t>
    <phoneticPr fontId="15" type="noConversion"/>
  </si>
  <si>
    <t>长期待摊费用摊销</t>
    <phoneticPr fontId="15" type="noConversion"/>
  </si>
  <si>
    <t>处置固定资产、无形资产和其他长期资产的损失（减：收益）</t>
    <phoneticPr fontId="15" type="noConversion"/>
  </si>
  <si>
    <t>固定资产报废损失</t>
    <phoneticPr fontId="15" type="noConversion"/>
  </si>
  <si>
    <t>附注</t>
    <phoneticPr fontId="77" type="noConversion"/>
  </si>
  <si>
    <t>一般企业（执行统一会计制度）</t>
  </si>
  <si>
    <r>
      <t>2007</t>
    </r>
    <r>
      <rPr>
        <sz val="11"/>
        <rFont val="宋体"/>
        <family val="3"/>
        <charset val="134"/>
      </rPr>
      <t>年度</t>
    </r>
    <phoneticPr fontId="3" type="noConversion"/>
  </si>
  <si>
    <r>
      <t>产品销售收入净额</t>
    </r>
    <r>
      <rPr>
        <sz val="9"/>
        <rFont val="Times New Roman"/>
        <family val="1"/>
      </rPr>
      <t>(annualized)/</t>
    </r>
    <r>
      <rPr>
        <sz val="9"/>
        <rFont val="宋体"/>
        <family val="3"/>
        <charset val="134"/>
      </rPr>
      <t>流动资产平均占用额</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</si>
</sst>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8">
    <numFmt numFmtId="8" formatCode="&quot;¥&quot;#,##0.00_);[Red]\(&quot;¥&quot;#,##0.00\)"/>
    <numFmt numFmtId="41" formatCode="_(* #,##0_);_(* \(#,##0\);_(* &quot;-&quot;_);_(@_)"/>
    <numFmt numFmtId="43" formatCode="_(* #,##0.00_);_(* \(#,##0.00\);_(* &quot;-&quot;??_);_(@_)"/>
    <numFmt numFmtId="184" formatCode="#,##0.00_ "/>
    <numFmt numFmtId="185" formatCode="0_ "/>
    <numFmt numFmtId="186" formatCode="#,##0.00_ ;[Red]\-#,##0.00\ "/>
    <numFmt numFmtId="187" formatCode="#,##0.0000_ "/>
    <numFmt numFmtId="188" formatCode="_(* #,##0_);_(* \(#,##0\);_(* &quot;-&quot;_);_(@_)"/>
    <numFmt numFmtId="189" formatCode="_(* #,##0.00_);_(* \(#,##0.00\);_(* &quot;-&quot;??_);_(@_)"/>
    <numFmt numFmtId="190" formatCode="#,##0.00_-"/>
    <numFmt numFmtId="191" formatCode="&quot;$&quot;#,##0_);\(&quot;$&quot;#,##0\)"/>
    <numFmt numFmtId="192" formatCode="mmm/yyyy;_-\ &quot;N/A&quot;_-;_-\ &quot;-&quot;_-"/>
    <numFmt numFmtId="193" formatCode="mmm/dd/yyyy;_-\ &quot;N/A&quot;_-;_-\ &quot;-&quot;_-"/>
    <numFmt numFmtId="194" formatCode="_-#,##0_-;\(#,##0\);_-\ \ &quot;-&quot;_-;_-@_-"/>
    <numFmt numFmtId="195" formatCode="_-#,##0.00_-;\(#,##0.00\);_-\ \ &quot;-&quot;_-;_-@_-"/>
    <numFmt numFmtId="196" formatCode="_-#,##0%_-;\(#,##0%\);_-\ &quot;-&quot;_-"/>
    <numFmt numFmtId="197" formatCode="_-#,###,_-;\(#,###,\);_-\ \ &quot;-&quot;_-;_-@_-"/>
    <numFmt numFmtId="198" formatCode="_-#,###.00,_-;\(#,###.00,\);_-\ \ &quot;-&quot;_-;_-@_-"/>
    <numFmt numFmtId="199" formatCode="_([$€-2]* #,##0.00_);_([$€-2]* \(#,##0.00\);_([$€-2]* &quot;-&quot;??_)"/>
    <numFmt numFmtId="200" formatCode="_-#0&quot;.&quot;0000_-;\(#0&quot;.&quot;0000\);_-\ \ &quot;-&quot;_-;_-@_-"/>
    <numFmt numFmtId="201" formatCode="_-#0&quot;.&quot;0,_-;\(#0&quot;.&quot;0,\);_-\ \ &quot;-&quot;_-;_-@_-"/>
    <numFmt numFmtId="202" formatCode="&quot;\&quot;#,##0;&quot;\&quot;&quot;\&quot;\-#,##0"/>
    <numFmt numFmtId="203" formatCode="&quot;\&quot;#,##0;[Red]&quot;\&quot;&quot;\&quot;\-#,##0"/>
    <numFmt numFmtId="204" formatCode="&quot;\&quot;#,##0.00;[Red]&quot;\&quot;&quot;\&quot;\-#,##0.00"/>
    <numFmt numFmtId="205" formatCode="_(&quot;$&quot;* #,##0_);_(&quot;$&quot;* \(#,##0\);_(&quot;$&quot;* &quot;-&quot;_);_(@_)"/>
    <numFmt numFmtId="206" formatCode="_(&quot;$&quot;* #,##0.00_);_(&quot;$&quot;* \(#,##0.00\);_(&quot;$&quot;* &quot;-&quot;??_);_(@_)"/>
    <numFmt numFmtId="207" formatCode="_ * #,##0_)\ _F_ ;_ * \(#,##0\)\ _F_ ;_ * &quot;-&quot;_)\ _F_ ;_ @_ "/>
    <numFmt numFmtId="208" formatCode="#,##0&quot; F&quot;_);\(#,##0&quot; F&quot;\)"/>
    <numFmt numFmtId="209" formatCode="0.00000000"/>
    <numFmt numFmtId="210" formatCode="0.0000000"/>
    <numFmt numFmtId="211" formatCode="0.000000"/>
    <numFmt numFmtId="212" formatCode="&quot;$&quot;#,##0;[Red]&quot;$&quot;&quot;$&quot;&quot;$&quot;&quot;$&quot;&quot;$&quot;&quot;$&quot;&quot;$&quot;\-#,##0"/>
    <numFmt numFmtId="213" formatCode="_-* #,##0_-;\-* #,##0_-;_-* &quot;-&quot;??_-;_-@_-"/>
    <numFmt numFmtId="214" formatCode="0.00000000000_);[Red]\(0.00000000000\)"/>
    <numFmt numFmtId="215" formatCode="hh:mm\ AM/PM_)"/>
    <numFmt numFmtId="216" formatCode=";;;"/>
    <numFmt numFmtId="217" formatCode="0.0%"/>
    <numFmt numFmtId="218" formatCode="0.00_ "/>
  </numFmts>
  <fonts count="132">
    <font>
      <sz val="12"/>
      <name val="宋体"/>
      <charset val="134"/>
    </font>
    <font>
      <sz val="12"/>
      <name val="宋体"/>
      <charset val="134"/>
    </font>
    <font>
      <sz val="12"/>
      <name val="宋体"/>
      <family val="3"/>
      <charset val="134"/>
    </font>
    <font>
      <sz val="9"/>
      <name val="宋体"/>
      <family val="3"/>
      <charset val="134"/>
    </font>
    <font>
      <sz val="12"/>
      <name val="Times New Roman"/>
      <family val="1"/>
    </font>
    <font>
      <sz val="12"/>
      <color indexed="10"/>
      <name val="宋体"/>
      <family val="3"/>
      <charset val="134"/>
    </font>
    <font>
      <u/>
      <sz val="12"/>
      <color indexed="12"/>
      <name val="宋体"/>
      <family val="3"/>
      <charset val="134"/>
    </font>
    <font>
      <sz val="11"/>
      <name val="宋体"/>
      <family val="3"/>
      <charset val="134"/>
    </font>
    <font>
      <sz val="11"/>
      <color indexed="14"/>
      <name val="宋体"/>
      <family val="3"/>
      <charset val="134"/>
    </font>
    <font>
      <sz val="11"/>
      <name val="Times New Roman"/>
      <family val="1"/>
    </font>
    <font>
      <b/>
      <sz val="22"/>
      <color indexed="18"/>
      <name val="隶书"/>
      <family val="3"/>
      <charset val="134"/>
    </font>
    <font>
      <sz val="10"/>
      <color indexed="18"/>
      <name val="宋体"/>
      <family val="3"/>
      <charset val="134"/>
    </font>
    <font>
      <sz val="10"/>
      <name val="宋体"/>
      <family val="3"/>
      <charset val="134"/>
    </font>
    <font>
      <sz val="9"/>
      <name val="Times New Roman"/>
      <family val="1"/>
    </font>
    <font>
      <sz val="10"/>
      <color indexed="10"/>
      <name val="宋体"/>
      <family val="3"/>
      <charset val="134"/>
    </font>
    <font>
      <sz val="10"/>
      <name val="Times New Roman"/>
      <family val="1"/>
    </font>
    <font>
      <sz val="9"/>
      <color indexed="12"/>
      <name val="Times New Roman"/>
      <family val="1"/>
    </font>
    <font>
      <sz val="9"/>
      <color indexed="10"/>
      <name val="宋体"/>
      <family val="3"/>
      <charset val="134"/>
    </font>
    <font>
      <b/>
      <sz val="12"/>
      <name val="Times New Roman"/>
      <family val="1"/>
    </font>
    <font>
      <b/>
      <sz val="12"/>
      <name val="宋体"/>
      <family val="3"/>
      <charset val="134"/>
    </font>
    <font>
      <sz val="9"/>
      <color indexed="81"/>
      <name val="宋体"/>
      <family val="3"/>
      <charset val="134"/>
    </font>
    <font>
      <b/>
      <sz val="10"/>
      <name val="Times New Roman"/>
      <family val="1"/>
    </font>
    <font>
      <b/>
      <sz val="12"/>
      <color indexed="56"/>
      <name val="宋体"/>
      <family val="3"/>
      <charset val="134"/>
    </font>
    <font>
      <i/>
      <sz val="10"/>
      <name val="宋体"/>
      <family val="3"/>
      <charset val="134"/>
    </font>
    <font>
      <sz val="10"/>
      <name val="楷体"/>
      <family val="3"/>
      <charset val="134"/>
    </font>
    <font>
      <b/>
      <sz val="10"/>
      <name val="宋体"/>
      <family val="3"/>
      <charset val="134"/>
    </font>
    <font>
      <b/>
      <sz val="10"/>
      <color indexed="18"/>
      <name val="宋体"/>
      <family val="3"/>
      <charset val="134"/>
    </font>
    <font>
      <b/>
      <sz val="10"/>
      <color indexed="18"/>
      <name val="Times New Roman"/>
      <family val="1"/>
    </font>
    <font>
      <b/>
      <sz val="22"/>
      <color indexed="56"/>
      <name val="宋体"/>
      <family val="3"/>
      <charset val="134"/>
    </font>
    <font>
      <i/>
      <sz val="10"/>
      <name val="Times New Roman"/>
      <family val="1"/>
    </font>
    <font>
      <b/>
      <sz val="10"/>
      <color indexed="12"/>
      <name val="宋体"/>
      <family val="3"/>
      <charset val="134"/>
    </font>
    <font>
      <b/>
      <sz val="11"/>
      <color indexed="12"/>
      <name val="宋体"/>
      <family val="3"/>
      <charset val="134"/>
    </font>
    <font>
      <sz val="8.5"/>
      <name val="宋体"/>
      <family val="3"/>
      <charset val="134"/>
    </font>
    <font>
      <sz val="8.5"/>
      <name val="Times New Roman"/>
      <family val="1"/>
    </font>
    <font>
      <b/>
      <sz val="8.5"/>
      <name val="宋体"/>
      <family val="3"/>
      <charset val="134"/>
    </font>
    <font>
      <b/>
      <sz val="8.5"/>
      <name val="Times New Roman"/>
      <family val="1"/>
    </font>
    <font>
      <b/>
      <sz val="11"/>
      <color indexed="56"/>
      <name val="宋体"/>
      <family val="3"/>
      <charset val="134"/>
    </font>
    <font>
      <b/>
      <sz val="22"/>
      <color indexed="61"/>
      <name val="隶书"/>
      <family val="3"/>
      <charset val="134"/>
    </font>
    <font>
      <b/>
      <sz val="10"/>
      <color indexed="18"/>
      <name val="隶书"/>
      <family val="3"/>
      <charset val="134"/>
    </font>
    <font>
      <sz val="10"/>
      <color indexed="18"/>
      <name val="隶书"/>
      <family val="3"/>
      <charset val="134"/>
    </font>
    <font>
      <sz val="8"/>
      <color indexed="18"/>
      <name val="隶书"/>
      <family val="3"/>
      <charset val="134"/>
    </font>
    <font>
      <b/>
      <sz val="10"/>
      <color indexed="12"/>
      <name val="Times New Roman"/>
      <family val="1"/>
    </font>
    <font>
      <b/>
      <sz val="9"/>
      <name val="宋体"/>
      <family val="3"/>
      <charset val="134"/>
    </font>
    <font>
      <sz val="12"/>
      <name val="Arial Narrow"/>
      <family val="2"/>
    </font>
    <font>
      <b/>
      <sz val="11"/>
      <name val="Arial Narrow"/>
      <family val="2"/>
    </font>
    <font>
      <sz val="10"/>
      <name val="Arial Narrow"/>
      <family val="2"/>
    </font>
    <font>
      <sz val="9"/>
      <name val="Arial Narrow"/>
      <family val="2"/>
    </font>
    <font>
      <b/>
      <sz val="10"/>
      <name val="Arial Narrow"/>
      <family val="2"/>
    </font>
    <font>
      <u val="singleAccounting"/>
      <vertAlign val="subscript"/>
      <sz val="10"/>
      <name val="Times New Roman"/>
      <family val="1"/>
    </font>
    <font>
      <i/>
      <sz val="9"/>
      <name val="Times New Roman"/>
      <family val="1"/>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7"/>
      <name val="Small Fonts"/>
      <family val="2"/>
    </font>
    <font>
      <sz val="10"/>
      <name val="Courier"/>
      <family val="3"/>
    </font>
    <font>
      <sz val="7"/>
      <color indexed="10"/>
      <name val="Helv"/>
      <family val="2"/>
    </font>
    <font>
      <u/>
      <sz val="9"/>
      <color indexed="12"/>
      <name val="宋体"/>
      <family val="3"/>
      <charset val="134"/>
    </font>
    <font>
      <b/>
      <sz val="14"/>
      <color indexed="8"/>
      <name val="Arial Narrow"/>
      <family val="2"/>
    </font>
    <font>
      <b/>
      <sz val="9"/>
      <color indexed="8"/>
      <name val="Arial Narrow"/>
      <family val="2"/>
    </font>
    <font>
      <b/>
      <sz val="9"/>
      <name val="Arial Narrow"/>
      <family val="2"/>
    </font>
    <font>
      <sz val="9"/>
      <name val="新宋体"/>
      <family val="3"/>
      <charset val="134"/>
    </font>
    <font>
      <sz val="9"/>
      <color indexed="10"/>
      <name val="Arial Narrow"/>
      <family val="2"/>
    </font>
    <font>
      <b/>
      <sz val="9"/>
      <name val="仿宋体"/>
      <charset val="134"/>
    </font>
    <font>
      <sz val="9"/>
      <name val="仿宋体"/>
      <charset val="134"/>
    </font>
    <font>
      <sz val="9"/>
      <color indexed="46"/>
      <name val="Arial Narrow"/>
      <family val="2"/>
    </font>
    <font>
      <b/>
      <sz val="14"/>
      <name val="宋体"/>
      <family val="3"/>
      <charset val="134"/>
    </font>
    <font>
      <b/>
      <sz val="14"/>
      <name val="Arial Narrow"/>
      <family val="2"/>
    </font>
    <font>
      <b/>
      <sz val="10"/>
      <color indexed="10"/>
      <name val="Arial Narrow"/>
      <family val="2"/>
    </font>
    <font>
      <b/>
      <sz val="11"/>
      <color indexed="10"/>
      <name val="Arial Narrow"/>
      <family val="2"/>
    </font>
    <font>
      <u/>
      <sz val="10"/>
      <name val="Arial Narrow"/>
      <family val="2"/>
    </font>
    <font>
      <sz val="8"/>
      <name val="Arial Narrow"/>
      <family val="2"/>
    </font>
    <font>
      <sz val="12"/>
      <name val="长城仿宋"/>
      <family val="3"/>
      <charset val="134"/>
    </font>
    <font>
      <b/>
      <sz val="16"/>
      <name val="宋体"/>
      <family val="3"/>
      <charset val="134"/>
    </font>
    <font>
      <sz val="11"/>
      <name val="长城仿宋"/>
      <family val="3"/>
      <charset val="134"/>
    </font>
    <font>
      <sz val="11"/>
      <color indexed="9"/>
      <name val="宋体"/>
      <family val="3"/>
      <charset val="134"/>
    </font>
    <font>
      <b/>
      <sz val="11"/>
      <name val="长城仿宋"/>
      <charset val="134"/>
    </font>
    <font>
      <b/>
      <sz val="12"/>
      <name val="长城仿宋"/>
      <charset val="134"/>
    </font>
    <font>
      <b/>
      <i/>
      <sz val="10"/>
      <name val="宋体"/>
      <family val="3"/>
      <charset val="134"/>
    </font>
    <font>
      <sz val="10"/>
      <name val="长城仿宋"/>
      <family val="3"/>
      <charset val="134"/>
    </font>
    <font>
      <sz val="11"/>
      <name val="Arial Narrow"/>
      <family val="2"/>
    </font>
    <font>
      <sz val="10"/>
      <color indexed="9"/>
      <name val="Arial Narrow"/>
      <family val="2"/>
    </font>
    <font>
      <b/>
      <sz val="10"/>
      <color indexed="9"/>
      <name val="Arial Narrow"/>
      <family val="2"/>
    </font>
    <font>
      <sz val="10"/>
      <color indexed="8"/>
      <name val="Arial"/>
      <family val="2"/>
    </font>
    <font>
      <b/>
      <sz val="8"/>
      <name val="Arial"/>
      <family val="2"/>
    </font>
    <font>
      <sz val="10"/>
      <name val="MS Sans Serif"/>
      <family val="2"/>
    </font>
    <font>
      <b/>
      <sz val="12"/>
      <name val="Arial"/>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charset val="134"/>
    </font>
    <font>
      <sz val="8"/>
      <name val="Century Schoolbook"/>
      <family val="1"/>
    </font>
    <font>
      <sz val="11"/>
      <name val="ＭＳ Ｐゴシック"/>
      <family val="3"/>
      <charset val="134"/>
    </font>
    <font>
      <sz val="12"/>
      <name val="바탕체"/>
      <family val="3"/>
    </font>
    <font>
      <sz val="11"/>
      <name val="蹈框"/>
      <charset val="134"/>
    </font>
    <font>
      <b/>
      <sz val="10"/>
      <name val="长城仿宋"/>
      <family val="3"/>
      <charset val="134"/>
    </font>
    <font>
      <b/>
      <i/>
      <sz val="9"/>
      <name val="仿宋体"/>
      <charset val="134"/>
    </font>
    <font>
      <b/>
      <i/>
      <sz val="9"/>
      <name val="Arial Narrow"/>
      <family val="2"/>
    </font>
    <font>
      <b/>
      <i/>
      <sz val="9"/>
      <name val="宋体"/>
      <family val="3"/>
      <charset val="134"/>
    </font>
    <font>
      <sz val="9"/>
      <color indexed="9"/>
      <name val="Arial Narrow"/>
      <family val="2"/>
    </font>
    <font>
      <b/>
      <sz val="14"/>
      <color indexed="18"/>
      <name val="隶书"/>
      <family val="3"/>
      <charset val="134"/>
    </font>
    <font>
      <sz val="14"/>
      <color indexed="18"/>
      <name val="隶书"/>
      <family val="3"/>
      <charset val="134"/>
    </font>
    <font>
      <sz val="12"/>
      <color indexed="22"/>
      <name val="宋体"/>
      <family val="3"/>
      <charset val="134"/>
    </font>
    <font>
      <sz val="9"/>
      <color indexed="12"/>
      <name val="Arial Narrow"/>
      <family val="2"/>
    </font>
    <font>
      <b/>
      <sz val="9"/>
      <color indexed="12"/>
      <name val="Arial Narrow"/>
      <family val="2"/>
    </font>
    <font>
      <sz val="8.5"/>
      <name val="Arial Narrow"/>
      <family val="2"/>
    </font>
    <font>
      <sz val="8.5"/>
      <color indexed="12"/>
      <name val="Arial Narrow"/>
      <family val="2"/>
    </font>
    <font>
      <sz val="8.5"/>
      <color indexed="17"/>
      <name val="Arial Narrow"/>
      <family val="2"/>
    </font>
    <font>
      <b/>
      <sz val="10"/>
      <color indexed="12"/>
      <name val="Arial Narrow"/>
      <family val="2"/>
    </font>
    <font>
      <sz val="10"/>
      <color indexed="12"/>
      <name val="Arial Narrow"/>
      <family val="2"/>
    </font>
    <font>
      <b/>
      <sz val="9"/>
      <color indexed="12"/>
      <name val="Times New Roman"/>
      <family val="1"/>
    </font>
    <font>
      <b/>
      <sz val="11"/>
      <color indexed="56"/>
      <name val="Times New Roman"/>
      <family val="1"/>
    </font>
    <font>
      <b/>
      <sz val="14"/>
      <color indexed="56"/>
      <name val="宋体"/>
      <family val="3"/>
      <charset val="134"/>
    </font>
    <font>
      <sz val="14"/>
      <name val="宋体"/>
      <family val="3"/>
      <charset val="134"/>
    </font>
    <font>
      <sz val="10"/>
      <name val="幼圆"/>
      <family val="3"/>
      <charset val="134"/>
    </font>
    <font>
      <b/>
      <sz val="12"/>
      <name val="幼圆"/>
      <family val="3"/>
      <charset val="134"/>
    </font>
    <font>
      <b/>
      <sz val="11"/>
      <name val="幼圆"/>
      <family val="3"/>
      <charset val="134"/>
    </font>
    <font>
      <sz val="11"/>
      <name val="幼圆"/>
      <family val="3"/>
      <charset val="134"/>
    </font>
    <font>
      <u/>
      <sz val="12"/>
      <color indexed="12"/>
      <name val="幼圆"/>
      <family val="3"/>
      <charset val="134"/>
    </font>
    <font>
      <u/>
      <sz val="11"/>
      <color indexed="12"/>
      <name val="幼圆"/>
      <family val="3"/>
      <charset val="134"/>
    </font>
    <font>
      <sz val="8"/>
      <name val="宋体"/>
      <family val="3"/>
      <charset val="134"/>
    </font>
    <font>
      <sz val="8"/>
      <name val="Times New Roman"/>
      <family val="1"/>
    </font>
    <font>
      <b/>
      <sz val="8"/>
      <color indexed="18"/>
      <name val="Times New Roman"/>
      <family val="1"/>
    </font>
    <font>
      <sz val="8"/>
      <color indexed="18"/>
      <name val="宋体"/>
      <family val="3"/>
      <charset val="134"/>
    </font>
    <font>
      <b/>
      <sz val="10"/>
      <color indexed="10"/>
      <name val="宋体"/>
      <family val="3"/>
      <charset val="134"/>
    </font>
    <font>
      <b/>
      <i/>
      <sz val="10"/>
      <color indexed="12"/>
      <name val="宋体"/>
      <family val="3"/>
      <charset val="134"/>
    </font>
  </fonts>
  <fills count="23">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26"/>
        <bgColor indexed="64"/>
      </patternFill>
    </fill>
    <fill>
      <patternFill patternType="solid">
        <fgColor indexed="9"/>
        <bgColor indexed="9"/>
      </patternFill>
    </fill>
    <fill>
      <patternFill patternType="solid">
        <fgColor indexed="39"/>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indexed="26"/>
        <bgColor indexed="43"/>
      </patternFill>
    </fill>
    <fill>
      <patternFill patternType="solid">
        <fgColor indexed="46"/>
        <bgColor indexed="64"/>
      </patternFill>
    </fill>
    <fill>
      <patternFill patternType="solid">
        <fgColor indexed="45"/>
        <bgColor indexed="64"/>
      </patternFill>
    </fill>
    <fill>
      <patternFill patternType="solid">
        <fgColor indexed="48"/>
        <bgColor indexed="64"/>
      </patternFill>
    </fill>
    <fill>
      <patternFill patternType="solid">
        <fgColor indexed="27"/>
        <bgColor indexed="64"/>
      </patternFill>
    </fill>
    <fill>
      <patternFill patternType="solid">
        <fgColor indexed="41"/>
        <bgColor indexed="64"/>
      </patternFill>
    </fill>
    <fill>
      <patternFill patternType="solid">
        <fgColor indexed="15"/>
        <bgColor indexed="64"/>
      </patternFill>
    </fill>
    <fill>
      <patternFill patternType="solid">
        <fgColor indexed="11"/>
        <bgColor indexed="64"/>
      </patternFill>
    </fill>
    <fill>
      <patternFill patternType="solid">
        <fgColor indexed="50"/>
        <bgColor indexed="64"/>
      </patternFill>
    </fill>
    <fill>
      <patternFill patternType="solid">
        <fgColor indexed="42"/>
        <bgColor indexed="64"/>
      </patternFill>
    </fill>
    <fill>
      <patternFill patternType="solid">
        <fgColor indexed="44"/>
        <bgColor indexed="64"/>
      </patternFill>
    </fill>
    <fill>
      <patternFill patternType="solid">
        <fgColor indexed="53"/>
        <bgColor indexed="64"/>
      </patternFill>
    </fill>
    <fill>
      <patternFill patternType="solid">
        <fgColor indexed="49"/>
        <bgColor indexed="64"/>
      </patternFill>
    </fill>
  </fills>
  <borders count="67">
    <border>
      <left/>
      <right/>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indexed="64"/>
      </right>
      <top/>
      <bottom/>
      <diagonal/>
    </border>
    <border>
      <left/>
      <right/>
      <top/>
      <bottom style="thin">
        <color indexed="64"/>
      </bottom>
      <diagonal/>
    </border>
    <border>
      <left/>
      <right style="hair">
        <color indexed="64"/>
      </right>
      <top/>
      <bottom style="hair">
        <color indexed="64"/>
      </bottom>
      <diagonal/>
    </border>
    <border>
      <left style="hair">
        <color indexed="64"/>
      </left>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right style="hair">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style="hair">
        <color indexed="64"/>
      </right>
      <top/>
      <bottom/>
      <diagonal/>
    </border>
    <border>
      <left/>
      <right/>
      <top/>
      <bottom style="medium">
        <color indexed="64"/>
      </bottom>
      <diagonal/>
    </border>
    <border>
      <left style="thin">
        <color indexed="64"/>
      </left>
      <right/>
      <top style="thin">
        <color indexed="64"/>
      </top>
      <bottom/>
      <diagonal/>
    </border>
    <border>
      <left style="hair">
        <color indexed="64"/>
      </left>
      <right/>
      <top style="thin">
        <color indexed="64"/>
      </top>
      <bottom style="medium">
        <color indexed="64"/>
      </bottom>
      <diagonal/>
    </border>
    <border>
      <left style="hair">
        <color indexed="64"/>
      </left>
      <right style="hair">
        <color indexed="64"/>
      </right>
      <top style="medium">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style="hair">
        <color indexed="64"/>
      </left>
      <right/>
      <top style="hair">
        <color indexed="64"/>
      </top>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hair">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diagonal/>
    </border>
    <border>
      <left style="hair">
        <color indexed="64"/>
      </left>
      <right/>
      <top/>
      <bottom style="thin">
        <color indexed="64"/>
      </bottom>
      <diagonal/>
    </border>
    <border>
      <left style="hair">
        <color indexed="64"/>
      </left>
      <right/>
      <top style="medium">
        <color indexed="64"/>
      </top>
      <bottom style="hair">
        <color indexed="64"/>
      </bottom>
      <diagonal/>
    </border>
    <border>
      <left style="hair">
        <color indexed="64"/>
      </left>
      <right style="hair">
        <color indexed="64"/>
      </right>
      <top style="medium">
        <color indexed="64"/>
      </top>
      <bottom/>
      <diagonal/>
    </border>
    <border>
      <left style="hair">
        <color indexed="64"/>
      </left>
      <right style="hair">
        <color indexed="64"/>
      </right>
      <top/>
      <bottom style="thin">
        <color indexed="64"/>
      </bottom>
      <diagonal/>
    </border>
    <border>
      <left/>
      <right style="hair">
        <color indexed="64"/>
      </right>
      <top style="medium">
        <color indexed="64"/>
      </top>
      <bottom style="hair">
        <color indexed="64"/>
      </bottom>
      <diagonal/>
    </border>
    <border>
      <left/>
      <right style="hair">
        <color indexed="64"/>
      </right>
      <top style="medium">
        <color indexed="64"/>
      </top>
      <bottom/>
      <diagonal/>
    </border>
    <border>
      <left/>
      <right style="hair">
        <color indexed="64"/>
      </right>
      <top/>
      <bottom style="thin">
        <color indexed="64"/>
      </bottom>
      <diagonal/>
    </border>
    <border>
      <left style="hair">
        <color indexed="64"/>
      </left>
      <right style="hair">
        <color indexed="64"/>
      </right>
      <top style="thin">
        <color indexed="64"/>
      </top>
      <bottom/>
      <diagonal/>
    </border>
  </borders>
  <cellStyleXfs count="112">
    <xf numFmtId="0" fontId="0" fillId="0" borderId="0">
      <protection locked="0"/>
    </xf>
    <xf numFmtId="0" fontId="85" fillId="0" borderId="0">
      <alignment vertical="top"/>
      <protection locked="0"/>
    </xf>
    <xf numFmtId="49" fontId="15" fillId="0" borderId="0" applyProtection="0">
      <alignment horizontal="left"/>
    </xf>
    <xf numFmtId="0" fontId="85" fillId="0" borderId="0">
      <alignment vertical="top"/>
      <protection locked="0"/>
    </xf>
    <xf numFmtId="0" fontId="85" fillId="0" borderId="0">
      <alignment vertical="top"/>
      <protection locked="0"/>
    </xf>
    <xf numFmtId="0" fontId="85" fillId="0" borderId="0">
      <alignment vertical="top"/>
    </xf>
    <xf numFmtId="0" fontId="85" fillId="0" borderId="0">
      <alignment vertical="top"/>
      <protection locked="0"/>
    </xf>
    <xf numFmtId="0" fontId="85" fillId="0" borderId="0">
      <alignment vertical="top"/>
      <protection locked="0"/>
    </xf>
    <xf numFmtId="0" fontId="85" fillId="0" borderId="0">
      <alignment vertical="top"/>
      <protection locked="0"/>
    </xf>
    <xf numFmtId="0" fontId="85" fillId="0" borderId="0">
      <alignment vertical="top"/>
    </xf>
    <xf numFmtId="0" fontId="85" fillId="0" borderId="0">
      <alignment vertical="top"/>
    </xf>
    <xf numFmtId="0" fontId="85" fillId="0" borderId="0">
      <alignment vertical="top"/>
      <protection locked="0"/>
    </xf>
    <xf numFmtId="0" fontId="85" fillId="0" borderId="0">
      <alignment vertical="top"/>
    </xf>
    <xf numFmtId="0" fontId="85" fillId="0" borderId="0">
      <alignment vertical="top"/>
    </xf>
    <xf numFmtId="0" fontId="85" fillId="0" borderId="0">
      <alignment vertical="top"/>
    </xf>
    <xf numFmtId="0" fontId="85" fillId="0" borderId="0">
      <alignment vertical="top"/>
      <protection locked="0"/>
    </xf>
    <xf numFmtId="194" fontId="15" fillId="0" borderId="0" applyFill="0" applyBorder="0" applyProtection="0">
      <alignment horizontal="right"/>
    </xf>
    <xf numFmtId="195" fontId="15" fillId="0" borderId="0" applyFill="0" applyBorder="0" applyProtection="0">
      <alignment horizontal="right"/>
    </xf>
    <xf numFmtId="193" fontId="48" fillId="0" borderId="0" applyFill="0" applyBorder="0" applyProtection="0">
      <alignment horizontal="center"/>
    </xf>
    <xf numFmtId="192" fontId="48" fillId="0" borderId="0" applyFill="0" applyBorder="0" applyProtection="0">
      <alignment horizontal="center"/>
    </xf>
    <xf numFmtId="196" fontId="49" fillId="0" borderId="0" applyFill="0" applyBorder="0" applyProtection="0">
      <alignment horizontal="right"/>
    </xf>
    <xf numFmtId="197" fontId="15" fillId="0" borderId="0" applyFill="0" applyBorder="0" applyProtection="0">
      <alignment horizontal="right"/>
    </xf>
    <xf numFmtId="198" fontId="15" fillId="0" borderId="0" applyFill="0" applyBorder="0" applyProtection="0">
      <alignment horizontal="right"/>
    </xf>
    <xf numFmtId="201" fontId="15" fillId="0" borderId="0" applyFill="0" applyBorder="0" applyProtection="0">
      <alignment horizontal="right"/>
    </xf>
    <xf numFmtId="200" fontId="15" fillId="0" borderId="0" applyFill="0" applyBorder="0" applyProtection="0">
      <alignment horizontal="right"/>
    </xf>
    <xf numFmtId="3" fontId="50" fillId="0" borderId="0"/>
    <xf numFmtId="191" fontId="51" fillId="0" borderId="1" applyAlignment="0" applyProtection="0"/>
    <xf numFmtId="208" fontId="1" fillId="0" borderId="0" applyFill="0" applyBorder="0" applyAlignment="0"/>
    <xf numFmtId="0" fontId="86" fillId="0" borderId="2">
      <alignment horizontal="center"/>
    </xf>
    <xf numFmtId="212" fontId="52" fillId="0" borderId="0"/>
    <xf numFmtId="212" fontId="52" fillId="0" borderId="0"/>
    <xf numFmtId="212" fontId="52" fillId="0" borderId="0"/>
    <xf numFmtId="212" fontId="52" fillId="0" borderId="0"/>
    <xf numFmtId="212" fontId="52" fillId="0" borderId="0"/>
    <xf numFmtId="212" fontId="52" fillId="0" borderId="0"/>
    <xf numFmtId="212" fontId="52" fillId="0" borderId="0"/>
    <xf numFmtId="212" fontId="52" fillId="0" borderId="0"/>
    <xf numFmtId="38" fontId="87" fillId="0" borderId="0" applyFont="0" applyFill="0" applyBorder="0" applyAlignment="0" applyProtection="0"/>
    <xf numFmtId="40" fontId="87" fillId="0" borderId="0" applyFont="0" applyFill="0" applyBorder="0" applyAlignment="0" applyProtection="0"/>
    <xf numFmtId="215" fontId="1" fillId="0" borderId="0" applyFont="0" applyFill="0" applyBorder="0" applyAlignment="0" applyProtection="0"/>
    <xf numFmtId="216" fontId="1" fillId="0" borderId="0" applyFont="0" applyFill="0" applyBorder="0" applyAlignment="0" applyProtection="0"/>
    <xf numFmtId="41" fontId="52" fillId="0" borderId="0" applyFont="0" applyFill="0" applyBorder="0" applyAlignment="0" applyProtection="0"/>
    <xf numFmtId="43" fontId="52" fillId="0" borderId="0" applyFont="0" applyFill="0" applyBorder="0" applyAlignment="0" applyProtection="0"/>
    <xf numFmtId="0" fontId="13" fillId="0" borderId="0">
      <alignment horizontal="left"/>
    </xf>
    <xf numFmtId="0" fontId="54" fillId="2" borderId="3"/>
    <xf numFmtId="199" fontId="15" fillId="0" borderId="0" applyFont="0" applyFill="0" applyBorder="0" applyAlignment="0" applyProtection="0"/>
    <xf numFmtId="0" fontId="53" fillId="0" borderId="0" applyNumberFormat="0" applyFill="0" applyBorder="0" applyAlignment="0" applyProtection="0">
      <alignment vertical="top"/>
      <protection locked="0"/>
    </xf>
    <xf numFmtId="38" fontId="54" fillId="3" borderId="0" applyNumberFormat="0" applyBorder="0" applyAlignment="0" applyProtection="0"/>
    <xf numFmtId="0" fontId="88" fillId="0" borderId="4" applyNumberFormat="0" applyAlignment="0" applyProtection="0">
      <alignment horizontal="left" vertical="center"/>
    </xf>
    <xf numFmtId="0" fontId="88" fillId="0" borderId="5">
      <alignment horizontal="left" vertical="center"/>
    </xf>
    <xf numFmtId="0" fontId="55" fillId="0" borderId="0" applyNumberFormat="0" applyFill="0" applyBorder="0" applyAlignment="0" applyProtection="0">
      <alignment vertical="top"/>
      <protection locked="0"/>
    </xf>
    <xf numFmtId="10" fontId="54" fillId="4" borderId="3" applyNumberFormat="0" applyBorder="0" applyAlignment="0" applyProtection="0"/>
    <xf numFmtId="0" fontId="15" fillId="0" borderId="0" applyNumberFormat="0" applyFont="0" applyFill="0" applyBorder="0" applyProtection="0">
      <alignment horizontal="left" vertical="center"/>
    </xf>
    <xf numFmtId="41" fontId="52" fillId="0" borderId="0" applyFont="0" applyFill="0" applyBorder="0" applyAlignment="0" applyProtection="0"/>
    <xf numFmtId="43" fontId="52" fillId="0" borderId="0" applyFont="0" applyFill="0" applyBorder="0" applyAlignment="0" applyProtection="0"/>
    <xf numFmtId="203" fontId="1" fillId="0" borderId="0" applyFont="0" applyFill="0" applyBorder="0" applyAlignment="0" applyProtection="0"/>
    <xf numFmtId="204" fontId="1" fillId="0" borderId="0" applyFont="0" applyFill="0" applyBorder="0" applyAlignment="0" applyProtection="0"/>
    <xf numFmtId="205" fontId="52" fillId="0" borderId="0" applyFont="0" applyFill="0" applyBorder="0" applyAlignment="0" applyProtection="0"/>
    <xf numFmtId="206" fontId="52" fillId="0" borderId="0" applyFont="0" applyFill="0" applyBorder="0" applyAlignment="0" applyProtection="0"/>
    <xf numFmtId="213" fontId="52" fillId="0" borderId="0" applyFont="0" applyFill="0" applyBorder="0" applyAlignment="0" applyProtection="0"/>
    <xf numFmtId="214" fontId="1" fillId="0" borderId="0" applyFont="0" applyFill="0" applyBorder="0" applyAlignment="0" applyProtection="0"/>
    <xf numFmtId="37" fontId="56" fillId="0" borderId="0"/>
    <xf numFmtId="0" fontId="57" fillId="0" borderId="0"/>
    <xf numFmtId="202" fontId="1" fillId="0" borderId="0"/>
    <xf numFmtId="0" fontId="87" fillId="0" borderId="0"/>
    <xf numFmtId="0" fontId="89" fillId="0" borderId="0"/>
    <xf numFmtId="10" fontId="52" fillId="0" borderId="0" applyFont="0" applyFill="0" applyBorder="0" applyAlignment="0" applyProtection="0"/>
    <xf numFmtId="0" fontId="54" fillId="3" borderId="3"/>
    <xf numFmtId="4" fontId="13" fillId="0" borderId="0">
      <alignment horizontal="right"/>
    </xf>
    <xf numFmtId="3" fontId="58" fillId="0" borderId="0"/>
    <xf numFmtId="4" fontId="90" fillId="0" borderId="0">
      <alignment horizontal="right"/>
    </xf>
    <xf numFmtId="0" fontId="91" fillId="0" borderId="0">
      <alignment horizontal="left"/>
    </xf>
    <xf numFmtId="0" fontId="92" fillId="0" borderId="3">
      <alignment horizontal="center"/>
    </xf>
    <xf numFmtId="0" fontId="92" fillId="0" borderId="0">
      <alignment horizontal="center" vertical="center"/>
    </xf>
    <xf numFmtId="0" fontId="93" fillId="5" borderId="0" applyNumberFormat="0" applyFill="0">
      <alignment horizontal="left" vertical="center"/>
    </xf>
    <xf numFmtId="0" fontId="94" fillId="0" borderId="0">
      <alignment horizontal="center"/>
    </xf>
    <xf numFmtId="0" fontId="95" fillId="0" borderId="0" applyNumberFormat="0" applyFont="0" applyFill="0" applyBorder="0" applyProtection="0">
      <alignment horizontal="center" vertical="center" wrapText="1"/>
    </xf>
    <xf numFmtId="9" fontId="96" fillId="0" borderId="0" applyFont="0" applyFill="0" applyBorder="0" applyAlignment="0" applyProtection="0"/>
    <xf numFmtId="9" fontId="2" fillId="0" borderId="0" applyFont="0" applyFill="0" applyBorder="0" applyAlignment="0" applyProtection="0"/>
    <xf numFmtId="4" fontId="97" fillId="0" borderId="0">
      <alignment horizontal="right"/>
    </xf>
    <xf numFmtId="0" fontId="3" fillId="0" borderId="0">
      <protection locked="0"/>
    </xf>
    <xf numFmtId="0" fontId="15" fillId="0" borderId="0">
      <protection locked="0"/>
    </xf>
    <xf numFmtId="0" fontId="4" fillId="0" borderId="0">
      <protection locked="0"/>
    </xf>
    <xf numFmtId="0" fontId="1" fillId="0" borderId="0">
      <protection locked="0"/>
    </xf>
    <xf numFmtId="0" fontId="6" fillId="0" borderId="0" applyNumberFormat="0" applyFill="0" applyBorder="0" applyAlignment="0" applyProtection="0">
      <alignment vertical="top"/>
      <protection locked="0"/>
    </xf>
    <xf numFmtId="0" fontId="51" fillId="0" borderId="0" applyNumberFormat="0" applyFill="0" applyBorder="0" applyAlignment="0" applyProtection="0"/>
    <xf numFmtId="4" fontId="95" fillId="0" borderId="0" applyFont="0" applyFill="0" applyBorder="0" applyAlignment="0" applyProtection="0"/>
    <xf numFmtId="41" fontId="52" fillId="0" borderId="0" applyFont="0" applyFill="0" applyBorder="0" applyAlignment="0" applyProtection="0"/>
    <xf numFmtId="38" fontId="98" fillId="0" borderId="0" applyFont="0" applyFill="0" applyBorder="0" applyAlignment="0" applyProtection="0"/>
    <xf numFmtId="40" fontId="98" fillId="0" borderId="0" applyFont="0" applyFill="0" applyBorder="0" applyAlignment="0" applyProtection="0"/>
    <xf numFmtId="0" fontId="98" fillId="0" borderId="0" applyFont="0" applyFill="0" applyBorder="0" applyAlignment="0" applyProtection="0"/>
    <xf numFmtId="0" fontId="98" fillId="0" borderId="0" applyFont="0" applyFill="0" applyBorder="0" applyAlignment="0" applyProtection="0"/>
    <xf numFmtId="0" fontId="99" fillId="0" borderId="0"/>
    <xf numFmtId="210" fontId="4" fillId="0" borderId="0" applyFont="0" applyFill="0" applyBorder="0" applyAlignment="0" applyProtection="0"/>
    <xf numFmtId="8" fontId="1" fillId="0" borderId="0" applyFont="0" applyFill="0" applyBorder="0" applyAlignment="0" applyProtection="0"/>
    <xf numFmtId="211" fontId="4" fillId="0" borderId="0" applyFont="0" applyFill="0" applyBorder="0" applyAlignment="0" applyProtection="0"/>
    <xf numFmtId="209" fontId="4" fillId="0" borderId="0" applyFont="0" applyFill="0" applyBorder="0" applyAlignment="0" applyProtection="0"/>
    <xf numFmtId="0" fontId="15" fillId="0" borderId="0"/>
    <xf numFmtId="0" fontId="4" fillId="0" borderId="0"/>
    <xf numFmtId="0" fontId="4" fillId="0" borderId="0"/>
    <xf numFmtId="0" fontId="4" fillId="0" borderId="0"/>
    <xf numFmtId="0" fontId="15" fillId="0" borderId="0" applyFont="0" applyFill="0" applyBorder="0" applyAlignment="0" applyProtection="0"/>
    <xf numFmtId="0" fontId="15"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43" fontId="1" fillId="0" borderId="0" applyFont="0" applyFill="0" applyBorder="0" applyAlignment="0" applyProtection="0"/>
    <xf numFmtId="0" fontId="100" fillId="0" borderId="0"/>
    <xf numFmtId="206" fontId="52" fillId="0" borderId="0" applyFont="0" applyFill="0" applyBorder="0" applyAlignment="0" applyProtection="0"/>
    <xf numFmtId="207" fontId="1" fillId="0" borderId="0" applyFont="0" applyFill="0" applyBorder="0" applyAlignment="0" applyProtection="0"/>
  </cellStyleXfs>
  <cellXfs count="1026">
    <xf numFmtId="0" fontId="0" fillId="0" borderId="0" xfId="0">
      <protection locked="0"/>
    </xf>
    <xf numFmtId="0" fontId="3" fillId="0" borderId="0" xfId="0" applyFont="1" applyAlignment="1" applyProtection="1">
      <alignment vertical="center"/>
      <protection hidden="1"/>
    </xf>
    <xf numFmtId="0" fontId="19" fillId="4" borderId="6" xfId="0" applyFont="1" applyFill="1" applyBorder="1" applyAlignment="1" applyProtection="1">
      <alignment horizontal="center" vertical="center"/>
      <protection hidden="1"/>
    </xf>
    <xf numFmtId="0" fontId="7" fillId="4" borderId="6" xfId="0" applyFont="1" applyFill="1" applyBorder="1" applyAlignment="1" applyProtection="1">
      <alignment horizontal="left" vertical="center"/>
      <protection hidden="1"/>
    </xf>
    <xf numFmtId="0" fontId="7" fillId="4" borderId="6" xfId="0" applyFont="1" applyFill="1" applyBorder="1" applyAlignment="1" applyProtection="1">
      <alignment horizontal="left" vertical="center" shrinkToFit="1"/>
      <protection hidden="1"/>
    </xf>
    <xf numFmtId="0" fontId="9" fillId="4" borderId="6" xfId="0" applyFont="1" applyFill="1" applyBorder="1" applyAlignment="1" applyProtection="1">
      <alignment horizontal="left" vertical="center" shrinkToFit="1"/>
      <protection hidden="1"/>
    </xf>
    <xf numFmtId="31" fontId="9" fillId="4" borderId="6" xfId="0" applyNumberFormat="1" applyFont="1" applyFill="1" applyBorder="1" applyAlignment="1" applyProtection="1">
      <alignment horizontal="left" vertical="center"/>
      <protection hidden="1"/>
    </xf>
    <xf numFmtId="0" fontId="9" fillId="4" borderId="6" xfId="0" applyFont="1" applyFill="1" applyBorder="1" applyAlignment="1" applyProtection="1">
      <alignment horizontal="left" vertical="center"/>
      <protection hidden="1"/>
    </xf>
    <xf numFmtId="0" fontId="7" fillId="4" borderId="6" xfId="0" applyFont="1" applyFill="1" applyBorder="1" applyAlignment="1" applyProtection="1">
      <alignment vertical="center"/>
      <protection hidden="1"/>
    </xf>
    <xf numFmtId="0" fontId="32" fillId="0" borderId="0" xfId="0" applyFont="1" applyAlignment="1" applyProtection="1">
      <alignment vertical="center"/>
      <protection hidden="1"/>
    </xf>
    <xf numFmtId="0" fontId="0" fillId="3" borderId="0" xfId="0" applyFill="1" applyProtection="1">
      <protection hidden="1"/>
    </xf>
    <xf numFmtId="0" fontId="0" fillId="0" borderId="0" xfId="0" applyProtection="1">
      <protection locked="0"/>
    </xf>
    <xf numFmtId="22" fontId="0" fillId="0" borderId="0" xfId="0" applyNumberFormat="1" applyProtection="1">
      <protection locked="0"/>
    </xf>
    <xf numFmtId="43" fontId="0" fillId="0" borderId="0" xfId="0" applyNumberFormat="1" applyProtection="1">
      <protection locked="0"/>
    </xf>
    <xf numFmtId="43" fontId="37" fillId="4" borderId="0" xfId="105" applyFont="1" applyFill="1" applyAlignment="1" applyProtection="1">
      <alignment horizontal="center" vertical="center" shrinkToFit="1"/>
      <protection locked="0"/>
    </xf>
    <xf numFmtId="43" fontId="0" fillId="3" borderId="0" xfId="0" applyNumberFormat="1" applyFill="1" applyAlignment="1" applyProtection="1">
      <alignment vertical="center" shrinkToFit="1"/>
      <protection locked="0"/>
    </xf>
    <xf numFmtId="184" fontId="12" fillId="3" borderId="0" xfId="0" applyNumberFormat="1" applyFont="1" applyFill="1" applyAlignment="1" applyProtection="1">
      <alignment shrinkToFit="1"/>
      <protection locked="0"/>
    </xf>
    <xf numFmtId="43" fontId="37" fillId="4" borderId="0" xfId="105" applyFont="1" applyFill="1" applyAlignment="1" applyProtection="1">
      <alignment horizontal="left" vertical="center" shrinkToFit="1"/>
      <protection locked="0"/>
    </xf>
    <xf numFmtId="4" fontId="10" fillId="6" borderId="0" xfId="0" applyNumberFormat="1" applyFont="1" applyFill="1" applyBorder="1" applyAlignment="1" applyProtection="1">
      <alignment horizontal="center"/>
      <protection locked="0"/>
    </xf>
    <xf numFmtId="4" fontId="39" fillId="6" borderId="0" xfId="0" applyNumberFormat="1" applyFont="1" applyFill="1" applyBorder="1" applyAlignment="1" applyProtection="1">
      <alignment horizontal="left"/>
      <protection locked="0"/>
    </xf>
    <xf numFmtId="4" fontId="40" fillId="6" borderId="0" xfId="0" applyNumberFormat="1" applyFont="1" applyFill="1" applyBorder="1" applyAlignment="1" applyProtection="1">
      <alignment horizontal="left"/>
      <protection locked="0"/>
    </xf>
    <xf numFmtId="4" fontId="38" fillId="6" borderId="0" xfId="0" applyNumberFormat="1" applyFont="1" applyFill="1" applyBorder="1" applyAlignment="1" applyProtection="1">
      <alignment horizontal="left"/>
      <protection locked="0"/>
    </xf>
    <xf numFmtId="0" fontId="0" fillId="0" borderId="0" xfId="0" applyAlignment="1" applyProtection="1">
      <alignment vertical="center"/>
      <protection hidden="1"/>
    </xf>
    <xf numFmtId="0" fontId="0" fillId="7" borderId="0" xfId="0" applyFill="1" applyAlignment="1" applyProtection="1">
      <alignment horizontal="center"/>
      <protection hidden="1"/>
    </xf>
    <xf numFmtId="0" fontId="0" fillId="3" borderId="0" xfId="0" applyFill="1" applyAlignment="1" applyProtection="1">
      <alignment horizontal="center"/>
      <protection hidden="1"/>
    </xf>
    <xf numFmtId="0" fontId="0" fillId="7" borderId="0" xfId="0" applyFill="1" applyProtection="1">
      <protection hidden="1"/>
    </xf>
    <xf numFmtId="0" fontId="4" fillId="3" borderId="0" xfId="0" applyFont="1" applyFill="1" applyProtection="1">
      <protection hidden="1"/>
    </xf>
    <xf numFmtId="0" fontId="0" fillId="7" borderId="0" xfId="0" applyFill="1" applyAlignment="1" applyProtection="1">
      <alignment vertical="center"/>
      <protection hidden="1"/>
    </xf>
    <xf numFmtId="0" fontId="0" fillId="7" borderId="0" xfId="0" applyFill="1" applyAlignment="1" applyProtection="1">
      <alignment horizontal="left" vertical="center"/>
      <protection hidden="1"/>
    </xf>
    <xf numFmtId="0" fontId="0" fillId="3" borderId="0" xfId="0" applyFill="1" applyAlignment="1" applyProtection="1">
      <alignment vertical="center"/>
      <protection hidden="1"/>
    </xf>
    <xf numFmtId="0" fontId="0" fillId="3" borderId="0" xfId="0" applyFill="1" applyAlignment="1" applyProtection="1">
      <alignment horizontal="left" vertical="center"/>
      <protection hidden="1"/>
    </xf>
    <xf numFmtId="0" fontId="7" fillId="8" borderId="6" xfId="0" applyFont="1" applyFill="1" applyBorder="1" applyAlignment="1" applyProtection="1">
      <alignment vertical="center" shrinkToFit="1"/>
      <protection locked="0" hidden="1"/>
    </xf>
    <xf numFmtId="0" fontId="7" fillId="8" borderId="6" xfId="0" applyFont="1" applyFill="1" applyBorder="1" applyAlignment="1" applyProtection="1">
      <alignment vertical="center"/>
      <protection locked="0" hidden="1"/>
    </xf>
    <xf numFmtId="0" fontId="31" fillId="8" borderId="6" xfId="0" applyFont="1" applyFill="1" applyBorder="1" applyAlignment="1" applyProtection="1">
      <alignment vertical="center" shrinkToFit="1"/>
      <protection locked="0" hidden="1"/>
    </xf>
    <xf numFmtId="0" fontId="12" fillId="0" borderId="0" xfId="0" applyFont="1" applyAlignment="1" applyProtection="1">
      <alignment vertical="center"/>
      <protection hidden="1"/>
    </xf>
    <xf numFmtId="184" fontId="0" fillId="0" borderId="0" xfId="0" applyNumberFormat="1" applyAlignment="1" applyProtection="1">
      <alignment vertical="center"/>
      <protection hidden="1"/>
    </xf>
    <xf numFmtId="0" fontId="9" fillId="8" borderId="6" xfId="0" applyFont="1" applyFill="1" applyBorder="1" applyAlignment="1" applyProtection="1">
      <alignment vertical="center" shrinkToFit="1"/>
      <protection locked="0" hidden="1"/>
    </xf>
    <xf numFmtId="43" fontId="25" fillId="0" borderId="0" xfId="82" applyNumberFormat="1" applyFont="1" applyBorder="1" applyAlignment="1">
      <alignment horizontal="center" vertical="center"/>
      <protection locked="0"/>
    </xf>
    <xf numFmtId="185" fontId="46" fillId="0" borderId="6" xfId="83" applyNumberFormat="1" applyFont="1" applyBorder="1" applyAlignment="1">
      <alignment horizontal="center" vertical="center"/>
      <protection locked="0"/>
    </xf>
    <xf numFmtId="43" fontId="61" fillId="8" borderId="0" xfId="83" applyNumberFormat="1" applyFont="1" applyFill="1" applyAlignment="1">
      <alignment horizontal="centerContinuous" vertical="center"/>
      <protection locked="0"/>
    </xf>
    <xf numFmtId="43" fontId="62" fillId="8" borderId="0" xfId="83" applyNumberFormat="1" applyFont="1" applyFill="1" applyAlignment="1">
      <alignment horizontal="centerContinuous" vertical="center"/>
      <protection locked="0"/>
    </xf>
    <xf numFmtId="43" fontId="62" fillId="8" borderId="0" xfId="83" applyNumberFormat="1" applyFont="1" applyFill="1">
      <protection locked="0"/>
    </xf>
    <xf numFmtId="43" fontId="46" fillId="0" borderId="0" xfId="83" applyNumberFormat="1" applyFont="1" applyAlignment="1">
      <alignment vertical="center"/>
      <protection locked="0"/>
    </xf>
    <xf numFmtId="43" fontId="46" fillId="0" borderId="0" xfId="83" applyNumberFormat="1" applyFont="1" applyAlignment="1">
      <alignment horizontal="center" vertical="center"/>
      <protection locked="0"/>
    </xf>
    <xf numFmtId="43" fontId="46" fillId="0" borderId="0" xfId="83" applyNumberFormat="1" applyFont="1">
      <protection locked="0"/>
    </xf>
    <xf numFmtId="43" fontId="64" fillId="0" borderId="0" xfId="83" applyNumberFormat="1" applyFont="1">
      <protection locked="0"/>
    </xf>
    <xf numFmtId="43" fontId="46" fillId="0" borderId="6" xfId="83" applyNumberFormat="1" applyFont="1" applyBorder="1" applyAlignment="1">
      <alignment horizontal="center"/>
      <protection locked="0"/>
    </xf>
    <xf numFmtId="43" fontId="65" fillId="3" borderId="0" xfId="83" applyNumberFormat="1" applyFont="1" applyFill="1" applyBorder="1" applyAlignment="1" applyProtection="1"/>
    <xf numFmtId="43" fontId="46" fillId="0" borderId="7" xfId="83" applyNumberFormat="1" applyFont="1" applyBorder="1">
      <protection locked="0"/>
    </xf>
    <xf numFmtId="43" fontId="46" fillId="0" borderId="8" xfId="83" applyNumberFormat="1" applyFont="1" applyBorder="1" applyAlignment="1">
      <alignment horizontal="center"/>
      <protection locked="0"/>
    </xf>
    <xf numFmtId="43" fontId="66" fillId="3" borderId="0" xfId="83" quotePrefix="1" applyNumberFormat="1" applyFont="1" applyFill="1" applyBorder="1" applyAlignment="1" applyProtection="1">
      <alignment horizontal="left"/>
    </xf>
    <xf numFmtId="43" fontId="66" fillId="3" borderId="0" xfId="83" applyNumberFormat="1" applyFont="1" applyFill="1" applyBorder="1" applyAlignment="1" applyProtection="1"/>
    <xf numFmtId="43" fontId="62" fillId="3" borderId="0" xfId="83" applyNumberFormat="1" applyFont="1" applyFill="1" applyBorder="1" applyAlignment="1" applyProtection="1">
      <alignment horizontal="center"/>
    </xf>
    <xf numFmtId="43" fontId="65" fillId="3" borderId="0" xfId="83" applyNumberFormat="1" applyFont="1" applyFill="1" applyBorder="1" applyAlignment="1" applyProtection="1">
      <alignment horizontal="center"/>
    </xf>
    <xf numFmtId="43" fontId="66" fillId="3" borderId="0" xfId="83" applyNumberFormat="1" applyFont="1" applyFill="1" applyBorder="1" applyAlignment="1" applyProtection="1">
      <alignment horizontal="left"/>
    </xf>
    <xf numFmtId="43" fontId="66" fillId="3" borderId="0" xfId="83" applyNumberFormat="1" applyFont="1" applyFill="1" applyBorder="1" applyProtection="1"/>
    <xf numFmtId="43" fontId="65" fillId="3" borderId="0" xfId="83" applyNumberFormat="1" applyFont="1" applyFill="1" applyBorder="1" applyProtection="1"/>
    <xf numFmtId="43" fontId="46" fillId="0" borderId="0" xfId="83" applyNumberFormat="1" applyFont="1" applyAlignment="1">
      <alignment horizontal="center"/>
      <protection locked="0"/>
    </xf>
    <xf numFmtId="0" fontId="68" fillId="0" borderId="0" xfId="80" applyFont="1" applyAlignment="1">
      <alignment horizontal="centerContinuous" vertical="center"/>
      <protection locked="0"/>
    </xf>
    <xf numFmtId="184" fontId="69" fillId="0" borderId="0" xfId="80" applyNumberFormat="1" applyFont="1" applyAlignment="1">
      <alignment horizontal="centerContinuous" vertical="center"/>
      <protection locked="0"/>
    </xf>
    <xf numFmtId="184" fontId="69" fillId="0" borderId="0" xfId="80" applyNumberFormat="1" applyFont="1" applyAlignment="1">
      <alignment horizontal="center" vertical="center"/>
      <protection locked="0"/>
    </xf>
    <xf numFmtId="184" fontId="45" fillId="0" borderId="0" xfId="80" applyNumberFormat="1" applyFont="1" applyAlignment="1">
      <alignment vertical="center"/>
      <protection locked="0"/>
    </xf>
    <xf numFmtId="184" fontId="46" fillId="0" borderId="0" xfId="80" applyNumberFormat="1" applyFont="1" applyAlignment="1">
      <alignment vertical="center"/>
      <protection locked="0"/>
    </xf>
    <xf numFmtId="187" fontId="46" fillId="0" borderId="0" xfId="80" applyNumberFormat="1" applyFont="1" applyAlignment="1">
      <alignment vertical="center"/>
      <protection locked="0"/>
    </xf>
    <xf numFmtId="43" fontId="74" fillId="0" borderId="0" xfId="82" applyNumberFormat="1" applyFont="1" applyBorder="1" applyAlignment="1">
      <alignment vertical="center"/>
      <protection locked="0"/>
    </xf>
    <xf numFmtId="43" fontId="12" fillId="0" borderId="0" xfId="82" applyNumberFormat="1" applyFont="1" applyBorder="1" applyAlignment="1">
      <alignment vertical="center"/>
      <protection locked="0"/>
    </xf>
    <xf numFmtId="43" fontId="1" fillId="0" borderId="0" xfId="82" applyNumberFormat="1" applyFont="1" applyBorder="1" applyAlignment="1">
      <alignment horizontal="center" vertical="center"/>
      <protection locked="0"/>
    </xf>
    <xf numFmtId="43" fontId="76" fillId="0" borderId="0" xfId="82" applyNumberFormat="1" applyFont="1" applyBorder="1" applyAlignment="1">
      <alignment vertical="center"/>
      <protection locked="0"/>
    </xf>
    <xf numFmtId="43" fontId="78" fillId="0" borderId="0" xfId="82" applyNumberFormat="1" applyFont="1" applyBorder="1" applyAlignment="1">
      <alignment vertical="center"/>
      <protection locked="0"/>
    </xf>
    <xf numFmtId="43" fontId="79" fillId="0" borderId="0" xfId="82" applyNumberFormat="1" applyFont="1" applyBorder="1" applyAlignment="1">
      <alignment vertical="center"/>
      <protection locked="0"/>
    </xf>
    <xf numFmtId="43" fontId="25" fillId="0" borderId="0" xfId="82" applyNumberFormat="1" applyFont="1" applyAlignment="1">
      <alignment vertical="center"/>
      <protection locked="0"/>
    </xf>
    <xf numFmtId="43" fontId="25" fillId="0" borderId="0" xfId="82" applyNumberFormat="1" applyFont="1" applyAlignment="1">
      <alignment horizontal="left" vertical="center"/>
      <protection locked="0"/>
    </xf>
    <xf numFmtId="43" fontId="19" fillId="0" borderId="0" xfId="82" applyNumberFormat="1" applyFont="1" applyAlignment="1">
      <alignment horizontal="left" vertical="center"/>
      <protection locked="0"/>
    </xf>
    <xf numFmtId="43" fontId="12" fillId="0" borderId="0" xfId="82" applyNumberFormat="1" applyFont="1" applyAlignment="1">
      <alignment vertical="center"/>
      <protection locked="0"/>
    </xf>
    <xf numFmtId="43" fontId="81" fillId="0" borderId="0" xfId="82" applyNumberFormat="1" applyFont="1" applyBorder="1" applyAlignment="1">
      <alignment vertical="center"/>
      <protection locked="0"/>
    </xf>
    <xf numFmtId="43" fontId="12" fillId="0" borderId="0" xfId="82" applyNumberFormat="1" applyFont="1" applyAlignment="1">
      <alignment horizontal="right" vertical="center"/>
      <protection locked="0"/>
    </xf>
    <xf numFmtId="43" fontId="45" fillId="0" borderId="0" xfId="82" applyNumberFormat="1" applyFont="1" applyAlignment="1">
      <alignment vertical="center"/>
      <protection locked="0"/>
    </xf>
    <xf numFmtId="43" fontId="1" fillId="0" borderId="0" xfId="82" applyNumberFormat="1" applyFont="1" applyAlignment="1">
      <alignment vertical="center"/>
      <protection locked="0"/>
    </xf>
    <xf numFmtId="43" fontId="1" fillId="0" borderId="0" xfId="82" applyNumberFormat="1" applyFont="1" applyAlignment="1">
      <alignment horizontal="right" vertical="center"/>
      <protection locked="0"/>
    </xf>
    <xf numFmtId="43" fontId="74" fillId="0" borderId="0" xfId="82" applyNumberFormat="1" applyFont="1" applyAlignment="1">
      <alignment vertical="center"/>
      <protection locked="0"/>
    </xf>
    <xf numFmtId="43" fontId="74" fillId="0" borderId="0" xfId="106" applyNumberFormat="1" applyFont="1" applyBorder="1" applyAlignment="1">
      <alignment vertical="center"/>
    </xf>
    <xf numFmtId="43" fontId="1" fillId="0" borderId="0" xfId="106" applyNumberFormat="1" applyFont="1" applyBorder="1" applyAlignment="1">
      <alignment horizontal="center" vertical="center"/>
    </xf>
    <xf numFmtId="43" fontId="81" fillId="0" borderId="0" xfId="106" applyNumberFormat="1" applyFont="1" applyBorder="1" applyAlignment="1">
      <alignment vertical="center"/>
    </xf>
    <xf numFmtId="43" fontId="12" fillId="0" borderId="0" xfId="106" applyNumberFormat="1" applyFont="1" applyBorder="1" applyAlignment="1">
      <alignment horizontal="center" vertical="center"/>
    </xf>
    <xf numFmtId="43" fontId="7" fillId="0" borderId="0" xfId="82" applyNumberFormat="1" applyFont="1" applyBorder="1" applyAlignment="1">
      <alignment vertical="center"/>
      <protection locked="0"/>
    </xf>
    <xf numFmtId="43" fontId="12" fillId="0" borderId="0" xfId="82" applyNumberFormat="1" applyFont="1" applyBorder="1" applyAlignment="1">
      <alignment horizontal="center" vertical="center"/>
      <protection locked="0"/>
    </xf>
    <xf numFmtId="43" fontId="25" fillId="0" borderId="9" xfId="98" applyNumberFormat="1" applyFont="1" applyBorder="1" applyAlignment="1">
      <alignment vertical="center"/>
    </xf>
    <xf numFmtId="43" fontId="12" fillId="0" borderId="2" xfId="82" applyNumberFormat="1" applyFont="1" applyBorder="1" applyAlignment="1">
      <alignment horizontal="center" vertical="center"/>
      <protection locked="0"/>
    </xf>
    <xf numFmtId="43" fontId="12" fillId="0" borderId="9" xfId="98" applyNumberFormat="1" applyFont="1" applyBorder="1" applyAlignment="1">
      <alignment vertical="center"/>
    </xf>
    <xf numFmtId="43" fontId="12" fillId="0" borderId="10" xfId="82" applyNumberFormat="1" applyFont="1" applyBorder="1" applyAlignment="1">
      <alignment horizontal="center" vertical="center"/>
      <protection locked="0"/>
    </xf>
    <xf numFmtId="43" fontId="12" fillId="0" borderId="9" xfId="98" applyNumberFormat="1" applyFont="1" applyBorder="1" applyAlignment="1">
      <alignment horizontal="left" vertical="center"/>
    </xf>
    <xf numFmtId="43" fontId="12" fillId="0" borderId="10" xfId="82" applyNumberFormat="1" applyFont="1" applyBorder="1" applyAlignment="1">
      <alignment vertical="center"/>
      <protection locked="0"/>
    </xf>
    <xf numFmtId="43" fontId="25" fillId="0" borderId="10" xfId="82" applyNumberFormat="1" applyFont="1" applyBorder="1" applyAlignment="1">
      <alignment horizontal="center" vertical="center"/>
      <protection locked="0"/>
    </xf>
    <xf numFmtId="43" fontId="25" fillId="0" borderId="0" xfId="82" applyNumberFormat="1" applyFont="1" applyBorder="1" applyAlignment="1">
      <alignment vertical="center"/>
      <protection locked="0"/>
    </xf>
    <xf numFmtId="43" fontId="80" fillId="0" borderId="9" xfId="98" applyNumberFormat="1" applyFont="1" applyBorder="1" applyAlignment="1">
      <alignment vertical="center"/>
    </xf>
    <xf numFmtId="43" fontId="25" fillId="0" borderId="11" xfId="98" applyNumberFormat="1" applyFont="1" applyFill="1" applyBorder="1" applyAlignment="1">
      <alignment vertical="center"/>
    </xf>
    <xf numFmtId="43" fontId="25" fillId="0" borderId="12" xfId="82" applyNumberFormat="1" applyFont="1" applyFill="1" applyBorder="1" applyAlignment="1">
      <alignment horizontal="center" vertical="center"/>
      <protection locked="0"/>
    </xf>
    <xf numFmtId="43" fontId="25" fillId="0" borderId="0" xfId="98" applyNumberFormat="1" applyFont="1" applyFill="1" applyBorder="1" applyAlignment="1">
      <alignment vertical="center"/>
    </xf>
    <xf numFmtId="43" fontId="25" fillId="0" borderId="0" xfId="82" applyNumberFormat="1" applyFont="1" applyFill="1" applyBorder="1" applyAlignment="1">
      <alignment horizontal="center" vertical="center"/>
      <protection locked="0"/>
    </xf>
    <xf numFmtId="43" fontId="25" fillId="0" borderId="0" xfId="82" applyNumberFormat="1" applyFont="1" applyFill="1" applyBorder="1" applyAlignment="1">
      <alignment vertical="center"/>
      <protection locked="0"/>
    </xf>
    <xf numFmtId="43" fontId="7" fillId="0" borderId="0" xfId="82" applyNumberFormat="1" applyFont="1" applyBorder="1" applyAlignment="1">
      <alignment horizontal="center" vertical="center"/>
      <protection locked="0"/>
    </xf>
    <xf numFmtId="43" fontId="12" fillId="0" borderId="0" xfId="82" applyNumberFormat="1" applyFont="1" applyBorder="1" applyAlignment="1">
      <alignment horizontal="right" vertical="center"/>
      <protection locked="0"/>
    </xf>
    <xf numFmtId="43" fontId="12" fillId="0" borderId="9" xfId="82" applyNumberFormat="1" applyFont="1" applyBorder="1" applyAlignment="1">
      <alignment vertical="center"/>
      <protection locked="0"/>
    </xf>
    <xf numFmtId="43" fontId="25" fillId="0" borderId="9" xfId="82" applyNumberFormat="1" applyFont="1" applyBorder="1" applyAlignment="1">
      <alignment vertical="center"/>
      <protection locked="0"/>
    </xf>
    <xf numFmtId="0" fontId="12" fillId="0" borderId="0" xfId="0" applyFont="1" applyFill="1" applyAlignment="1" applyProtection="1">
      <alignment horizontal="left" vertical="center"/>
      <protection hidden="1"/>
    </xf>
    <xf numFmtId="3" fontId="12" fillId="0" borderId="0" xfId="105" applyNumberFormat="1" applyFont="1" applyFill="1" applyBorder="1" applyAlignment="1" applyProtection="1">
      <alignment horizontal="center" vertical="center"/>
      <protection hidden="1"/>
    </xf>
    <xf numFmtId="43" fontId="12" fillId="0" borderId="0" xfId="105" applyFont="1" applyFill="1" applyBorder="1" applyAlignment="1" applyProtection="1">
      <alignment vertical="center"/>
      <protection hidden="1"/>
    </xf>
    <xf numFmtId="0" fontId="15" fillId="0" borderId="0" xfId="0" applyFont="1" applyFill="1" applyAlignment="1" applyProtection="1">
      <alignment horizontal="left" vertical="center"/>
      <protection hidden="1"/>
    </xf>
    <xf numFmtId="3" fontId="15" fillId="0" borderId="0" xfId="0" applyNumberFormat="1" applyFont="1" applyFill="1" applyAlignment="1" applyProtection="1">
      <alignment horizontal="center" vertical="center"/>
      <protection hidden="1"/>
    </xf>
    <xf numFmtId="0" fontId="12" fillId="0" borderId="0" xfId="0" applyFont="1" applyFill="1" applyAlignment="1" applyProtection="1">
      <alignment horizontal="center" vertical="center"/>
      <protection hidden="1"/>
    </xf>
    <xf numFmtId="43" fontId="15" fillId="0" borderId="0" xfId="105" applyFont="1" applyFill="1" applyAlignment="1" applyProtection="1">
      <alignment horizontal="center" vertical="center"/>
      <protection hidden="1"/>
    </xf>
    <xf numFmtId="0" fontId="12" fillId="0" borderId="0" xfId="0" applyFont="1" applyFill="1" applyAlignment="1" applyProtection="1">
      <protection hidden="1"/>
    </xf>
    <xf numFmtId="0" fontId="25" fillId="0" borderId="0" xfId="0" applyFont="1" applyFill="1" applyAlignment="1" applyProtection="1">
      <alignment horizontal="left" vertical="center"/>
      <protection hidden="1"/>
    </xf>
    <xf numFmtId="3" fontId="25" fillId="0" borderId="0" xfId="105" applyNumberFormat="1" applyFont="1" applyFill="1" applyBorder="1" applyAlignment="1" applyProtection="1">
      <alignment horizontal="left" vertical="center"/>
      <protection hidden="1"/>
    </xf>
    <xf numFmtId="0" fontId="0" fillId="9" borderId="0" xfId="0" applyFill="1" applyAlignment="1" applyProtection="1">
      <alignment vertical="center"/>
      <protection hidden="1"/>
    </xf>
    <xf numFmtId="0" fontId="0" fillId="9" borderId="0" xfId="0" applyFill="1" applyAlignment="1" applyProtection="1">
      <alignment horizontal="left" vertical="center"/>
      <protection hidden="1"/>
    </xf>
    <xf numFmtId="0" fontId="0" fillId="9" borderId="0" xfId="0" applyFill="1" applyProtection="1">
      <protection hidden="1"/>
    </xf>
    <xf numFmtId="0" fontId="21" fillId="10" borderId="13" xfId="0" applyFont="1" applyFill="1" applyBorder="1" applyAlignment="1">
      <alignment horizontal="center"/>
      <protection locked="0"/>
    </xf>
    <xf numFmtId="0" fontId="25" fillId="10" borderId="14" xfId="0" applyFont="1" applyFill="1" applyBorder="1" applyAlignment="1">
      <alignment horizontal="center"/>
      <protection locked="0"/>
    </xf>
    <xf numFmtId="0" fontId="25" fillId="10" borderId="15" xfId="0" applyFont="1" applyFill="1" applyBorder="1" applyAlignment="1">
      <alignment horizontal="center"/>
      <protection locked="0"/>
    </xf>
    <xf numFmtId="0" fontId="45" fillId="10" borderId="16" xfId="0" applyFont="1" applyFill="1" applyBorder="1" applyAlignment="1">
      <alignment horizontal="center"/>
      <protection locked="0"/>
    </xf>
    <xf numFmtId="0" fontId="14" fillId="10" borderId="17" xfId="0" applyFont="1" applyFill="1" applyBorder="1">
      <protection locked="0"/>
    </xf>
    <xf numFmtId="0" fontId="12" fillId="10" borderId="6" xfId="0" applyFont="1" applyFill="1" applyBorder="1" applyAlignment="1">
      <alignment horizontal="center"/>
      <protection locked="0"/>
    </xf>
    <xf numFmtId="0" fontId="45" fillId="10" borderId="18" xfId="0" applyFont="1" applyFill="1" applyBorder="1" applyAlignment="1">
      <alignment horizontal="center"/>
      <protection locked="0"/>
    </xf>
    <xf numFmtId="0" fontId="12" fillId="10" borderId="19" xfId="0" applyFont="1" applyFill="1" applyBorder="1" applyAlignment="1">
      <alignment horizontal="center"/>
      <protection locked="0"/>
    </xf>
    <xf numFmtId="0" fontId="14" fillId="10" borderId="20" xfId="0" applyFont="1" applyFill="1" applyBorder="1">
      <protection locked="0"/>
    </xf>
    <xf numFmtId="0" fontId="12" fillId="10" borderId="6" xfId="0" applyFont="1" applyFill="1" applyBorder="1" applyAlignment="1">
      <alignment horizontal="center" vertical="center"/>
      <protection locked="0"/>
    </xf>
    <xf numFmtId="43" fontId="12" fillId="0" borderId="10" xfId="106" applyNumberFormat="1" applyFont="1" applyBorder="1" applyAlignment="1">
      <alignment horizontal="center" vertical="center"/>
    </xf>
    <xf numFmtId="43" fontId="12" fillId="0" borderId="12" xfId="106" applyNumberFormat="1" applyFont="1" applyBorder="1" applyAlignment="1">
      <alignment horizontal="center" vertical="center"/>
    </xf>
    <xf numFmtId="43" fontId="25" fillId="0" borderId="3" xfId="106" applyNumberFormat="1" applyFont="1" applyBorder="1" applyAlignment="1">
      <alignment horizontal="center" vertical="center"/>
    </xf>
    <xf numFmtId="43" fontId="12" fillId="0" borderId="0" xfId="106" applyNumberFormat="1" applyFont="1" applyBorder="1" applyAlignment="1">
      <alignment vertical="center"/>
    </xf>
    <xf numFmtId="43" fontId="25" fillId="0" borderId="0" xfId="106" applyNumberFormat="1" applyFont="1" applyBorder="1" applyAlignment="1">
      <alignment vertical="center"/>
    </xf>
    <xf numFmtId="43" fontId="12" fillId="0" borderId="10" xfId="106" applyNumberFormat="1" applyFont="1" applyBorder="1" applyAlignment="1">
      <alignment vertical="center"/>
    </xf>
    <xf numFmtId="43" fontId="12" fillId="0" borderId="12" xfId="106" applyNumberFormat="1" applyFont="1" applyBorder="1" applyAlignment="1">
      <alignment vertical="center"/>
    </xf>
    <xf numFmtId="43" fontId="46" fillId="3" borderId="0" xfId="83" applyNumberFormat="1" applyFont="1" applyFill="1" applyBorder="1" applyAlignment="1" applyProtection="1">
      <alignment horizontal="left"/>
    </xf>
    <xf numFmtId="43" fontId="102" fillId="3" borderId="0" xfId="83" applyNumberFormat="1" applyFont="1" applyFill="1" applyBorder="1" applyAlignment="1" applyProtection="1"/>
    <xf numFmtId="43" fontId="102" fillId="3" borderId="0" xfId="83" applyNumberFormat="1" applyFont="1" applyFill="1" applyBorder="1" applyProtection="1"/>
    <xf numFmtId="43" fontId="103" fillId="3" borderId="0" xfId="83" applyNumberFormat="1" applyFont="1" applyFill="1" applyBorder="1" applyAlignment="1" applyProtection="1">
      <alignment horizontal="left"/>
    </xf>
    <xf numFmtId="43" fontId="102" fillId="3" borderId="0" xfId="83" applyNumberFormat="1" applyFont="1" applyFill="1" applyBorder="1" applyAlignment="1" applyProtection="1">
      <alignment horizontal="left"/>
    </xf>
    <xf numFmtId="43" fontId="3" fillId="3" borderId="0" xfId="83" applyNumberFormat="1" applyFont="1" applyFill="1" applyBorder="1" applyAlignment="1" applyProtection="1">
      <alignment horizontal="left" indent="1"/>
    </xf>
    <xf numFmtId="43" fontId="66" fillId="3" borderId="0" xfId="83" applyNumberFormat="1" applyFont="1" applyFill="1" applyBorder="1" applyAlignment="1" applyProtection="1">
      <alignment horizontal="left" indent="1"/>
    </xf>
    <xf numFmtId="43" fontId="47" fillId="0" borderId="21" xfId="105" applyFont="1" applyBorder="1" applyAlignment="1" applyProtection="1">
      <alignment vertical="center"/>
      <protection locked="0"/>
    </xf>
    <xf numFmtId="43" fontId="47" fillId="0" borderId="21" xfId="105" applyFont="1" applyBorder="1" applyAlignment="1" applyProtection="1">
      <alignment horizontal="center" vertical="center"/>
      <protection locked="0"/>
    </xf>
    <xf numFmtId="43" fontId="45" fillId="0" borderId="21" xfId="105" applyFont="1" applyBorder="1" applyAlignment="1" applyProtection="1">
      <alignment horizontal="center" vertical="center"/>
      <protection locked="0"/>
    </xf>
    <xf numFmtId="0" fontId="65" fillId="3" borderId="0" xfId="83" applyNumberFormat="1" applyFont="1" applyFill="1" applyBorder="1" applyAlignment="1" applyProtection="1">
      <alignment horizontal="center"/>
    </xf>
    <xf numFmtId="43" fontId="45" fillId="0" borderId="0" xfId="105" applyFont="1" applyAlignment="1" applyProtection="1">
      <alignment vertical="center"/>
      <protection hidden="1"/>
    </xf>
    <xf numFmtId="0" fontId="15" fillId="10" borderId="6" xfId="0" applyFont="1" applyFill="1" applyBorder="1">
      <protection locked="0"/>
    </xf>
    <xf numFmtId="0" fontId="15" fillId="10" borderId="19" xfId="0" applyFont="1" applyFill="1" applyBorder="1">
      <protection locked="0"/>
    </xf>
    <xf numFmtId="0" fontId="30" fillId="3" borderId="0" xfId="0" applyFont="1" applyFill="1" applyAlignment="1" applyProtection="1">
      <alignment vertical="center"/>
      <protection hidden="1"/>
    </xf>
    <xf numFmtId="0" fontId="41" fillId="3" borderId="0" xfId="0" applyFont="1" applyFill="1" applyAlignment="1" applyProtection="1">
      <alignment horizontal="right" vertical="center"/>
      <protection hidden="1"/>
    </xf>
    <xf numFmtId="31" fontId="12" fillId="6" borderId="3" xfId="0" applyNumberFormat="1" applyFont="1" applyFill="1" applyBorder="1" applyAlignment="1" applyProtection="1">
      <alignment horizontal="center" vertical="center" shrinkToFit="1"/>
      <protection hidden="1"/>
    </xf>
    <xf numFmtId="0" fontId="12" fillId="0" borderId="0" xfId="0" applyFont="1" applyFill="1" applyAlignment="1" applyProtection="1">
      <alignment vertical="center"/>
      <protection hidden="1"/>
    </xf>
    <xf numFmtId="0" fontId="0" fillId="0" borderId="0" xfId="0" applyFill="1" applyAlignment="1" applyProtection="1">
      <alignment vertical="center"/>
      <protection hidden="1"/>
    </xf>
    <xf numFmtId="184" fontId="0" fillId="0" borderId="0" xfId="0" applyNumberFormat="1" applyFill="1" applyAlignment="1" applyProtection="1">
      <alignment vertical="center"/>
      <protection hidden="1"/>
    </xf>
    <xf numFmtId="43" fontId="12" fillId="0" borderId="0" xfId="105" applyFont="1" applyFill="1" applyBorder="1" applyAlignment="1" applyProtection="1">
      <alignment horizontal="center" vertical="center" shrinkToFit="1"/>
      <protection hidden="1"/>
    </xf>
    <xf numFmtId="43" fontId="12" fillId="0" borderId="0" xfId="105" applyFont="1" applyFill="1" applyBorder="1" applyAlignment="1" applyProtection="1">
      <alignment vertical="center" shrinkToFit="1"/>
      <protection hidden="1"/>
    </xf>
    <xf numFmtId="43" fontId="62" fillId="3" borderId="22" xfId="83" applyNumberFormat="1" applyFont="1" applyFill="1" applyBorder="1" applyAlignment="1" applyProtection="1">
      <alignment horizontal="center"/>
    </xf>
    <xf numFmtId="43" fontId="42" fillId="3" borderId="22" xfId="83" applyNumberFormat="1" applyFont="1" applyFill="1" applyBorder="1" applyAlignment="1" applyProtection="1">
      <alignment horizontal="center"/>
    </xf>
    <xf numFmtId="43" fontId="46" fillId="3" borderId="0" xfId="83" applyNumberFormat="1" applyFont="1" applyFill="1" applyAlignment="1" applyProtection="1">
      <alignment horizontal="center" vertical="center"/>
    </xf>
    <xf numFmtId="43" fontId="46" fillId="3" borderId="0" xfId="83" applyNumberFormat="1" applyFont="1" applyFill="1" applyProtection="1"/>
    <xf numFmtId="43" fontId="46" fillId="3" borderId="0" xfId="83" applyNumberFormat="1" applyFont="1" applyFill="1" applyAlignment="1" applyProtection="1">
      <alignment horizontal="center"/>
    </xf>
    <xf numFmtId="43" fontId="3" fillId="3" borderId="0" xfId="83" applyNumberFormat="1" applyFont="1" applyFill="1" applyBorder="1" applyAlignment="1" applyProtection="1">
      <alignment horizontal="left"/>
    </xf>
    <xf numFmtId="43" fontId="42" fillId="3" borderId="0" xfId="83" applyNumberFormat="1" applyFont="1" applyFill="1" applyBorder="1" applyProtection="1"/>
    <xf numFmtId="43" fontId="42" fillId="3" borderId="0" xfId="83" applyNumberFormat="1" applyFont="1" applyFill="1" applyBorder="1" applyAlignment="1" applyProtection="1">
      <alignment horizontal="center"/>
    </xf>
    <xf numFmtId="43" fontId="3" fillId="3" borderId="0" xfId="83" applyNumberFormat="1" applyFont="1" applyFill="1" applyBorder="1" applyProtection="1"/>
    <xf numFmtId="43" fontId="104" fillId="3" borderId="0" xfId="83" applyNumberFormat="1" applyFont="1" applyFill="1" applyBorder="1" applyProtection="1"/>
    <xf numFmtId="43" fontId="3" fillId="3" borderId="0" xfId="83" applyNumberFormat="1" applyFont="1" applyFill="1" applyProtection="1"/>
    <xf numFmtId="43" fontId="3" fillId="3" borderId="0" xfId="83" applyNumberFormat="1" applyFont="1" applyFill="1" applyAlignment="1" applyProtection="1">
      <alignment horizontal="left" indent="1"/>
    </xf>
    <xf numFmtId="43" fontId="62" fillId="3" borderId="0" xfId="83" applyNumberFormat="1" applyFont="1" applyFill="1" applyAlignment="1" applyProtection="1">
      <alignment horizontal="center"/>
    </xf>
    <xf numFmtId="43" fontId="42" fillId="3" borderId="0" xfId="83" applyNumberFormat="1" applyFont="1" applyFill="1" applyProtection="1"/>
    <xf numFmtId="43" fontId="62" fillId="3" borderId="0" xfId="83" applyNumberFormat="1" applyFont="1" applyFill="1" applyProtection="1"/>
    <xf numFmtId="184" fontId="12" fillId="0" borderId="0" xfId="80" applyNumberFormat="1" applyFont="1" applyAlignment="1" applyProtection="1">
      <alignment vertical="center"/>
    </xf>
    <xf numFmtId="184" fontId="12" fillId="0" borderId="0" xfId="80" applyNumberFormat="1" applyFont="1" applyAlignment="1" applyProtection="1">
      <alignment horizontal="left" vertical="center"/>
    </xf>
    <xf numFmtId="184" fontId="70" fillId="0" borderId="0" xfId="80" applyNumberFormat="1" applyFont="1" applyAlignment="1" applyProtection="1">
      <alignment vertical="center"/>
    </xf>
    <xf numFmtId="184" fontId="45" fillId="0" borderId="0" xfId="80" applyNumberFormat="1" applyFont="1" applyAlignment="1" applyProtection="1">
      <alignment vertical="center"/>
    </xf>
    <xf numFmtId="184" fontId="71" fillId="0" borderId="0" xfId="80" applyNumberFormat="1" applyFont="1" applyAlignment="1" applyProtection="1">
      <alignment horizontal="center" vertical="center"/>
    </xf>
    <xf numFmtId="184" fontId="45" fillId="0" borderId="0" xfId="80" applyNumberFormat="1" applyFont="1" applyAlignment="1" applyProtection="1">
      <alignment horizontal="left" vertical="center"/>
    </xf>
    <xf numFmtId="184" fontId="25" fillId="0" borderId="23" xfId="80" applyNumberFormat="1" applyFont="1" applyBorder="1" applyAlignment="1" applyProtection="1">
      <alignment vertical="center"/>
    </xf>
    <xf numFmtId="184" fontId="46" fillId="0" borderId="14" xfId="80" applyNumberFormat="1" applyFont="1" applyBorder="1" applyAlignment="1" applyProtection="1">
      <alignment vertical="center"/>
    </xf>
    <xf numFmtId="184" fontId="46" fillId="0" borderId="24" xfId="80" applyNumberFormat="1" applyFont="1" applyBorder="1" applyAlignment="1" applyProtection="1">
      <alignment vertical="center"/>
    </xf>
    <xf numFmtId="184" fontId="15" fillId="0" borderId="25" xfId="80" applyNumberFormat="1" applyFont="1" applyBorder="1" applyAlignment="1" applyProtection="1">
      <alignment horizontal="left" vertical="center"/>
    </xf>
    <xf numFmtId="184" fontId="21" fillId="0" borderId="25" xfId="80" applyNumberFormat="1" applyFont="1" applyBorder="1" applyAlignment="1" applyProtection="1">
      <alignment horizontal="center" vertical="center"/>
    </xf>
    <xf numFmtId="184" fontId="25" fillId="0" borderId="25" xfId="80" applyNumberFormat="1" applyFont="1" applyBorder="1" applyAlignment="1" applyProtection="1">
      <alignment vertical="center"/>
    </xf>
    <xf numFmtId="184" fontId="45" fillId="0" borderId="25" xfId="80" applyNumberFormat="1" applyFont="1" applyBorder="1" applyAlignment="1" applyProtection="1">
      <alignment vertical="center"/>
    </xf>
    <xf numFmtId="184" fontId="21" fillId="0" borderId="25" xfId="80" applyNumberFormat="1" applyFont="1" applyBorder="1" applyAlignment="1" applyProtection="1">
      <alignment horizontal="left" vertical="center"/>
    </xf>
    <xf numFmtId="184" fontId="15" fillId="0" borderId="25" xfId="80" applyNumberFormat="1" applyFont="1" applyBorder="1" applyAlignment="1" applyProtection="1">
      <alignment vertical="center"/>
    </xf>
    <xf numFmtId="184" fontId="15" fillId="0" borderId="26" xfId="80" applyNumberFormat="1" applyFont="1" applyBorder="1" applyAlignment="1" applyProtection="1">
      <alignment vertical="center"/>
    </xf>
    <xf numFmtId="184" fontId="21" fillId="0" borderId="27" xfId="80" applyNumberFormat="1" applyFont="1" applyBorder="1" applyAlignment="1" applyProtection="1">
      <alignment horizontal="center" vertical="center"/>
    </xf>
    <xf numFmtId="43" fontId="3" fillId="0" borderId="0" xfId="83" applyNumberFormat="1" applyFont="1" applyAlignment="1" applyProtection="1">
      <alignment vertical="center"/>
    </xf>
    <xf numFmtId="43" fontId="46" fillId="0" borderId="0" xfId="83" applyNumberFormat="1" applyFont="1" applyAlignment="1" applyProtection="1">
      <alignment vertical="center"/>
    </xf>
    <xf numFmtId="0" fontId="68" fillId="0" borderId="0" xfId="80" applyFont="1" applyAlignment="1" applyProtection="1">
      <alignment horizontal="centerContinuous" vertical="center"/>
    </xf>
    <xf numFmtId="184" fontId="69" fillId="0" borderId="0" xfId="80" applyNumberFormat="1" applyFont="1" applyAlignment="1" applyProtection="1">
      <alignment horizontal="centerContinuous" vertical="center"/>
    </xf>
    <xf numFmtId="184" fontId="21" fillId="0" borderId="26" xfId="80" applyNumberFormat="1" applyFont="1" applyBorder="1" applyAlignment="1" applyProtection="1">
      <alignment horizontal="center" vertical="center"/>
    </xf>
    <xf numFmtId="184" fontId="12" fillId="0" borderId="23" xfId="80" applyNumberFormat="1" applyFont="1" applyBorder="1" applyAlignment="1" applyProtection="1">
      <alignment vertical="center"/>
    </xf>
    <xf numFmtId="184" fontId="25" fillId="0" borderId="27" xfId="80" applyNumberFormat="1" applyFont="1" applyBorder="1" applyAlignment="1" applyProtection="1">
      <alignment vertical="center"/>
    </xf>
    <xf numFmtId="43" fontId="75" fillId="0" borderId="0" xfId="82" applyNumberFormat="1" applyFont="1" applyBorder="1" applyAlignment="1" applyProtection="1">
      <alignment horizontal="center" vertical="center"/>
    </xf>
    <xf numFmtId="43" fontId="74" fillId="0" borderId="22" xfId="82" applyNumberFormat="1" applyFont="1" applyBorder="1" applyAlignment="1" applyProtection="1">
      <alignment vertical="center"/>
    </xf>
    <xf numFmtId="43" fontId="12" fillId="0" borderId="22" xfId="82" applyNumberFormat="1" applyFont="1" applyBorder="1" applyAlignment="1" applyProtection="1">
      <alignment horizontal="right" vertical="center" wrapText="1"/>
    </xf>
    <xf numFmtId="43" fontId="1" fillId="0" borderId="22" xfId="82" applyNumberFormat="1" applyFont="1" applyBorder="1" applyAlignment="1" applyProtection="1">
      <alignment vertical="center"/>
    </xf>
    <xf numFmtId="43" fontId="12" fillId="0" borderId="9" xfId="100" applyNumberFormat="1" applyFont="1" applyBorder="1" applyAlignment="1" applyProtection="1">
      <alignment vertical="center"/>
    </xf>
    <xf numFmtId="49" fontId="12" fillId="0" borderId="10" xfId="82" applyNumberFormat="1" applyFont="1" applyBorder="1" applyAlignment="1" applyProtection="1">
      <alignment horizontal="center" vertical="center"/>
    </xf>
    <xf numFmtId="189" fontId="12" fillId="0" borderId="9" xfId="107" applyFont="1" applyBorder="1" applyAlignment="1" applyProtection="1">
      <alignment vertical="center"/>
    </xf>
    <xf numFmtId="189" fontId="12" fillId="0" borderId="21" xfId="107" applyFont="1" applyBorder="1" applyAlignment="1" applyProtection="1">
      <alignment vertical="center"/>
    </xf>
    <xf numFmtId="189" fontId="45" fillId="0" borderId="9" xfId="107" applyFont="1" applyBorder="1" applyAlignment="1" applyProtection="1">
      <alignment vertical="center"/>
    </xf>
    <xf numFmtId="189" fontId="45" fillId="0" borderId="21" xfId="107" applyFont="1" applyBorder="1" applyAlignment="1" applyProtection="1">
      <alignment vertical="center"/>
    </xf>
    <xf numFmtId="43" fontId="25" fillId="0" borderId="9" xfId="100" applyNumberFormat="1" applyFont="1" applyBorder="1" applyAlignment="1" applyProtection="1">
      <alignment horizontal="center" vertical="center"/>
    </xf>
    <xf numFmtId="189" fontId="47" fillId="0" borderId="21" xfId="107" applyFont="1" applyBorder="1" applyAlignment="1" applyProtection="1">
      <alignment vertical="center"/>
    </xf>
    <xf numFmtId="49" fontId="12" fillId="0" borderId="9" xfId="82" applyNumberFormat="1" applyFont="1" applyBorder="1" applyAlignment="1" applyProtection="1">
      <alignment horizontal="center" vertical="center"/>
    </xf>
    <xf numFmtId="0" fontId="12" fillId="0" borderId="9" xfId="100" applyNumberFormat="1" applyFont="1" applyBorder="1" applyAlignment="1" applyProtection="1">
      <alignment vertical="center"/>
    </xf>
    <xf numFmtId="43" fontId="21" fillId="0" borderId="28" xfId="100" applyNumberFormat="1" applyFont="1" applyFill="1" applyBorder="1" applyAlignment="1" applyProtection="1">
      <alignment horizontal="center" vertical="center"/>
    </xf>
    <xf numFmtId="49" fontId="25" fillId="0" borderId="28" xfId="82" applyNumberFormat="1" applyFont="1" applyFill="1" applyBorder="1" applyAlignment="1" applyProtection="1">
      <alignment horizontal="center" vertical="center"/>
    </xf>
    <xf numFmtId="189" fontId="47" fillId="0" borderId="29" xfId="107" applyFont="1" applyFill="1" applyBorder="1" applyAlignment="1" applyProtection="1">
      <alignment vertical="center"/>
    </xf>
    <xf numFmtId="0" fontId="75" fillId="0" borderId="0" xfId="82" applyFont="1" applyAlignment="1" applyProtection="1">
      <alignment horizontal="center" vertical="center"/>
    </xf>
    <xf numFmtId="43" fontId="45" fillId="0" borderId="21" xfId="82" applyNumberFormat="1" applyFont="1" applyBorder="1" applyAlignment="1" applyProtection="1">
      <alignment vertical="center"/>
    </xf>
    <xf numFmtId="43" fontId="12" fillId="0" borderId="9" xfId="99" applyNumberFormat="1" applyFont="1" applyBorder="1" applyAlignment="1" applyProtection="1">
      <alignment vertical="center"/>
    </xf>
    <xf numFmtId="190" fontId="45" fillId="0" borderId="21" xfId="82" applyNumberFormat="1" applyFont="1" applyBorder="1" applyAlignment="1" applyProtection="1">
      <alignment vertical="center"/>
    </xf>
    <xf numFmtId="43" fontId="25" fillId="0" borderId="9" xfId="99" applyNumberFormat="1" applyFont="1" applyBorder="1" applyAlignment="1" applyProtection="1">
      <alignment horizontal="center" vertical="center"/>
    </xf>
    <xf numFmtId="190" fontId="47" fillId="0" borderId="21" xfId="82" applyNumberFormat="1" applyFont="1" applyBorder="1" applyAlignment="1" applyProtection="1">
      <alignment vertical="center"/>
    </xf>
    <xf numFmtId="43" fontId="25" fillId="0" borderId="28" xfId="99" applyNumberFormat="1" applyFont="1" applyFill="1" applyBorder="1" applyAlignment="1" applyProtection="1">
      <alignment horizontal="center" vertical="center"/>
    </xf>
    <xf numFmtId="43" fontId="25" fillId="0" borderId="30" xfId="82" applyNumberFormat="1" applyFont="1" applyFill="1" applyBorder="1" applyAlignment="1" applyProtection="1">
      <alignment horizontal="left" vertical="center"/>
    </xf>
    <xf numFmtId="190" fontId="47" fillId="0" borderId="29" xfId="82" applyNumberFormat="1" applyFont="1" applyFill="1" applyBorder="1" applyAlignment="1" applyProtection="1">
      <alignment horizontal="right" vertical="center"/>
    </xf>
    <xf numFmtId="43" fontId="75" fillId="0" borderId="0" xfId="82" applyNumberFormat="1" applyFont="1" applyAlignment="1" applyProtection="1">
      <alignment horizontal="center" vertical="center"/>
    </xf>
    <xf numFmtId="43" fontId="74" fillId="0" borderId="0" xfId="106" applyNumberFormat="1" applyFont="1" applyBorder="1" applyAlignment="1" applyProtection="1">
      <alignment vertical="center"/>
    </xf>
    <xf numFmtId="43" fontId="12" fillId="0" borderId="0" xfId="82" applyNumberFormat="1" applyFont="1" applyAlignment="1" applyProtection="1">
      <alignment horizontal="right" vertical="center" wrapText="1"/>
    </xf>
    <xf numFmtId="43" fontId="1" fillId="0" borderId="0" xfId="106" applyNumberFormat="1" applyFont="1" applyBorder="1" applyAlignment="1" applyProtection="1">
      <alignment vertical="center"/>
    </xf>
    <xf numFmtId="43" fontId="25" fillId="0" borderId="31" xfId="106" applyNumberFormat="1" applyFont="1" applyBorder="1" applyAlignment="1" applyProtection="1">
      <alignment horizontal="center" vertical="center"/>
    </xf>
    <xf numFmtId="43" fontId="25" fillId="0" borderId="3" xfId="106" applyNumberFormat="1" applyFont="1" applyBorder="1" applyAlignment="1" applyProtection="1">
      <alignment horizontal="center" vertical="center"/>
    </xf>
    <xf numFmtId="43" fontId="25" fillId="0" borderId="9" xfId="106" applyNumberFormat="1" applyFont="1" applyBorder="1" applyAlignment="1" applyProtection="1">
      <alignment vertical="center"/>
    </xf>
    <xf numFmtId="43" fontId="12" fillId="0" borderId="10" xfId="106" applyNumberFormat="1" applyFont="1" applyBorder="1" applyAlignment="1" applyProtection="1">
      <alignment horizontal="center" vertical="center"/>
    </xf>
    <xf numFmtId="43" fontId="47" fillId="0" borderId="21" xfId="106" applyNumberFormat="1" applyFont="1" applyBorder="1" applyAlignment="1" applyProtection="1">
      <alignment vertical="center"/>
    </xf>
    <xf numFmtId="43" fontId="45" fillId="0" borderId="21" xfId="106" applyNumberFormat="1" applyFont="1" applyBorder="1" applyAlignment="1" applyProtection="1">
      <alignment vertical="center"/>
    </xf>
    <xf numFmtId="43" fontId="12" fillId="0" borderId="9" xfId="106" applyNumberFormat="1" applyFont="1" applyBorder="1" applyAlignment="1" applyProtection="1">
      <alignment vertical="center"/>
    </xf>
    <xf numFmtId="43" fontId="12" fillId="0" borderId="11" xfId="106" applyNumberFormat="1" applyFont="1" applyBorder="1" applyAlignment="1" applyProtection="1">
      <alignment vertical="center"/>
    </xf>
    <xf numFmtId="43" fontId="12" fillId="0" borderId="12" xfId="106" applyNumberFormat="1" applyFont="1" applyBorder="1" applyAlignment="1" applyProtection="1">
      <alignment horizontal="center" vertical="center"/>
    </xf>
    <xf numFmtId="43" fontId="45" fillId="0" borderId="32" xfId="106" applyNumberFormat="1" applyFont="1" applyBorder="1" applyAlignment="1" applyProtection="1">
      <alignment vertical="center"/>
    </xf>
    <xf numFmtId="43" fontId="46" fillId="0" borderId="0" xfId="83" applyNumberFormat="1" applyFont="1" applyFill="1" applyAlignment="1" applyProtection="1">
      <alignment vertical="center"/>
    </xf>
    <xf numFmtId="43" fontId="46" fillId="0" borderId="0" xfId="83" applyNumberFormat="1" applyFont="1" applyProtection="1"/>
    <xf numFmtId="43" fontId="3" fillId="0" borderId="7" xfId="83" applyNumberFormat="1" applyFont="1" applyBorder="1" applyAlignment="1" applyProtection="1">
      <alignment horizontal="center" vertical="center"/>
    </xf>
    <xf numFmtId="43" fontId="63" fillId="0" borderId="7" xfId="83" applyNumberFormat="1" applyFont="1" applyBorder="1" applyAlignment="1" applyProtection="1">
      <alignment horizontal="center"/>
    </xf>
    <xf numFmtId="43" fontId="46" fillId="0" borderId="7" xfId="83" applyNumberFormat="1" applyFont="1" applyBorder="1" applyAlignment="1" applyProtection="1">
      <alignment horizontal="center"/>
    </xf>
    <xf numFmtId="43" fontId="63" fillId="0" borderId="25" xfId="83" applyNumberFormat="1" applyFont="1" applyBorder="1" applyAlignment="1" applyProtection="1">
      <alignment horizontal="center"/>
    </xf>
    <xf numFmtId="43" fontId="60" fillId="0" borderId="0" xfId="83" applyNumberFormat="1" applyFont="1" applyFill="1" applyAlignment="1" applyProtection="1">
      <alignment horizontal="centerContinuous" vertical="center"/>
    </xf>
    <xf numFmtId="184" fontId="12" fillId="6" borderId="3" xfId="0" applyNumberFormat="1" applyFont="1" applyFill="1" applyBorder="1" applyAlignment="1" applyProtection="1">
      <alignment horizontal="center" vertical="center" shrinkToFit="1"/>
    </xf>
    <xf numFmtId="3" fontId="12" fillId="6" borderId="3" xfId="0" applyNumberFormat="1" applyFont="1" applyFill="1" applyBorder="1" applyAlignment="1" applyProtection="1">
      <alignment horizontal="center" vertical="center" shrinkToFit="1"/>
    </xf>
    <xf numFmtId="0" fontId="12" fillId="6" borderId="3" xfId="0" applyFont="1" applyFill="1" applyBorder="1" applyAlignment="1" applyProtection="1">
      <alignment horizontal="center" vertical="center" shrinkToFit="1"/>
    </xf>
    <xf numFmtId="184" fontId="23" fillId="6" borderId="3" xfId="0" applyNumberFormat="1" applyFont="1" applyFill="1" applyBorder="1" applyAlignment="1" applyProtection="1">
      <alignment horizontal="left" vertical="center" shrinkToFit="1"/>
    </xf>
    <xf numFmtId="3" fontId="7" fillId="6" borderId="3" xfId="0" applyNumberFormat="1" applyFont="1" applyFill="1" applyBorder="1" applyAlignment="1" applyProtection="1">
      <alignment horizontal="center" vertical="center" shrinkToFit="1"/>
    </xf>
    <xf numFmtId="0" fontId="15" fillId="6" borderId="3" xfId="0" applyFont="1" applyFill="1" applyBorder="1" applyAlignment="1" applyProtection="1">
      <alignment horizontal="left" vertical="center" shrinkToFit="1"/>
    </xf>
    <xf numFmtId="0" fontId="29" fillId="6" borderId="3" xfId="0" applyFont="1" applyFill="1" applyBorder="1" applyAlignment="1" applyProtection="1">
      <alignment horizontal="left" vertical="center" shrinkToFit="1"/>
    </xf>
    <xf numFmtId="184" fontId="13" fillId="6" borderId="3" xfId="105" applyNumberFormat="1" applyFont="1" applyFill="1" applyBorder="1" applyAlignment="1" applyProtection="1">
      <alignment horizontal="right" vertical="center" shrinkToFit="1"/>
    </xf>
    <xf numFmtId="184" fontId="12" fillId="6" borderId="3" xfId="0" applyNumberFormat="1" applyFont="1" applyFill="1" applyBorder="1" applyAlignment="1" applyProtection="1">
      <alignment horizontal="left" vertical="center" shrinkToFit="1"/>
    </xf>
    <xf numFmtId="0" fontId="12" fillId="6" borderId="3" xfId="0" applyFont="1" applyFill="1" applyBorder="1" applyAlignment="1" applyProtection="1">
      <alignment horizontal="left" vertical="center" shrinkToFit="1"/>
    </xf>
    <xf numFmtId="0" fontId="25" fillId="6" borderId="3" xfId="0" applyFont="1" applyFill="1" applyBorder="1" applyAlignment="1" applyProtection="1">
      <alignment horizontal="center" vertical="center" shrinkToFit="1"/>
    </xf>
    <xf numFmtId="0" fontId="23" fillId="6" borderId="3" xfId="0" applyFont="1" applyFill="1" applyBorder="1" applyAlignment="1" applyProtection="1">
      <alignment horizontal="left" vertical="center" shrinkToFit="1"/>
    </xf>
    <xf numFmtId="184" fontId="25" fillId="6" borderId="3" xfId="0" applyNumberFormat="1" applyFont="1" applyFill="1" applyBorder="1" applyAlignment="1" applyProtection="1">
      <alignment horizontal="center" vertical="center" shrinkToFit="1"/>
    </xf>
    <xf numFmtId="0" fontId="12" fillId="6" borderId="0" xfId="0" applyFont="1" applyFill="1" applyAlignment="1" applyProtection="1">
      <alignment horizontal="left" vertical="center"/>
    </xf>
    <xf numFmtId="0" fontId="12" fillId="6" borderId="0" xfId="0" applyFont="1" applyFill="1" applyAlignment="1" applyProtection="1">
      <alignment horizontal="left" vertical="center" shrinkToFit="1"/>
    </xf>
    <xf numFmtId="184" fontId="12" fillId="0" borderId="25" xfId="0" applyNumberFormat="1" applyFont="1" applyFill="1" applyBorder="1" applyAlignment="1" applyProtection="1">
      <alignment horizontal="left" vertical="center" shrinkToFit="1"/>
    </xf>
    <xf numFmtId="3" fontId="7" fillId="0" borderId="6" xfId="0" applyNumberFormat="1" applyFont="1" applyFill="1" applyBorder="1" applyAlignment="1" applyProtection="1">
      <alignment horizontal="center" vertical="center" shrinkToFit="1"/>
    </xf>
    <xf numFmtId="3" fontId="12" fillId="0" borderId="6" xfId="0" applyNumberFormat="1" applyFont="1" applyFill="1" applyBorder="1" applyAlignment="1" applyProtection="1">
      <alignment horizontal="center" vertical="center" shrinkToFit="1"/>
    </xf>
    <xf numFmtId="43" fontId="13" fillId="0" borderId="7" xfId="105" applyNumberFormat="1" applyFont="1" applyFill="1" applyBorder="1" applyAlignment="1" applyProtection="1">
      <alignment horizontal="right" vertical="center" shrinkToFit="1"/>
      <protection locked="0"/>
    </xf>
    <xf numFmtId="0" fontId="25" fillId="0" borderId="25" xfId="0" applyFont="1" applyFill="1" applyBorder="1" applyAlignment="1" applyProtection="1">
      <alignment horizontal="center" vertical="center" shrinkToFit="1"/>
    </xf>
    <xf numFmtId="184" fontId="23" fillId="0" borderId="25" xfId="0" applyNumberFormat="1" applyFont="1" applyFill="1" applyBorder="1" applyAlignment="1" applyProtection="1">
      <alignment horizontal="left" vertical="center" shrinkToFit="1"/>
    </xf>
    <xf numFmtId="184" fontId="25" fillId="0" borderId="25" xfId="0" applyNumberFormat="1" applyFont="1" applyFill="1" applyBorder="1" applyAlignment="1" applyProtection="1">
      <alignment horizontal="center" vertical="center" shrinkToFit="1"/>
    </xf>
    <xf numFmtId="184" fontId="25" fillId="0" borderId="33" xfId="0" applyNumberFormat="1" applyFont="1" applyFill="1" applyBorder="1" applyAlignment="1" applyProtection="1">
      <alignment horizontal="center" vertical="center" shrinkToFit="1"/>
    </xf>
    <xf numFmtId="3" fontId="7" fillId="0" borderId="34" xfId="0" applyNumberFormat="1" applyFont="1" applyFill="1" applyBorder="1" applyAlignment="1" applyProtection="1">
      <alignment horizontal="center" vertical="center" shrinkToFit="1"/>
    </xf>
    <xf numFmtId="3" fontId="12" fillId="0" borderId="34" xfId="0" applyNumberFormat="1" applyFont="1" applyFill="1" applyBorder="1" applyAlignment="1" applyProtection="1">
      <alignment horizontal="center" vertical="center" shrinkToFit="1"/>
    </xf>
    <xf numFmtId="0" fontId="12" fillId="6" borderId="0" xfId="0" applyFont="1" applyFill="1" applyAlignment="1" applyProtection="1">
      <alignment vertical="center"/>
    </xf>
    <xf numFmtId="0" fontId="11" fillId="6" borderId="0" xfId="0" applyFont="1" applyFill="1" applyAlignment="1" applyProtection="1">
      <alignment horizontal="center" vertical="center" shrinkToFit="1"/>
    </xf>
    <xf numFmtId="9" fontId="12" fillId="6" borderId="0" xfId="78" applyFont="1" applyFill="1" applyAlignment="1" applyProtection="1">
      <alignment horizontal="center" vertical="center" shrinkToFit="1"/>
    </xf>
    <xf numFmtId="43" fontId="101" fillId="6" borderId="3" xfId="106" applyNumberFormat="1" applyFont="1" applyFill="1" applyBorder="1" applyAlignment="1" applyProtection="1">
      <alignment horizontal="center" vertical="center"/>
    </xf>
    <xf numFmtId="43" fontId="25" fillId="6" borderId="3" xfId="106" applyNumberFormat="1" applyFont="1" applyFill="1" applyBorder="1" applyAlignment="1" applyProtection="1">
      <alignment vertical="center"/>
    </xf>
    <xf numFmtId="0" fontId="12" fillId="6" borderId="3" xfId="106" applyNumberFormat="1" applyFont="1" applyFill="1" applyBorder="1" applyAlignment="1" applyProtection="1">
      <alignment horizontal="center" vertical="center"/>
    </xf>
    <xf numFmtId="43" fontId="12" fillId="6" borderId="3" xfId="106" applyNumberFormat="1" applyFont="1" applyFill="1" applyBorder="1" applyAlignment="1" applyProtection="1">
      <alignment vertical="center"/>
    </xf>
    <xf numFmtId="43" fontId="47" fillId="6" borderId="3" xfId="105" applyFont="1" applyFill="1" applyBorder="1" applyAlignment="1" applyProtection="1">
      <alignment vertical="center"/>
    </xf>
    <xf numFmtId="43" fontId="45" fillId="6" borderId="3" xfId="105" applyFont="1" applyFill="1" applyBorder="1" applyAlignment="1" applyProtection="1">
      <alignment vertical="center"/>
    </xf>
    <xf numFmtId="43" fontId="12" fillId="6" borderId="0" xfId="105" applyFont="1" applyFill="1" applyBorder="1" applyAlignment="1" applyProtection="1">
      <alignment vertical="center"/>
    </xf>
    <xf numFmtId="0" fontId="32" fillId="6" borderId="0" xfId="0" applyFont="1" applyFill="1" applyAlignment="1" applyProtection="1">
      <alignment vertical="center" shrinkToFit="1"/>
    </xf>
    <xf numFmtId="0" fontId="32" fillId="6" borderId="0" xfId="0" applyFont="1" applyFill="1" applyAlignment="1" applyProtection="1">
      <alignment horizontal="center" vertical="center"/>
    </xf>
    <xf numFmtId="43" fontId="33" fillId="6" borderId="0" xfId="105" applyFont="1" applyFill="1" applyBorder="1" applyAlignment="1" applyProtection="1">
      <alignment horizontal="right" vertical="center" shrinkToFit="1"/>
    </xf>
    <xf numFmtId="0" fontId="32" fillId="6" borderId="0" xfId="0" applyFont="1" applyFill="1" applyAlignment="1" applyProtection="1">
      <alignment horizontal="left" vertical="center"/>
    </xf>
    <xf numFmtId="0" fontId="32" fillId="6" borderId="3" xfId="0" applyFont="1" applyFill="1" applyBorder="1" applyAlignment="1" applyProtection="1">
      <alignment horizontal="center" vertical="center" shrinkToFit="1"/>
    </xf>
    <xf numFmtId="184" fontId="32" fillId="6" borderId="3" xfId="0" applyNumberFormat="1" applyFont="1" applyFill="1" applyBorder="1" applyAlignment="1" applyProtection="1">
      <alignment horizontal="center" vertical="center" shrinkToFit="1"/>
    </xf>
    <xf numFmtId="0" fontId="34" fillId="6" borderId="3" xfId="0" applyFont="1" applyFill="1" applyBorder="1" applyAlignment="1" applyProtection="1">
      <alignment horizontal="left" vertical="center" shrinkToFit="1"/>
    </xf>
    <xf numFmtId="184" fontId="33" fillId="6" borderId="3" xfId="105" applyNumberFormat="1" applyFont="1" applyFill="1" applyBorder="1" applyAlignment="1" applyProtection="1">
      <alignment horizontal="right" vertical="center" shrinkToFit="1"/>
    </xf>
    <xf numFmtId="0" fontId="35" fillId="6" borderId="3" xfId="0" applyFont="1" applyFill="1" applyBorder="1" applyAlignment="1" applyProtection="1">
      <alignment vertical="center" shrinkToFit="1"/>
    </xf>
    <xf numFmtId="0" fontId="33" fillId="6" borderId="3" xfId="0" applyFont="1" applyFill="1" applyBorder="1" applyAlignment="1" applyProtection="1">
      <alignment horizontal="center" vertical="center" shrinkToFit="1"/>
    </xf>
    <xf numFmtId="0" fontId="33" fillId="6" borderId="3" xfId="0" applyFont="1" applyFill="1" applyBorder="1" applyAlignment="1" applyProtection="1">
      <alignment vertical="center" shrinkToFit="1"/>
    </xf>
    <xf numFmtId="184" fontId="17" fillId="6" borderId="0" xfId="0" applyNumberFormat="1" applyFont="1" applyFill="1" applyAlignment="1" applyProtection="1">
      <alignment horizontal="left" vertical="center"/>
    </xf>
    <xf numFmtId="0" fontId="32" fillId="6" borderId="0" xfId="0" applyFont="1" applyFill="1" applyAlignment="1" applyProtection="1">
      <alignment vertical="center"/>
    </xf>
    <xf numFmtId="0" fontId="32" fillId="6" borderId="0" xfId="0" applyFont="1" applyFill="1" applyAlignment="1" applyProtection="1">
      <alignment horizontal="right" vertical="center"/>
    </xf>
    <xf numFmtId="43" fontId="12" fillId="0" borderId="0" xfId="82" applyNumberFormat="1" applyFont="1" applyBorder="1" applyAlignment="1" applyProtection="1">
      <alignment vertical="center"/>
    </xf>
    <xf numFmtId="43" fontId="12" fillId="0" borderId="0" xfId="82" applyNumberFormat="1" applyFont="1" applyBorder="1" applyAlignment="1" applyProtection="1">
      <alignment horizontal="right" vertical="center" wrapText="1"/>
    </xf>
    <xf numFmtId="43" fontId="46" fillId="0" borderId="6" xfId="108" applyNumberFormat="1" applyFont="1" applyBorder="1" applyProtection="1">
      <protection locked="0"/>
    </xf>
    <xf numFmtId="43" fontId="62" fillId="8" borderId="0" xfId="83" applyNumberFormat="1" applyFont="1" applyFill="1" applyAlignment="1" applyProtection="1">
      <alignment horizontal="centerContinuous" vertical="center"/>
      <protection locked="0"/>
    </xf>
    <xf numFmtId="43" fontId="63" fillId="0" borderId="0" xfId="83" applyNumberFormat="1" applyFont="1" applyAlignment="1" applyProtection="1">
      <alignment vertical="center"/>
      <protection locked="0"/>
    </xf>
    <xf numFmtId="43" fontId="3" fillId="0" borderId="6" xfId="83" applyNumberFormat="1" applyFont="1" applyBorder="1" applyAlignment="1" applyProtection="1">
      <alignment horizontal="center"/>
      <protection locked="0"/>
    </xf>
    <xf numFmtId="43" fontId="46" fillId="0" borderId="35" xfId="83" applyNumberFormat="1" applyFont="1" applyBorder="1" applyProtection="1">
      <protection locked="0"/>
    </xf>
    <xf numFmtId="43" fontId="46" fillId="0" borderId="0" xfId="83" applyNumberFormat="1" applyFont="1" applyProtection="1">
      <protection locked="0"/>
    </xf>
    <xf numFmtId="43" fontId="62" fillId="8" borderId="0" xfId="83" applyNumberFormat="1" applyFont="1" applyFill="1" applyAlignment="1">
      <alignment horizontal="centerContinuous" vertical="center" wrapText="1"/>
      <protection locked="0"/>
    </xf>
    <xf numFmtId="43" fontId="46" fillId="0" borderId="0" xfId="83" applyNumberFormat="1" applyFont="1" applyAlignment="1">
      <alignment vertical="center" wrapText="1"/>
      <protection locked="0"/>
    </xf>
    <xf numFmtId="43" fontId="63" fillId="0" borderId="7" xfId="83" applyNumberFormat="1" applyFont="1" applyBorder="1" applyAlignment="1" applyProtection="1">
      <alignment horizontal="center" wrapText="1"/>
    </xf>
    <xf numFmtId="43" fontId="46" fillId="0" borderId="0" xfId="83" applyNumberFormat="1" applyFont="1" applyAlignment="1">
      <alignment wrapText="1"/>
      <protection locked="0"/>
    </xf>
    <xf numFmtId="43" fontId="45" fillId="0" borderId="9" xfId="105" applyFont="1" applyBorder="1" applyAlignment="1" applyProtection="1">
      <alignment vertical="center"/>
    </xf>
    <xf numFmtId="43" fontId="12" fillId="0" borderId="21" xfId="105" applyFont="1" applyBorder="1" applyAlignment="1" applyProtection="1">
      <alignment vertical="center"/>
    </xf>
    <xf numFmtId="43" fontId="45" fillId="0" borderId="21" xfId="105" applyFont="1" applyBorder="1" applyAlignment="1" applyProtection="1">
      <alignment vertical="center"/>
    </xf>
    <xf numFmtId="43" fontId="45" fillId="0" borderId="0" xfId="105" applyFont="1" applyBorder="1" applyAlignment="1" applyProtection="1">
      <alignment vertical="center"/>
    </xf>
    <xf numFmtId="43" fontId="47" fillId="0" borderId="9" xfId="105" applyFont="1" applyBorder="1" applyAlignment="1" applyProtection="1">
      <alignment vertical="center"/>
    </xf>
    <xf numFmtId="43" fontId="47" fillId="0" borderId="0" xfId="105" applyFont="1" applyBorder="1" applyAlignment="1" applyProtection="1">
      <alignment vertical="center"/>
    </xf>
    <xf numFmtId="43" fontId="47" fillId="0" borderId="21" xfId="105" applyFont="1" applyBorder="1" applyAlignment="1" applyProtection="1">
      <alignment vertical="center"/>
    </xf>
    <xf numFmtId="43" fontId="45" fillId="0" borderId="21" xfId="105" applyFont="1" applyFill="1" applyBorder="1" applyAlignment="1" applyProtection="1">
      <alignment vertical="center"/>
    </xf>
    <xf numFmtId="43" fontId="45" fillId="0" borderId="0" xfId="105" applyFont="1" applyFill="1" applyBorder="1" applyAlignment="1" applyProtection="1">
      <alignment vertical="center"/>
    </xf>
    <xf numFmtId="43" fontId="47" fillId="0" borderId="28" xfId="105" applyFont="1" applyFill="1" applyBorder="1" applyAlignment="1" applyProtection="1">
      <alignment vertical="center"/>
    </xf>
    <xf numFmtId="43" fontId="47" fillId="0" borderId="29" xfId="105" applyFont="1" applyFill="1" applyBorder="1" applyAlignment="1" applyProtection="1">
      <alignment vertical="center"/>
    </xf>
    <xf numFmtId="43" fontId="47" fillId="0" borderId="36" xfId="105" applyFont="1" applyFill="1" applyBorder="1" applyAlignment="1" applyProtection="1">
      <alignment horizontal="right" vertical="center"/>
    </xf>
    <xf numFmtId="43" fontId="47" fillId="0" borderId="29" xfId="105" applyFont="1" applyFill="1" applyBorder="1" applyAlignment="1" applyProtection="1">
      <alignment horizontal="right" vertical="center"/>
    </xf>
    <xf numFmtId="43" fontId="47" fillId="0" borderId="28" xfId="105" applyFont="1" applyFill="1" applyBorder="1" applyAlignment="1" applyProtection="1">
      <alignment horizontal="right" vertical="center"/>
    </xf>
    <xf numFmtId="43" fontId="45" fillId="0" borderId="37" xfId="105" applyFont="1" applyBorder="1" applyAlignment="1">
      <alignment vertical="center"/>
    </xf>
    <xf numFmtId="43" fontId="45" fillId="0" borderId="21" xfId="105" applyFont="1" applyBorder="1" applyAlignment="1">
      <alignment vertical="center"/>
    </xf>
    <xf numFmtId="43" fontId="45" fillId="0" borderId="9" xfId="105" applyFont="1" applyBorder="1" applyAlignment="1">
      <alignment vertical="center"/>
    </xf>
    <xf numFmtId="43" fontId="45" fillId="0" borderId="11" xfId="105" applyFont="1" applyBorder="1" applyAlignment="1">
      <alignment vertical="center"/>
    </xf>
    <xf numFmtId="43" fontId="45" fillId="0" borderId="32" xfId="105" applyFont="1" applyBorder="1" applyAlignment="1">
      <alignment vertical="center"/>
    </xf>
    <xf numFmtId="43" fontId="45" fillId="0" borderId="21" xfId="105" applyFont="1" applyBorder="1" applyAlignment="1" applyProtection="1">
      <alignment vertical="center"/>
      <protection locked="0"/>
    </xf>
    <xf numFmtId="43" fontId="83" fillId="0" borderId="21" xfId="105" applyFont="1" applyBorder="1" applyAlignment="1" applyProtection="1">
      <alignment vertical="center"/>
      <protection locked="0"/>
    </xf>
    <xf numFmtId="43" fontId="84" fillId="0" borderId="21" xfId="105" applyFont="1" applyBorder="1" applyAlignment="1" applyProtection="1">
      <alignment vertical="center"/>
      <protection locked="0"/>
    </xf>
    <xf numFmtId="43" fontId="45" fillId="0" borderId="10" xfId="105" applyFont="1" applyBorder="1" applyAlignment="1" applyProtection="1">
      <alignment horizontal="center" vertical="center"/>
      <protection locked="0"/>
    </xf>
    <xf numFmtId="43" fontId="47" fillId="0" borderId="32" xfId="105" applyFont="1" applyFill="1" applyBorder="1" applyAlignment="1" applyProtection="1">
      <alignment vertical="center"/>
      <protection locked="0"/>
    </xf>
    <xf numFmtId="43" fontId="47" fillId="0" borderId="32" xfId="105" applyFont="1" applyBorder="1" applyAlignment="1" applyProtection="1">
      <alignment horizontal="center" vertical="center"/>
      <protection locked="0"/>
    </xf>
    <xf numFmtId="43" fontId="45" fillId="0" borderId="11" xfId="105" applyFont="1" applyBorder="1" applyAlignment="1" applyProtection="1">
      <alignment vertical="center"/>
    </xf>
    <xf numFmtId="43" fontId="45" fillId="0" borderId="32" xfId="105" applyFont="1" applyBorder="1" applyAlignment="1" applyProtection="1">
      <alignment vertical="center"/>
    </xf>
    <xf numFmtId="43" fontId="45" fillId="0" borderId="0" xfId="0" applyNumberFormat="1" applyFont="1" applyFill="1" applyAlignment="1" applyProtection="1">
      <alignment vertical="center"/>
      <protection locked="0"/>
    </xf>
    <xf numFmtId="43" fontId="16" fillId="0" borderId="7" xfId="105" applyNumberFormat="1" applyFont="1" applyFill="1" applyBorder="1" applyAlignment="1" applyProtection="1">
      <alignment horizontal="right" vertical="center" shrinkToFit="1"/>
      <protection locked="0"/>
    </xf>
    <xf numFmtId="43" fontId="16" fillId="0" borderId="38" xfId="105" applyNumberFormat="1" applyFont="1" applyFill="1" applyBorder="1" applyAlignment="1" applyProtection="1">
      <alignment horizontal="right" vertical="center" shrinkToFit="1"/>
      <protection locked="0"/>
    </xf>
    <xf numFmtId="43" fontId="45" fillId="0" borderId="0" xfId="0" applyNumberFormat="1" applyFont="1" applyAlignment="1" applyProtection="1">
      <alignment vertical="center"/>
      <protection locked="0"/>
    </xf>
    <xf numFmtId="43" fontId="17" fillId="0" borderId="0" xfId="83" applyNumberFormat="1" applyFont="1">
      <protection locked="0"/>
    </xf>
    <xf numFmtId="0" fontId="12" fillId="0" borderId="0" xfId="0" applyFont="1" applyFill="1" applyAlignment="1" applyProtection="1">
      <alignment horizontal="left" vertical="center" shrinkToFit="1"/>
      <protection hidden="1"/>
    </xf>
    <xf numFmtId="0" fontId="12" fillId="0" borderId="39" xfId="0" applyFont="1" applyBorder="1" applyAlignment="1" applyProtection="1">
      <alignment horizontal="centerContinuous" vertical="center"/>
    </xf>
    <xf numFmtId="0" fontId="12" fillId="0" borderId="6" xfId="0" applyFont="1" applyBorder="1" applyAlignment="1" applyProtection="1">
      <alignment horizontal="center" vertical="center"/>
    </xf>
    <xf numFmtId="0" fontId="12" fillId="0" borderId="6" xfId="0" applyFont="1" applyBorder="1" applyAlignment="1" applyProtection="1">
      <alignment horizontal="centerContinuous" vertical="center"/>
    </xf>
    <xf numFmtId="0" fontId="3" fillId="0" borderId="19" xfId="0" applyFont="1" applyBorder="1" applyAlignment="1" applyProtection="1">
      <alignment horizontal="center" vertical="center"/>
    </xf>
    <xf numFmtId="43" fontId="81" fillId="0" borderId="0" xfId="106" applyNumberFormat="1" applyFont="1" applyFill="1" applyBorder="1" applyAlignment="1">
      <alignment vertical="center"/>
    </xf>
    <xf numFmtId="43" fontId="45" fillId="0" borderId="0" xfId="105" applyFont="1" applyFill="1" applyAlignment="1" applyProtection="1">
      <alignment vertical="center"/>
      <protection locked="0"/>
    </xf>
    <xf numFmtId="43" fontId="45" fillId="0" borderId="0" xfId="105" applyFont="1" applyFill="1" applyAlignment="1" applyProtection="1">
      <alignment vertical="center"/>
      <protection hidden="1"/>
    </xf>
    <xf numFmtId="184" fontId="23" fillId="0" borderId="40" xfId="0" applyNumberFormat="1" applyFont="1" applyFill="1" applyBorder="1" applyAlignment="1" applyProtection="1">
      <alignment horizontal="left" vertical="center" shrinkToFit="1"/>
    </xf>
    <xf numFmtId="3" fontId="7" fillId="0" borderId="41" xfId="0" applyNumberFormat="1" applyFont="1" applyFill="1" applyBorder="1" applyAlignment="1" applyProtection="1">
      <alignment horizontal="center" vertical="center" shrinkToFit="1"/>
    </xf>
    <xf numFmtId="0" fontId="15" fillId="0" borderId="41" xfId="0" applyFont="1" applyFill="1" applyBorder="1" applyAlignment="1" applyProtection="1">
      <alignment horizontal="left" vertical="center" shrinkToFit="1"/>
    </xf>
    <xf numFmtId="3" fontId="7" fillId="0" borderId="19" xfId="0" applyNumberFormat="1" applyFont="1" applyFill="1" applyBorder="1" applyAlignment="1" applyProtection="1">
      <alignment horizontal="center" vertical="center" shrinkToFit="1"/>
    </xf>
    <xf numFmtId="43" fontId="25" fillId="0" borderId="25" xfId="106" applyNumberFormat="1" applyFont="1" applyFill="1" applyBorder="1" applyAlignment="1" applyProtection="1">
      <alignment vertical="center"/>
    </xf>
    <xf numFmtId="0" fontId="12" fillId="0" borderId="6" xfId="106" applyNumberFormat="1" applyFont="1" applyFill="1" applyBorder="1" applyAlignment="1" applyProtection="1">
      <alignment horizontal="center" vertical="center"/>
    </xf>
    <xf numFmtId="43" fontId="12" fillId="0" borderId="25" xfId="106" applyNumberFormat="1" applyFont="1" applyFill="1" applyBorder="1" applyAlignment="1" applyProtection="1">
      <alignment vertical="center"/>
    </xf>
    <xf numFmtId="43" fontId="25" fillId="0" borderId="26" xfId="106" applyNumberFormat="1" applyFont="1" applyFill="1" applyBorder="1" applyAlignment="1" applyProtection="1">
      <alignment vertical="center"/>
    </xf>
    <xf numFmtId="0" fontId="12" fillId="0" borderId="42" xfId="106" applyNumberFormat="1" applyFont="1" applyFill="1" applyBorder="1" applyAlignment="1" applyProtection="1">
      <alignment horizontal="center" vertical="center"/>
    </xf>
    <xf numFmtId="43" fontId="12" fillId="0" borderId="33" xfId="106" applyNumberFormat="1" applyFont="1" applyFill="1" applyBorder="1" applyAlignment="1" applyProtection="1">
      <alignment vertical="center"/>
    </xf>
    <xf numFmtId="0" fontId="12" fillId="0" borderId="34" xfId="106" applyNumberFormat="1" applyFont="1" applyFill="1" applyBorder="1" applyAlignment="1" applyProtection="1">
      <alignment horizontal="center" vertical="center"/>
    </xf>
    <xf numFmtId="43" fontId="25" fillId="0" borderId="23" xfId="106" applyNumberFormat="1" applyFont="1" applyFill="1" applyBorder="1" applyAlignment="1" applyProtection="1">
      <alignment vertical="center"/>
    </xf>
    <xf numFmtId="0" fontId="12" fillId="0" borderId="14" xfId="106" applyNumberFormat="1" applyFont="1" applyFill="1" applyBorder="1" applyAlignment="1" applyProtection="1">
      <alignment horizontal="center" vertical="center"/>
    </xf>
    <xf numFmtId="43" fontId="0" fillId="0" borderId="0" xfId="0" applyNumberFormat="1" applyFill="1" applyAlignment="1" applyProtection="1">
      <alignment vertical="center"/>
      <protection hidden="1"/>
    </xf>
    <xf numFmtId="0" fontId="12" fillId="0" borderId="25" xfId="0" applyNumberFormat="1" applyFont="1" applyFill="1" applyBorder="1" applyAlignment="1" applyProtection="1">
      <alignment horizontal="left" vertical="center" shrinkToFit="1"/>
    </xf>
    <xf numFmtId="0" fontId="12" fillId="0" borderId="25" xfId="0" applyFont="1" applyBorder="1" applyAlignment="1" applyProtection="1">
      <alignment horizontal="center" vertical="center"/>
    </xf>
    <xf numFmtId="0" fontId="12" fillId="0" borderId="19" xfId="0" applyFont="1" applyBorder="1" applyAlignment="1" applyProtection="1">
      <alignment horizontal="center" vertical="center"/>
    </xf>
    <xf numFmtId="0" fontId="25" fillId="0" borderId="43" xfId="0" applyFont="1" applyFill="1" applyBorder="1" applyAlignment="1" applyProtection="1">
      <alignment horizontal="center" vertical="center" shrinkToFit="1"/>
    </xf>
    <xf numFmtId="0" fontId="29" fillId="0" borderId="40" xfId="0" applyFont="1" applyFill="1" applyBorder="1" applyAlignment="1" applyProtection="1">
      <alignment horizontal="left" vertical="center" shrinkToFit="1"/>
    </xf>
    <xf numFmtId="0" fontId="12" fillId="0" borderId="25" xfId="0" applyFont="1" applyFill="1" applyBorder="1" applyAlignment="1" applyProtection="1">
      <alignment horizontal="left" vertical="center" shrinkToFit="1"/>
    </xf>
    <xf numFmtId="0" fontId="23" fillId="0" borderId="25" xfId="0" applyFont="1" applyFill="1" applyBorder="1" applyAlignment="1" applyProtection="1">
      <alignment horizontal="left" vertical="center" shrinkToFit="1"/>
    </xf>
    <xf numFmtId="0" fontId="25" fillId="0" borderId="33" xfId="0" applyFont="1" applyFill="1" applyBorder="1" applyAlignment="1" applyProtection="1">
      <alignment horizontal="center" vertical="center" shrinkToFit="1"/>
    </xf>
    <xf numFmtId="0" fontId="15" fillId="0" borderId="44" xfId="0" applyFont="1" applyFill="1" applyBorder="1" applyAlignment="1" applyProtection="1">
      <alignment horizontal="left" vertical="center" shrinkToFit="1"/>
      <protection locked="0"/>
    </xf>
    <xf numFmtId="184" fontId="12" fillId="0" borderId="0" xfId="80" applyNumberFormat="1" applyFont="1" applyBorder="1" applyAlignment="1" applyProtection="1">
      <alignment vertical="center"/>
    </xf>
    <xf numFmtId="184" fontId="12" fillId="0" borderId="0" xfId="80" applyNumberFormat="1" applyFont="1" applyBorder="1" applyAlignment="1" applyProtection="1">
      <alignment horizontal="left" vertical="center"/>
    </xf>
    <xf numFmtId="184" fontId="45" fillId="0" borderId="0" xfId="80" applyNumberFormat="1" applyFont="1" applyBorder="1" applyAlignment="1">
      <alignment vertical="center"/>
      <protection locked="0"/>
    </xf>
    <xf numFmtId="184" fontId="45" fillId="0" borderId="0" xfId="80" applyNumberFormat="1" applyFont="1" applyBorder="1" applyAlignment="1" applyProtection="1">
      <alignment vertical="center"/>
    </xf>
    <xf numFmtId="184" fontId="45" fillId="0" borderId="0" xfId="80" applyNumberFormat="1" applyFont="1" applyBorder="1" applyAlignment="1" applyProtection="1">
      <alignment horizontal="left" vertical="center"/>
    </xf>
    <xf numFmtId="184" fontId="12" fillId="0" borderId="0" xfId="80" applyNumberFormat="1" applyFont="1" applyFill="1" applyAlignment="1" applyProtection="1">
      <alignment vertical="center"/>
    </xf>
    <xf numFmtId="184" fontId="45" fillId="0" borderId="0" xfId="80" applyNumberFormat="1" applyFont="1" applyFill="1" applyAlignment="1">
      <alignment vertical="center"/>
      <protection locked="0"/>
    </xf>
    <xf numFmtId="184" fontId="12" fillId="0" borderId="0" xfId="80" applyNumberFormat="1" applyFont="1" applyFill="1" applyAlignment="1" applyProtection="1">
      <alignment horizontal="left" vertical="center"/>
    </xf>
    <xf numFmtId="184" fontId="45" fillId="0" borderId="0" xfId="80" applyNumberFormat="1" applyFont="1" applyFill="1" applyAlignment="1" applyProtection="1">
      <alignment vertical="center"/>
    </xf>
    <xf numFmtId="184" fontId="71" fillId="0" borderId="0" xfId="80" applyNumberFormat="1" applyFont="1" applyFill="1" applyAlignment="1" applyProtection="1">
      <alignment horizontal="center" vertical="center"/>
    </xf>
    <xf numFmtId="43" fontId="3" fillId="0" borderId="0" xfId="83" applyNumberFormat="1" applyFont="1" applyFill="1" applyAlignment="1" applyProtection="1">
      <alignment vertical="center"/>
    </xf>
    <xf numFmtId="43" fontId="46" fillId="0" borderId="0" xfId="83" applyNumberFormat="1" applyFont="1" applyFill="1" applyAlignment="1">
      <alignment vertical="center"/>
      <protection locked="0"/>
    </xf>
    <xf numFmtId="184" fontId="45" fillId="0" borderId="0" xfId="80" applyNumberFormat="1" applyFont="1" applyFill="1" applyAlignment="1" applyProtection="1">
      <alignment horizontal="left" vertical="center"/>
    </xf>
    <xf numFmtId="0" fontId="3" fillId="0" borderId="0" xfId="0" applyFont="1" applyFill="1" applyAlignment="1">
      <alignment horizontal="center"/>
      <protection locked="0"/>
    </xf>
    <xf numFmtId="0" fontId="3" fillId="0" borderId="0" xfId="0" applyFont="1" applyFill="1" applyBorder="1">
      <protection locked="0"/>
    </xf>
    <xf numFmtId="0" fontId="3" fillId="0" borderId="0" xfId="0" applyFont="1" applyFill="1">
      <protection locked="0"/>
    </xf>
    <xf numFmtId="0" fontId="3" fillId="0" borderId="0" xfId="0" applyFont="1" applyFill="1" applyBorder="1" applyAlignment="1">
      <alignment horizontal="center"/>
      <protection locked="0"/>
    </xf>
    <xf numFmtId="43" fontId="3" fillId="0" borderId="0" xfId="105" applyFont="1" applyFill="1" applyBorder="1"/>
    <xf numFmtId="0" fontId="13" fillId="0" borderId="0" xfId="0" applyFont="1" applyFill="1" applyBorder="1">
      <protection locked="0"/>
    </xf>
    <xf numFmtId="43" fontId="3" fillId="0" borderId="0" xfId="105" applyFont="1" applyFill="1"/>
    <xf numFmtId="0" fontId="13" fillId="0" borderId="25" xfId="0" applyFont="1" applyFill="1" applyBorder="1" applyAlignment="1">
      <alignment horizontal="left"/>
      <protection locked="0"/>
    </xf>
    <xf numFmtId="218" fontId="13" fillId="0" borderId="7" xfId="0" applyNumberFormat="1" applyFont="1" applyFill="1" applyBorder="1" applyAlignment="1">
      <alignment horizontal="center"/>
      <protection locked="0"/>
    </xf>
    <xf numFmtId="0" fontId="13" fillId="0" borderId="25" xfId="0" applyFont="1" applyFill="1" applyBorder="1">
      <protection locked="0"/>
    </xf>
    <xf numFmtId="0" fontId="13" fillId="0" borderId="26" xfId="0" applyFont="1" applyFill="1" applyBorder="1">
      <protection locked="0"/>
    </xf>
    <xf numFmtId="218" fontId="13" fillId="0" borderId="45" xfId="0" applyNumberFormat="1" applyFont="1" applyFill="1" applyBorder="1" applyAlignment="1">
      <alignment horizontal="center"/>
      <protection locked="0"/>
    </xf>
    <xf numFmtId="0" fontId="13" fillId="0" borderId="33" xfId="0" applyFont="1" applyFill="1" applyBorder="1">
      <protection locked="0"/>
    </xf>
    <xf numFmtId="218" fontId="13" fillId="0" borderId="38" xfId="0" applyNumberFormat="1" applyFont="1" applyFill="1" applyBorder="1" applyAlignment="1">
      <alignment horizontal="center"/>
      <protection locked="0"/>
    </xf>
    <xf numFmtId="0" fontId="3" fillId="3" borderId="40" xfId="0" applyFont="1" applyFill="1" applyBorder="1" applyAlignment="1">
      <alignment horizontal="left"/>
      <protection locked="0"/>
    </xf>
    <xf numFmtId="43" fontId="13" fillId="3" borderId="41" xfId="105" applyFont="1" applyFill="1" applyBorder="1" applyAlignment="1">
      <alignment horizontal="right"/>
    </xf>
    <xf numFmtId="218" fontId="13" fillId="3" borderId="41" xfId="0" applyNumberFormat="1" applyFont="1" applyFill="1" applyBorder="1" applyAlignment="1">
      <alignment horizontal="right"/>
      <protection locked="0"/>
    </xf>
    <xf numFmtId="218" fontId="13" fillId="3" borderId="44" xfId="0" applyNumberFormat="1" applyFont="1" applyFill="1" applyBorder="1" applyAlignment="1">
      <alignment horizontal="center"/>
      <protection locked="0"/>
    </xf>
    <xf numFmtId="0" fontId="3" fillId="3" borderId="25" xfId="0" applyFont="1" applyFill="1" applyBorder="1" applyAlignment="1">
      <alignment horizontal="left"/>
      <protection locked="0"/>
    </xf>
    <xf numFmtId="218" fontId="13" fillId="3" borderId="7" xfId="0" applyNumberFormat="1" applyFont="1" applyFill="1" applyBorder="1" applyAlignment="1">
      <alignment horizontal="center"/>
      <protection locked="0"/>
    </xf>
    <xf numFmtId="0" fontId="3" fillId="3" borderId="25" xfId="0" applyFont="1" applyFill="1" applyBorder="1">
      <protection locked="0"/>
    </xf>
    <xf numFmtId="0" fontId="3" fillId="0" borderId="0" xfId="0" applyFont="1" applyFill="1" applyAlignment="1">
      <alignment horizontal="center" vertical="center" shrinkToFit="1"/>
      <protection locked="0"/>
    </xf>
    <xf numFmtId="0" fontId="42" fillId="0" borderId="19" xfId="0" applyFont="1" applyFill="1" applyBorder="1" applyAlignment="1">
      <alignment horizontal="center" vertical="center" shrinkToFit="1"/>
      <protection locked="0"/>
    </xf>
    <xf numFmtId="43" fontId="42" fillId="0" borderId="19" xfId="105" applyFont="1" applyFill="1" applyBorder="1" applyAlignment="1">
      <alignment horizontal="center" vertical="center" shrinkToFit="1"/>
    </xf>
    <xf numFmtId="184" fontId="45" fillId="0" borderId="0" xfId="80" applyNumberFormat="1" applyFont="1" applyFill="1" applyAlignment="1">
      <alignment vertical="center" shrinkToFit="1"/>
      <protection locked="0"/>
    </xf>
    <xf numFmtId="0" fontId="13" fillId="3" borderId="41" xfId="0" applyFont="1" applyFill="1" applyBorder="1" applyAlignment="1">
      <alignment horizontal="center" vertical="center" shrinkToFit="1"/>
      <protection locked="0"/>
    </xf>
    <xf numFmtId="0" fontId="3" fillId="0" borderId="6" xfId="0" applyFont="1" applyFill="1" applyBorder="1" applyAlignment="1">
      <alignment horizontal="center" shrinkToFit="1"/>
      <protection locked="0"/>
    </xf>
    <xf numFmtId="0" fontId="3" fillId="3" borderId="6" xfId="0" applyFont="1" applyFill="1" applyBorder="1" applyAlignment="1">
      <alignment horizontal="center" shrinkToFit="1"/>
      <protection locked="0"/>
    </xf>
    <xf numFmtId="0" fontId="13" fillId="3" borderId="6" xfId="0" applyFont="1" applyFill="1" applyBorder="1" applyAlignment="1">
      <alignment horizontal="center" shrinkToFit="1"/>
      <protection locked="0"/>
    </xf>
    <xf numFmtId="0" fontId="3" fillId="0" borderId="42" xfId="0" applyFont="1" applyFill="1" applyBorder="1" applyAlignment="1">
      <alignment horizontal="center" shrinkToFit="1"/>
      <protection locked="0"/>
    </xf>
    <xf numFmtId="0" fontId="3" fillId="0" borderId="34" xfId="0" applyFont="1" applyFill="1" applyBorder="1" applyAlignment="1">
      <alignment horizontal="center" shrinkToFit="1"/>
      <protection locked="0"/>
    </xf>
    <xf numFmtId="0" fontId="3" fillId="0" borderId="0" xfId="0" applyFont="1" applyFill="1" applyBorder="1" applyAlignment="1">
      <alignment horizontal="center" shrinkToFit="1"/>
      <protection locked="0"/>
    </xf>
    <xf numFmtId="0" fontId="3" fillId="0" borderId="0" xfId="0" applyFont="1" applyFill="1" applyAlignment="1">
      <alignment horizontal="center" shrinkToFit="1"/>
      <protection locked="0"/>
    </xf>
    <xf numFmtId="0" fontId="108" fillId="3" borderId="0" xfId="0" applyFont="1" applyFill="1" applyProtection="1">
      <protection hidden="1"/>
    </xf>
    <xf numFmtId="43" fontId="46" fillId="0" borderId="6" xfId="105" applyFont="1" applyBorder="1" applyAlignment="1" applyProtection="1">
      <alignment vertical="center"/>
    </xf>
    <xf numFmtId="43" fontId="46" fillId="0" borderId="7" xfId="105" applyFont="1" applyBorder="1" applyAlignment="1" applyProtection="1">
      <alignment vertical="center"/>
    </xf>
    <xf numFmtId="43" fontId="62" fillId="0" borderId="6" xfId="105" applyFont="1" applyBorder="1" applyAlignment="1" applyProtection="1">
      <alignment vertical="center"/>
      <protection locked="0"/>
    </xf>
    <xf numFmtId="43" fontId="62" fillId="0" borderId="7" xfId="105" applyFont="1" applyBorder="1" applyAlignment="1" applyProtection="1">
      <alignment vertical="center"/>
      <protection locked="0"/>
    </xf>
    <xf numFmtId="43" fontId="62" fillId="0" borderId="42" xfId="105" applyFont="1" applyBorder="1" applyAlignment="1" applyProtection="1">
      <alignment vertical="center"/>
    </xf>
    <xf numFmtId="43" fontId="62" fillId="0" borderId="45" xfId="105" applyFont="1" applyBorder="1" applyAlignment="1" applyProtection="1">
      <alignment vertical="center"/>
    </xf>
    <xf numFmtId="43" fontId="62" fillId="0" borderId="46" xfId="105" applyFont="1" applyBorder="1" applyAlignment="1" applyProtection="1">
      <alignment vertical="center"/>
      <protection locked="0"/>
    </xf>
    <xf numFmtId="43" fontId="62" fillId="0" borderId="47" xfId="105" applyFont="1" applyBorder="1" applyAlignment="1" applyProtection="1">
      <alignment vertical="center"/>
      <protection locked="0"/>
    </xf>
    <xf numFmtId="43" fontId="62" fillId="0" borderId="6" xfId="105" applyFont="1" applyBorder="1" applyAlignment="1" applyProtection="1">
      <alignment vertical="center"/>
    </xf>
    <xf numFmtId="43" fontId="62" fillId="0" borderId="7" xfId="105" applyFont="1" applyBorder="1" applyAlignment="1" applyProtection="1">
      <alignment vertical="center"/>
    </xf>
    <xf numFmtId="43" fontId="62" fillId="0" borderId="42" xfId="105" applyFont="1" applyBorder="1" applyAlignment="1" applyProtection="1">
      <alignment vertical="center"/>
      <protection locked="0"/>
    </xf>
    <xf numFmtId="43" fontId="62" fillId="0" borderId="45" xfId="105" applyFont="1" applyBorder="1" applyAlignment="1" applyProtection="1">
      <alignment vertical="center"/>
      <protection locked="0"/>
    </xf>
    <xf numFmtId="43" fontId="46" fillId="0" borderId="42" xfId="105" applyFont="1" applyBorder="1" applyAlignment="1" applyProtection="1">
      <alignment vertical="center"/>
    </xf>
    <xf numFmtId="43" fontId="46" fillId="0" borderId="45" xfId="105" applyFont="1" applyBorder="1" applyAlignment="1" applyProtection="1">
      <alignment vertical="center"/>
    </xf>
    <xf numFmtId="43" fontId="62" fillId="0" borderId="14" xfId="105" applyFont="1" applyBorder="1" applyAlignment="1" applyProtection="1">
      <alignment vertical="center"/>
    </xf>
    <xf numFmtId="43" fontId="62" fillId="0" borderId="24" xfId="105" applyFont="1" applyBorder="1" applyAlignment="1" applyProtection="1">
      <alignment vertical="center"/>
    </xf>
    <xf numFmtId="43" fontId="46" fillId="0" borderId="14" xfId="105" applyFont="1" applyBorder="1" applyAlignment="1" applyProtection="1">
      <alignment vertical="center"/>
    </xf>
    <xf numFmtId="43" fontId="62" fillId="0" borderId="14" xfId="105" applyFont="1" applyBorder="1" applyAlignment="1" applyProtection="1">
      <alignment vertical="center"/>
      <protection locked="0"/>
    </xf>
    <xf numFmtId="43" fontId="46" fillId="6" borderId="3" xfId="105" applyNumberFormat="1" applyFont="1" applyFill="1" applyBorder="1" applyAlignment="1" applyProtection="1">
      <alignment horizontal="right" vertical="center" shrinkToFit="1"/>
    </xf>
    <xf numFmtId="43" fontId="46" fillId="8" borderId="3" xfId="105" applyNumberFormat="1" applyFont="1" applyFill="1" applyBorder="1" applyAlignment="1" applyProtection="1">
      <alignment horizontal="right" vertical="center" shrinkToFit="1"/>
      <protection locked="0"/>
    </xf>
    <xf numFmtId="43" fontId="109" fillId="6" borderId="3" xfId="105" applyNumberFormat="1" applyFont="1" applyFill="1" applyBorder="1" applyAlignment="1" applyProtection="1">
      <alignment horizontal="right" vertical="center" shrinkToFit="1"/>
    </xf>
    <xf numFmtId="43" fontId="46" fillId="8" borderId="3" xfId="105" applyNumberFormat="1" applyFont="1" applyFill="1" applyBorder="1" applyAlignment="1" applyProtection="1">
      <alignment horizontal="right" vertical="center" shrinkToFit="1"/>
    </xf>
    <xf numFmtId="43" fontId="110" fillId="6" borderId="3" xfId="105" applyNumberFormat="1" applyFont="1" applyFill="1" applyBorder="1" applyAlignment="1" applyProtection="1">
      <alignment horizontal="right" vertical="center" shrinkToFit="1"/>
    </xf>
    <xf numFmtId="43" fontId="111" fillId="8" borderId="3" xfId="105" applyNumberFormat="1" applyFont="1" applyFill="1" applyBorder="1" applyAlignment="1" applyProtection="1">
      <alignment horizontal="right" vertical="center" shrinkToFit="1"/>
      <protection locked="0"/>
    </xf>
    <xf numFmtId="43" fontId="112" fillId="6" borderId="3" xfId="105" applyNumberFormat="1" applyFont="1" applyFill="1" applyBorder="1" applyAlignment="1" applyProtection="1">
      <alignment horizontal="right" vertical="center" shrinkToFit="1"/>
    </xf>
    <xf numFmtId="43" fontId="111" fillId="6" borderId="3" xfId="105" applyNumberFormat="1" applyFont="1" applyFill="1" applyBorder="1" applyAlignment="1" applyProtection="1">
      <alignment horizontal="right" vertical="center" shrinkToFit="1"/>
    </xf>
    <xf numFmtId="43" fontId="113" fillId="6" borderId="3" xfId="105" applyFont="1" applyFill="1" applyBorder="1" applyAlignment="1" applyProtection="1">
      <alignment horizontal="right" vertical="center" shrinkToFit="1"/>
    </xf>
    <xf numFmtId="43" fontId="113" fillId="6" borderId="3" xfId="105" applyNumberFormat="1" applyFont="1" applyFill="1" applyBorder="1" applyAlignment="1" applyProtection="1">
      <alignment horizontal="right" vertical="center" shrinkToFit="1"/>
    </xf>
    <xf numFmtId="184" fontId="64" fillId="6" borderId="0" xfId="0" applyNumberFormat="1" applyFont="1" applyFill="1" applyAlignment="1" applyProtection="1">
      <alignment horizontal="left" vertical="center"/>
    </xf>
    <xf numFmtId="184" fontId="111" fillId="6" borderId="0" xfId="0" applyNumberFormat="1" applyFont="1" applyFill="1" applyAlignment="1" applyProtection="1">
      <alignment horizontal="right" vertical="center"/>
    </xf>
    <xf numFmtId="184" fontId="25" fillId="0" borderId="41" xfId="80" applyNumberFormat="1" applyFont="1" applyBorder="1" applyAlignment="1" applyProtection="1">
      <alignment horizontal="center" vertical="center"/>
    </xf>
    <xf numFmtId="184" fontId="25" fillId="0" borderId="19" xfId="80" applyNumberFormat="1" applyFont="1" applyBorder="1" applyAlignment="1" applyProtection="1">
      <alignment horizontal="center" vertical="center"/>
    </xf>
    <xf numFmtId="0" fontId="15" fillId="0" borderId="41" xfId="0" applyFont="1" applyFill="1" applyBorder="1" applyAlignment="1" applyProtection="1">
      <alignment horizontal="center" vertical="center" shrinkToFit="1"/>
    </xf>
    <xf numFmtId="10" fontId="13" fillId="0" borderId="6" xfId="78" applyNumberFormat="1" applyFont="1" applyFill="1" applyBorder="1" applyAlignment="1" applyProtection="1">
      <alignment horizontal="center" vertical="center" shrinkToFit="1"/>
    </xf>
    <xf numFmtId="43" fontId="13" fillId="0" borderId="6" xfId="105" applyNumberFormat="1" applyFont="1" applyFill="1" applyBorder="1" applyAlignment="1" applyProtection="1">
      <alignment horizontal="center" vertical="center" shrinkToFit="1"/>
    </xf>
    <xf numFmtId="43" fontId="16" fillId="0" borderId="34" xfId="105" applyNumberFormat="1" applyFont="1" applyFill="1" applyBorder="1" applyAlignment="1" applyProtection="1">
      <alignment horizontal="center" vertical="center" shrinkToFit="1"/>
    </xf>
    <xf numFmtId="43" fontId="15" fillId="0" borderId="6" xfId="105" applyNumberFormat="1" applyFont="1" applyFill="1" applyBorder="1" applyAlignment="1" applyProtection="1">
      <alignment horizontal="center" vertical="center" shrinkToFit="1"/>
    </xf>
    <xf numFmtId="10" fontId="15" fillId="0" borderId="6" xfId="78" applyNumberFormat="1" applyFont="1" applyFill="1" applyBorder="1" applyAlignment="1" applyProtection="1">
      <alignment horizontal="center" vertical="center" shrinkToFit="1"/>
    </xf>
    <xf numFmtId="10" fontId="13" fillId="0" borderId="6" xfId="78" applyNumberFormat="1" applyFont="1" applyFill="1" applyBorder="1" applyAlignment="1" applyProtection="1">
      <alignment horizontal="right" vertical="center" shrinkToFit="1"/>
    </xf>
    <xf numFmtId="43" fontId="13" fillId="0" borderId="34" xfId="105" applyNumberFormat="1" applyFont="1" applyFill="1" applyBorder="1" applyAlignment="1" applyProtection="1">
      <alignment horizontal="center" vertical="center" shrinkToFit="1"/>
    </xf>
    <xf numFmtId="10" fontId="15" fillId="0" borderId="6" xfId="78" applyNumberFormat="1" applyFont="1" applyFill="1" applyBorder="1" applyAlignment="1" applyProtection="1">
      <alignment horizontal="right" vertical="center" shrinkToFit="1"/>
    </xf>
    <xf numFmtId="49" fontId="12" fillId="6" borderId="3" xfId="0" applyNumberFormat="1" applyFont="1" applyFill="1" applyBorder="1" applyAlignment="1" applyProtection="1">
      <alignment horizontal="left" vertical="center" shrinkToFit="1"/>
    </xf>
    <xf numFmtId="4" fontId="12" fillId="6" borderId="0" xfId="0" applyNumberFormat="1" applyFont="1" applyFill="1" applyBorder="1" applyAlignment="1" applyProtection="1">
      <alignment horizontal="center" vertical="center" shrinkToFit="1"/>
    </xf>
    <xf numFmtId="43" fontId="12" fillId="6" borderId="0" xfId="105" applyFont="1" applyFill="1" applyBorder="1" applyAlignment="1" applyProtection="1">
      <alignment horizontal="left" vertical="center"/>
    </xf>
    <xf numFmtId="0" fontId="12" fillId="6" borderId="0" xfId="0" applyFont="1" applyFill="1" applyAlignment="1" applyProtection="1">
      <alignment vertical="center"/>
      <protection hidden="1"/>
    </xf>
    <xf numFmtId="31" fontId="47" fillId="6" borderId="3" xfId="0" applyNumberFormat="1" applyFont="1" applyFill="1" applyBorder="1" applyAlignment="1" applyProtection="1">
      <alignment horizontal="center" vertical="center" shrinkToFit="1"/>
    </xf>
    <xf numFmtId="43" fontId="47" fillId="6" borderId="3" xfId="106" applyNumberFormat="1" applyFont="1" applyFill="1" applyBorder="1" applyAlignment="1" applyProtection="1">
      <alignment horizontal="center" vertical="center"/>
    </xf>
    <xf numFmtId="31" fontId="45" fillId="6" borderId="3" xfId="0" applyNumberFormat="1" applyFont="1" applyFill="1" applyBorder="1" applyAlignment="1" applyProtection="1">
      <alignment horizontal="center" vertical="center" shrinkToFit="1"/>
    </xf>
    <xf numFmtId="0" fontId="45" fillId="6" borderId="3" xfId="0" applyFont="1" applyFill="1" applyBorder="1" applyAlignment="1" applyProtection="1">
      <alignment horizontal="center" vertical="center" shrinkToFit="1"/>
    </xf>
    <xf numFmtId="0" fontId="12" fillId="0" borderId="9" xfId="100" applyNumberFormat="1" applyFont="1" applyBorder="1" applyAlignment="1" applyProtection="1">
      <alignment horizontal="left" vertical="center"/>
    </xf>
    <xf numFmtId="43" fontId="25" fillId="8" borderId="3" xfId="82" applyNumberFormat="1" applyFont="1" applyFill="1" applyBorder="1" applyAlignment="1" applyProtection="1">
      <alignment horizontal="center" vertical="center"/>
    </xf>
    <xf numFmtId="0" fontId="12" fillId="0" borderId="9" xfId="99" applyNumberFormat="1" applyFont="1" applyBorder="1" applyAlignment="1" applyProtection="1">
      <alignment vertical="center"/>
    </xf>
    <xf numFmtId="0" fontId="45" fillId="0" borderId="41" xfId="0" applyFont="1" applyFill="1" applyBorder="1" applyAlignment="1" applyProtection="1">
      <alignment horizontal="center" vertical="center" shrinkToFit="1"/>
    </xf>
    <xf numFmtId="0" fontId="45" fillId="0" borderId="41" xfId="0" applyFont="1" applyFill="1" applyBorder="1" applyAlignment="1" applyProtection="1">
      <alignment horizontal="left" vertical="center" shrinkToFit="1"/>
    </xf>
    <xf numFmtId="43" fontId="46" fillId="0" borderId="6" xfId="105" applyNumberFormat="1" applyFont="1" applyFill="1" applyBorder="1" applyAlignment="1" applyProtection="1">
      <alignment horizontal="right" vertical="center" shrinkToFit="1"/>
    </xf>
    <xf numFmtId="10" fontId="46" fillId="0" borderId="6" xfId="78" applyNumberFormat="1" applyFont="1" applyFill="1" applyBorder="1" applyAlignment="1" applyProtection="1">
      <alignment horizontal="center" vertical="center" shrinkToFit="1"/>
    </xf>
    <xf numFmtId="43" fontId="110" fillId="0" borderId="6" xfId="105" applyNumberFormat="1" applyFont="1" applyFill="1" applyBorder="1" applyAlignment="1" applyProtection="1">
      <alignment horizontal="right" vertical="center" shrinkToFit="1"/>
    </xf>
    <xf numFmtId="43" fontId="62" fillId="0" borderId="6" xfId="105" applyNumberFormat="1" applyFont="1" applyFill="1" applyBorder="1" applyAlignment="1" applyProtection="1">
      <alignment horizontal="right" vertical="center" shrinkToFit="1"/>
    </xf>
    <xf numFmtId="43" fontId="109" fillId="0" borderId="6" xfId="105" applyNumberFormat="1" applyFont="1" applyFill="1" applyBorder="1" applyAlignment="1" applyProtection="1">
      <alignment horizontal="right" vertical="center" shrinkToFit="1"/>
    </xf>
    <xf numFmtId="43" fontId="110" fillId="0" borderId="34" xfId="105" applyNumberFormat="1" applyFont="1" applyFill="1" applyBorder="1" applyAlignment="1" applyProtection="1">
      <alignment horizontal="right" vertical="center" shrinkToFit="1"/>
    </xf>
    <xf numFmtId="10" fontId="109" fillId="0" borderId="34" xfId="78" applyNumberFormat="1" applyFont="1" applyFill="1" applyBorder="1" applyAlignment="1" applyProtection="1">
      <alignment horizontal="center" vertical="center" shrinkToFit="1"/>
    </xf>
    <xf numFmtId="3" fontId="12" fillId="0" borderId="41" xfId="0" applyNumberFormat="1" applyFont="1" applyFill="1" applyBorder="1" applyAlignment="1" applyProtection="1">
      <alignment horizontal="center" vertical="center" shrinkToFit="1"/>
    </xf>
    <xf numFmtId="10" fontId="109" fillId="0" borderId="38" xfId="78" applyNumberFormat="1" applyFont="1" applyFill="1" applyBorder="1" applyAlignment="1" applyProtection="1">
      <alignment horizontal="center" vertical="center" shrinkToFit="1"/>
    </xf>
    <xf numFmtId="43" fontId="110" fillId="0" borderId="19" xfId="105" applyNumberFormat="1" applyFont="1" applyFill="1" applyBorder="1" applyAlignment="1" applyProtection="1">
      <alignment horizontal="right" vertical="center" shrinkToFit="1"/>
    </xf>
    <xf numFmtId="43" fontId="110" fillId="0" borderId="38" xfId="105" applyNumberFormat="1" applyFont="1" applyFill="1" applyBorder="1" applyAlignment="1" applyProtection="1">
      <alignment horizontal="right" vertical="center" shrinkToFit="1"/>
    </xf>
    <xf numFmtId="43" fontId="47" fillId="0" borderId="14" xfId="105" applyFont="1" applyFill="1" applyBorder="1" applyAlignment="1" applyProtection="1">
      <alignment vertical="center" shrinkToFit="1"/>
    </xf>
    <xf numFmtId="43" fontId="45" fillId="0" borderId="14" xfId="105" applyFont="1" applyFill="1" applyBorder="1" applyAlignment="1" applyProtection="1">
      <alignment vertical="center" shrinkToFit="1"/>
    </xf>
    <xf numFmtId="43" fontId="45" fillId="0" borderId="6" xfId="105" applyFont="1" applyFill="1" applyBorder="1" applyAlignment="1" applyProtection="1">
      <alignment vertical="center" shrinkToFit="1"/>
    </xf>
    <xf numFmtId="43" fontId="45" fillId="0" borderId="34" xfId="105" applyFont="1" applyFill="1" applyBorder="1" applyAlignment="1" applyProtection="1">
      <alignment vertical="center" shrinkToFit="1"/>
    </xf>
    <xf numFmtId="43" fontId="45" fillId="0" borderId="42" xfId="105" applyFont="1" applyFill="1" applyBorder="1" applyAlignment="1" applyProtection="1">
      <alignment horizontal="center" vertical="center" shrinkToFit="1"/>
    </xf>
    <xf numFmtId="10" fontId="45" fillId="0" borderId="34" xfId="78" applyNumberFormat="1" applyFont="1" applyFill="1" applyBorder="1" applyAlignment="1" applyProtection="1">
      <alignment horizontal="center" vertical="center" shrinkToFit="1"/>
    </xf>
    <xf numFmtId="43" fontId="45" fillId="0" borderId="34" xfId="105" applyFont="1" applyFill="1" applyBorder="1" applyAlignment="1" applyProtection="1">
      <alignment horizontal="center" vertical="center" shrinkToFit="1"/>
    </xf>
    <xf numFmtId="0" fontId="0" fillId="0" borderId="41" xfId="0" applyFill="1" applyBorder="1" applyAlignment="1" applyProtection="1">
      <alignment vertical="center" shrinkToFit="1"/>
    </xf>
    <xf numFmtId="10" fontId="94" fillId="0" borderId="6" xfId="78" applyNumberFormat="1" applyFont="1" applyFill="1" applyBorder="1" applyAlignment="1" applyProtection="1">
      <alignment horizontal="right" vertical="center" shrinkToFit="1"/>
    </xf>
    <xf numFmtId="10" fontId="94" fillId="0" borderId="6" xfId="78" applyNumberFormat="1" applyFont="1" applyFill="1" applyBorder="1" applyAlignment="1" applyProtection="1">
      <alignment horizontal="center" vertical="center" shrinkToFit="1"/>
    </xf>
    <xf numFmtId="10" fontId="46" fillId="0" borderId="6" xfId="78" applyNumberFormat="1" applyFont="1" applyFill="1" applyBorder="1" applyAlignment="1" applyProtection="1">
      <alignment horizontal="right" vertical="center" shrinkToFit="1"/>
    </xf>
    <xf numFmtId="10" fontId="62" fillId="0" borderId="6" xfId="78" applyNumberFormat="1" applyFont="1" applyFill="1" applyBorder="1" applyAlignment="1" applyProtection="1">
      <alignment horizontal="right" vertical="center" shrinkToFit="1"/>
    </xf>
    <xf numFmtId="10" fontId="62" fillId="0" borderId="6" xfId="78" applyNumberFormat="1" applyFont="1" applyFill="1" applyBorder="1" applyAlignment="1" applyProtection="1">
      <alignment horizontal="center" vertical="center" shrinkToFit="1"/>
    </xf>
    <xf numFmtId="0" fontId="43" fillId="0" borderId="41" xfId="0" applyFont="1" applyFill="1" applyBorder="1" applyAlignment="1" applyProtection="1">
      <alignment vertical="center" shrinkToFit="1"/>
    </xf>
    <xf numFmtId="10" fontId="45" fillId="0" borderId="34" xfId="78" applyNumberFormat="1" applyFont="1" applyFill="1" applyBorder="1" applyAlignment="1" applyProtection="1">
      <alignment vertical="center" shrinkToFit="1"/>
    </xf>
    <xf numFmtId="43" fontId="46" fillId="0" borderId="6" xfId="105" applyFont="1" applyFill="1" applyBorder="1" applyAlignment="1">
      <alignment horizontal="right" shrinkToFit="1"/>
    </xf>
    <xf numFmtId="217" fontId="46" fillId="0" borderId="6" xfId="0" applyNumberFormat="1" applyFont="1" applyFill="1" applyBorder="1" applyAlignment="1">
      <alignment horizontal="right"/>
      <protection locked="0"/>
    </xf>
    <xf numFmtId="43" fontId="46" fillId="3" borderId="6" xfId="105" applyFont="1" applyFill="1" applyBorder="1" applyAlignment="1">
      <alignment horizontal="right" shrinkToFit="1"/>
    </xf>
    <xf numFmtId="217" fontId="46" fillId="3" borderId="6" xfId="0" applyNumberFormat="1" applyFont="1" applyFill="1" applyBorder="1" applyAlignment="1">
      <alignment horizontal="right"/>
      <protection locked="0"/>
    </xf>
    <xf numFmtId="43" fontId="46" fillId="0" borderId="6" xfId="105" applyFont="1" applyFill="1" applyBorder="1" applyAlignment="1" applyProtection="1">
      <alignment horizontal="center"/>
      <protection locked="0"/>
    </xf>
    <xf numFmtId="43" fontId="46" fillId="3" borderId="6" xfId="105" applyFont="1" applyFill="1" applyBorder="1" applyAlignment="1" applyProtection="1">
      <alignment horizontal="center"/>
      <protection locked="0"/>
    </xf>
    <xf numFmtId="217" fontId="46" fillId="3" borderId="6" xfId="0" applyNumberFormat="1" applyFont="1" applyFill="1" applyBorder="1" applyAlignment="1">
      <alignment horizontal="center"/>
      <protection locked="0"/>
    </xf>
    <xf numFmtId="43" fontId="46" fillId="0" borderId="42" xfId="105" applyFont="1" applyFill="1" applyBorder="1" applyAlignment="1">
      <alignment shrinkToFit="1"/>
    </xf>
    <xf numFmtId="217" fontId="46" fillId="0" borderId="42" xfId="0" applyNumberFormat="1" applyFont="1" applyFill="1" applyBorder="1" applyAlignment="1">
      <alignment horizontal="right"/>
      <protection locked="0"/>
    </xf>
    <xf numFmtId="43" fontId="46" fillId="0" borderId="42" xfId="105" applyFont="1" applyFill="1" applyBorder="1" applyAlignment="1">
      <alignment horizontal="right" shrinkToFit="1"/>
    </xf>
    <xf numFmtId="43" fontId="46" fillId="0" borderId="34" xfId="105" applyFont="1" applyFill="1" applyBorder="1" applyAlignment="1">
      <alignment shrinkToFit="1"/>
    </xf>
    <xf numFmtId="217" fontId="46" fillId="0" borderId="34" xfId="0" applyNumberFormat="1" applyFont="1" applyFill="1" applyBorder="1" applyAlignment="1">
      <alignment horizontal="right"/>
      <protection locked="0"/>
    </xf>
    <xf numFmtId="43" fontId="46" fillId="0" borderId="34" xfId="105" applyFont="1" applyFill="1" applyBorder="1" applyAlignment="1">
      <alignment horizontal="right" shrinkToFit="1"/>
    </xf>
    <xf numFmtId="0" fontId="0" fillId="0" borderId="0" xfId="0" applyFill="1" applyBorder="1" applyAlignment="1" applyProtection="1">
      <alignment vertical="center"/>
      <protection hidden="1"/>
    </xf>
    <xf numFmtId="184" fontId="12" fillId="6" borderId="48" xfId="0" applyNumberFormat="1" applyFont="1" applyFill="1" applyBorder="1" applyAlignment="1" applyProtection="1">
      <alignment horizontal="center" vertical="center" shrinkToFit="1"/>
    </xf>
    <xf numFmtId="3" fontId="12" fillId="6" borderId="49" xfId="0" applyNumberFormat="1" applyFont="1" applyFill="1" applyBorder="1" applyAlignment="1" applyProtection="1">
      <alignment horizontal="center" vertical="center" wrapText="1" shrinkToFit="1"/>
    </xf>
    <xf numFmtId="0" fontId="12" fillId="6" borderId="49" xfId="0" applyFont="1" applyFill="1" applyBorder="1" applyAlignment="1" applyProtection="1">
      <alignment horizontal="center" vertical="center" wrapText="1" shrinkToFit="1"/>
    </xf>
    <xf numFmtId="0" fontId="12" fillId="6" borderId="49" xfId="0" applyFont="1" applyFill="1" applyBorder="1" applyAlignment="1" applyProtection="1">
      <alignment horizontal="center" vertical="center" shrinkToFit="1"/>
    </xf>
    <xf numFmtId="0" fontId="12" fillId="6" borderId="50" xfId="0" applyFont="1" applyFill="1" applyBorder="1" applyAlignment="1" applyProtection="1">
      <alignment horizontal="center" vertical="center" wrapText="1" shrinkToFit="1"/>
    </xf>
    <xf numFmtId="184" fontId="23" fillId="6" borderId="23" xfId="0" applyNumberFormat="1" applyFont="1" applyFill="1" applyBorder="1" applyAlignment="1" applyProtection="1">
      <alignment horizontal="left" vertical="center" shrinkToFit="1"/>
    </xf>
    <xf numFmtId="3" fontId="7" fillId="6" borderId="14" xfId="0" applyNumberFormat="1" applyFont="1" applyFill="1" applyBorder="1" applyAlignment="1" applyProtection="1">
      <alignment horizontal="center" vertical="center" shrinkToFit="1"/>
    </xf>
    <xf numFmtId="184" fontId="12" fillId="6" borderId="25" xfId="0" applyNumberFormat="1" applyFont="1" applyFill="1" applyBorder="1" applyAlignment="1" applyProtection="1">
      <alignment horizontal="left" vertical="center" shrinkToFit="1"/>
    </xf>
    <xf numFmtId="3" fontId="7" fillId="6" borderId="6" xfId="0" applyNumberFormat="1" applyFont="1" applyFill="1" applyBorder="1" applyAlignment="1" applyProtection="1">
      <alignment horizontal="center" vertical="center" shrinkToFit="1"/>
    </xf>
    <xf numFmtId="49" fontId="12" fillId="6" borderId="25" xfId="0" applyNumberFormat="1" applyFont="1" applyFill="1" applyBorder="1" applyAlignment="1" applyProtection="1">
      <alignment horizontal="left" vertical="center" shrinkToFit="1"/>
    </xf>
    <xf numFmtId="0" fontId="25" fillId="6" borderId="25" xfId="0" applyFont="1" applyFill="1" applyBorder="1" applyAlignment="1" applyProtection="1">
      <alignment horizontal="center" vertical="center" shrinkToFit="1"/>
    </xf>
    <xf numFmtId="184" fontId="23" fillId="6" borderId="25" xfId="0" applyNumberFormat="1" applyFont="1" applyFill="1" applyBorder="1" applyAlignment="1" applyProtection="1">
      <alignment horizontal="left" vertical="center" shrinkToFit="1"/>
    </xf>
    <xf numFmtId="184" fontId="25" fillId="6" borderId="25" xfId="0" applyNumberFormat="1" applyFont="1" applyFill="1" applyBorder="1" applyAlignment="1" applyProtection="1">
      <alignment horizontal="center" vertical="center" shrinkToFit="1"/>
    </xf>
    <xf numFmtId="184" fontId="12" fillId="6" borderId="26" xfId="0" applyNumberFormat="1" applyFont="1" applyFill="1" applyBorder="1" applyAlignment="1" applyProtection="1">
      <alignment horizontal="left" vertical="center" shrinkToFit="1"/>
    </xf>
    <xf numFmtId="3" fontId="7" fillId="6" borderId="42" xfId="0" applyNumberFormat="1" applyFont="1" applyFill="1" applyBorder="1" applyAlignment="1" applyProtection="1">
      <alignment horizontal="center" vertical="center" shrinkToFit="1"/>
    </xf>
    <xf numFmtId="184" fontId="25" fillId="6" borderId="33" xfId="0" applyNumberFormat="1" applyFont="1" applyFill="1" applyBorder="1" applyAlignment="1" applyProtection="1">
      <alignment horizontal="center" vertical="center" shrinkToFit="1"/>
    </xf>
    <xf numFmtId="3" fontId="7" fillId="6" borderId="34" xfId="0" applyNumberFormat="1" applyFont="1" applyFill="1" applyBorder="1" applyAlignment="1" applyProtection="1">
      <alignment horizontal="center" vertical="center" shrinkToFit="1"/>
    </xf>
    <xf numFmtId="0" fontId="45" fillId="6" borderId="14" xfId="0" applyFont="1" applyFill="1" applyBorder="1" applyAlignment="1" applyProtection="1">
      <alignment horizontal="center" vertical="center" shrinkToFit="1"/>
      <protection locked="0"/>
    </xf>
    <xf numFmtId="0" fontId="29" fillId="6" borderId="14" xfId="0" applyFont="1" applyFill="1" applyBorder="1" applyAlignment="1" applyProtection="1">
      <alignment horizontal="left" vertical="center" shrinkToFit="1"/>
    </xf>
    <xf numFmtId="3" fontId="12" fillId="6" borderId="14" xfId="0" applyNumberFormat="1" applyFont="1" applyFill="1" applyBorder="1" applyAlignment="1" applyProtection="1">
      <alignment horizontal="center" vertical="center" shrinkToFit="1"/>
    </xf>
    <xf numFmtId="43" fontId="46" fillId="6" borderId="6" xfId="105" applyNumberFormat="1" applyFont="1" applyFill="1" applyBorder="1" applyAlignment="1" applyProtection="1">
      <alignment horizontal="right" vertical="center" shrinkToFit="1"/>
    </xf>
    <xf numFmtId="43" fontId="46" fillId="6" borderId="6" xfId="105" applyNumberFormat="1" applyFont="1" applyFill="1" applyBorder="1" applyAlignment="1" applyProtection="1">
      <alignment horizontal="right" vertical="center" shrinkToFit="1"/>
      <protection locked="0"/>
    </xf>
    <xf numFmtId="0" fontId="12" fillId="6" borderId="6" xfId="0" applyFont="1" applyFill="1" applyBorder="1" applyAlignment="1" applyProtection="1">
      <alignment horizontal="left" vertical="center" shrinkToFit="1"/>
    </xf>
    <xf numFmtId="3" fontId="12" fillId="6" borderId="6" xfId="0" applyNumberFormat="1" applyFont="1" applyFill="1" applyBorder="1" applyAlignment="1" applyProtection="1">
      <alignment horizontal="center" vertical="center" shrinkToFit="1"/>
    </xf>
    <xf numFmtId="0" fontId="25" fillId="6" borderId="6" xfId="0" applyFont="1" applyFill="1" applyBorder="1" applyAlignment="1" applyProtection="1">
      <alignment horizontal="center" vertical="center" shrinkToFit="1"/>
    </xf>
    <xf numFmtId="0" fontId="23" fillId="6" borderId="6" xfId="0" applyFont="1" applyFill="1" applyBorder="1" applyAlignment="1" applyProtection="1">
      <alignment horizontal="left" vertical="center" shrinkToFit="1"/>
    </xf>
    <xf numFmtId="43" fontId="110" fillId="6" borderId="6" xfId="105" applyNumberFormat="1" applyFont="1" applyFill="1" applyBorder="1" applyAlignment="1" applyProtection="1">
      <alignment horizontal="right" vertical="center" shrinkToFit="1"/>
    </xf>
    <xf numFmtId="43" fontId="110" fillId="6" borderId="6" xfId="105" applyNumberFormat="1" applyFont="1" applyFill="1" applyBorder="1" applyAlignment="1" applyProtection="1">
      <alignment horizontal="right" vertical="center" shrinkToFit="1"/>
      <protection locked="0"/>
    </xf>
    <xf numFmtId="43" fontId="62" fillId="6" borderId="6" xfId="105" applyNumberFormat="1" applyFont="1" applyFill="1" applyBorder="1" applyAlignment="1" applyProtection="1">
      <alignment horizontal="right" vertical="center" shrinkToFit="1"/>
    </xf>
    <xf numFmtId="43" fontId="109" fillId="6" borderId="6" xfId="105" applyNumberFormat="1" applyFont="1" applyFill="1" applyBorder="1" applyAlignment="1" applyProtection="1">
      <alignment horizontal="right" vertical="center" shrinkToFit="1"/>
    </xf>
    <xf numFmtId="43" fontId="109" fillId="6" borderId="42" xfId="105" applyNumberFormat="1" applyFont="1" applyFill="1" applyBorder="1" applyAlignment="1" applyProtection="1">
      <alignment horizontal="right" vertical="center" shrinkToFit="1"/>
      <protection locked="0"/>
    </xf>
    <xf numFmtId="0" fontId="25" fillId="6" borderId="42" xfId="0" applyFont="1" applyFill="1" applyBorder="1" applyAlignment="1" applyProtection="1">
      <alignment horizontal="center" vertical="center" shrinkToFit="1"/>
    </xf>
    <xf numFmtId="43" fontId="110" fillId="6" borderId="34" xfId="105" applyNumberFormat="1" applyFont="1" applyFill="1" applyBorder="1" applyAlignment="1" applyProtection="1">
      <alignment horizontal="right" vertical="center" shrinkToFit="1"/>
    </xf>
    <xf numFmtId="43" fontId="110" fillId="6" borderId="34" xfId="105" applyNumberFormat="1" applyFont="1" applyFill="1" applyBorder="1" applyAlignment="1" applyProtection="1">
      <alignment horizontal="right" vertical="center" shrinkToFit="1"/>
      <protection locked="0"/>
    </xf>
    <xf numFmtId="0" fontId="25" fillId="6" borderId="34" xfId="0" applyFont="1" applyFill="1" applyBorder="1" applyAlignment="1" applyProtection="1">
      <alignment horizontal="center" vertical="center" shrinkToFit="1"/>
    </xf>
    <xf numFmtId="3" fontId="12" fillId="6" borderId="34" xfId="0" applyNumberFormat="1" applyFont="1" applyFill="1" applyBorder="1" applyAlignment="1" applyProtection="1">
      <alignment horizontal="center" vertical="center" shrinkToFit="1"/>
    </xf>
    <xf numFmtId="0" fontId="45" fillId="6" borderId="24" xfId="0" applyFont="1" applyFill="1" applyBorder="1" applyAlignment="1" applyProtection="1">
      <alignment horizontal="center" vertical="center" shrinkToFit="1"/>
      <protection locked="0"/>
    </xf>
    <xf numFmtId="0" fontId="45" fillId="6" borderId="24" xfId="0" applyFont="1" applyFill="1" applyBorder="1" applyAlignment="1" applyProtection="1">
      <alignment horizontal="left" vertical="center" shrinkToFit="1"/>
    </xf>
    <xf numFmtId="43" fontId="46" fillId="6" borderId="7" xfId="105" applyNumberFormat="1" applyFont="1" applyFill="1" applyBorder="1" applyAlignment="1" applyProtection="1">
      <alignment horizontal="right" vertical="center" shrinkToFit="1"/>
    </xf>
    <xf numFmtId="43" fontId="62" fillId="6" borderId="7" xfId="105" applyNumberFormat="1" applyFont="1" applyFill="1" applyBorder="1" applyAlignment="1" applyProtection="1">
      <alignment horizontal="right" vertical="center" shrinkToFit="1"/>
    </xf>
    <xf numFmtId="43" fontId="109" fillId="6" borderId="7" xfId="105" applyNumberFormat="1" applyFont="1" applyFill="1" applyBorder="1" applyAlignment="1" applyProtection="1">
      <alignment horizontal="right" vertical="center" shrinkToFit="1"/>
    </xf>
    <xf numFmtId="43" fontId="110" fillId="6" borderId="42" xfId="105" applyNumberFormat="1" applyFont="1" applyFill="1" applyBorder="1" applyAlignment="1" applyProtection="1">
      <alignment horizontal="right" vertical="center" shrinkToFit="1"/>
    </xf>
    <xf numFmtId="43" fontId="110" fillId="6" borderId="45" xfId="105" applyNumberFormat="1" applyFont="1" applyFill="1" applyBorder="1" applyAlignment="1" applyProtection="1">
      <alignment horizontal="right" vertical="center" shrinkToFit="1"/>
    </xf>
    <xf numFmtId="43" fontId="110" fillId="6" borderId="38" xfId="105" applyNumberFormat="1" applyFont="1" applyFill="1" applyBorder="1" applyAlignment="1" applyProtection="1">
      <alignment horizontal="right" vertical="center" shrinkToFit="1"/>
    </xf>
    <xf numFmtId="0" fontId="45" fillId="6" borderId="14" xfId="0" applyFont="1" applyFill="1" applyBorder="1" applyAlignment="1" applyProtection="1">
      <alignment horizontal="center" vertical="center" shrinkToFit="1"/>
    </xf>
    <xf numFmtId="0" fontId="45" fillId="6" borderId="14" xfId="0" applyFont="1" applyFill="1" applyBorder="1" applyAlignment="1" applyProtection="1">
      <alignment horizontal="left" vertical="center" shrinkToFit="1"/>
    </xf>
    <xf numFmtId="9" fontId="12" fillId="6" borderId="0" xfId="78" applyFont="1" applyFill="1" applyAlignment="1" applyProtection="1">
      <alignment horizontal="right" vertical="center"/>
    </xf>
    <xf numFmtId="43" fontId="101" fillId="6" borderId="48" xfId="106" applyNumberFormat="1" applyFont="1" applyFill="1" applyBorder="1" applyAlignment="1" applyProtection="1">
      <alignment horizontal="center" vertical="center"/>
    </xf>
    <xf numFmtId="43" fontId="81" fillId="6" borderId="49" xfId="106" applyNumberFormat="1" applyFont="1" applyFill="1" applyBorder="1" applyAlignment="1" applyProtection="1">
      <alignment horizontal="center" vertical="center"/>
    </xf>
    <xf numFmtId="43" fontId="25" fillId="6" borderId="40" xfId="106" applyNumberFormat="1" applyFont="1" applyFill="1" applyBorder="1" applyAlignment="1" applyProtection="1">
      <alignment vertical="center"/>
    </xf>
    <xf numFmtId="0" fontId="12" fillId="6" borderId="41" xfId="106" applyNumberFormat="1" applyFont="1" applyFill="1" applyBorder="1" applyAlignment="1" applyProtection="1">
      <alignment horizontal="center" vertical="center"/>
    </xf>
    <xf numFmtId="43" fontId="12" fillId="6" borderId="25" xfId="106" applyNumberFormat="1" applyFont="1" applyFill="1" applyBorder="1" applyAlignment="1" applyProtection="1">
      <alignment vertical="center"/>
    </xf>
    <xf numFmtId="0" fontId="12" fillId="6" borderId="6" xfId="106" applyNumberFormat="1" applyFont="1" applyFill="1" applyBorder="1" applyAlignment="1" applyProtection="1">
      <alignment horizontal="center" vertical="center"/>
    </xf>
    <xf numFmtId="43" fontId="25" fillId="6" borderId="25" xfId="106" applyNumberFormat="1" applyFont="1" applyFill="1" applyBorder="1" applyAlignment="1" applyProtection="1">
      <alignment vertical="center"/>
    </xf>
    <xf numFmtId="43" fontId="12" fillId="6" borderId="26" xfId="106" applyNumberFormat="1" applyFont="1" applyFill="1" applyBorder="1" applyAlignment="1" applyProtection="1">
      <alignment vertical="center"/>
    </xf>
    <xf numFmtId="0" fontId="12" fillId="6" borderId="42" xfId="106" applyNumberFormat="1" applyFont="1" applyFill="1" applyBorder="1" applyAlignment="1" applyProtection="1">
      <alignment horizontal="center" vertical="center"/>
    </xf>
    <xf numFmtId="43" fontId="12" fillId="6" borderId="23" xfId="106" applyNumberFormat="1" applyFont="1" applyFill="1" applyBorder="1" applyAlignment="1" applyProtection="1">
      <alignment vertical="center"/>
    </xf>
    <xf numFmtId="0" fontId="12" fillId="6" borderId="14" xfId="106" applyNumberFormat="1" applyFont="1" applyFill="1" applyBorder="1" applyAlignment="1" applyProtection="1">
      <alignment horizontal="center" vertical="center"/>
    </xf>
    <xf numFmtId="43" fontId="25" fillId="6" borderId="27" xfId="106" applyNumberFormat="1" applyFont="1" applyFill="1" applyBorder="1" applyAlignment="1" applyProtection="1">
      <alignment vertical="center"/>
    </xf>
    <xf numFmtId="0" fontId="12" fillId="6" borderId="46" xfId="106" applyNumberFormat="1" applyFont="1" applyFill="1" applyBorder="1" applyAlignment="1" applyProtection="1">
      <alignment horizontal="center" vertical="center"/>
    </xf>
    <xf numFmtId="43" fontId="45" fillId="6" borderId="41" xfId="105" applyFont="1" applyFill="1" applyBorder="1" applyAlignment="1" applyProtection="1">
      <alignment vertical="center"/>
    </xf>
    <xf numFmtId="43" fontId="45" fillId="6" borderId="44" xfId="105" applyFont="1" applyFill="1" applyBorder="1" applyAlignment="1" applyProtection="1">
      <alignment vertical="center" shrinkToFit="1"/>
    </xf>
    <xf numFmtId="43" fontId="45" fillId="6" borderId="6" xfId="105" applyFont="1" applyFill="1" applyBorder="1" applyAlignment="1" applyProtection="1">
      <alignment vertical="center"/>
    </xf>
    <xf numFmtId="43" fontId="45" fillId="6" borderId="7" xfId="105" applyFont="1" applyFill="1" applyBorder="1" applyAlignment="1" applyProtection="1">
      <alignment vertical="center" shrinkToFit="1"/>
    </xf>
    <xf numFmtId="43" fontId="47" fillId="6" borderId="6" xfId="105" applyFont="1" applyFill="1" applyBorder="1" applyAlignment="1" applyProtection="1">
      <alignment vertical="center"/>
    </xf>
    <xf numFmtId="43" fontId="45" fillId="6" borderId="42" xfId="105" applyFont="1" applyFill="1" applyBorder="1" applyAlignment="1" applyProtection="1">
      <alignment vertical="center"/>
    </xf>
    <xf numFmtId="43" fontId="45" fillId="6" borderId="45" xfId="105" applyFont="1" applyFill="1" applyBorder="1" applyAlignment="1" applyProtection="1">
      <alignment vertical="center" shrinkToFit="1"/>
    </xf>
    <xf numFmtId="43" fontId="47" fillId="6" borderId="46" xfId="105" applyFont="1" applyFill="1" applyBorder="1" applyAlignment="1" applyProtection="1">
      <alignment vertical="center"/>
    </xf>
    <xf numFmtId="43" fontId="45" fillId="6" borderId="46" xfId="105" applyFont="1" applyFill="1" applyBorder="1" applyAlignment="1" applyProtection="1">
      <alignment vertical="center"/>
    </xf>
    <xf numFmtId="43" fontId="45" fillId="6" borderId="47" xfId="105" applyFont="1" applyFill="1" applyBorder="1" applyAlignment="1" applyProtection="1">
      <alignment vertical="center" shrinkToFit="1"/>
    </xf>
    <xf numFmtId="43" fontId="45" fillId="6" borderId="14" xfId="105" applyFont="1" applyFill="1" applyBorder="1" applyAlignment="1" applyProtection="1">
      <alignment vertical="center"/>
    </xf>
    <xf numFmtId="43" fontId="45" fillId="6" borderId="24" xfId="105" applyFont="1" applyFill="1" applyBorder="1" applyAlignment="1" applyProtection="1">
      <alignment vertical="center" shrinkToFit="1"/>
    </xf>
    <xf numFmtId="43" fontId="47" fillId="6" borderId="41" xfId="105" applyFont="1" applyFill="1" applyBorder="1" applyAlignment="1" applyProtection="1">
      <alignment vertical="center" shrinkToFit="1"/>
    </xf>
    <xf numFmtId="43" fontId="45" fillId="6" borderId="6" xfId="105" applyFont="1" applyFill="1" applyBorder="1" applyAlignment="1" applyProtection="1">
      <alignment vertical="center" shrinkToFit="1"/>
    </xf>
    <xf numFmtId="43" fontId="47" fillId="6" borderId="6" xfId="105" applyFont="1" applyFill="1" applyBorder="1" applyAlignment="1" applyProtection="1">
      <alignment vertical="center" shrinkToFit="1"/>
    </xf>
    <xf numFmtId="43" fontId="45" fillId="6" borderId="42" xfId="105" applyFont="1" applyFill="1" applyBorder="1" applyAlignment="1" applyProtection="1">
      <alignment vertical="center" shrinkToFit="1"/>
    </xf>
    <xf numFmtId="43" fontId="47" fillId="6" borderId="46" xfId="105" applyFont="1" applyFill="1" applyBorder="1" applyAlignment="1" applyProtection="1">
      <alignment vertical="center" shrinkToFit="1"/>
    </xf>
    <xf numFmtId="43" fontId="45" fillId="6" borderId="14" xfId="105" applyFont="1" applyFill="1" applyBorder="1" applyAlignment="1" applyProtection="1">
      <alignment vertical="center" shrinkToFit="1"/>
    </xf>
    <xf numFmtId="43" fontId="46" fillId="0" borderId="6" xfId="105" applyFont="1" applyBorder="1" applyAlignment="1" applyProtection="1">
      <alignment vertical="center"/>
      <protection locked="0"/>
    </xf>
    <xf numFmtId="186" fontId="12" fillId="4" borderId="3" xfId="0" applyNumberFormat="1" applyFont="1" applyFill="1" applyBorder="1" applyAlignment="1" applyProtection="1">
      <alignment horizontal="left" vertical="center" shrinkToFit="1"/>
    </xf>
    <xf numFmtId="185" fontId="67" fillId="11" borderId="0" xfId="83" applyNumberFormat="1" applyFont="1" applyFill="1" applyAlignment="1" applyProtection="1">
      <alignment vertical="center"/>
    </xf>
    <xf numFmtId="43" fontId="67" fillId="11" borderId="0" xfId="83" applyNumberFormat="1" applyFont="1" applyFill="1" applyAlignment="1" applyProtection="1">
      <alignment wrapText="1"/>
    </xf>
    <xf numFmtId="43" fontId="67" fillId="11" borderId="0" xfId="83" applyNumberFormat="1" applyFont="1" applyFill="1" applyAlignment="1" applyProtection="1">
      <alignment horizontal="center"/>
    </xf>
    <xf numFmtId="43" fontId="67" fillId="11" borderId="0" xfId="83" applyNumberFormat="1" applyFont="1" applyFill="1" applyProtection="1"/>
    <xf numFmtId="43" fontId="64" fillId="11" borderId="0" xfId="83" applyNumberFormat="1" applyFont="1" applyFill="1" applyAlignment="1" applyProtection="1">
      <alignment horizontal="center"/>
    </xf>
    <xf numFmtId="43" fontId="46" fillId="0" borderId="25" xfId="83" applyNumberFormat="1" applyFont="1" applyBorder="1" applyAlignment="1">
      <alignment shrinkToFit="1"/>
      <protection locked="0"/>
    </xf>
    <xf numFmtId="43" fontId="46" fillId="12" borderId="6" xfId="105" applyFont="1" applyFill="1" applyBorder="1" applyAlignment="1">
      <alignment horizontal="right" shrinkToFit="1"/>
    </xf>
    <xf numFmtId="0" fontId="12" fillId="4" borderId="3" xfId="0" applyFont="1" applyFill="1" applyBorder="1" applyAlignment="1" applyProtection="1">
      <alignment vertical="center" shrinkToFit="1"/>
    </xf>
    <xf numFmtId="186" fontId="15" fillId="4" borderId="3" xfId="0" applyNumberFormat="1" applyFont="1" applyFill="1" applyBorder="1" applyAlignment="1" applyProtection="1">
      <alignment horizontal="left" vertical="center" shrinkToFit="1"/>
    </xf>
    <xf numFmtId="186" fontId="12" fillId="4" borderId="3" xfId="0" applyNumberFormat="1" applyFont="1" applyFill="1" applyBorder="1" applyAlignment="1" applyProtection="1">
      <alignment vertical="center" shrinkToFit="1"/>
    </xf>
    <xf numFmtId="0" fontId="12" fillId="4" borderId="3" xfId="0" applyNumberFormat="1" applyFont="1" applyFill="1" applyBorder="1" applyAlignment="1" applyProtection="1">
      <alignment vertical="center" shrinkToFit="1"/>
    </xf>
    <xf numFmtId="0" fontId="15" fillId="4" borderId="3" xfId="0" applyFont="1" applyFill="1" applyBorder="1" applyAlignment="1" applyProtection="1">
      <alignment vertical="center" shrinkToFit="1"/>
    </xf>
    <xf numFmtId="0" fontId="45" fillId="10" borderId="6" xfId="0" applyFont="1" applyFill="1" applyBorder="1" applyAlignment="1">
      <alignment horizontal="center"/>
      <protection locked="0"/>
    </xf>
    <xf numFmtId="10" fontId="109" fillId="0" borderId="6" xfId="78" applyNumberFormat="1" applyFont="1" applyFill="1" applyBorder="1" applyAlignment="1" applyProtection="1">
      <alignment horizontal="center" vertical="center" shrinkToFit="1"/>
    </xf>
    <xf numFmtId="43" fontId="114" fillId="0" borderId="6" xfId="105" applyFont="1" applyFill="1" applyBorder="1" applyAlignment="1" applyProtection="1">
      <alignment vertical="center" shrinkToFit="1"/>
    </xf>
    <xf numFmtId="10" fontId="16" fillId="0" borderId="6" xfId="78" applyNumberFormat="1" applyFont="1" applyFill="1" applyBorder="1" applyAlignment="1" applyProtection="1">
      <alignment horizontal="center" vertical="center" shrinkToFit="1"/>
    </xf>
    <xf numFmtId="10" fontId="116" fillId="0" borderId="6" xfId="78" applyNumberFormat="1" applyFont="1" applyFill="1" applyBorder="1" applyAlignment="1" applyProtection="1">
      <alignment horizontal="center" vertical="center" shrinkToFit="1"/>
    </xf>
    <xf numFmtId="43" fontId="114" fillId="0" borderId="42" xfId="105" applyFont="1" applyFill="1" applyBorder="1" applyAlignment="1" applyProtection="1">
      <alignment vertical="center" shrinkToFit="1"/>
    </xf>
    <xf numFmtId="10" fontId="115" fillId="0" borderId="42" xfId="78" applyNumberFormat="1" applyFont="1" applyFill="1" applyBorder="1" applyAlignment="1" applyProtection="1">
      <alignment horizontal="center" vertical="center" shrinkToFit="1"/>
    </xf>
    <xf numFmtId="10" fontId="110" fillId="0" borderId="6" xfId="78" applyNumberFormat="1" applyFont="1" applyFill="1" applyBorder="1" applyAlignment="1" applyProtection="1">
      <alignment horizontal="right" vertical="center" shrinkToFit="1"/>
    </xf>
    <xf numFmtId="10" fontId="110" fillId="0" borderId="6" xfId="78" applyNumberFormat="1" applyFont="1" applyFill="1" applyBorder="1" applyAlignment="1" applyProtection="1">
      <alignment horizontal="center" vertical="center" shrinkToFit="1"/>
    </xf>
    <xf numFmtId="10" fontId="109" fillId="0" borderId="6" xfId="78" applyNumberFormat="1" applyFont="1" applyFill="1" applyBorder="1" applyAlignment="1" applyProtection="1">
      <alignment horizontal="right" vertical="center" shrinkToFit="1"/>
    </xf>
    <xf numFmtId="10" fontId="110" fillId="0" borderId="34" xfId="78" applyNumberFormat="1" applyFont="1" applyFill="1" applyBorder="1" applyAlignment="1" applyProtection="1">
      <alignment horizontal="center" vertical="center" shrinkToFit="1"/>
    </xf>
    <xf numFmtId="10" fontId="110" fillId="0" borderId="34" xfId="78" applyNumberFormat="1" applyFont="1" applyFill="1" applyBorder="1" applyAlignment="1" applyProtection="1">
      <alignment horizontal="right" vertical="center" shrinkToFit="1"/>
    </xf>
    <xf numFmtId="10" fontId="116" fillId="0" borderId="6" xfId="78" applyNumberFormat="1" applyFont="1" applyFill="1" applyBorder="1" applyAlignment="1" applyProtection="1">
      <alignment horizontal="right" vertical="center" shrinkToFit="1"/>
    </xf>
    <xf numFmtId="10" fontId="114" fillId="0" borderId="42" xfId="78" applyNumberFormat="1" applyFont="1" applyFill="1" applyBorder="1" applyAlignment="1" applyProtection="1">
      <alignment vertical="center" shrinkToFit="1"/>
    </xf>
    <xf numFmtId="10" fontId="114" fillId="0" borderId="42" xfId="78" applyNumberFormat="1" applyFont="1" applyFill="1" applyBorder="1" applyAlignment="1" applyProtection="1">
      <alignment horizontal="center" vertical="center" shrinkToFit="1"/>
    </xf>
    <xf numFmtId="43" fontId="115" fillId="0" borderId="34" xfId="105" applyFont="1" applyFill="1" applyBorder="1" applyAlignment="1" applyProtection="1">
      <alignment vertical="center" shrinkToFit="1"/>
    </xf>
    <xf numFmtId="10" fontId="115" fillId="0" borderId="34" xfId="78" applyNumberFormat="1" applyFont="1" applyFill="1" applyBorder="1" applyAlignment="1" applyProtection="1">
      <alignment vertical="center" shrinkToFit="1"/>
    </xf>
    <xf numFmtId="10" fontId="115" fillId="0" borderId="34" xfId="78" applyNumberFormat="1" applyFont="1" applyFill="1" applyBorder="1" applyAlignment="1" applyProtection="1">
      <alignment horizontal="center" vertical="center" shrinkToFit="1"/>
    </xf>
    <xf numFmtId="43" fontId="45" fillId="0" borderId="0" xfId="105" applyFont="1" applyBorder="1" applyAlignment="1" applyProtection="1">
      <alignment vertical="center"/>
      <protection locked="0"/>
    </xf>
    <xf numFmtId="31" fontId="82" fillId="8" borderId="6" xfId="0" applyNumberFormat="1" applyFont="1" applyFill="1" applyBorder="1" applyAlignment="1" applyProtection="1">
      <alignment horizontal="left" vertical="center" shrinkToFit="1"/>
      <protection locked="0" hidden="1"/>
    </xf>
    <xf numFmtId="0" fontId="82" fillId="8" borderId="6" xfId="0" applyFont="1" applyFill="1" applyBorder="1" applyAlignment="1" applyProtection="1">
      <alignment vertical="center" shrinkToFit="1"/>
      <protection locked="0" hidden="1"/>
    </xf>
    <xf numFmtId="43" fontId="46" fillId="0" borderId="6" xfId="105" applyFont="1" applyFill="1" applyBorder="1" applyAlignment="1" applyProtection="1">
      <alignment horizontal="right"/>
      <protection locked="0"/>
    </xf>
    <xf numFmtId="43" fontId="73" fillId="0" borderId="0" xfId="105" applyFont="1" applyAlignment="1" applyProtection="1">
      <alignment vertical="center"/>
    </xf>
    <xf numFmtId="43" fontId="46" fillId="0" borderId="0" xfId="105" applyFont="1" applyAlignment="1" applyProtection="1">
      <alignment vertical="center"/>
    </xf>
    <xf numFmtId="184" fontId="46" fillId="0" borderId="0" xfId="80" applyNumberFormat="1" applyFont="1" applyAlignment="1" applyProtection="1">
      <alignment vertical="center"/>
    </xf>
    <xf numFmtId="184" fontId="46" fillId="0" borderId="0" xfId="80" applyNumberFormat="1" applyFont="1" applyAlignment="1" applyProtection="1">
      <alignment vertical="center"/>
      <protection locked="0"/>
    </xf>
    <xf numFmtId="43" fontId="46" fillId="3" borderId="0" xfId="83" applyNumberFormat="1" applyFont="1" applyFill="1" applyAlignment="1" applyProtection="1">
      <alignment horizontal="center" vertical="center"/>
      <protection locked="0"/>
    </xf>
    <xf numFmtId="43" fontId="46" fillId="3" borderId="0" xfId="83" applyNumberFormat="1" applyFont="1" applyFill="1" applyProtection="1">
      <protection locked="0"/>
    </xf>
    <xf numFmtId="43" fontId="102" fillId="3" borderId="0" xfId="83" applyNumberFormat="1" applyFont="1" applyFill="1" applyBorder="1" applyAlignment="1" applyProtection="1">
      <protection locked="0"/>
    </xf>
    <xf numFmtId="43" fontId="46" fillId="3" borderId="0" xfId="83" applyNumberFormat="1" applyFont="1" applyFill="1" applyAlignment="1" applyProtection="1">
      <alignment horizontal="center"/>
      <protection locked="0"/>
    </xf>
    <xf numFmtId="43" fontId="66" fillId="3" borderId="0" xfId="83" applyNumberFormat="1" applyFont="1" applyFill="1" applyBorder="1" applyAlignment="1" applyProtection="1">
      <alignment horizontal="left"/>
      <protection locked="0"/>
    </xf>
    <xf numFmtId="43" fontId="66" fillId="3" borderId="0" xfId="83" applyNumberFormat="1" applyFont="1" applyFill="1" applyBorder="1" applyAlignment="1" applyProtection="1">
      <protection locked="0"/>
    </xf>
    <xf numFmtId="43" fontId="65" fillId="3" borderId="0" xfId="83" applyNumberFormat="1" applyFont="1" applyFill="1" applyBorder="1" applyAlignment="1" applyProtection="1">
      <alignment horizontal="center"/>
      <protection locked="0"/>
    </xf>
    <xf numFmtId="43" fontId="3" fillId="3" borderId="0" xfId="83" applyNumberFormat="1" applyFont="1" applyFill="1" applyBorder="1" applyAlignment="1" applyProtection="1">
      <alignment horizontal="left"/>
      <protection locked="0"/>
    </xf>
    <xf numFmtId="43" fontId="66" fillId="3" borderId="0" xfId="83" quotePrefix="1" applyNumberFormat="1" applyFont="1" applyFill="1" applyBorder="1" applyAlignment="1" applyProtection="1">
      <alignment horizontal="left"/>
      <protection locked="0"/>
    </xf>
    <xf numFmtId="43" fontId="66" fillId="3" borderId="0" xfId="83" applyNumberFormat="1" applyFont="1" applyFill="1" applyBorder="1" applyProtection="1">
      <protection locked="0"/>
    </xf>
    <xf numFmtId="43" fontId="102" fillId="3" borderId="0" xfId="83" applyNumberFormat="1" applyFont="1" applyFill="1" applyBorder="1" applyProtection="1">
      <protection locked="0"/>
    </xf>
    <xf numFmtId="43" fontId="103" fillId="3" borderId="0" xfId="83" applyNumberFormat="1" applyFont="1" applyFill="1" applyBorder="1" applyAlignment="1" applyProtection="1">
      <alignment horizontal="left"/>
      <protection locked="0"/>
    </xf>
    <xf numFmtId="43" fontId="65" fillId="3" borderId="0" xfId="83" applyNumberFormat="1" applyFont="1" applyFill="1" applyBorder="1" applyProtection="1">
      <protection locked="0"/>
    </xf>
    <xf numFmtId="43" fontId="102" fillId="3" borderId="0" xfId="83" applyNumberFormat="1" applyFont="1" applyFill="1" applyBorder="1" applyAlignment="1" applyProtection="1">
      <alignment horizontal="left"/>
      <protection locked="0"/>
    </xf>
    <xf numFmtId="43" fontId="42" fillId="3" borderId="0" xfId="83" applyNumberFormat="1" applyFont="1" applyFill="1" applyBorder="1" applyAlignment="1" applyProtection="1">
      <alignment horizontal="center"/>
      <protection locked="0"/>
    </xf>
    <xf numFmtId="43" fontId="3" fillId="3" borderId="0" xfId="83" applyNumberFormat="1" applyFont="1" applyFill="1" applyBorder="1" applyProtection="1">
      <protection locked="0"/>
    </xf>
    <xf numFmtId="43" fontId="104" fillId="3" borderId="0" xfId="83" applyNumberFormat="1" applyFont="1" applyFill="1" applyBorder="1" applyProtection="1">
      <protection locked="0"/>
    </xf>
    <xf numFmtId="43" fontId="3" fillId="3" borderId="0" xfId="83" applyNumberFormat="1" applyFont="1" applyFill="1" applyProtection="1">
      <protection locked="0"/>
    </xf>
    <xf numFmtId="43" fontId="3" fillId="3" borderId="0" xfId="83" applyNumberFormat="1" applyFont="1" applyFill="1" applyAlignment="1" applyProtection="1">
      <alignment horizontal="left" indent="1"/>
      <protection locked="0"/>
    </xf>
    <xf numFmtId="43" fontId="62" fillId="3" borderId="0" xfId="83" applyNumberFormat="1" applyFont="1" applyFill="1" applyAlignment="1" applyProtection="1">
      <alignment horizontal="center"/>
      <protection locked="0"/>
    </xf>
    <xf numFmtId="43" fontId="42" fillId="3" borderId="0" xfId="83" applyNumberFormat="1" applyFont="1" applyFill="1" applyProtection="1">
      <protection locked="0"/>
    </xf>
    <xf numFmtId="43" fontId="62" fillId="3" borderId="0" xfId="83" applyNumberFormat="1" applyFont="1" applyFill="1" applyProtection="1">
      <protection locked="0"/>
    </xf>
    <xf numFmtId="0" fontId="33" fillId="6" borderId="3" xfId="105" applyNumberFormat="1" applyFont="1" applyFill="1" applyBorder="1" applyAlignment="1" applyProtection="1">
      <alignment vertical="center" shrinkToFit="1"/>
    </xf>
    <xf numFmtId="185" fontId="67" fillId="11" borderId="8" xfId="83" applyNumberFormat="1" applyFont="1" applyFill="1" applyBorder="1" applyAlignment="1" applyProtection="1">
      <alignment vertical="center"/>
    </xf>
    <xf numFmtId="43" fontId="67" fillId="11" borderId="8" xfId="83" applyNumberFormat="1" applyFont="1" applyFill="1" applyBorder="1" applyAlignment="1" applyProtection="1">
      <alignment wrapText="1"/>
    </xf>
    <xf numFmtId="43" fontId="67" fillId="11" borderId="8" xfId="83" applyNumberFormat="1" applyFont="1" applyFill="1" applyBorder="1" applyAlignment="1" applyProtection="1">
      <alignment horizontal="center"/>
    </xf>
    <xf numFmtId="43" fontId="67" fillId="11" borderId="8" xfId="83" applyNumberFormat="1" applyFont="1" applyFill="1" applyBorder="1" applyProtection="1"/>
    <xf numFmtId="43" fontId="64" fillId="11" borderId="8" xfId="83" applyNumberFormat="1" applyFont="1" applyFill="1" applyBorder="1" applyAlignment="1" applyProtection="1">
      <alignment horizontal="center"/>
    </xf>
    <xf numFmtId="184" fontId="15" fillId="0" borderId="25" xfId="80" applyNumberFormat="1" applyFont="1" applyFill="1" applyBorder="1" applyAlignment="1" applyProtection="1">
      <alignment vertical="center"/>
    </xf>
    <xf numFmtId="43" fontId="62" fillId="0" borderId="6" xfId="105" applyFont="1" applyFill="1" applyBorder="1" applyAlignment="1" applyProtection="1">
      <alignment vertical="center"/>
    </xf>
    <xf numFmtId="43" fontId="46" fillId="0" borderId="6" xfId="105" applyFont="1" applyFill="1" applyBorder="1" applyAlignment="1" applyProtection="1">
      <alignment vertical="center"/>
      <protection locked="0"/>
    </xf>
    <xf numFmtId="43" fontId="62" fillId="0" borderId="6" xfId="105" applyFont="1" applyFill="1" applyBorder="1" applyAlignment="1" applyProtection="1">
      <alignment vertical="center"/>
      <protection locked="0"/>
    </xf>
    <xf numFmtId="43" fontId="62" fillId="0" borderId="7" xfId="105" applyFont="1" applyFill="1" applyBorder="1" applyAlignment="1" applyProtection="1">
      <alignment vertical="center"/>
      <protection locked="0"/>
    </xf>
    <xf numFmtId="184" fontId="46" fillId="0" borderId="0" xfId="80" applyNumberFormat="1" applyFont="1" applyFill="1" applyAlignment="1">
      <alignment vertical="center"/>
      <protection locked="0"/>
    </xf>
    <xf numFmtId="184" fontId="12" fillId="0" borderId="23" xfId="80" applyNumberFormat="1" applyFont="1" applyFill="1" applyBorder="1" applyAlignment="1" applyProtection="1">
      <alignment vertical="center"/>
    </xf>
    <xf numFmtId="43" fontId="46" fillId="0" borderId="6" xfId="105" applyFont="1" applyFill="1" applyBorder="1" applyAlignment="1" applyProtection="1">
      <alignment vertical="center"/>
    </xf>
    <xf numFmtId="43" fontId="46" fillId="0" borderId="7" xfId="105" applyFont="1" applyFill="1" applyBorder="1" applyAlignment="1" applyProtection="1">
      <alignment vertical="center"/>
    </xf>
    <xf numFmtId="43" fontId="114" fillId="6" borderId="3" xfId="105" applyFont="1" applyFill="1" applyBorder="1" applyAlignment="1" applyProtection="1">
      <alignment horizontal="left" vertical="center" shrinkToFit="1"/>
    </xf>
    <xf numFmtId="0" fontId="45" fillId="0" borderId="0" xfId="105" applyNumberFormat="1" applyFont="1" applyBorder="1" applyAlignment="1" applyProtection="1">
      <alignment vertical="center"/>
    </xf>
    <xf numFmtId="0" fontId="74" fillId="0" borderId="0" xfId="82" applyNumberFormat="1" applyFont="1" applyBorder="1" applyAlignment="1" applyProtection="1">
      <alignment vertical="center"/>
    </xf>
    <xf numFmtId="0" fontId="45" fillId="0" borderId="0" xfId="105" applyNumberFormat="1" applyFont="1" applyAlignment="1" applyProtection="1">
      <alignment horizontal="center" vertical="center"/>
    </xf>
    <xf numFmtId="0" fontId="45" fillId="0" borderId="0" xfId="82" applyNumberFormat="1" applyFont="1" applyBorder="1" applyAlignment="1" applyProtection="1">
      <alignment vertical="center"/>
    </xf>
    <xf numFmtId="0" fontId="45" fillId="0" borderId="0" xfId="82" applyNumberFormat="1" applyFont="1" applyBorder="1" applyAlignment="1" applyProtection="1">
      <alignment horizontal="center" vertical="center"/>
    </xf>
    <xf numFmtId="0" fontId="0" fillId="0" borderId="0" xfId="0" applyBorder="1" applyAlignment="1" applyProtection="1">
      <alignment vertical="center"/>
    </xf>
    <xf numFmtId="43" fontId="28" fillId="9" borderId="22" xfId="0" applyNumberFormat="1" applyFont="1" applyFill="1" applyBorder="1" applyAlignment="1" applyProtection="1">
      <alignment horizontal="center" vertical="center"/>
    </xf>
    <xf numFmtId="43" fontId="30" fillId="4" borderId="22" xfId="0" applyNumberFormat="1" applyFont="1" applyFill="1" applyBorder="1" applyAlignment="1" applyProtection="1">
      <alignment horizontal="left" vertical="center"/>
    </xf>
    <xf numFmtId="43" fontId="28" fillId="4" borderId="22" xfId="0" applyNumberFormat="1" applyFont="1" applyFill="1" applyBorder="1" applyAlignment="1" applyProtection="1">
      <alignment horizontal="center" vertical="center"/>
    </xf>
    <xf numFmtId="43" fontId="28" fillId="13" borderId="22" xfId="0" applyNumberFormat="1" applyFont="1" applyFill="1" applyBorder="1" applyAlignment="1" applyProtection="1">
      <alignment horizontal="center" vertical="center"/>
    </xf>
    <xf numFmtId="0" fontId="23" fillId="4" borderId="3" xfId="0" applyFont="1" applyFill="1" applyBorder="1" applyAlignment="1" applyProtection="1">
      <alignment vertical="center" shrinkToFit="1"/>
    </xf>
    <xf numFmtId="0" fontId="15" fillId="4" borderId="3" xfId="0" applyFont="1" applyFill="1" applyBorder="1" applyAlignment="1" applyProtection="1">
      <alignment horizontal="center" vertical="center" shrinkToFit="1"/>
    </xf>
    <xf numFmtId="186" fontId="23" fillId="4" borderId="3" xfId="0" applyNumberFormat="1" applyFont="1" applyFill="1" applyBorder="1" applyAlignment="1" applyProtection="1">
      <alignment horizontal="left" vertical="center" shrinkToFit="1"/>
    </xf>
    <xf numFmtId="0" fontId="15" fillId="4" borderId="3" xfId="0" applyNumberFormat="1" applyFont="1" applyFill="1" applyBorder="1" applyAlignment="1" applyProtection="1">
      <alignment horizontal="center" vertical="center" shrinkToFit="1"/>
    </xf>
    <xf numFmtId="0" fontId="24" fillId="4" borderId="3" xfId="0" applyNumberFormat="1" applyFont="1" applyFill="1" applyBorder="1" applyAlignment="1" applyProtection="1">
      <alignment vertical="center" shrinkToFit="1"/>
    </xf>
    <xf numFmtId="186" fontId="24" fillId="4" borderId="3" xfId="0" applyNumberFormat="1" applyFont="1" applyFill="1" applyBorder="1" applyAlignment="1" applyProtection="1">
      <alignment vertical="center" shrinkToFit="1"/>
    </xf>
    <xf numFmtId="0" fontId="15" fillId="0" borderId="0" xfId="0" applyFont="1" applyBorder="1" applyAlignment="1" applyProtection="1">
      <alignment vertical="center" shrinkToFit="1"/>
    </xf>
    <xf numFmtId="0" fontId="0" fillId="0" borderId="0" xfId="0" applyAlignment="1" applyProtection="1">
      <alignment vertical="center"/>
    </xf>
    <xf numFmtId="0" fontId="12" fillId="8" borderId="3" xfId="0" applyNumberFormat="1" applyFont="1" applyFill="1" applyBorder="1" applyAlignment="1" applyProtection="1">
      <alignment vertical="center" shrinkToFit="1"/>
    </xf>
    <xf numFmtId="0" fontId="12" fillId="8" borderId="3" xfId="0" applyFont="1" applyFill="1" applyBorder="1" applyAlignment="1" applyProtection="1">
      <alignment vertical="center" shrinkToFit="1"/>
      <protection locked="0"/>
    </xf>
    <xf numFmtId="0" fontId="12" fillId="8" borderId="3" xfId="0" applyNumberFormat="1" applyFont="1" applyFill="1" applyBorder="1" applyAlignment="1" applyProtection="1">
      <alignment vertical="center" shrinkToFit="1"/>
      <protection locked="0"/>
    </xf>
    <xf numFmtId="186" fontId="15" fillId="8" borderId="3" xfId="0" applyNumberFormat="1" applyFont="1" applyFill="1" applyBorder="1" applyAlignment="1" applyProtection="1">
      <alignment horizontal="left" vertical="center" shrinkToFit="1"/>
      <protection locked="0"/>
    </xf>
    <xf numFmtId="0" fontId="12" fillId="8" borderId="3" xfId="0" applyNumberFormat="1" applyFont="1" applyFill="1" applyBorder="1" applyAlignment="1" applyProtection="1">
      <alignment horizontal="left" vertical="center" shrinkToFit="1"/>
      <protection locked="0"/>
    </xf>
    <xf numFmtId="0" fontId="15" fillId="8" borderId="3" xfId="0" applyFont="1" applyFill="1" applyBorder="1" applyAlignment="1" applyProtection="1">
      <alignment vertical="center" shrinkToFit="1"/>
      <protection locked="0"/>
    </xf>
    <xf numFmtId="186" fontId="12" fillId="8" borderId="3" xfId="0" applyNumberFormat="1" applyFont="1" applyFill="1" applyBorder="1" applyAlignment="1" applyProtection="1">
      <alignment horizontal="left" vertical="center" shrinkToFit="1"/>
      <protection locked="0"/>
    </xf>
    <xf numFmtId="0" fontId="12" fillId="8" borderId="3" xfId="0" applyFont="1" applyFill="1" applyBorder="1" applyAlignment="1" applyProtection="1">
      <alignment vertical="center" shrinkToFit="1"/>
    </xf>
    <xf numFmtId="186" fontId="21" fillId="4" borderId="3" xfId="0" applyNumberFormat="1" applyFont="1" applyFill="1" applyBorder="1" applyAlignment="1" applyProtection="1">
      <alignment horizontal="left" vertical="center" shrinkToFit="1"/>
    </xf>
    <xf numFmtId="186" fontId="25" fillId="4" borderId="3" xfId="0" applyNumberFormat="1" applyFont="1" applyFill="1" applyBorder="1" applyAlignment="1" applyProtection="1">
      <alignment horizontal="center" vertical="center" shrinkToFit="1"/>
    </xf>
    <xf numFmtId="0" fontId="15" fillId="8" borderId="3" xfId="0" applyFont="1" applyFill="1" applyBorder="1" applyAlignment="1" applyProtection="1">
      <alignment vertical="center" shrinkToFit="1"/>
    </xf>
    <xf numFmtId="0" fontId="25" fillId="4" borderId="3" xfId="0" applyFont="1" applyFill="1" applyBorder="1" applyAlignment="1" applyProtection="1">
      <alignment horizontal="center" vertical="center" shrinkToFit="1"/>
    </xf>
    <xf numFmtId="0" fontId="12" fillId="4" borderId="3" xfId="0" applyFont="1" applyFill="1" applyBorder="1" applyAlignment="1" applyProtection="1">
      <alignment horizontal="left" vertical="center" shrinkToFit="1"/>
    </xf>
    <xf numFmtId="43" fontId="21" fillId="4" borderId="3" xfId="105" applyFont="1" applyFill="1" applyBorder="1" applyAlignment="1" applyProtection="1">
      <alignment horizontal="left" vertical="center" shrinkToFit="1"/>
    </xf>
    <xf numFmtId="0" fontId="12" fillId="4" borderId="3" xfId="0" applyNumberFormat="1" applyFont="1" applyFill="1" applyBorder="1" applyAlignment="1" applyProtection="1">
      <alignment horizontal="left" vertical="center" shrinkToFit="1"/>
    </xf>
    <xf numFmtId="186" fontId="24" fillId="4" borderId="3" xfId="0" applyNumberFormat="1" applyFont="1" applyFill="1" applyBorder="1" applyAlignment="1" applyProtection="1">
      <alignment horizontal="left" vertical="center" shrinkToFit="1"/>
    </xf>
    <xf numFmtId="0" fontId="25" fillId="4" borderId="3" xfId="0" applyFont="1" applyFill="1" applyBorder="1" applyAlignment="1" applyProtection="1">
      <alignment vertical="center" shrinkToFit="1"/>
    </xf>
    <xf numFmtId="0" fontId="2" fillId="4" borderId="3" xfId="0" applyFont="1" applyFill="1" applyBorder="1" applyAlignment="1" applyProtection="1">
      <alignment vertical="center" shrinkToFit="1"/>
    </xf>
    <xf numFmtId="0" fontId="0" fillId="9" borderId="0" xfId="0" applyFill="1" applyAlignment="1" applyProtection="1">
      <alignment vertical="center"/>
    </xf>
    <xf numFmtId="43" fontId="4" fillId="9" borderId="0" xfId="0" applyNumberFormat="1" applyFont="1" applyFill="1" applyAlignment="1" applyProtection="1">
      <alignment vertical="center"/>
    </xf>
    <xf numFmtId="43" fontId="4" fillId="13" borderId="0" xfId="0" applyNumberFormat="1" applyFont="1" applyFill="1" applyAlignment="1" applyProtection="1">
      <alignment vertical="center"/>
    </xf>
    <xf numFmtId="0" fontId="26" fillId="14" borderId="3" xfId="0" applyFont="1" applyFill="1" applyBorder="1" applyAlignment="1" applyProtection="1">
      <alignment horizontal="center" vertical="center" shrinkToFit="1"/>
    </xf>
    <xf numFmtId="186" fontId="26" fillId="14" borderId="3" xfId="0" applyNumberFormat="1" applyFont="1" applyFill="1" applyBorder="1" applyAlignment="1" applyProtection="1">
      <alignment horizontal="center" vertical="center" shrinkToFit="1"/>
    </xf>
    <xf numFmtId="186" fontId="27" fillId="14" borderId="3" xfId="0" applyNumberFormat="1" applyFont="1" applyFill="1" applyBorder="1" applyAlignment="1" applyProtection="1">
      <alignment horizontal="left" vertical="center" shrinkToFit="1"/>
    </xf>
    <xf numFmtId="43" fontId="4" fillId="0" borderId="0" xfId="0" applyNumberFormat="1" applyFont="1" applyFill="1" applyAlignment="1" applyProtection="1">
      <alignment vertical="center"/>
    </xf>
    <xf numFmtId="43" fontId="4" fillId="0" borderId="0" xfId="0" applyNumberFormat="1" applyFont="1" applyFill="1" applyBorder="1" applyAlignment="1" applyProtection="1">
      <alignment vertical="center"/>
    </xf>
    <xf numFmtId="0" fontId="27" fillId="14" borderId="3" xfId="0" applyFont="1" applyFill="1" applyBorder="1" applyAlignment="1" applyProtection="1">
      <alignment vertical="center" shrinkToFit="1"/>
    </xf>
    <xf numFmtId="0" fontId="0" fillId="4" borderId="0" xfId="0" applyFill="1" applyAlignment="1" applyProtection="1">
      <alignment vertical="center"/>
    </xf>
    <xf numFmtId="43" fontId="4" fillId="0" borderId="0" xfId="0" applyNumberFormat="1" applyFont="1" applyFill="1" applyAlignment="1" applyProtection="1">
      <alignment horizontal="center" vertical="center"/>
    </xf>
    <xf numFmtId="184" fontId="12" fillId="0" borderId="25" xfId="80" applyNumberFormat="1" applyFont="1" applyBorder="1" applyAlignment="1" applyProtection="1">
      <alignment vertical="center"/>
    </xf>
    <xf numFmtId="43" fontId="25" fillId="0" borderId="9" xfId="99" applyNumberFormat="1" applyFont="1" applyBorder="1" applyAlignment="1" applyProtection="1">
      <alignment horizontal="left" vertical="center"/>
    </xf>
    <xf numFmtId="43" fontId="46" fillId="0" borderId="24" xfId="105" applyFont="1" applyBorder="1" applyAlignment="1" applyProtection="1">
      <alignment vertical="center"/>
    </xf>
    <xf numFmtId="43" fontId="118" fillId="4" borderId="0" xfId="0" applyNumberFormat="1" applyFont="1" applyFill="1" applyBorder="1" applyAlignment="1" applyProtection="1">
      <alignment horizontal="center" vertical="center"/>
    </xf>
    <xf numFmtId="43" fontId="82" fillId="3" borderId="0" xfId="83" applyNumberFormat="1" applyFont="1" applyFill="1" applyAlignment="1" applyProtection="1">
      <alignment horizontal="center" vertical="center"/>
      <protection locked="0"/>
    </xf>
    <xf numFmtId="43" fontId="82" fillId="3" borderId="0" xfId="83" applyNumberFormat="1" applyFont="1" applyFill="1" applyProtection="1">
      <protection locked="0"/>
    </xf>
    <xf numFmtId="43" fontId="82" fillId="3" borderId="0" xfId="83" applyNumberFormat="1" applyFont="1" applyFill="1" applyAlignment="1" applyProtection="1">
      <alignment vertical="center"/>
      <protection locked="0"/>
    </xf>
    <xf numFmtId="43" fontId="118" fillId="13" borderId="0" xfId="0" applyNumberFormat="1" applyFont="1" applyFill="1" applyBorder="1" applyAlignment="1" applyProtection="1">
      <alignment horizontal="center" vertical="center"/>
    </xf>
    <xf numFmtId="0" fontId="119" fillId="0" borderId="0" xfId="0" applyFont="1" applyBorder="1" applyAlignment="1" applyProtection="1">
      <alignment vertical="center"/>
    </xf>
    <xf numFmtId="43" fontId="69" fillId="3" borderId="22" xfId="83" applyNumberFormat="1" applyFont="1" applyFill="1" applyBorder="1" applyAlignment="1" applyProtection="1">
      <alignment horizontal="center"/>
      <protection locked="0"/>
    </xf>
    <xf numFmtId="43" fontId="68" fillId="3" borderId="22" xfId="83" applyNumberFormat="1" applyFont="1" applyFill="1" applyBorder="1" applyAlignment="1" applyProtection="1">
      <alignment horizontal="center"/>
      <protection locked="0"/>
    </xf>
    <xf numFmtId="186" fontId="25" fillId="4" borderId="3" xfId="0" applyNumberFormat="1" applyFont="1" applyFill="1" applyBorder="1" applyAlignment="1" applyProtection="1">
      <alignment horizontal="left" vertical="center" shrinkToFit="1"/>
    </xf>
    <xf numFmtId="0" fontId="21" fillId="4" borderId="3" xfId="0" applyFont="1" applyFill="1" applyBorder="1" applyAlignment="1" applyProtection="1">
      <alignment vertical="center" shrinkToFit="1"/>
    </xf>
    <xf numFmtId="43" fontId="62" fillId="3" borderId="0" xfId="83" applyNumberFormat="1" applyFont="1" applyFill="1" applyAlignment="1" applyProtection="1">
      <alignment horizontal="left"/>
      <protection locked="0"/>
    </xf>
    <xf numFmtId="0" fontId="46" fillId="15" borderId="0" xfId="105" applyNumberFormat="1" applyFont="1" applyFill="1" applyAlignment="1" applyProtection="1">
      <alignment horizontal="left" vertical="center"/>
    </xf>
    <xf numFmtId="43" fontId="105" fillId="15" borderId="0" xfId="105" applyFont="1" applyFill="1" applyAlignment="1" applyProtection="1">
      <alignment vertical="center"/>
    </xf>
    <xf numFmtId="184" fontId="105" fillId="15" borderId="0" xfId="80" applyNumberFormat="1" applyFont="1" applyFill="1" applyAlignment="1" applyProtection="1">
      <alignment vertical="center"/>
    </xf>
    <xf numFmtId="184" fontId="73" fillId="15" borderId="0" xfId="80" applyNumberFormat="1" applyFont="1" applyFill="1" applyAlignment="1" applyProtection="1">
      <alignment vertical="center"/>
    </xf>
    <xf numFmtId="43" fontId="46" fillId="15" borderId="0" xfId="105" applyFont="1" applyFill="1" applyAlignment="1" applyProtection="1">
      <alignment vertical="center"/>
    </xf>
    <xf numFmtId="43" fontId="25" fillId="0" borderId="9" xfId="99" applyNumberFormat="1" applyFont="1" applyBorder="1" applyAlignment="1" applyProtection="1">
      <alignment horizontal="left" vertical="center" shrinkToFit="1"/>
    </xf>
    <xf numFmtId="43" fontId="12" fillId="0" borderId="10" xfId="99" applyNumberFormat="1" applyFont="1" applyBorder="1" applyAlignment="1" applyProtection="1">
      <alignment vertical="center"/>
    </xf>
    <xf numFmtId="0" fontId="0" fillId="0" borderId="10" xfId="0" applyBorder="1">
      <protection locked="0"/>
    </xf>
    <xf numFmtId="43" fontId="25" fillId="0" borderId="10" xfId="99" applyNumberFormat="1" applyFont="1" applyBorder="1" applyAlignment="1" applyProtection="1">
      <alignment horizontal="center" vertical="center"/>
    </xf>
    <xf numFmtId="184" fontId="21" fillId="0" borderId="26" xfId="80" applyNumberFormat="1" applyFont="1" applyBorder="1" applyAlignment="1" applyProtection="1">
      <alignment horizontal="left" vertical="center" shrinkToFit="1"/>
    </xf>
    <xf numFmtId="0" fontId="120" fillId="0" borderId="0" xfId="81" applyFont="1">
      <protection locked="0"/>
    </xf>
    <xf numFmtId="0" fontId="121" fillId="0" borderId="37" xfId="81" applyFont="1" applyBorder="1" applyAlignment="1" applyProtection="1">
      <alignment vertical="center"/>
    </xf>
    <xf numFmtId="0" fontId="120" fillId="0" borderId="1" xfId="81" applyFont="1" applyBorder="1" applyAlignment="1" applyProtection="1">
      <alignment vertical="center"/>
    </xf>
    <xf numFmtId="0" fontId="120" fillId="0" borderId="51" xfId="81" applyFont="1" applyBorder="1" applyAlignment="1" applyProtection="1">
      <alignment vertical="center"/>
    </xf>
    <xf numFmtId="0" fontId="120" fillId="0" borderId="0" xfId="81" applyFont="1" applyBorder="1" applyAlignment="1" applyProtection="1">
      <alignment vertical="center"/>
    </xf>
    <xf numFmtId="0" fontId="120" fillId="0" borderId="0" xfId="81" applyFont="1" applyAlignment="1">
      <alignment vertical="center"/>
      <protection locked="0"/>
    </xf>
    <xf numFmtId="0" fontId="121" fillId="0" borderId="9" xfId="81" applyFont="1" applyBorder="1" applyAlignment="1" applyProtection="1">
      <alignment vertical="center"/>
    </xf>
    <xf numFmtId="0" fontId="120" fillId="0" borderId="21" xfId="81" applyFont="1" applyBorder="1" applyAlignment="1" applyProtection="1">
      <alignment vertical="center"/>
    </xf>
    <xf numFmtId="0" fontId="123" fillId="0" borderId="9" xfId="81" applyFont="1" applyBorder="1" applyAlignment="1" applyProtection="1">
      <alignment horizontal="center" vertical="center"/>
      <protection locked="0"/>
    </xf>
    <xf numFmtId="0" fontId="123" fillId="0" borderId="9" xfId="81" applyFont="1" applyBorder="1" applyAlignment="1" applyProtection="1">
      <alignment horizontal="center" vertical="center"/>
    </xf>
    <xf numFmtId="0" fontId="123" fillId="0" borderId="0" xfId="81" applyFont="1" applyBorder="1" applyAlignment="1" applyProtection="1">
      <alignment vertical="center"/>
    </xf>
    <xf numFmtId="0" fontId="123" fillId="0" borderId="21" xfId="81" applyFont="1" applyBorder="1" applyAlignment="1" applyProtection="1">
      <alignment vertical="center"/>
    </xf>
    <xf numFmtId="0" fontId="120" fillId="0" borderId="9" xfId="81" applyFont="1" applyBorder="1" applyAlignment="1" applyProtection="1">
      <alignment vertical="center"/>
    </xf>
    <xf numFmtId="0" fontId="123" fillId="0" borderId="0" xfId="81" applyFont="1" applyBorder="1" applyAlignment="1" applyProtection="1">
      <alignment horizontal="center" vertical="center"/>
    </xf>
    <xf numFmtId="0" fontId="125" fillId="0" borderId="0" xfId="84" applyFont="1" applyBorder="1" applyAlignment="1" applyProtection="1">
      <alignment vertical="center"/>
    </xf>
    <xf numFmtId="0" fontId="120" fillId="0" borderId="0" xfId="81" applyFont="1" applyBorder="1" applyAlignment="1">
      <alignment vertical="center"/>
      <protection locked="0"/>
    </xf>
    <xf numFmtId="0" fontId="123" fillId="0" borderId="11" xfId="81" applyFont="1" applyBorder="1" applyAlignment="1" applyProtection="1">
      <alignment horizontal="center" vertical="center"/>
    </xf>
    <xf numFmtId="0" fontId="123" fillId="0" borderId="22" xfId="81" applyFont="1" applyBorder="1" applyAlignment="1" applyProtection="1">
      <alignment vertical="center"/>
    </xf>
    <xf numFmtId="0" fontId="123" fillId="0" borderId="32" xfId="81" applyFont="1" applyBorder="1" applyAlignment="1" applyProtection="1">
      <alignment vertical="center"/>
    </xf>
    <xf numFmtId="0" fontId="123" fillId="0" borderId="11" xfId="81" applyFont="1" applyBorder="1" applyAlignment="1" applyProtection="1">
      <alignment horizontal="center" vertical="center"/>
      <protection locked="0"/>
    </xf>
    <xf numFmtId="0" fontId="12" fillId="4" borderId="3" xfId="0" applyNumberFormat="1" applyFont="1" applyFill="1" applyBorder="1" applyAlignment="1" applyProtection="1">
      <alignment horizontal="left" vertical="center" indent="1" shrinkToFit="1"/>
    </xf>
    <xf numFmtId="0" fontId="126" fillId="6" borderId="0" xfId="0" applyFont="1" applyFill="1" applyAlignment="1" applyProtection="1">
      <alignment vertical="center"/>
    </xf>
    <xf numFmtId="0" fontId="126" fillId="0" borderId="0" xfId="0" applyFont="1" applyAlignment="1" applyProtection="1">
      <alignment vertical="center"/>
      <protection hidden="1"/>
    </xf>
    <xf numFmtId="0" fontId="126" fillId="8" borderId="0" xfId="0" applyFont="1" applyFill="1" applyAlignment="1" applyProtection="1">
      <alignment vertical="center"/>
      <protection hidden="1"/>
    </xf>
    <xf numFmtId="184" fontId="73" fillId="16" borderId="0" xfId="105" applyNumberFormat="1" applyFont="1" applyFill="1" applyAlignment="1" applyProtection="1">
      <alignment horizontal="center" vertical="center" shrinkToFit="1"/>
    </xf>
    <xf numFmtId="184" fontId="73" fillId="17" borderId="0" xfId="105" applyNumberFormat="1" applyFont="1" applyFill="1" applyAlignment="1" applyProtection="1">
      <alignment horizontal="center" vertical="center" shrinkToFit="1"/>
    </xf>
    <xf numFmtId="0" fontId="126" fillId="6" borderId="0" xfId="0" applyFont="1" applyFill="1" applyAlignment="1" applyProtection="1">
      <alignment horizontal="center" vertical="center"/>
    </xf>
    <xf numFmtId="184" fontId="73" fillId="18" borderId="0" xfId="105" applyNumberFormat="1" applyFont="1" applyFill="1" applyAlignment="1" applyProtection="1">
      <alignment horizontal="center" vertical="center" shrinkToFit="1"/>
    </xf>
    <xf numFmtId="184" fontId="73" fillId="16" borderId="0" xfId="0" applyNumberFormat="1" applyFont="1" applyFill="1" applyAlignment="1" applyProtection="1">
      <alignment horizontal="left" vertical="center" shrinkToFit="1"/>
    </xf>
    <xf numFmtId="0" fontId="45"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14" fontId="128" fillId="6" borderId="0" xfId="0" applyNumberFormat="1" applyFont="1" applyFill="1" applyAlignment="1" applyProtection="1">
      <alignment vertical="center"/>
    </xf>
    <xf numFmtId="14" fontId="129" fillId="6" borderId="0" xfId="0" applyNumberFormat="1" applyFont="1" applyFill="1" applyAlignment="1" applyProtection="1">
      <alignment horizontal="center" vertical="center"/>
    </xf>
    <xf numFmtId="14" fontId="126" fillId="6" borderId="0" xfId="105" applyNumberFormat="1" applyFont="1" applyFill="1" applyAlignment="1" applyProtection="1">
      <alignment vertical="center"/>
    </xf>
    <xf numFmtId="14" fontId="129" fillId="6" borderId="0" xfId="105" applyNumberFormat="1" applyFont="1" applyFill="1" applyAlignment="1" applyProtection="1">
      <alignment vertical="center"/>
    </xf>
    <xf numFmtId="14" fontId="129" fillId="6" borderId="0" xfId="0" applyNumberFormat="1" applyFont="1" applyFill="1" applyBorder="1" applyAlignment="1" applyProtection="1">
      <alignment horizontal="left" vertical="center"/>
    </xf>
    <xf numFmtId="0" fontId="45" fillId="0" borderId="0" xfId="0" applyFont="1" applyAlignment="1" applyProtection="1">
      <alignment horizontal="center" vertical="center"/>
      <protection hidden="1"/>
    </xf>
    <xf numFmtId="184" fontId="73" fillId="6" borderId="0" xfId="105" applyNumberFormat="1" applyFont="1" applyFill="1" applyAlignment="1" applyProtection="1">
      <alignment horizontal="center" vertical="center" shrinkToFit="1"/>
    </xf>
    <xf numFmtId="43" fontId="3" fillId="0" borderId="0" xfId="83" applyNumberFormat="1" applyFont="1" applyAlignment="1" applyProtection="1">
      <alignment vertical="center" shrinkToFit="1"/>
    </xf>
    <xf numFmtId="43" fontId="62" fillId="8" borderId="0" xfId="83" applyNumberFormat="1" applyFont="1" applyFill="1" applyAlignment="1">
      <alignment shrinkToFit="1"/>
      <protection locked="0"/>
    </xf>
    <xf numFmtId="43" fontId="46" fillId="0" borderId="0" xfId="83" applyNumberFormat="1" applyFont="1" applyAlignment="1" applyProtection="1">
      <alignment vertical="center" shrinkToFit="1"/>
    </xf>
    <xf numFmtId="43" fontId="64" fillId="0" borderId="0" xfId="83" applyNumberFormat="1" applyFont="1" applyAlignment="1" applyProtection="1">
      <alignment shrinkToFit="1"/>
    </xf>
    <xf numFmtId="43" fontId="3" fillId="0" borderId="6" xfId="83" applyNumberFormat="1" applyFont="1" applyBorder="1" applyAlignment="1" applyProtection="1">
      <alignment horizontal="center" vertical="center" shrinkToFit="1"/>
    </xf>
    <xf numFmtId="186" fontId="12" fillId="0" borderId="3" xfId="0" applyNumberFormat="1" applyFont="1" applyFill="1" applyBorder="1" applyAlignment="1" applyProtection="1">
      <alignment horizontal="left" vertical="center" shrinkToFit="1"/>
    </xf>
    <xf numFmtId="0" fontId="12" fillId="0" borderId="3" xfId="0" applyFont="1" applyFill="1" applyBorder="1" applyAlignment="1" applyProtection="1">
      <alignment vertical="center" shrinkToFit="1"/>
    </xf>
    <xf numFmtId="186" fontId="12" fillId="0" borderId="3" xfId="0" applyNumberFormat="1" applyFont="1" applyFill="1" applyBorder="1" applyAlignment="1" applyProtection="1">
      <alignment horizontal="left" vertical="center" shrinkToFit="1"/>
      <protection locked="0"/>
    </xf>
    <xf numFmtId="186" fontId="24" fillId="0" borderId="3" xfId="0" applyNumberFormat="1" applyFont="1" applyFill="1" applyBorder="1" applyAlignment="1" applyProtection="1">
      <alignment vertical="center" shrinkToFit="1"/>
    </xf>
    <xf numFmtId="0" fontId="2" fillId="0" borderId="3" xfId="0" applyFont="1" applyFill="1" applyBorder="1" applyAlignment="1" applyProtection="1">
      <alignment vertical="center" shrinkToFit="1"/>
    </xf>
    <xf numFmtId="0" fontId="15" fillId="0" borderId="0" xfId="0" applyFont="1" applyFill="1" applyBorder="1" applyAlignment="1" applyProtection="1">
      <alignment vertical="center" shrinkToFit="1"/>
    </xf>
    <xf numFmtId="0" fontId="0" fillId="0" borderId="0" xfId="0" applyFill="1" applyAlignment="1" applyProtection="1">
      <alignment vertical="center"/>
    </xf>
    <xf numFmtId="186" fontId="24" fillId="0" borderId="3" xfId="0" applyNumberFormat="1" applyFont="1" applyFill="1" applyBorder="1" applyAlignment="1" applyProtection="1">
      <alignment horizontal="left" vertical="center" shrinkToFit="1"/>
    </xf>
    <xf numFmtId="43" fontId="36" fillId="0" borderId="0" xfId="0" applyNumberFormat="1" applyFont="1" applyFill="1" applyBorder="1" applyAlignment="1" applyProtection="1">
      <alignment horizontal="center" vertical="center"/>
    </xf>
    <xf numFmtId="0" fontId="7" fillId="0" borderId="0" xfId="0" applyFont="1" applyFill="1" applyAlignment="1" applyProtection="1">
      <alignment vertical="center"/>
    </xf>
    <xf numFmtId="0" fontId="7" fillId="0" borderId="0" xfId="0" applyFont="1" applyFill="1" applyBorder="1" applyAlignment="1" applyProtection="1">
      <alignment horizontal="center" vertical="center"/>
    </xf>
    <xf numFmtId="0" fontId="7" fillId="0" borderId="0" xfId="0" applyFont="1" applyFill="1" applyAlignment="1" applyProtection="1">
      <alignment horizontal="center" vertical="center"/>
    </xf>
    <xf numFmtId="43" fontId="36" fillId="12" borderId="3" xfId="0" applyNumberFormat="1" applyFont="1" applyFill="1" applyBorder="1" applyAlignment="1" applyProtection="1">
      <alignment horizontal="center" vertical="center"/>
    </xf>
    <xf numFmtId="43" fontId="46" fillId="0" borderId="0" xfId="83" applyNumberFormat="1" applyFont="1" applyAlignment="1" applyProtection="1">
      <alignment shrinkToFit="1"/>
    </xf>
    <xf numFmtId="43" fontId="45" fillId="0" borderId="0" xfId="82" applyNumberFormat="1" applyFont="1" applyBorder="1" applyAlignment="1">
      <alignment vertical="center"/>
      <protection locked="0"/>
    </xf>
    <xf numFmtId="43" fontId="45" fillId="0" borderId="0" xfId="82" applyNumberFormat="1" applyFont="1" applyBorder="1" applyAlignment="1">
      <alignment horizontal="center" vertical="center"/>
      <protection locked="0"/>
    </xf>
    <xf numFmtId="0" fontId="45" fillId="0" borderId="0" xfId="0" applyFont="1">
      <protection locked="0"/>
    </xf>
    <xf numFmtId="43" fontId="45" fillId="0" borderId="10" xfId="105" applyFont="1" applyBorder="1" applyAlignment="1" applyProtection="1">
      <alignment vertical="center"/>
      <protection locked="0"/>
    </xf>
    <xf numFmtId="43" fontId="47" fillId="0" borderId="10" xfId="105" applyFont="1" applyBorder="1" applyAlignment="1" applyProtection="1">
      <alignment vertical="center"/>
      <protection locked="0"/>
    </xf>
    <xf numFmtId="43" fontId="83" fillId="0" borderId="10" xfId="105" applyFont="1" applyBorder="1" applyAlignment="1" applyProtection="1">
      <alignment vertical="center"/>
      <protection locked="0"/>
    </xf>
    <xf numFmtId="43" fontId="84" fillId="0" borderId="10" xfId="105" applyFont="1" applyBorder="1" applyAlignment="1" applyProtection="1">
      <alignment vertical="center"/>
      <protection locked="0"/>
    </xf>
    <xf numFmtId="43" fontId="47" fillId="0" borderId="10" xfId="105" applyFont="1" applyBorder="1" applyAlignment="1" applyProtection="1">
      <alignment horizontal="center" vertical="center"/>
      <protection locked="0"/>
    </xf>
    <xf numFmtId="43" fontId="47" fillId="0" borderId="12" xfId="105" applyFont="1" applyFill="1" applyBorder="1" applyAlignment="1" applyProtection="1">
      <alignment vertical="center"/>
      <protection locked="0"/>
    </xf>
    <xf numFmtId="43" fontId="25" fillId="0" borderId="37" xfId="98" applyNumberFormat="1" applyFont="1" applyBorder="1" applyAlignment="1">
      <alignment vertical="center"/>
    </xf>
    <xf numFmtId="43" fontId="45" fillId="0" borderId="2" xfId="105" applyFont="1" applyBorder="1" applyAlignment="1" applyProtection="1">
      <alignment vertical="center"/>
      <protection locked="0"/>
    </xf>
    <xf numFmtId="43" fontId="47" fillId="0" borderId="12" xfId="105" applyFont="1" applyBorder="1" applyAlignment="1" applyProtection="1">
      <alignment horizontal="center" vertical="center"/>
      <protection locked="0"/>
    </xf>
    <xf numFmtId="43" fontId="25" fillId="0" borderId="2" xfId="98" applyNumberFormat="1" applyFont="1" applyBorder="1" applyAlignment="1">
      <alignment vertical="center"/>
    </xf>
    <xf numFmtId="43" fontId="12" fillId="0" borderId="10" xfId="98" applyNumberFormat="1" applyFont="1" applyBorder="1" applyAlignment="1">
      <alignment vertical="center"/>
    </xf>
    <xf numFmtId="43" fontId="12" fillId="0" borderId="10" xfId="98" applyNumberFormat="1" applyFont="1" applyBorder="1" applyAlignment="1">
      <alignment horizontal="left" vertical="center"/>
    </xf>
    <xf numFmtId="43" fontId="25" fillId="0" borderId="10" xfId="98" applyNumberFormat="1" applyFont="1" applyBorder="1" applyAlignment="1">
      <alignment vertical="center"/>
    </xf>
    <xf numFmtId="43" fontId="80" fillId="0" borderId="10" xfId="98" applyNumberFormat="1" applyFont="1" applyBorder="1" applyAlignment="1">
      <alignment vertical="center"/>
    </xf>
    <xf numFmtId="43" fontId="25" fillId="0" borderId="12" xfId="98" applyNumberFormat="1" applyFont="1" applyFill="1" applyBorder="1" applyAlignment="1">
      <alignment vertical="center"/>
    </xf>
    <xf numFmtId="43" fontId="45" fillId="0" borderId="0" xfId="0" applyNumberFormat="1" applyFont="1" applyAlignment="1" applyProtection="1">
      <alignment vertical="center"/>
      <protection hidden="1"/>
    </xf>
    <xf numFmtId="0" fontId="124" fillId="0" borderId="21" xfId="84" applyFont="1" applyBorder="1" applyAlignment="1">
      <protection locked="0"/>
    </xf>
    <xf numFmtId="0" fontId="124" fillId="0" borderId="32" xfId="84" applyFont="1" applyBorder="1" applyAlignment="1">
      <protection locked="0"/>
    </xf>
    <xf numFmtId="0" fontId="123" fillId="14" borderId="9" xfId="81" applyFont="1" applyFill="1" applyBorder="1" applyAlignment="1" applyProtection="1">
      <alignment horizontal="center" vertical="center"/>
      <protection locked="0"/>
    </xf>
    <xf numFmtId="0" fontId="124" fillId="14" borderId="21" xfId="84" applyFont="1" applyFill="1" applyBorder="1" applyAlignment="1">
      <protection locked="0"/>
    </xf>
    <xf numFmtId="0" fontId="122" fillId="0" borderId="31" xfId="81" applyFont="1" applyBorder="1" applyAlignment="1" applyProtection="1">
      <alignment horizontal="center" vertical="center"/>
      <protection locked="0"/>
    </xf>
    <xf numFmtId="0" fontId="122" fillId="0" borderId="52" xfId="81" applyFont="1" applyBorder="1" applyAlignment="1" applyProtection="1">
      <alignment horizontal="center" vertical="center"/>
      <protection locked="0"/>
    </xf>
    <xf numFmtId="0" fontId="123" fillId="0" borderId="9" xfId="81" applyFont="1" applyFill="1" applyBorder="1" applyAlignment="1" applyProtection="1">
      <alignment horizontal="center" vertical="center"/>
      <protection locked="0"/>
    </xf>
    <xf numFmtId="0" fontId="124" fillId="0" borderId="21" xfId="84" applyFont="1" applyFill="1" applyBorder="1" applyAlignment="1">
      <protection locked="0"/>
    </xf>
    <xf numFmtId="0" fontId="123" fillId="15" borderId="9" xfId="81" applyFont="1" applyFill="1" applyBorder="1" applyAlignment="1" applyProtection="1">
      <alignment horizontal="center" vertical="center"/>
      <protection locked="0"/>
    </xf>
    <xf numFmtId="0" fontId="124" fillId="15" borderId="21" xfId="84" applyFont="1" applyFill="1" applyBorder="1" applyAlignment="1">
      <protection locked="0"/>
    </xf>
    <xf numFmtId="0" fontId="124" fillId="0" borderId="0" xfId="84" applyFont="1" applyBorder="1" applyAlignment="1" applyProtection="1">
      <alignment vertical="center"/>
    </xf>
    <xf numFmtId="0" fontId="130" fillId="0" borderId="0" xfId="105" applyNumberFormat="1" applyFont="1" applyProtection="1">
      <protection locked="0"/>
    </xf>
    <xf numFmtId="0" fontId="12" fillId="19" borderId="0" xfId="105" applyNumberFormat="1" applyFont="1" applyFill="1" applyProtection="1">
      <protection locked="0"/>
    </xf>
    <xf numFmtId="0" fontId="45" fillId="19" borderId="0" xfId="105" applyNumberFormat="1" applyFont="1" applyFill="1" applyProtection="1">
      <protection locked="0"/>
    </xf>
    <xf numFmtId="0" fontId="12" fillId="19" borderId="0" xfId="105" applyNumberFormat="1" applyFont="1" applyFill="1" applyAlignment="1" applyProtection="1">
      <alignment shrinkToFit="1"/>
      <protection locked="0"/>
    </xf>
    <xf numFmtId="0" fontId="12" fillId="0" borderId="0" xfId="0" applyFont="1">
      <protection locked="0"/>
    </xf>
    <xf numFmtId="43" fontId="45" fillId="19" borderId="0" xfId="105" applyFont="1" applyFill="1" applyProtection="1">
      <protection locked="0"/>
    </xf>
    <xf numFmtId="43" fontId="12" fillId="19" borderId="0" xfId="82" applyNumberFormat="1" applyFont="1" applyFill="1" applyBorder="1" applyAlignment="1">
      <alignment horizontal="center" vertical="center"/>
      <protection locked="0"/>
    </xf>
    <xf numFmtId="43" fontId="45" fillId="19" borderId="0" xfId="82" applyNumberFormat="1" applyFont="1" applyFill="1" applyBorder="1" applyAlignment="1">
      <alignment vertical="center"/>
      <protection locked="0"/>
    </xf>
    <xf numFmtId="43" fontId="81" fillId="19" borderId="0" xfId="82" applyNumberFormat="1" applyFont="1" applyFill="1" applyBorder="1" applyAlignment="1">
      <alignment vertical="center"/>
      <protection locked="0"/>
    </xf>
    <xf numFmtId="0" fontId="30" fillId="0" borderId="0" xfId="105" applyNumberFormat="1" applyFont="1" applyProtection="1">
      <protection locked="0"/>
    </xf>
    <xf numFmtId="43" fontId="45" fillId="19" borderId="0" xfId="106" applyNumberFormat="1" applyFont="1" applyFill="1" applyBorder="1" applyAlignment="1">
      <alignment vertical="center"/>
    </xf>
    <xf numFmtId="43" fontId="81" fillId="19" borderId="0" xfId="106" applyNumberFormat="1" applyFont="1" applyFill="1" applyBorder="1" applyAlignment="1">
      <alignment vertical="center"/>
    </xf>
    <xf numFmtId="43" fontId="45" fillId="0" borderId="0" xfId="105" applyFont="1" applyProtection="1">
      <protection locked="0"/>
    </xf>
    <xf numFmtId="43" fontId="45" fillId="19" borderId="0" xfId="105" applyFont="1" applyFill="1" applyBorder="1" applyAlignment="1" applyProtection="1">
      <alignment horizontal="center" vertical="center"/>
      <protection locked="0"/>
    </xf>
    <xf numFmtId="43" fontId="45" fillId="19" borderId="0" xfId="105" applyFont="1" applyFill="1" applyBorder="1" applyAlignment="1" applyProtection="1">
      <alignment vertical="center"/>
      <protection locked="0"/>
    </xf>
    <xf numFmtId="43" fontId="45" fillId="0" borderId="0" xfId="105" applyFont="1" applyBorder="1" applyAlignment="1" applyProtection="1">
      <alignment horizontal="center" vertical="center"/>
      <protection locked="0"/>
    </xf>
    <xf numFmtId="0" fontId="12" fillId="20" borderId="0" xfId="105" applyNumberFormat="1" applyFont="1" applyFill="1" applyProtection="1">
      <protection locked="0"/>
    </xf>
    <xf numFmtId="43" fontId="45" fillId="20" borderId="0" xfId="105" applyFont="1" applyFill="1" applyBorder="1" applyAlignment="1" applyProtection="1">
      <alignment horizontal="center" vertical="center"/>
      <protection locked="0"/>
    </xf>
    <xf numFmtId="43" fontId="45" fillId="20" borderId="0" xfId="105" applyFont="1" applyFill="1" applyBorder="1" applyAlignment="1" applyProtection="1">
      <alignment vertical="center"/>
      <protection locked="0"/>
    </xf>
    <xf numFmtId="0" fontId="131" fillId="0" borderId="0" xfId="105" applyNumberFormat="1" applyFont="1" applyProtection="1">
      <protection locked="0"/>
    </xf>
    <xf numFmtId="0" fontId="12" fillId="0" borderId="37" xfId="105" applyNumberFormat="1" applyFont="1" applyFill="1" applyBorder="1" applyProtection="1">
      <protection locked="0"/>
    </xf>
    <xf numFmtId="43" fontId="45" fillId="0" borderId="51" xfId="105" applyFont="1" applyFill="1" applyBorder="1" applyAlignment="1" applyProtection="1">
      <alignment horizontal="center" vertical="center"/>
      <protection locked="0"/>
    </xf>
    <xf numFmtId="43" fontId="45" fillId="0" borderId="37" xfId="105" applyFont="1" applyFill="1" applyBorder="1" applyAlignment="1" applyProtection="1">
      <alignment vertical="center"/>
      <protection locked="0"/>
    </xf>
    <xf numFmtId="0" fontId="12" fillId="0" borderId="9" xfId="105" applyNumberFormat="1" applyFont="1" applyFill="1" applyBorder="1" applyProtection="1">
      <protection locked="0"/>
    </xf>
    <xf numFmtId="43" fontId="45" fillId="0" borderId="21" xfId="105" applyFont="1" applyFill="1" applyBorder="1" applyAlignment="1" applyProtection="1">
      <alignment horizontal="center" vertical="center"/>
      <protection locked="0"/>
    </xf>
    <xf numFmtId="43" fontId="45" fillId="0" borderId="9" xfId="105" applyFont="1" applyFill="1" applyBorder="1" applyAlignment="1" applyProtection="1">
      <alignment vertical="center"/>
      <protection locked="0"/>
    </xf>
    <xf numFmtId="0" fontId="12" fillId="0" borderId="11" xfId="105" applyNumberFormat="1" applyFont="1" applyFill="1" applyBorder="1" applyProtection="1">
      <protection locked="0"/>
    </xf>
    <xf numFmtId="43" fontId="45" fillId="0" borderId="32" xfId="105" applyFont="1" applyFill="1" applyBorder="1" applyAlignment="1" applyProtection="1">
      <alignment horizontal="center" vertical="center"/>
      <protection locked="0"/>
    </xf>
    <xf numFmtId="43" fontId="45" fillId="0" borderId="11" xfId="105" applyFont="1" applyFill="1" applyBorder="1" applyAlignment="1" applyProtection="1">
      <alignment vertical="center"/>
      <protection locked="0"/>
    </xf>
    <xf numFmtId="185" fontId="3" fillId="0" borderId="6" xfId="83" applyNumberFormat="1" applyFont="1" applyBorder="1" applyAlignment="1">
      <alignment horizontal="center" vertical="center"/>
      <protection locked="0"/>
    </xf>
    <xf numFmtId="43" fontId="47" fillId="8" borderId="3" xfId="105" applyFont="1" applyFill="1" applyBorder="1" applyAlignment="1" applyProtection="1">
      <alignment vertical="center"/>
      <protection locked="0"/>
    </xf>
    <xf numFmtId="43" fontId="45" fillId="8" borderId="3" xfId="105" applyFont="1" applyFill="1" applyBorder="1" applyAlignment="1" applyProtection="1">
      <alignment vertical="center"/>
      <protection locked="0"/>
    </xf>
    <xf numFmtId="43" fontId="46" fillId="8" borderId="6" xfId="105" applyNumberFormat="1" applyFont="1" applyFill="1" applyBorder="1" applyAlignment="1" applyProtection="1">
      <alignment horizontal="right" vertical="center" shrinkToFit="1"/>
      <protection locked="0"/>
    </xf>
    <xf numFmtId="43" fontId="109" fillId="8" borderId="6" xfId="105" applyNumberFormat="1" applyFont="1" applyFill="1" applyBorder="1" applyAlignment="1" applyProtection="1">
      <alignment horizontal="right" vertical="center" shrinkToFit="1"/>
      <protection locked="0"/>
    </xf>
    <xf numFmtId="43" fontId="109" fillId="8" borderId="42" xfId="105" applyNumberFormat="1" applyFont="1" applyFill="1" applyBorder="1" applyAlignment="1" applyProtection="1">
      <alignment horizontal="right" vertical="center" shrinkToFit="1"/>
      <protection locked="0"/>
    </xf>
    <xf numFmtId="43" fontId="47" fillId="8" borderId="41" xfId="105" applyFont="1" applyFill="1" applyBorder="1" applyAlignment="1" applyProtection="1">
      <alignment vertical="center"/>
      <protection locked="0"/>
    </xf>
    <xf numFmtId="43" fontId="45" fillId="8" borderId="6" xfId="105" applyFont="1" applyFill="1" applyBorder="1" applyAlignment="1" applyProtection="1">
      <alignment vertical="center"/>
      <protection locked="0"/>
    </xf>
    <xf numFmtId="43" fontId="45" fillId="8" borderId="42" xfId="105" applyFont="1" applyFill="1" applyBorder="1" applyAlignment="1" applyProtection="1">
      <alignment vertical="center"/>
      <protection locked="0"/>
    </xf>
    <xf numFmtId="43" fontId="45" fillId="8" borderId="14" xfId="105" applyFont="1" applyFill="1" applyBorder="1" applyAlignment="1" applyProtection="1">
      <alignment vertical="center"/>
      <protection locked="0"/>
    </xf>
    <xf numFmtId="43" fontId="13" fillId="0" borderId="7" xfId="105" applyNumberFormat="1" applyFont="1" applyFill="1" applyBorder="1" applyAlignment="1" applyProtection="1">
      <alignment horizontal="left" vertical="center" shrinkToFit="1"/>
      <protection locked="0"/>
    </xf>
    <xf numFmtId="43" fontId="16" fillId="0" borderId="7" xfId="105" applyNumberFormat="1" applyFont="1" applyFill="1" applyBorder="1" applyAlignment="1" applyProtection="1">
      <alignment horizontal="left" vertical="center" shrinkToFit="1"/>
      <protection locked="0"/>
    </xf>
    <xf numFmtId="43" fontId="16" fillId="0" borderId="53" xfId="105" applyNumberFormat="1" applyFont="1" applyFill="1" applyBorder="1" applyAlignment="1" applyProtection="1">
      <alignment horizontal="left" vertical="center" shrinkToFit="1"/>
      <protection locked="0"/>
    </xf>
    <xf numFmtId="43" fontId="16" fillId="0" borderId="38" xfId="105" applyNumberFormat="1" applyFont="1" applyFill="1" applyBorder="1" applyAlignment="1" applyProtection="1">
      <alignment horizontal="left" vertical="center" shrinkToFit="1"/>
      <protection locked="0"/>
    </xf>
    <xf numFmtId="0" fontId="0" fillId="0" borderId="44" xfId="0" applyFill="1" applyBorder="1" applyAlignment="1" applyProtection="1">
      <alignment horizontal="left" vertical="center" shrinkToFit="1"/>
      <protection hidden="1"/>
    </xf>
    <xf numFmtId="0" fontId="0" fillId="0" borderId="8" xfId="0" applyFill="1" applyBorder="1" applyAlignment="1" applyProtection="1">
      <alignment horizontal="left" vertical="center" shrinkToFit="1"/>
      <protection hidden="1"/>
    </xf>
    <xf numFmtId="0" fontId="12" fillId="0" borderId="8" xfId="0" applyFont="1" applyFill="1" applyBorder="1" applyAlignment="1" applyProtection="1">
      <alignment horizontal="left" vertical="center" shrinkToFit="1"/>
      <protection hidden="1"/>
    </xf>
    <xf numFmtId="0" fontId="0" fillId="0" borderId="54" xfId="0" applyFill="1" applyBorder="1" applyAlignment="1" applyProtection="1">
      <alignment horizontal="left" vertical="center" shrinkToFit="1"/>
      <protection hidden="1"/>
    </xf>
    <xf numFmtId="0" fontId="0" fillId="0" borderId="55" xfId="0" applyFill="1" applyBorder="1" applyAlignment="1" applyProtection="1">
      <alignment horizontal="left" vertical="center" shrinkToFit="1"/>
      <protection hidden="1"/>
    </xf>
    <xf numFmtId="43" fontId="81" fillId="0" borderId="24" xfId="106" applyNumberFormat="1" applyFont="1" applyFill="1" applyBorder="1" applyAlignment="1" applyProtection="1">
      <alignment horizontal="left" vertical="center" shrinkToFit="1"/>
      <protection locked="0"/>
    </xf>
    <xf numFmtId="43" fontId="81" fillId="0" borderId="7" xfId="106" applyNumberFormat="1" applyFont="1" applyFill="1" applyBorder="1" applyAlignment="1" applyProtection="1">
      <alignment horizontal="left" vertical="center" shrinkToFit="1"/>
      <protection locked="0"/>
    </xf>
    <xf numFmtId="0" fontId="12" fillId="0" borderId="7" xfId="0" applyFont="1" applyFill="1" applyBorder="1" applyAlignment="1" applyProtection="1">
      <alignment horizontal="left" vertical="center" shrinkToFit="1"/>
      <protection locked="0"/>
    </xf>
    <xf numFmtId="0" fontId="0" fillId="0" borderId="45" xfId="0" applyFill="1" applyBorder="1" applyAlignment="1" applyProtection="1">
      <alignment horizontal="left" vertical="center" shrinkToFit="1"/>
      <protection locked="0"/>
    </xf>
    <xf numFmtId="0" fontId="12" fillId="0" borderId="38" xfId="0" applyFont="1" applyFill="1" applyBorder="1" applyAlignment="1" applyProtection="1">
      <alignment horizontal="left" vertical="center" shrinkToFit="1"/>
      <protection locked="0"/>
    </xf>
    <xf numFmtId="0" fontId="0" fillId="0" borderId="44" xfId="0" applyFill="1" applyBorder="1" applyAlignment="1" applyProtection="1">
      <alignment horizontal="left" vertical="center" shrinkToFit="1"/>
      <protection locked="0"/>
    </xf>
    <xf numFmtId="0" fontId="0" fillId="0" borderId="8" xfId="0" applyFill="1" applyBorder="1" applyAlignment="1" applyProtection="1">
      <alignment horizontal="left" vertical="center" shrinkToFit="1"/>
      <protection locked="0"/>
    </xf>
    <xf numFmtId="0" fontId="12" fillId="0" borderId="8" xfId="0" applyFont="1" applyFill="1" applyBorder="1" applyAlignment="1" applyProtection="1">
      <alignment horizontal="left" vertical="center" shrinkToFit="1"/>
      <protection locked="0"/>
    </xf>
    <xf numFmtId="0" fontId="0" fillId="0" borderId="54" xfId="0" applyFill="1" applyBorder="1" applyAlignment="1" applyProtection="1">
      <alignment horizontal="left" vertical="center" shrinkToFit="1"/>
      <protection locked="0"/>
    </xf>
    <xf numFmtId="0" fontId="0" fillId="0" borderId="55" xfId="0" applyFill="1" applyBorder="1" applyAlignment="1" applyProtection="1">
      <alignment horizontal="left" vertical="center" shrinkToFit="1"/>
      <protection locked="0"/>
    </xf>
    <xf numFmtId="0" fontId="45" fillId="19" borderId="0" xfId="0" applyFont="1" applyFill="1" applyAlignment="1" applyProtection="1">
      <alignment horizontal="center" vertical="center"/>
      <protection hidden="1"/>
    </xf>
    <xf numFmtId="0" fontId="12" fillId="19" borderId="0" xfId="0" applyFont="1" applyFill="1" applyAlignment="1" applyProtection="1">
      <alignment vertical="center"/>
      <protection hidden="1"/>
    </xf>
    <xf numFmtId="43" fontId="45" fillId="19" borderId="0" xfId="105" applyFont="1" applyFill="1" applyAlignment="1" applyProtection="1">
      <alignment vertical="center"/>
      <protection hidden="1"/>
    </xf>
    <xf numFmtId="0" fontId="12" fillId="19" borderId="0" xfId="0" applyFont="1" applyFill="1" applyAlignment="1" applyProtection="1">
      <alignment horizontal="center" vertical="center"/>
      <protection hidden="1"/>
    </xf>
    <xf numFmtId="43" fontId="7" fillId="19" borderId="0" xfId="82" applyNumberFormat="1" applyFont="1" applyFill="1" applyBorder="1" applyAlignment="1">
      <alignment horizontal="center" vertical="center"/>
      <protection locked="0"/>
    </xf>
    <xf numFmtId="43" fontId="45" fillId="19" borderId="0" xfId="82" applyNumberFormat="1" applyFont="1" applyFill="1" applyBorder="1" applyAlignment="1">
      <alignment horizontal="center" vertical="center"/>
      <protection locked="0"/>
    </xf>
    <xf numFmtId="0" fontId="19" fillId="10" borderId="56" xfId="0" applyFont="1" applyFill="1" applyBorder="1" applyAlignment="1">
      <alignment horizontal="center"/>
      <protection locked="0"/>
    </xf>
    <xf numFmtId="0" fontId="19" fillId="10" borderId="46" xfId="0" applyFont="1" applyFill="1" applyBorder="1" applyAlignment="1">
      <alignment horizontal="center"/>
      <protection locked="0"/>
    </xf>
    <xf numFmtId="0" fontId="19" fillId="10" borderId="57" xfId="0" applyFont="1" applyFill="1" applyBorder="1" applyAlignment="1">
      <alignment horizontal="center"/>
      <protection locked="0"/>
    </xf>
    <xf numFmtId="0" fontId="19" fillId="4" borderId="6" xfId="0" applyFont="1" applyFill="1" applyBorder="1" applyAlignment="1" applyProtection="1">
      <alignment horizontal="center" vertical="center"/>
      <protection hidden="1"/>
    </xf>
    <xf numFmtId="0" fontId="5" fillId="7" borderId="0" xfId="0" applyFont="1" applyFill="1" applyAlignment="1" applyProtection="1">
      <alignment horizontal="center"/>
      <protection hidden="1"/>
    </xf>
    <xf numFmtId="0" fontId="0" fillId="7" borderId="0" xfId="0" applyFill="1" applyAlignment="1" applyProtection="1">
      <alignment horizontal="center" vertical="center"/>
      <protection hidden="1"/>
    </xf>
    <xf numFmtId="0" fontId="0" fillId="4" borderId="6" xfId="0" applyFill="1" applyBorder="1" applyAlignment="1" applyProtection="1">
      <alignment horizontal="center" vertical="center"/>
      <protection hidden="1"/>
    </xf>
    <xf numFmtId="0" fontId="0" fillId="4" borderId="6" xfId="0" applyFill="1" applyBorder="1" applyAlignment="1" applyProtection="1">
      <alignment horizontal="center" vertical="center" wrapText="1" shrinkToFit="1"/>
      <protection hidden="1"/>
    </xf>
    <xf numFmtId="0" fontId="0" fillId="4" borderId="42" xfId="0" applyFill="1" applyBorder="1" applyAlignment="1" applyProtection="1">
      <alignment horizontal="center" vertical="center" wrapText="1"/>
      <protection hidden="1"/>
    </xf>
    <xf numFmtId="0" fontId="0" fillId="4" borderId="35" xfId="0" applyFill="1" applyBorder="1" applyAlignment="1" applyProtection="1">
      <alignment horizontal="center" vertical="center" wrapText="1"/>
      <protection hidden="1"/>
    </xf>
    <xf numFmtId="0" fontId="0" fillId="4" borderId="14" xfId="0" applyFill="1" applyBorder="1" applyAlignment="1" applyProtection="1">
      <alignment horizontal="center" vertical="center" wrapText="1"/>
      <protection hidden="1"/>
    </xf>
    <xf numFmtId="0" fontId="0" fillId="4" borderId="42" xfId="0" applyFill="1" applyBorder="1" applyAlignment="1" applyProtection="1">
      <alignment horizontal="center" vertical="center" wrapText="1" shrinkToFit="1"/>
      <protection hidden="1"/>
    </xf>
    <xf numFmtId="0" fontId="0" fillId="4" borderId="35" xfId="0" applyFill="1" applyBorder="1" applyAlignment="1" applyProtection="1">
      <alignment horizontal="center" vertical="center" wrapText="1" shrinkToFit="1"/>
      <protection hidden="1"/>
    </xf>
    <xf numFmtId="0" fontId="0" fillId="4" borderId="14" xfId="0" applyFill="1" applyBorder="1" applyAlignment="1" applyProtection="1">
      <alignment horizontal="center" vertical="center" wrapText="1" shrinkToFit="1"/>
      <protection hidden="1"/>
    </xf>
    <xf numFmtId="43" fontId="22" fillId="13" borderId="3" xfId="0" applyNumberFormat="1" applyFont="1" applyFill="1" applyBorder="1" applyAlignment="1" applyProtection="1">
      <alignment horizontal="center" vertical="center"/>
    </xf>
    <xf numFmtId="43" fontId="22" fillId="9" borderId="3" xfId="0" applyNumberFormat="1" applyFont="1" applyFill="1" applyBorder="1" applyAlignment="1" applyProtection="1">
      <alignment horizontal="center" vertical="center"/>
    </xf>
    <xf numFmtId="43" fontId="118" fillId="4" borderId="0" xfId="0" applyNumberFormat="1" applyFont="1" applyFill="1" applyBorder="1" applyAlignment="1" applyProtection="1">
      <alignment horizontal="center" vertical="center"/>
    </xf>
    <xf numFmtId="43" fontId="36" fillId="12" borderId="3" xfId="0" applyNumberFormat="1" applyFont="1" applyFill="1" applyBorder="1" applyAlignment="1" applyProtection="1">
      <alignment horizontal="center" vertical="center"/>
    </xf>
    <xf numFmtId="0" fontId="126" fillId="6" borderId="0" xfId="0" applyFont="1" applyFill="1" applyAlignment="1" applyProtection="1">
      <alignment horizontal="left" vertical="center"/>
    </xf>
    <xf numFmtId="0" fontId="15" fillId="6" borderId="0" xfId="0" applyFont="1" applyFill="1" applyAlignment="1" applyProtection="1">
      <alignment horizontal="left" vertical="center" shrinkToFit="1"/>
    </xf>
    <xf numFmtId="31" fontId="13" fillId="6" borderId="0" xfId="105" applyNumberFormat="1" applyFont="1" applyFill="1" applyBorder="1" applyAlignment="1" applyProtection="1">
      <alignment horizontal="left" vertical="center" indent="1" shrinkToFit="1"/>
    </xf>
    <xf numFmtId="0" fontId="12" fillId="6" borderId="0" xfId="0" applyFont="1" applyFill="1" applyAlignment="1" applyProtection="1">
      <alignment horizontal="left" vertical="center" shrinkToFit="1"/>
    </xf>
    <xf numFmtId="4" fontId="106" fillId="7" borderId="0" xfId="0" applyNumberFormat="1" applyFont="1" applyFill="1" applyAlignment="1" applyProtection="1">
      <alignment horizontal="center" vertical="center" shrinkToFit="1"/>
    </xf>
    <xf numFmtId="4" fontId="12" fillId="6" borderId="0" xfId="0" applyNumberFormat="1" applyFont="1" applyFill="1" applyBorder="1" applyAlignment="1" applyProtection="1">
      <alignment horizontal="center" vertical="center" shrinkToFit="1"/>
    </xf>
    <xf numFmtId="0" fontId="73" fillId="21" borderId="0" xfId="105" applyNumberFormat="1" applyFont="1" applyFill="1" applyBorder="1" applyAlignment="1" applyProtection="1">
      <alignment horizontal="right" vertical="center"/>
    </xf>
    <xf numFmtId="184" fontId="73" fillId="22" borderId="0" xfId="105" applyNumberFormat="1" applyFont="1" applyFill="1" applyBorder="1" applyAlignment="1" applyProtection="1">
      <alignment horizontal="center" vertical="center" shrinkToFit="1"/>
    </xf>
    <xf numFmtId="4" fontId="107" fillId="7" borderId="0" xfId="0" applyNumberFormat="1" applyFont="1" applyFill="1" applyAlignment="1" applyProtection="1">
      <alignment horizontal="center" vertical="center" shrinkToFit="1"/>
    </xf>
    <xf numFmtId="43" fontId="15" fillId="6" borderId="22" xfId="105" applyFont="1" applyFill="1" applyBorder="1" applyAlignment="1" applyProtection="1">
      <alignment horizontal="left" vertical="center" shrinkToFit="1"/>
    </xf>
    <xf numFmtId="0" fontId="73" fillId="7" borderId="0" xfId="105" applyNumberFormat="1" applyFont="1" applyFill="1" applyBorder="1" applyAlignment="1" applyProtection="1">
      <alignment horizontal="right" vertical="center" shrinkToFit="1"/>
    </xf>
    <xf numFmtId="0" fontId="126" fillId="6" borderId="0" xfId="0" applyFont="1" applyFill="1" applyAlignment="1" applyProtection="1">
      <alignment horizontal="right" vertical="center"/>
    </xf>
    <xf numFmtId="4" fontId="106" fillId="16" borderId="0" xfId="0" applyNumberFormat="1" applyFont="1" applyFill="1" applyBorder="1" applyAlignment="1" applyProtection="1">
      <alignment horizontal="center" vertical="center"/>
    </xf>
    <xf numFmtId="43" fontId="32" fillId="6" borderId="0" xfId="0" applyNumberFormat="1" applyFont="1" applyFill="1" applyBorder="1" applyAlignment="1" applyProtection="1">
      <alignment horizontal="left" vertical="center"/>
    </xf>
    <xf numFmtId="0" fontId="32" fillId="6" borderId="0" xfId="0" applyFont="1" applyFill="1" applyBorder="1" applyAlignment="1" applyProtection="1">
      <alignment horizontal="left" vertical="center"/>
    </xf>
    <xf numFmtId="0" fontId="17" fillId="6" borderId="0" xfId="0" applyFont="1" applyFill="1" applyBorder="1" applyAlignment="1" applyProtection="1">
      <alignment horizontal="right" vertical="center" shrinkToFit="1"/>
    </xf>
    <xf numFmtId="4" fontId="106" fillId="6" borderId="0" xfId="0" applyNumberFormat="1" applyFont="1" applyFill="1" applyAlignment="1" applyProtection="1">
      <alignment horizontal="center" vertical="center" shrinkToFit="1"/>
    </xf>
    <xf numFmtId="4" fontId="12" fillId="6" borderId="36" xfId="0" applyNumberFormat="1" applyFont="1" applyFill="1" applyBorder="1" applyAlignment="1" applyProtection="1">
      <alignment horizontal="center" vertical="center" shrinkToFit="1"/>
    </xf>
    <xf numFmtId="31" fontId="13" fillId="6" borderId="36" xfId="105" applyNumberFormat="1" applyFont="1" applyFill="1" applyBorder="1" applyAlignment="1" applyProtection="1">
      <alignment horizontal="center" vertical="center" shrinkToFit="1"/>
    </xf>
    <xf numFmtId="0" fontId="73" fillId="6" borderId="0" xfId="105" applyNumberFormat="1" applyFont="1" applyFill="1" applyBorder="1" applyAlignment="1" applyProtection="1">
      <alignment horizontal="right" vertical="center" shrinkToFit="1"/>
    </xf>
    <xf numFmtId="43" fontId="15" fillId="6" borderId="0" xfId="105" applyFont="1" applyFill="1" applyBorder="1" applyAlignment="1" applyProtection="1">
      <alignment horizontal="left" vertical="center" shrinkToFit="1"/>
    </xf>
    <xf numFmtId="185" fontId="46" fillId="0" borderId="6" xfId="83" applyNumberFormat="1" applyFont="1" applyBorder="1" applyAlignment="1">
      <alignment horizontal="left" vertical="center" wrapText="1"/>
      <protection locked="0"/>
    </xf>
    <xf numFmtId="185" fontId="46" fillId="0" borderId="42" xfId="83" applyNumberFormat="1" applyFont="1" applyBorder="1" applyAlignment="1">
      <alignment horizontal="center" vertical="center"/>
      <protection locked="0"/>
    </xf>
    <xf numFmtId="185" fontId="46" fillId="0" borderId="35" xfId="83" applyNumberFormat="1" applyFont="1" applyBorder="1" applyAlignment="1">
      <alignment horizontal="center" vertical="center"/>
      <protection locked="0"/>
    </xf>
    <xf numFmtId="185" fontId="46" fillId="0" borderId="14" xfId="83" applyNumberFormat="1" applyFont="1" applyBorder="1" applyAlignment="1">
      <alignment horizontal="center" vertical="center"/>
      <protection locked="0"/>
    </xf>
    <xf numFmtId="185" fontId="46" fillId="0" borderId="6" xfId="83" applyNumberFormat="1" applyFont="1" applyBorder="1" applyAlignment="1">
      <alignment horizontal="center" vertical="center" shrinkToFit="1"/>
      <protection locked="0"/>
    </xf>
    <xf numFmtId="185" fontId="46" fillId="0" borderId="42" xfId="83" applyNumberFormat="1" applyFont="1" applyBorder="1" applyAlignment="1">
      <alignment horizontal="left" vertical="center" wrapText="1"/>
      <protection locked="0"/>
    </xf>
    <xf numFmtId="185" fontId="46" fillId="0" borderId="35" xfId="83" applyNumberFormat="1" applyFont="1" applyBorder="1" applyAlignment="1">
      <alignment horizontal="left" vertical="center" wrapText="1"/>
      <protection locked="0"/>
    </xf>
    <xf numFmtId="185" fontId="46" fillId="0" borderId="14" xfId="83" applyNumberFormat="1" applyFont="1" applyBorder="1" applyAlignment="1">
      <alignment horizontal="left" vertical="center" wrapText="1"/>
      <protection locked="0"/>
    </xf>
    <xf numFmtId="185" fontId="46" fillId="0" borderId="42" xfId="83" applyNumberFormat="1" applyFont="1" applyBorder="1" applyAlignment="1">
      <alignment horizontal="center" vertical="center" shrinkToFit="1"/>
      <protection locked="0"/>
    </xf>
    <xf numFmtId="185" fontId="46" fillId="0" borderId="35" xfId="83" applyNumberFormat="1" applyFont="1" applyBorder="1" applyAlignment="1">
      <alignment horizontal="center" vertical="center" shrinkToFit="1"/>
      <protection locked="0"/>
    </xf>
    <xf numFmtId="185" fontId="46" fillId="0" borderId="14" xfId="83" applyNumberFormat="1" applyFont="1" applyBorder="1" applyAlignment="1">
      <alignment horizontal="center" vertical="center" shrinkToFit="1"/>
      <protection locked="0"/>
    </xf>
    <xf numFmtId="4" fontId="11" fillId="6" borderId="0" xfId="0" applyNumberFormat="1" applyFont="1" applyFill="1" applyBorder="1" applyAlignment="1" applyProtection="1">
      <alignment horizontal="left"/>
      <protection locked="0"/>
    </xf>
    <xf numFmtId="43" fontId="25" fillId="8" borderId="37" xfId="82" applyNumberFormat="1" applyFont="1" applyFill="1" applyBorder="1" applyAlignment="1">
      <alignment horizontal="center" vertical="center"/>
      <protection locked="0"/>
    </xf>
    <xf numFmtId="43" fontId="25" fillId="8" borderId="11" xfId="82" applyNumberFormat="1" applyFont="1" applyFill="1" applyBorder="1" applyAlignment="1">
      <alignment horizontal="center" vertical="center"/>
      <protection locked="0"/>
    </xf>
    <xf numFmtId="43" fontId="25" fillId="8" borderId="2" xfId="82" applyNumberFormat="1" applyFont="1" applyFill="1" applyBorder="1" applyAlignment="1">
      <alignment horizontal="center" vertical="center"/>
      <protection locked="0"/>
    </xf>
    <xf numFmtId="43" fontId="25" fillId="8" borderId="12" xfId="82" applyNumberFormat="1" applyFont="1" applyFill="1" applyBorder="1" applyAlignment="1">
      <alignment horizontal="center" vertical="center"/>
      <protection locked="0"/>
    </xf>
    <xf numFmtId="43" fontId="68" fillId="0" borderId="0" xfId="82" applyNumberFormat="1" applyFont="1" applyBorder="1" applyAlignment="1">
      <alignment horizontal="center" vertical="center"/>
      <protection locked="0"/>
    </xf>
    <xf numFmtId="43" fontId="25" fillId="8" borderId="51" xfId="82" applyNumberFormat="1" applyFont="1" applyFill="1" applyBorder="1" applyAlignment="1">
      <alignment horizontal="center" vertical="center"/>
      <protection locked="0"/>
    </xf>
    <xf numFmtId="43" fontId="25" fillId="8" borderId="32" xfId="82" applyNumberFormat="1" applyFont="1" applyFill="1" applyBorder="1" applyAlignment="1">
      <alignment horizontal="center" vertical="center"/>
      <protection locked="0"/>
    </xf>
    <xf numFmtId="43" fontId="45" fillId="0" borderId="0" xfId="82" applyNumberFormat="1" applyFont="1" applyBorder="1" applyAlignment="1" applyProtection="1">
      <alignment horizontal="center" vertical="center"/>
    </xf>
    <xf numFmtId="184" fontId="25" fillId="0" borderId="58" xfId="80" applyNumberFormat="1" applyFont="1" applyBorder="1" applyAlignment="1" applyProtection="1">
      <alignment horizontal="center" vertical="center"/>
    </xf>
    <xf numFmtId="184" fontId="25" fillId="0" borderId="59" xfId="80" applyNumberFormat="1" applyFont="1" applyBorder="1" applyAlignment="1" applyProtection="1">
      <alignment horizontal="center" vertical="center"/>
    </xf>
    <xf numFmtId="184" fontId="44" fillId="0" borderId="40" xfId="80" applyNumberFormat="1" applyFont="1" applyBorder="1" applyAlignment="1" applyProtection="1">
      <alignment horizontal="center" vertical="center"/>
    </xf>
    <xf numFmtId="184" fontId="44" fillId="0" borderId="43" xfId="80" applyNumberFormat="1" applyFont="1" applyBorder="1" applyAlignment="1" applyProtection="1">
      <alignment horizontal="center" vertical="center"/>
    </xf>
    <xf numFmtId="184" fontId="25" fillId="0" borderId="41" xfId="80" applyNumberFormat="1" applyFont="1" applyBorder="1" applyAlignment="1" applyProtection="1">
      <alignment horizontal="center" vertical="center"/>
    </xf>
    <xf numFmtId="184" fontId="25" fillId="0" borderId="19" xfId="80" applyNumberFormat="1" applyFont="1" applyBorder="1" applyAlignment="1" applyProtection="1">
      <alignment horizontal="center" vertical="center"/>
    </xf>
    <xf numFmtId="184" fontId="44" fillId="0" borderId="40" xfId="80" applyNumberFormat="1" applyFont="1" applyBorder="1" applyAlignment="1" applyProtection="1">
      <alignment horizontal="center" vertical="center" wrapText="1"/>
    </xf>
    <xf numFmtId="184" fontId="44" fillId="0" borderId="43" xfId="80" applyNumberFormat="1" applyFont="1" applyBorder="1" applyAlignment="1" applyProtection="1">
      <alignment horizontal="center" vertical="center" wrapText="1"/>
    </xf>
    <xf numFmtId="31" fontId="1" fillId="0" borderId="0" xfId="82" applyNumberFormat="1" applyFont="1" applyBorder="1" applyAlignment="1" applyProtection="1">
      <alignment horizontal="center" vertical="center"/>
    </xf>
    <xf numFmtId="0" fontId="15" fillId="0" borderId="0" xfId="0" applyFont="1" applyFill="1" applyAlignment="1" applyProtection="1">
      <alignment horizontal="left" vertical="center" shrinkToFit="1"/>
      <protection hidden="1"/>
    </xf>
    <xf numFmtId="43" fontId="68" fillId="0" borderId="0" xfId="82" applyNumberFormat="1" applyFont="1" applyBorder="1" applyAlignment="1" applyProtection="1">
      <alignment horizontal="center" vertical="center"/>
    </xf>
    <xf numFmtId="0" fontId="68" fillId="0" borderId="0" xfId="82" applyFont="1" applyAlignment="1" applyProtection="1">
      <alignment horizontal="center" vertical="center"/>
    </xf>
    <xf numFmtId="0" fontId="15" fillId="0" borderId="0" xfId="0" applyFont="1" applyFill="1" applyAlignment="1" applyProtection="1">
      <alignment horizontal="left" vertical="center" shrinkToFit="1"/>
    </xf>
    <xf numFmtId="43" fontId="25" fillId="0" borderId="2" xfId="82" applyNumberFormat="1" applyFont="1" applyFill="1" applyBorder="1" applyAlignment="1" applyProtection="1">
      <alignment horizontal="center" vertical="center"/>
    </xf>
    <xf numFmtId="43" fontId="25" fillId="0" borderId="12" xfId="82" applyNumberFormat="1" applyFont="1" applyFill="1" applyBorder="1" applyAlignment="1" applyProtection="1">
      <alignment horizontal="center" vertical="center"/>
    </xf>
    <xf numFmtId="31" fontId="47" fillId="0" borderId="2" xfId="82" applyNumberFormat="1" applyFont="1" applyBorder="1" applyAlignment="1" applyProtection="1">
      <alignment horizontal="center" vertical="center"/>
    </xf>
    <xf numFmtId="31" fontId="47" fillId="0" borderId="12" xfId="82" applyNumberFormat="1" applyFont="1" applyBorder="1" applyAlignment="1" applyProtection="1">
      <alignment horizontal="center" vertical="center"/>
    </xf>
    <xf numFmtId="43" fontId="47" fillId="0" borderId="3" xfId="106" applyNumberFormat="1" applyFont="1" applyBorder="1" applyAlignment="1">
      <alignment horizontal="center" vertical="center"/>
    </xf>
    <xf numFmtId="43" fontId="68" fillId="0" borderId="0" xfId="82" applyNumberFormat="1" applyFont="1" applyAlignment="1" applyProtection="1">
      <alignment horizontal="center" vertical="center"/>
    </xf>
    <xf numFmtId="43" fontId="25" fillId="0" borderId="2" xfId="106" applyNumberFormat="1" applyFont="1" applyBorder="1" applyAlignment="1" applyProtection="1">
      <alignment horizontal="center" vertical="center"/>
    </xf>
    <xf numFmtId="43" fontId="25" fillId="0" borderId="12" xfId="106" applyNumberFormat="1" applyFont="1" applyBorder="1" applyAlignment="1" applyProtection="1">
      <alignment horizontal="center" vertical="center"/>
    </xf>
    <xf numFmtId="43" fontId="47" fillId="0" borderId="2" xfId="106" applyNumberFormat="1" applyFont="1" applyBorder="1" applyAlignment="1" applyProtection="1">
      <alignment horizontal="center" vertical="center"/>
    </xf>
    <xf numFmtId="43" fontId="47" fillId="0" borderId="12" xfId="106" applyNumberFormat="1" applyFont="1" applyBorder="1" applyAlignment="1" applyProtection="1">
      <alignment horizontal="center" vertical="center"/>
    </xf>
    <xf numFmtId="43" fontId="82" fillId="0" borderId="0" xfId="82" applyNumberFormat="1" applyFont="1" applyBorder="1" applyAlignment="1" applyProtection="1">
      <alignment horizontal="center" vertical="center"/>
    </xf>
    <xf numFmtId="43" fontId="82" fillId="0" borderId="0" xfId="82" applyNumberFormat="1" applyFont="1" applyBorder="1" applyAlignment="1">
      <alignment horizontal="center" vertical="center"/>
      <protection locked="0"/>
    </xf>
    <xf numFmtId="4" fontId="106" fillId="0" borderId="0" xfId="0" applyNumberFormat="1" applyFont="1" applyFill="1" applyAlignment="1" applyProtection="1">
      <alignment horizontal="center" vertical="center" shrinkToFit="1"/>
    </xf>
    <xf numFmtId="0" fontId="12" fillId="0" borderId="61" xfId="0" applyFont="1" applyFill="1" applyBorder="1" applyAlignment="1" applyProtection="1">
      <alignment horizontal="center" vertical="center" wrapText="1" shrinkToFit="1"/>
    </xf>
    <xf numFmtId="0" fontId="12" fillId="0" borderId="35" xfId="0" applyFont="1" applyFill="1" applyBorder="1" applyAlignment="1" applyProtection="1">
      <alignment horizontal="center" vertical="center" wrapText="1" shrinkToFit="1"/>
    </xf>
    <xf numFmtId="0" fontId="12" fillId="0" borderId="62" xfId="0" applyFont="1" applyFill="1" applyBorder="1" applyAlignment="1" applyProtection="1">
      <alignment horizontal="center" vertical="center" wrapText="1" shrinkToFit="1"/>
    </xf>
    <xf numFmtId="184" fontId="25" fillId="0" borderId="63" xfId="0" applyNumberFormat="1" applyFont="1" applyFill="1" applyBorder="1" applyAlignment="1" applyProtection="1">
      <alignment horizontal="center" vertical="center" shrinkToFit="1"/>
    </xf>
    <xf numFmtId="184" fontId="25" fillId="0" borderId="25" xfId="0" applyNumberFormat="1" applyFont="1" applyFill="1" applyBorder="1" applyAlignment="1" applyProtection="1">
      <alignment horizontal="center" vertical="center" shrinkToFit="1"/>
    </xf>
    <xf numFmtId="184" fontId="25" fillId="0" borderId="43" xfId="0" applyNumberFormat="1" applyFont="1" applyFill="1" applyBorder="1" applyAlignment="1" applyProtection="1">
      <alignment horizontal="center" vertical="center" shrinkToFit="1"/>
    </xf>
    <xf numFmtId="0" fontId="12" fillId="0" borderId="39" xfId="0" applyFont="1" applyBorder="1" applyAlignment="1" applyProtection="1">
      <alignment horizontal="center" vertical="center"/>
    </xf>
    <xf numFmtId="0" fontId="12" fillId="0" borderId="6" xfId="0" applyFont="1" applyBorder="1" applyAlignment="1" applyProtection="1">
      <alignment horizontal="center" vertical="center"/>
    </xf>
    <xf numFmtId="0" fontId="25" fillId="0" borderId="63" xfId="0" applyFont="1" applyFill="1" applyBorder="1" applyAlignment="1" applyProtection="1">
      <alignment horizontal="center" vertical="center" shrinkToFit="1"/>
    </xf>
    <xf numFmtId="0" fontId="25" fillId="0" borderId="25" xfId="0" applyFont="1" applyFill="1" applyBorder="1" applyAlignment="1" applyProtection="1">
      <alignment horizontal="center" vertical="center" shrinkToFit="1"/>
    </xf>
    <xf numFmtId="0" fontId="25" fillId="0" borderId="43" xfId="0" applyFont="1" applyFill="1" applyBorder="1" applyAlignment="1" applyProtection="1">
      <alignment horizontal="center" vertical="center" shrinkToFit="1"/>
    </xf>
    <xf numFmtId="0" fontId="12" fillId="0" borderId="39" xfId="0" applyFont="1" applyFill="1" applyBorder="1" applyAlignment="1" applyProtection="1">
      <alignment horizontal="center" vertical="center" wrapText="1" shrinkToFit="1"/>
    </xf>
    <xf numFmtId="0" fontId="12" fillId="0" borderId="6" xfId="0" applyFont="1" applyFill="1" applyBorder="1" applyAlignment="1" applyProtection="1">
      <alignment horizontal="center" vertical="center" wrapText="1" shrinkToFit="1"/>
    </xf>
    <xf numFmtId="0" fontId="12" fillId="0" borderId="19" xfId="0" applyFont="1" applyFill="1" applyBorder="1" applyAlignment="1" applyProtection="1">
      <alignment horizontal="center" vertical="center" wrapText="1" shrinkToFit="1"/>
    </xf>
    <xf numFmtId="0" fontId="12" fillId="0" borderId="60" xfId="0" applyFont="1" applyFill="1" applyBorder="1" applyAlignment="1" applyProtection="1">
      <alignment horizontal="center" vertical="center" wrapText="1" shrinkToFit="1"/>
    </xf>
    <xf numFmtId="0" fontId="12" fillId="0" borderId="7" xfId="0" applyFont="1" applyFill="1" applyBorder="1" applyAlignment="1" applyProtection="1">
      <alignment horizontal="center" vertical="center" wrapText="1" shrinkToFit="1"/>
    </xf>
    <xf numFmtId="0" fontId="12" fillId="0" borderId="53" xfId="0" applyFont="1" applyFill="1" applyBorder="1" applyAlignment="1" applyProtection="1">
      <alignment horizontal="center" vertical="center" wrapText="1" shrinkToFit="1"/>
    </xf>
    <xf numFmtId="3" fontId="12" fillId="0" borderId="61" xfId="0" applyNumberFormat="1" applyFont="1" applyFill="1" applyBorder="1" applyAlignment="1" applyProtection="1">
      <alignment horizontal="center" vertical="center" wrapText="1" shrinkToFit="1"/>
    </xf>
    <xf numFmtId="3" fontId="12" fillId="0" borderId="35" xfId="0" applyNumberFormat="1" applyFont="1" applyFill="1" applyBorder="1" applyAlignment="1" applyProtection="1">
      <alignment horizontal="center" vertical="center" wrapText="1" shrinkToFit="1"/>
    </xf>
    <xf numFmtId="3" fontId="12" fillId="0" borderId="62" xfId="0" applyNumberFormat="1" applyFont="1" applyFill="1" applyBorder="1" applyAlignment="1" applyProtection="1">
      <alignment horizontal="center" vertical="center" wrapText="1" shrinkToFit="1"/>
    </xf>
    <xf numFmtId="43" fontId="101" fillId="0" borderId="63" xfId="106" applyNumberFormat="1" applyFont="1" applyFill="1" applyBorder="1" applyAlignment="1" applyProtection="1">
      <alignment horizontal="center" vertical="center"/>
    </xf>
    <xf numFmtId="43" fontId="101" fillId="0" borderId="25" xfId="106" applyNumberFormat="1" applyFont="1" applyFill="1" applyBorder="1" applyAlignment="1" applyProtection="1">
      <alignment horizontal="center" vertical="center"/>
    </xf>
    <xf numFmtId="43" fontId="101" fillId="0" borderId="43" xfId="106" applyNumberFormat="1" applyFont="1" applyFill="1" applyBorder="1" applyAlignment="1" applyProtection="1">
      <alignment horizontal="center" vertical="center"/>
    </xf>
    <xf numFmtId="43" fontId="81" fillId="0" borderId="61" xfId="106" applyNumberFormat="1" applyFont="1" applyFill="1" applyBorder="1" applyAlignment="1" applyProtection="1">
      <alignment horizontal="center" vertical="center"/>
    </xf>
    <xf numFmtId="43" fontId="81" fillId="0" borderId="35" xfId="106" applyNumberFormat="1" applyFont="1" applyFill="1" applyBorder="1" applyAlignment="1" applyProtection="1">
      <alignment horizontal="center" vertical="center"/>
    </xf>
    <xf numFmtId="43" fontId="81" fillId="0" borderId="62" xfId="106" applyNumberFormat="1" applyFont="1" applyFill="1" applyBorder="1" applyAlignment="1" applyProtection="1">
      <alignment horizontal="center" vertical="center"/>
    </xf>
    <xf numFmtId="0" fontId="12" fillId="0" borderId="61" xfId="0" applyFont="1" applyBorder="1" applyAlignment="1" applyProtection="1">
      <alignment horizontal="center" vertical="center" wrapText="1"/>
    </xf>
    <xf numFmtId="0" fontId="12" fillId="0" borderId="14" xfId="0" applyFont="1" applyBorder="1" applyAlignment="1" applyProtection="1">
      <alignment horizontal="center" vertical="center"/>
    </xf>
    <xf numFmtId="0" fontId="12" fillId="0" borderId="60" xfId="0" applyFont="1" applyBorder="1" applyAlignment="1" applyProtection="1">
      <alignment horizontal="center" vertical="center"/>
    </xf>
    <xf numFmtId="0" fontId="12" fillId="0" borderId="63" xfId="0" applyFont="1" applyBorder="1" applyAlignment="1" applyProtection="1">
      <alignment horizontal="center" vertical="center"/>
    </xf>
    <xf numFmtId="0" fontId="12" fillId="0" borderId="60" xfId="0" applyFont="1" applyFill="1" applyBorder="1" applyAlignment="1" applyProtection="1">
      <alignment horizontal="center" vertical="center" wrapText="1" shrinkToFit="1"/>
      <protection locked="0"/>
    </xf>
    <xf numFmtId="0" fontId="12" fillId="0" borderId="7" xfId="0" applyFont="1" applyFill="1" applyBorder="1" applyAlignment="1" applyProtection="1">
      <alignment horizontal="center" vertical="center" wrapText="1" shrinkToFit="1"/>
      <protection locked="0"/>
    </xf>
    <xf numFmtId="0" fontId="12" fillId="0" borderId="53" xfId="0" applyFont="1" applyFill="1" applyBorder="1" applyAlignment="1" applyProtection="1">
      <alignment horizontal="center" vertical="center" wrapText="1" shrinkToFit="1"/>
      <protection locked="0"/>
    </xf>
    <xf numFmtId="0" fontId="106" fillId="0" borderId="0" xfId="0" applyFont="1" applyFill="1" applyAlignment="1">
      <alignment horizontal="center"/>
      <protection locked="0"/>
    </xf>
    <xf numFmtId="0" fontId="62" fillId="0" borderId="39" xfId="0" applyFont="1" applyFill="1" applyBorder="1" applyAlignment="1">
      <alignment horizontal="center" vertical="center" shrinkToFit="1"/>
      <protection locked="0"/>
    </xf>
    <xf numFmtId="0" fontId="42" fillId="0" borderId="39" xfId="0" applyFont="1" applyFill="1" applyBorder="1" applyAlignment="1">
      <alignment horizontal="center" vertical="center" shrinkToFit="1"/>
      <protection locked="0"/>
    </xf>
    <xf numFmtId="0" fontId="42" fillId="0" borderId="19" xfId="0" applyFont="1" applyFill="1" applyBorder="1" applyAlignment="1">
      <alignment horizontal="center" vertical="center" shrinkToFit="1"/>
      <protection locked="0"/>
    </xf>
    <xf numFmtId="0" fontId="42" fillId="0" borderId="60" xfId="0" applyFont="1" applyFill="1" applyBorder="1" applyAlignment="1">
      <alignment horizontal="center" vertical="center" shrinkToFit="1"/>
      <protection locked="0"/>
    </xf>
    <xf numFmtId="0" fontId="42" fillId="0" borderId="53" xfId="0" applyFont="1" applyFill="1" applyBorder="1" applyAlignment="1">
      <alignment horizontal="center" vertical="center" shrinkToFit="1"/>
      <protection locked="0"/>
    </xf>
    <xf numFmtId="0" fontId="42" fillId="0" borderId="64" xfId="0" applyFont="1" applyFill="1" applyBorder="1" applyAlignment="1">
      <alignment horizontal="center" vertical="center" shrinkToFit="1"/>
      <protection locked="0"/>
    </xf>
    <xf numFmtId="0" fontId="42" fillId="0" borderId="65" xfId="0" applyFont="1" applyFill="1" applyBorder="1" applyAlignment="1">
      <alignment horizontal="center" vertical="center" shrinkToFit="1"/>
      <protection locked="0"/>
    </xf>
    <xf numFmtId="0" fontId="42" fillId="0" borderId="61" xfId="0" applyFont="1" applyFill="1" applyBorder="1" applyAlignment="1">
      <alignment horizontal="center" vertical="center" shrinkToFit="1"/>
      <protection locked="0"/>
    </xf>
    <xf numFmtId="0" fontId="42" fillId="0" borderId="62" xfId="0" applyFont="1" applyFill="1" applyBorder="1" applyAlignment="1">
      <alignment horizontal="center" vertical="center" shrinkToFit="1"/>
      <protection locked="0"/>
    </xf>
    <xf numFmtId="43" fontId="101" fillId="0" borderId="61" xfId="106" applyNumberFormat="1" applyFont="1" applyFill="1" applyBorder="1" applyAlignment="1" applyProtection="1">
      <alignment horizontal="center" vertical="center" wrapText="1"/>
    </xf>
    <xf numFmtId="43" fontId="101" fillId="0" borderId="35" xfId="106" applyNumberFormat="1" applyFont="1" applyFill="1" applyBorder="1" applyAlignment="1" applyProtection="1">
      <alignment horizontal="center" vertical="center" wrapText="1"/>
    </xf>
    <xf numFmtId="43" fontId="101" fillId="0" borderId="62" xfId="106" applyNumberFormat="1" applyFont="1" applyFill="1" applyBorder="1" applyAlignment="1" applyProtection="1">
      <alignment horizontal="center" vertical="center" wrapText="1"/>
    </xf>
    <xf numFmtId="4" fontId="106" fillId="0" borderId="0" xfId="0" applyNumberFormat="1" applyFont="1" applyFill="1" applyBorder="1" applyAlignment="1" applyProtection="1">
      <alignment horizontal="center" vertical="center" shrinkToFit="1"/>
    </xf>
    <xf numFmtId="0" fontId="12" fillId="0" borderId="39" xfId="0" applyFont="1" applyBorder="1" applyAlignment="1" applyProtection="1">
      <alignment horizontal="center" vertical="center" wrapText="1"/>
    </xf>
    <xf numFmtId="184" fontId="47" fillId="0" borderId="58" xfId="80" applyNumberFormat="1" applyFont="1" applyBorder="1" applyAlignment="1" applyProtection="1">
      <alignment horizontal="center" vertical="center" wrapText="1"/>
    </xf>
    <xf numFmtId="184" fontId="47" fillId="0" borderId="59" xfId="80" applyNumberFormat="1" applyFont="1" applyBorder="1" applyAlignment="1" applyProtection="1">
      <alignment horizontal="center" vertical="center" wrapText="1"/>
    </xf>
    <xf numFmtId="184" fontId="47" fillId="0" borderId="66" xfId="80" applyNumberFormat="1" applyFont="1" applyBorder="1" applyAlignment="1" applyProtection="1">
      <alignment horizontal="center" vertical="center" wrapText="1"/>
    </xf>
    <xf numFmtId="184" fontId="47" fillId="0" borderId="62" xfId="80" applyNumberFormat="1" applyFont="1" applyBorder="1" applyAlignment="1" applyProtection="1">
      <alignment horizontal="center" vertical="center" wrapText="1"/>
    </xf>
    <xf numFmtId="43" fontId="25" fillId="0" borderId="0" xfId="82" applyNumberFormat="1" applyFont="1" applyBorder="1" applyAlignment="1">
      <alignment horizontal="center" vertical="center"/>
      <protection locked="0"/>
    </xf>
    <xf numFmtId="43" fontId="25" fillId="0" borderId="0" xfId="82" applyNumberFormat="1" applyFont="1" applyAlignment="1">
      <alignment vertical="center"/>
      <protection locked="0"/>
    </xf>
    <xf numFmtId="31" fontId="47" fillId="0" borderId="3" xfId="82" applyNumberFormat="1" applyFont="1" applyBorder="1" applyAlignment="1" applyProtection="1">
      <alignment horizontal="center" vertical="center"/>
    </xf>
    <xf numFmtId="43" fontId="47" fillId="0" borderId="3" xfId="106" applyNumberFormat="1" applyFont="1" applyBorder="1" applyAlignment="1" applyProtection="1">
      <alignment horizontal="center" vertical="center"/>
    </xf>
  </cellXfs>
  <cellStyles count="112">
    <cellStyle name="@_text" xfId="2"/>
    <cellStyle name="_2005审计报表及附注-中国建材股份模板（房屋）" xfId="3"/>
    <cellStyle name="_宝丽华房地产20051231" xfId="4"/>
    <cellStyle name="_北新房屋2004年审-刘" xfId="5"/>
    <cellStyle name="_北新股份2005年审工作底稿" xfId="6"/>
    <cellStyle name="_北新建材关连交易基础表051230（10－12月版）更新稿" xfId="7"/>
    <cellStyle name="_北新建材-会计报表附注模版" xfId="8"/>
    <cellStyle name="_北新龙之星2004年审工作底稿" xfId="9"/>
    <cellStyle name="_北新物流2005底稿-刘" xfId="10"/>
    <cellStyle name="_北新置换memo" xfId="11"/>
    <cellStyle name="_存货结转测试" xfId="13"/>
    <cellStyle name="_存货数量与明细05.12" xfId="14"/>
    <cellStyle name="_关联交易" xfId="15"/>
    <cellStyle name="_长期借款－江阴" xfId="12"/>
    <cellStyle name="{Comma [0]}" xfId="16"/>
    <cellStyle name="{Comma}" xfId="17"/>
    <cellStyle name="{Date}" xfId="18"/>
    <cellStyle name="{Month}" xfId="19"/>
    <cellStyle name="{Percent}" xfId="20"/>
    <cellStyle name="{Thousand [0]}" xfId="21"/>
    <cellStyle name="{Thousand}" xfId="22"/>
    <cellStyle name="{Z'0000(1 dec)}" xfId="23"/>
    <cellStyle name="{Z'0000(4 dec)}" xfId="24"/>
    <cellStyle name="Black" xfId="25"/>
    <cellStyle name="Border" xfId="26"/>
    <cellStyle name="Calc Currency (0)" xfId="27"/>
    <cellStyle name="Column_Title" xfId="28"/>
    <cellStyle name="Comma  - Style1" xfId="29"/>
    <cellStyle name="Comma  - Style2" xfId="30"/>
    <cellStyle name="Comma  - Style3" xfId="31"/>
    <cellStyle name="Comma  - Style4" xfId="32"/>
    <cellStyle name="Comma  - Style5" xfId="33"/>
    <cellStyle name="Comma  - Style6" xfId="34"/>
    <cellStyle name="Comma  - Style7" xfId="35"/>
    <cellStyle name="Comma  - Style8" xfId="36"/>
    <cellStyle name="Comma [0]_ rislugp" xfId="37"/>
    <cellStyle name="Comma_ rislugp" xfId="38"/>
    <cellStyle name="Currency [0]_ rislugp" xfId="39"/>
    <cellStyle name="Currency_ rislugp" xfId="40"/>
    <cellStyle name="Dezimal [0]_laroux" xfId="41"/>
    <cellStyle name="Dezimal_laroux" xfId="42"/>
    <cellStyle name="entry" xfId="43"/>
    <cellStyle name="entry box" xfId="44"/>
    <cellStyle name="Euro" xfId="45"/>
    <cellStyle name="Followed Hyperlink_AheadBehind.xls Chart 23" xfId="46"/>
    <cellStyle name="Grey" xfId="47"/>
    <cellStyle name="Header1" xfId="48"/>
    <cellStyle name="Header2" xfId="49"/>
    <cellStyle name="Hyperlink_AheadBehind.xls Chart 23" xfId="50"/>
    <cellStyle name="Input [yellow]" xfId="51"/>
    <cellStyle name="left" xfId="52"/>
    <cellStyle name="Millares [0]_laroux" xfId="53"/>
    <cellStyle name="Millares_laroux" xfId="54"/>
    <cellStyle name="Milliers [0]_laroux" xfId="55"/>
    <cellStyle name="Milliers_laroux" xfId="56"/>
    <cellStyle name="Moneda [0]_laroux" xfId="57"/>
    <cellStyle name="Moneda_laroux" xfId="58"/>
    <cellStyle name="Mon閠aire [0]_laroux" xfId="59"/>
    <cellStyle name="Mon閠aire_laroux" xfId="60"/>
    <cellStyle name="no dec" xfId="61"/>
    <cellStyle name="Non défini" xfId="62"/>
    <cellStyle name="Normal - Style1" xfId="63"/>
    <cellStyle name="Normal_ rislugp" xfId="64"/>
    <cellStyle name="Normalny_Arkusz1" xfId="65"/>
    <cellStyle name="Percent [2]" xfId="66"/>
    <cellStyle name="Prefilled" xfId="67"/>
    <cellStyle name="price" xfId="68"/>
    <cellStyle name="Red" xfId="69"/>
    <cellStyle name="revised" xfId="70"/>
    <cellStyle name="section" xfId="71"/>
    <cellStyle name="style" xfId="72"/>
    <cellStyle name="style1" xfId="73"/>
    <cellStyle name="style2" xfId="74"/>
    <cellStyle name="title" xfId="75"/>
    <cellStyle name="wrap" xfId="76"/>
    <cellStyle name="パーセント_laroux" xfId="77"/>
    <cellStyle name="百分比" xfId="78" builtinId="5"/>
    <cellStyle name="標準_１１月価格表" xfId="79"/>
    <cellStyle name="常规" xfId="0" builtinId="0"/>
    <cellStyle name="常规_2003年调整表1" xfId="80"/>
    <cellStyle name="常规_sheet" xfId="81"/>
    <cellStyle name="常规_审计调整试算平衡表（修改中）" xfId="82"/>
    <cellStyle name="常规_试算表(三建主业)" xfId="83"/>
    <cellStyle name="超链接" xfId="84" builtinId="8"/>
    <cellStyle name="分级显示行_1_4附件二凯旋评估表" xfId="85"/>
    <cellStyle name="桁区切り [0.00]_１１月価格表" xfId="86"/>
    <cellStyle name="桁区切り_１１月価格表" xfId="87"/>
    <cellStyle name="霓付 [0]_97MBO" xfId="93"/>
    <cellStyle name="霓付_97MBO" xfId="94"/>
    <cellStyle name="烹拳 [0]_97MBO" xfId="95"/>
    <cellStyle name="烹拳_97MBO" xfId="96"/>
    <cellStyle name="普通_ 白土" xfId="97"/>
    <cellStyle name="普通_现金流量表" xfId="98"/>
    <cellStyle name="普通_资产负债表" xfId="99"/>
    <cellStyle name="普通_资产负债表_正式合并报表" xfId="100"/>
    <cellStyle name="千分位[0]_ 白土" xfId="101"/>
    <cellStyle name="千分位_ 白土" xfId="102"/>
    <cellStyle name="千位[0]_97汇总" xfId="103"/>
    <cellStyle name="千位_97汇总" xfId="104"/>
    <cellStyle name="千位分隔" xfId="105" builtinId="3"/>
    <cellStyle name="千位分隔[0]_审计调整试算平衡表（修改中）" xfId="106"/>
    <cellStyle name="千位分隔_审计调整试算平衡表（修改中）" xfId="107"/>
    <cellStyle name="千位分隔_试算表(三建主业)" xfId="108"/>
    <cellStyle name="钎霖_laroux" xfId="109"/>
    <cellStyle name="通貨 [0.00]_１１月価格表" xfId="110"/>
    <cellStyle name="通貨_１１月価格表" xfId="111"/>
    <cellStyle name="样式 1" xfId="1"/>
    <cellStyle name="콤마 [0]_BOILER-CO1" xfId="88"/>
    <cellStyle name="콤마_BOILER-CO1" xfId="89"/>
    <cellStyle name="통화 [0]_BOILER-CO1" xfId="90"/>
    <cellStyle name="통화_BOILER-CO1" xfId="91"/>
    <cellStyle name="표준_0N-HANDLING " xfId="92"/>
  </cellStyles>
  <dxfs count="74">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auto="1"/>
      </font>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auto="1"/>
      </font>
      <fill>
        <patternFill patternType="none">
          <bgColor indexed="65"/>
        </patternFill>
      </fill>
    </dxf>
    <dxf>
      <font>
        <condense val="0"/>
        <extend val="0"/>
        <color indexed="10"/>
      </font>
      <fill>
        <patternFill patternType="none">
          <bgColor indexed="65"/>
        </patternFill>
      </fill>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ill>
        <patternFill>
          <bgColor indexed="15"/>
        </patternFill>
      </fill>
    </dxf>
    <dxf>
      <font>
        <b/>
        <i val="0"/>
        <condense val="0"/>
        <extend val="0"/>
      </font>
      <fill>
        <patternFill>
          <bgColor indexed="10"/>
        </patternFill>
      </fill>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0"/>
      </font>
    </dxf>
    <dxf>
      <font>
        <condense val="0"/>
        <extend val="0"/>
        <color indexed="10"/>
      </font>
    </dxf>
    <dxf>
      <font>
        <condense val="0"/>
        <extend val="0"/>
        <color indexed="17"/>
      </font>
    </dxf>
    <dxf>
      <font>
        <condense val="0"/>
        <extend val="0"/>
        <color indexed="10"/>
      </font>
    </dxf>
    <dxf>
      <font>
        <condense val="0"/>
        <extend val="0"/>
        <color indexed="17"/>
      </font>
    </dxf>
    <dxf>
      <font>
        <condense val="0"/>
        <extend val="0"/>
        <color indexed="10"/>
      </font>
    </dxf>
    <dxf>
      <fill>
        <patternFill>
          <bgColor indexed="15"/>
        </patternFill>
      </fill>
    </dxf>
    <dxf>
      <font>
        <b/>
        <i val="0"/>
        <condense val="0"/>
        <extend val="0"/>
      </font>
      <fill>
        <patternFill>
          <bgColor indexed="10"/>
        </patternFill>
      </fill>
    </dxf>
    <dxf>
      <fill>
        <patternFill>
          <bgColor indexed="39"/>
        </patternFill>
      </fill>
    </dxf>
    <dxf>
      <fill>
        <patternFill>
          <bgColor indexed="39"/>
        </patternFill>
      </fill>
    </dxf>
    <dxf>
      <font>
        <condense val="0"/>
        <extend val="0"/>
        <color indexed="10"/>
      </font>
    </dxf>
    <dxf>
      <fill>
        <patternFill>
          <bgColor indexed="39"/>
        </patternFill>
      </fill>
    </dxf>
    <dxf>
      <fill>
        <patternFill>
          <bgColor indexed="39"/>
        </patternFill>
      </fill>
    </dxf>
    <dxf>
      <fill>
        <patternFill>
          <bgColor indexed="39"/>
        </patternFill>
      </fill>
    </dxf>
    <dxf>
      <fill>
        <patternFill>
          <bgColor indexed="39"/>
        </patternFill>
      </fill>
    </dxf>
    <dxf>
      <font>
        <condense val="0"/>
        <extend val="0"/>
        <color indexed="10"/>
      </font>
    </dxf>
    <dxf>
      <fill>
        <patternFill>
          <bgColor indexed="39"/>
        </patternFill>
      </fill>
    </dxf>
    <dxf>
      <fill>
        <patternFill>
          <bgColor indexed="39"/>
        </patternFill>
      </fill>
    </dxf>
    <dxf>
      <font>
        <condense val="0"/>
        <extend val="0"/>
        <color indexed="10"/>
      </font>
    </dxf>
    <dxf>
      <font>
        <condense val="0"/>
        <extend val="0"/>
        <color indexed="10"/>
      </font>
    </dxf>
    <dxf>
      <fill>
        <patternFill>
          <bgColor indexed="39"/>
        </patternFill>
      </fill>
    </dxf>
    <dxf>
      <fill>
        <patternFill>
          <bgColor indexed="39"/>
        </patternFill>
      </fill>
    </dxf>
    <dxf>
      <fill>
        <patternFill>
          <bgColor indexed="15"/>
        </patternFill>
      </fill>
    </dxf>
    <dxf>
      <font>
        <b/>
        <i val="0"/>
        <condense val="0"/>
        <extend val="0"/>
      </font>
      <fill>
        <patternFill>
          <bgColor indexed="10"/>
        </patternFill>
      </fill>
    </dxf>
    <dxf>
      <font>
        <condense val="0"/>
        <extend val="0"/>
        <color indexed="1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E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5.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20" Type="http://schemas.openxmlformats.org/officeDocument/2006/relationships/worksheet" Target="worksheets/sheet20.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dr:oneCellAnchor>
    <xdr:from>
      <xdr:col>0</xdr:col>
      <xdr:colOff>685800</xdr:colOff>
      <xdr:row>7</xdr:row>
      <xdr:rowOff>47625</xdr:rowOff>
    </xdr:from>
    <xdr:ext cx="76200" cy="219075"/>
    <xdr:sp macro="" textlink="">
      <xdr:nvSpPr>
        <xdr:cNvPr id="34817" name="Text Box 1">
          <a:extLst>
            <a:ext uri="{FF2B5EF4-FFF2-40B4-BE49-F238E27FC236}">
              <a16:creationId xmlns:a16="http://schemas.microsoft.com/office/drawing/2014/main" id="{DE870651-1D17-9C46-6CFD-B921CE5FF098}"/>
            </a:ext>
          </a:extLst>
        </xdr:cNvPr>
        <xdr:cNvSpPr txBox="1">
          <a:spLocks noChangeArrowheads="1"/>
        </xdr:cNvSpPr>
      </xdr:nvSpPr>
      <xdr:spPr bwMode="auto">
        <a:xfrm>
          <a:off x="685800" y="129540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685800</xdr:colOff>
      <xdr:row>7</xdr:row>
      <xdr:rowOff>47625</xdr:rowOff>
    </xdr:from>
    <xdr:ext cx="76200" cy="219075"/>
    <xdr:sp macro="" textlink="">
      <xdr:nvSpPr>
        <xdr:cNvPr id="41985" name="Text Box 1">
          <a:extLst>
            <a:ext uri="{FF2B5EF4-FFF2-40B4-BE49-F238E27FC236}">
              <a16:creationId xmlns:a16="http://schemas.microsoft.com/office/drawing/2014/main" id="{A1B740FD-FDCB-728C-951E-14243EC2DE6A}"/>
            </a:ext>
          </a:extLst>
        </xdr:cNvPr>
        <xdr:cNvSpPr txBox="1">
          <a:spLocks noChangeArrowheads="1"/>
        </xdr:cNvSpPr>
      </xdr:nvSpPr>
      <xdr:spPr bwMode="auto">
        <a:xfrm>
          <a:off x="685800" y="14668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46081" name="Text Box 1">
          <a:extLst>
            <a:ext uri="{FF2B5EF4-FFF2-40B4-BE49-F238E27FC236}">
              <a16:creationId xmlns:a16="http://schemas.microsoft.com/office/drawing/2014/main" id="{79DAE282-C946-5705-7176-68367405DCD4}"/>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48129" name="Text Box 1">
          <a:extLst>
            <a:ext uri="{FF2B5EF4-FFF2-40B4-BE49-F238E27FC236}">
              <a16:creationId xmlns:a16="http://schemas.microsoft.com/office/drawing/2014/main" id="{36206506-AF37-A134-02D3-5DC35EC81D76}"/>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676275</xdr:colOff>
      <xdr:row>8</xdr:row>
      <xdr:rowOff>47625</xdr:rowOff>
    </xdr:from>
    <xdr:ext cx="76200" cy="219075"/>
    <xdr:sp macro="" textlink="">
      <xdr:nvSpPr>
        <xdr:cNvPr id="49153" name="Text Box 1">
          <a:extLst>
            <a:ext uri="{FF2B5EF4-FFF2-40B4-BE49-F238E27FC236}">
              <a16:creationId xmlns:a16="http://schemas.microsoft.com/office/drawing/2014/main" id="{2234853D-CB81-E57C-D657-7C9887B3A5B0}"/>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676275</xdr:colOff>
      <xdr:row>8</xdr:row>
      <xdr:rowOff>47625</xdr:rowOff>
    </xdr:from>
    <xdr:ext cx="76200" cy="219075"/>
    <xdr:sp macro="" textlink="">
      <xdr:nvSpPr>
        <xdr:cNvPr id="49154" name="Text Box 2">
          <a:extLst>
            <a:ext uri="{FF2B5EF4-FFF2-40B4-BE49-F238E27FC236}">
              <a16:creationId xmlns:a16="http://schemas.microsoft.com/office/drawing/2014/main" id="{F8F4BFFA-DC18-FAF2-3F08-E6D9AACF88E2}"/>
            </a:ext>
          </a:extLst>
        </xdr:cNvPr>
        <xdr:cNvSpPr txBox="1">
          <a:spLocks noChangeArrowheads="1"/>
        </xdr:cNvSpPr>
      </xdr:nvSpPr>
      <xdr:spPr bwMode="auto">
        <a:xfrm>
          <a:off x="676275"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685800</xdr:colOff>
      <xdr:row>8</xdr:row>
      <xdr:rowOff>47625</xdr:rowOff>
    </xdr:from>
    <xdr:ext cx="76200" cy="219075"/>
    <xdr:sp macro="" textlink="">
      <xdr:nvSpPr>
        <xdr:cNvPr id="50177" name="Text Box 1">
          <a:extLst>
            <a:ext uri="{FF2B5EF4-FFF2-40B4-BE49-F238E27FC236}">
              <a16:creationId xmlns:a16="http://schemas.microsoft.com/office/drawing/2014/main" id="{70C2B1CC-AB39-6AE6-5DB7-2CFA0D12CBF6}"/>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oneCellAnchor>
    <xdr:from>
      <xdr:col>0</xdr:col>
      <xdr:colOff>685800</xdr:colOff>
      <xdr:row>8</xdr:row>
      <xdr:rowOff>47625</xdr:rowOff>
    </xdr:from>
    <xdr:ext cx="76200" cy="219075"/>
    <xdr:sp macro="" textlink="">
      <xdr:nvSpPr>
        <xdr:cNvPr id="50178" name="Text Box 2">
          <a:extLst>
            <a:ext uri="{FF2B5EF4-FFF2-40B4-BE49-F238E27FC236}">
              <a16:creationId xmlns:a16="http://schemas.microsoft.com/office/drawing/2014/main" id="{E4347EEE-1EC9-056E-1BE8-0F7B77194CE0}"/>
            </a:ext>
          </a:extLst>
        </xdr:cNvPr>
        <xdr:cNvSpPr txBox="1">
          <a:spLocks noChangeArrowheads="1"/>
        </xdr:cNvSpPr>
      </xdr:nvSpPr>
      <xdr:spPr bwMode="auto">
        <a:xfrm>
          <a:off x="685800" y="1581150"/>
          <a:ext cx="76200" cy="2190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94;&#21153;/2003&#24180;&#24402;&#26723;/2003&#24180;&#30005;&#23376;&#24402;&#26723;&#26446;&#20339;/&#21513;&#27888;&#23433;/&#25253;&#21578;&#25991;&#20214;/2002&#26631;&#20934;/e-mail&#27807;&#36890;/7&#21495;&#27807;&#36890;/&#21508;&#34892;&#21382;&#27425;&#35843;&#25972;&#34920;/2002.9&#19978;&#24066;/DOCUME~1/405861/LOCALS~1/Temp/audit/2000&#24180;&#19994;&#21153;&#35268;&#33539;/&#25552;&#20379;&#20989;/&#25991;&#26412;&#25552;&#20379;&#20989;/&#19978;&#24066;&#20844;&#21496;/EXCEL/&#23457;&#2668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ufengshou/&#23457;&#35745;&#36164;&#26009;/&#23457;&#35745;&#27169;&#26495;&#26631;&#20934;&#27169;&#26495;/&#23454;&#36136;&#24615;&#27979;&#35797;&#24037;&#20316;&#24213;&#31295;liu/&#20852;&#21326;&#23457;&#35745;/2005&#36136;&#37327;&#25511;&#21046;&#21450;&#24037;&#20316;&#24213;&#31295;/2005&#23457;&#35745;&#24213;&#31295;&#21644;&#35268;&#33539;&#35201;&#27714;(&#19978;&#24066;&#23457;&#35745;&#36866;&#29992;&#65289;/&#20855;&#20307;&#31243;&#24207;&#21450;&#24213;&#31295;/2004/2003audit/&#26032;&#24314;&#25991;&#20214;&#22841;/&#23457;&#35745;&#20934;&#22791;/&#35810;&#35777;&#24213;&#31295;lrx.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5105;&#30340;&#24037;&#20316;/2005&#24180;&#24180;&#23457;/&#21271;&#26032;&#25151;&#23627;2005-&#2101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3457;&#35745;/4&#26376;/2270%20For%20MORGAN-Consolidation%202002-200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32447;&#26448;&#21378;&#26426;&#22120;&#35774;&#22791;&#35780;&#20272;&#26126;&#32454;&#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guzhuwu.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pamail.deloitte.com/WINDOWS/TEMP/INNER%20MONGOLIA%20YITAI%20COAL%20CO.,%20LTD/Working%20Paper/GENERAL/Coal%209912/1999%20Final/3-RCDs/RCD-3%20Properly%20transfer%20from%20CIP%20to%20FA.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25104;&#21697;&#20179;\&#20848;&#33457;&#31185;&#21019;\&#22823;&#38451;&#20998;&#20844;&#21496;\&#22823;&#38451;&#24180;&#23457;04\&#25104;&#21697;&#20179;\&#20848;&#33457;&#31185;&#21019;\&#22823;&#38451;&#20998;&#20844;&#21496;\04&#22823;&#38451;&#20013;&#26399;\&#22823;&#38451;04&#24180;1-6&#26376;&#23384;&#3613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所得税调整"/>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M_5A"/>
      <sheetName val="M_5C"/>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1"/>
      <sheetName val="Sheet2"/>
      <sheetName val="Sheet5"/>
      <sheetName val="Sheet4"/>
      <sheetName val="Sheet6"/>
      <sheetName val="Sheet7"/>
      <sheetName val="Sheet8"/>
      <sheetName val="Sheet9"/>
      <sheetName val="Sheet10"/>
      <sheetName val="Sheet13"/>
      <sheetName val="Sheet17"/>
      <sheetName val="Sheet16"/>
      <sheetName val="Sheet15"/>
      <sheetName val="Sheet14"/>
      <sheetName val="Sheet12"/>
      <sheetName val="Sheet11"/>
      <sheetName val="Sheet3"/>
      <sheetName val="____"/>
      <sheetName val="B"/>
      <sheetName val="分析表2"/>
      <sheetName val="laroux"/>
      <sheetName val="股资 (3)"/>
      <sheetName val="合并利"/>
      <sheetName val="合并资"/>
      <sheetName val="合并利润表 (2)"/>
      <sheetName val="股资 (2)"/>
      <sheetName val="合利 (2)"/>
      <sheetName val="所 (2)"/>
      <sheetName val="因素"/>
      <sheetName val="利润增减表"/>
      <sheetName val="情况"/>
      <sheetName val="情况2"/>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指标表"/>
      <sheetName val="税金"/>
      <sheetName val="汽齿98"/>
      <sheetName val="中弹98"/>
      <sheetName val="本部98"/>
      <sheetName val="公司98"/>
      <sheetName val="本费 (2)"/>
      <sheetName val="间"/>
      <sheetName val="直"/>
      <sheetName val="间 (2)"/>
      <sheetName val="直 (2)"/>
      <sheetName val="衍生金融工具☎细表"/>
      <sheetName val="衍生金融工具?细表"/>
      <sheetName val="王府井"/>
      <sheetName val="王府井 (2)"/>
      <sheetName val="王府井转换表"/>
    </sheetNames>
    <sheetDataSet>
      <sheetData sheetId="0"/>
      <sheetData sheetId="1"/>
      <sheetData sheetId="2"/>
      <sheetData sheetId="3"/>
      <sheetData sheetId="4"/>
      <sheetData sheetId="5"/>
      <sheetData sheetId="6"/>
      <sheetData sheetId="7"/>
      <sheetData sheetId="8"/>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efreshError="1">
        <row r="10">
          <cell r="B10">
            <v>0</v>
          </cell>
          <cell r="C10">
            <v>0</v>
          </cell>
          <cell r="D10">
            <v>0</v>
          </cell>
        </row>
        <row r="14">
          <cell r="B14">
            <v>0</v>
          </cell>
          <cell r="C14">
            <v>0</v>
          </cell>
          <cell r="D14">
            <v>0</v>
          </cell>
        </row>
        <row r="15">
          <cell r="B15">
            <v>0</v>
          </cell>
          <cell r="C15">
            <v>0</v>
          </cell>
          <cell r="D15">
            <v>0</v>
          </cell>
        </row>
      </sheetData>
      <sheetData sheetId="12"/>
      <sheetData sheetId="13" refreshError="1">
        <row r="24">
          <cell r="B24">
            <v>0</v>
          </cell>
          <cell r="D24">
            <v>0</v>
          </cell>
          <cell r="F24">
            <v>0</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银行存款询证明细表"/>
      <sheetName val="其他货币资金询证明细表"/>
      <sheetName val="银行借款询证"/>
      <sheetName val="应收账款函证明细表"/>
      <sheetName val="其他应收款函证明细表"/>
      <sheetName val="预收账款函证明细表"/>
      <sheetName val="应付账款函证明细表"/>
      <sheetName val="其他应付款函证明细表"/>
      <sheetName val="工程往来函证明细表"/>
      <sheetName val="应收票据函证明细表"/>
      <sheetName val="应付票据函证明细表"/>
      <sheetName val="往来询证函"/>
      <sheetName val="异地存货询证函"/>
      <sheetName val="发出商品询证函"/>
      <sheetName val="交易询证函"/>
      <sheetName val="工商询证函"/>
      <sheetName val="房产管理处询证函"/>
      <sheetName val="国税询证函"/>
      <sheetName val="地税询证函"/>
      <sheetName val="银行询证函模板"/>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合同、收入确认、成本结转统计表"/>
      <sheetName val="长期投资"/>
      <sheetName val="长期股权投资"/>
      <sheetName val="股权投资收益"/>
      <sheetName val="应收账款审定表"/>
      <sheetName val="应收账款明细表"/>
      <sheetName val="应收-大额及关联 "/>
      <sheetName val="函证控制表"/>
      <sheetName val="应收账款检查情况表"/>
      <sheetName val="应收账款检查情况表 (2)"/>
      <sheetName val="坏账准备计算表"/>
      <sheetName val="预付帐款"/>
      <sheetName val="预付-大额及关联"/>
      <sheetName val="预付账款明细表"/>
      <sheetName val="预付账款函证控制表"/>
      <sheetName val="temp_temp__"/>
      <sheetName val="预付账款检查情况表"/>
      <sheetName val="应付帐款"/>
      <sheetName val="应付-大额及关联"/>
      <sheetName val="应付账款余额明细表"/>
      <sheetName val="应付账款函证控制表 "/>
      <sheetName val="应付账款检查情况表"/>
      <sheetName val="应付账款检查情况表 (2)"/>
      <sheetName val="预收帐款"/>
      <sheetName val="预收-大额及关联"/>
      <sheetName val="预收账款明细表"/>
      <sheetName val="预收询证函"/>
      <sheetName val="预收账款检查情况表"/>
      <sheetName val="存货审定表"/>
      <sheetName val="存货注释－2"/>
      <sheetName val="原材料明细"/>
      <sheetName val="工程施工明细表"/>
      <sheetName val="12月份原材料收发存"/>
      <sheetName val="12月份包装物收发存"/>
      <sheetName val="12月份低值易耗品收发存"/>
      <sheetName val="12月库存商品收发存"/>
      <sheetName val="存货抽盘表"/>
      <sheetName val="生产成本及销售成本倒轧表"/>
      <sheetName val="生产成本明细表"/>
      <sheetName val="制造费用明细表"/>
      <sheetName val="成本结转表"/>
      <sheetName val="成本结转表 (2)"/>
      <sheetName val="存货单价及计价方法抽查表（修）"/>
      <sheetName val="采购业务检查情况表"/>
      <sheetName val="采购截止测试表"/>
      <sheetName val="应交税金"/>
      <sheetName val="增值税税金测算"/>
      <sheetName val="营业税测算"/>
      <sheetName val="收入检查情况表"/>
      <sheetName val="收入检查情况表 (2)"/>
      <sheetName val="收入检查情况表 (3)"/>
      <sheetName val="主营业务收入、成本审定表"/>
      <sheetName val="主营业务收入及成本按月分析表"/>
      <sheetName val="主营业务收入及成本按品种分析表"/>
      <sheetName val="主营业务收入及成本按销售单位分析表"/>
      <sheetName val="主营业务收入真实性测试表"/>
      <sheetName val="销售截止期检查情况表（修订）"/>
      <sheetName val="产品销售成本检查表"/>
      <sheetName val="主营业务税金及附加  "/>
      <sheetName val="其他业务利润"/>
      <sheetName val="营业外收入、支出"/>
      <sheetName val="长期投资注释－1"/>
      <sheetName val="长期投资注释－2"/>
      <sheetName val="营业税金及附加测算表"/>
      <sheetName val="主营业务收入完整性测试表"/>
      <sheetName val="销售截止期检查情况表"/>
      <sheetName val="所得税纳税调整"/>
      <sheetName val="所得税纳税调整计算"/>
      <sheetName val="支付的其他与经营活动有关的现金"/>
      <sheetName val="现金流量表复核"/>
      <sheetName val="现金流量表复核（附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2"/>
      <sheetName val="Equity movement"/>
      <sheetName val="2003"/>
      <sheetName val="2004"/>
      <sheetName val="2005.4.30"/>
      <sheetName val="Income tax"/>
      <sheetName val="Trade and other payable"/>
      <sheetName val="Trade and other receivable"/>
      <sheetName val="2004.4.30"/>
      <sheetName val="Bank loan"/>
      <sheetName val="Revenue -for disclosure"/>
      <sheetName val="Selling exp-old"/>
      <sheetName val="Pledge of assets"/>
      <sheetName val="PP&amp;E "/>
      <sheetName val="Land for disclosure"/>
      <sheetName val="POC"/>
      <sheetName val="Investment Property"/>
      <sheetName val="Intangible assets"/>
      <sheetName val="Goodwill"/>
      <sheetName val="Segment information-2002"/>
      <sheetName val="Segment information-2005.4.30"/>
      <sheetName val="Segment information-2004.4.30"/>
      <sheetName val="Segment information-2004"/>
      <sheetName val="Segment information-2003"/>
      <sheetName val="Revenue"/>
      <sheetName val="Other operating income"/>
      <sheetName val="Other operating expense"/>
      <sheetName val="Profit from operations"/>
      <sheetName val="G&amp;A "/>
      <sheetName val="Selling exp"/>
      <sheetName val="COS"/>
      <sheetName val="Directors and supervisors"/>
      <sheetName val="前五名高管人员工资"/>
      <sheetName val="Bad debt provision"/>
      <sheetName val="Lease committment"/>
      <sheetName val="Finance cost"/>
      <sheetName val="Profit on deemed disposal"/>
      <sheetName val="G&amp;A-old"/>
      <sheetName val="Change in equity"/>
      <sheetName val="Investments"/>
      <sheetName val="Investments in Associates"/>
      <sheetName val="Share of results of associates"/>
      <sheetName val="Investment in associate for dis"/>
      <sheetName val="Negative goodwill"/>
      <sheetName val="Inventory"/>
      <sheetName val="Capital committment"/>
      <sheetName val="Contingent liability"/>
      <sheetName val="资产置换汇总"/>
      <sheetName val="For disclosure-02-03acquisition"/>
      <sheetName val="Acquisition of subsidiary "/>
      <sheetName val="2004 acquisition for disclosure"/>
      <sheetName val="For disclosure-Disposal"/>
      <sheetName val="合并范围增加影响"/>
      <sheetName val="2005 acquisition for disclosure"/>
      <sheetName val="资产置换2004"/>
      <sheetName val="Disposal of subsidiary"/>
      <sheetName val="资产置换2005"/>
      <sheetName val="Sheet1"/>
      <sheetName val="新收购公司情况"/>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固定资产汇总表"/>
      <sheetName val="线材厂机器设备 (2)"/>
      <sheetName val="线材厂电子设备  (2)"/>
      <sheetName val="线材厂运输设备"/>
      <sheetName val="线材厂固定资产清理"/>
      <sheetName val="线材厂在建工程-设备"/>
    </sheetNames>
    <sheetDataSet>
      <sheetData sheetId="0"/>
      <sheetData sheetId="1"/>
      <sheetData sheetId="2"/>
      <sheetData sheetId="3"/>
      <sheetData sheetId="4"/>
      <sheetData sheetId="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车房屋(新)"/>
      <sheetName val="客车构筑物(新)"/>
    </sheetNames>
    <sheetDataSet>
      <sheetData sheetId="0" refreshError="1"/>
      <sheetData sheetId="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3-1-CIP-movement"/>
      <sheetName val="BR-3-2-1-伊泰大酒店使用情况"/>
      <sheetName val="BR-3-2-2-CIP-Hotel-worksheet"/>
      <sheetName val="BR-3-3-1-曹羊公路收费汇总"/>
      <sheetName val="BR-3-3-2-曹羊公路车流量分析"/>
      <sheetName val="BR-3-3-3-曹羊公路车流量分析图表"/>
      <sheetName val="BR-3-4-CIP vs. LOAN"/>
      <sheetName val="CIP-CY Analysis"/>
      <sheetName val="CIP-Hotel Analysis"/>
      <sheetName val="stop"/>
      <sheetName val="SL-Hotel"/>
      <sheetName val="CIP-Hotel cost per month"/>
      <sheetName val="PBC-Hotel"/>
      <sheetName val="PBC-Cap. Int"/>
      <sheetName val="CIP-Prepayment"/>
      <sheetName val="SL-CaoYang"/>
      <sheetName val="CIP-CY-worksheet"/>
      <sheetName val="CIP-inc.int."/>
      <sheetName val="CIP-inter."/>
      <sheetName val="CIP-bal."/>
      <sheetName val="CIP-BY PROJECT"/>
      <sheetName val="PBC-CIP"/>
      <sheetName val="Adj. of Beg. B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sheetData sheetId="18"/>
      <sheetData sheetId="19" refreshError="1"/>
      <sheetData sheetId="20"/>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检查情况表（采购）"/>
      <sheetName val="检查情况表（生产成本）"/>
      <sheetName val="原材料"/>
      <sheetName val="材料成本差异"/>
      <sheetName val="材料成本差异测算"/>
      <sheetName val="生产成本账"/>
      <sheetName val="生产成本及销售成本倒轧表"/>
      <sheetName val="1-6月成本明细"/>
      <sheetName val="单位成本分析"/>
    </sheetNames>
    <sheetDataSet>
      <sheetData sheetId="0" refreshError="1"/>
      <sheetData sheetId="1" refreshError="1"/>
      <sheetData sheetId="2" refreshError="1"/>
      <sheetData sheetId="3" refreshError="1"/>
      <sheetData sheetId="4" refreshError="1"/>
      <sheetData sheetId="5" refreshError="1">
        <row r="2">
          <cell r="A2" t="str">
            <v>月份</v>
          </cell>
          <cell r="B2" t="str">
            <v>凭证号</v>
          </cell>
          <cell r="C2" t="str">
            <v xml:space="preserve">摘要 </v>
          </cell>
          <cell r="D2" t="str">
            <v>借方金额</v>
          </cell>
        </row>
        <row r="3">
          <cell r="D3" t="str">
            <v>贷方科目</v>
          </cell>
        </row>
        <row r="4">
          <cell r="A4" t="str">
            <v>01</v>
          </cell>
          <cell r="B4" t="str">
            <v>现字     1</v>
          </cell>
          <cell r="C4" t="str">
            <v>付高新亮差费</v>
          </cell>
        </row>
        <row r="5">
          <cell r="A5" t="str">
            <v>01</v>
          </cell>
          <cell r="B5" t="str">
            <v>现字    13</v>
          </cell>
          <cell r="C5" t="str">
            <v>付牛云龙通讯费</v>
          </cell>
        </row>
        <row r="6">
          <cell r="A6" t="str">
            <v>01</v>
          </cell>
          <cell r="B6" t="str">
            <v>现字    31</v>
          </cell>
          <cell r="C6" t="str">
            <v>付乔马东制作卡证款</v>
          </cell>
        </row>
        <row r="7">
          <cell r="A7" t="str">
            <v>01</v>
          </cell>
          <cell r="B7" t="str">
            <v>现字    34</v>
          </cell>
          <cell r="C7" t="str">
            <v>付杨炳瑞书款</v>
          </cell>
        </row>
        <row r="8">
          <cell r="A8" t="str">
            <v>01</v>
          </cell>
          <cell r="B8" t="str">
            <v>现字    41</v>
          </cell>
          <cell r="C8" t="str">
            <v>付刘跃林另工费</v>
          </cell>
        </row>
        <row r="9">
          <cell r="A9" t="str">
            <v>01</v>
          </cell>
          <cell r="B9" t="str">
            <v>现字    58</v>
          </cell>
          <cell r="C9" t="str">
            <v>付王永岭等三人差费</v>
          </cell>
        </row>
        <row r="10">
          <cell r="A10" t="str">
            <v>01</v>
          </cell>
          <cell r="B10" t="str">
            <v>转字    15</v>
          </cell>
          <cell r="C10" t="str">
            <v>冲生产成本</v>
          </cell>
        </row>
        <row r="11">
          <cell r="A11" t="str">
            <v>01</v>
          </cell>
          <cell r="B11" t="str">
            <v>转字    15</v>
          </cell>
          <cell r="C11" t="str">
            <v>冲生产成本</v>
          </cell>
        </row>
        <row r="12">
          <cell r="A12" t="str">
            <v>01</v>
          </cell>
          <cell r="B12" t="str">
            <v>转字    18</v>
          </cell>
          <cell r="C12" t="str">
            <v>生产用其它材料</v>
          </cell>
        </row>
        <row r="13">
          <cell r="A13" t="str">
            <v>01</v>
          </cell>
          <cell r="B13" t="str">
            <v>转字    18</v>
          </cell>
          <cell r="C13" t="str">
            <v>生产用普机配件</v>
          </cell>
        </row>
        <row r="14">
          <cell r="A14" t="str">
            <v>01</v>
          </cell>
          <cell r="B14" t="str">
            <v>转字    18</v>
          </cell>
          <cell r="C14" t="str">
            <v>生产用材料差异</v>
          </cell>
        </row>
        <row r="15">
          <cell r="A15" t="str">
            <v>01</v>
          </cell>
          <cell r="B15" t="str">
            <v>转字    18</v>
          </cell>
          <cell r="C15" t="str">
            <v>生产用劳保用品</v>
          </cell>
        </row>
        <row r="16">
          <cell r="A16" t="str">
            <v>01</v>
          </cell>
          <cell r="B16" t="str">
            <v>转字    18</v>
          </cell>
          <cell r="C16" t="str">
            <v>生产用电缆</v>
          </cell>
        </row>
        <row r="17">
          <cell r="A17" t="str">
            <v>01</v>
          </cell>
          <cell r="B17" t="str">
            <v>转字    18</v>
          </cell>
          <cell r="C17" t="str">
            <v>生产用运输皮带</v>
          </cell>
        </row>
        <row r="18">
          <cell r="A18" t="str">
            <v>01</v>
          </cell>
          <cell r="B18" t="str">
            <v>转字    18</v>
          </cell>
          <cell r="C18" t="str">
            <v>生产用钢材</v>
          </cell>
        </row>
        <row r="19">
          <cell r="A19" t="str">
            <v>01</v>
          </cell>
          <cell r="B19" t="str">
            <v>转字    18</v>
          </cell>
          <cell r="C19" t="str">
            <v>生产用雷管</v>
          </cell>
        </row>
        <row r="20">
          <cell r="A20" t="str">
            <v>01</v>
          </cell>
          <cell r="B20" t="str">
            <v>转字    18</v>
          </cell>
          <cell r="C20" t="str">
            <v>生产用钢铁管</v>
          </cell>
        </row>
        <row r="21">
          <cell r="A21" t="str">
            <v>01</v>
          </cell>
          <cell r="B21" t="str">
            <v>转字    18</v>
          </cell>
          <cell r="C21" t="str">
            <v>生产用钢丝绳</v>
          </cell>
        </row>
        <row r="22">
          <cell r="A22" t="str">
            <v>01</v>
          </cell>
          <cell r="B22" t="str">
            <v>转字    18</v>
          </cell>
          <cell r="C22" t="str">
            <v>生产用坑木</v>
          </cell>
        </row>
        <row r="23">
          <cell r="A23" t="str">
            <v>01</v>
          </cell>
          <cell r="B23" t="str">
            <v>转字    18</v>
          </cell>
          <cell r="C23" t="str">
            <v>生产用金属网</v>
          </cell>
        </row>
        <row r="24">
          <cell r="A24" t="str">
            <v>01</v>
          </cell>
          <cell r="B24" t="str">
            <v>转字    18</v>
          </cell>
          <cell r="C24" t="str">
            <v>生产用火药</v>
          </cell>
        </row>
        <row r="25">
          <cell r="A25" t="str">
            <v>01</v>
          </cell>
          <cell r="B25" t="str">
            <v>转字    22</v>
          </cell>
          <cell r="C25" t="str">
            <v>提本月折旧基金68581*10</v>
          </cell>
        </row>
        <row r="26">
          <cell r="A26" t="str">
            <v>01</v>
          </cell>
          <cell r="B26" t="str">
            <v>转字    24</v>
          </cell>
          <cell r="C26" t="str">
            <v>提本月育林基金68581*0.25</v>
          </cell>
        </row>
        <row r="27">
          <cell r="A27" t="str">
            <v>01</v>
          </cell>
          <cell r="B27" t="str">
            <v>转字    25</v>
          </cell>
          <cell r="C27" t="str">
            <v>结转本月电费</v>
          </cell>
        </row>
        <row r="28">
          <cell r="A28" t="str">
            <v>01</v>
          </cell>
          <cell r="B28" t="str">
            <v>转字    26</v>
          </cell>
          <cell r="C28" t="str">
            <v>由2004年元月份电费进项税转出额提税金入</v>
          </cell>
        </row>
        <row r="29">
          <cell r="A29" t="str">
            <v>01</v>
          </cell>
          <cell r="B29" t="str">
            <v>转字    27</v>
          </cell>
          <cell r="C29" t="str">
            <v>提本月工资</v>
          </cell>
        </row>
        <row r="30">
          <cell r="A30" t="str">
            <v>01</v>
          </cell>
          <cell r="B30" t="str">
            <v>转字    28</v>
          </cell>
          <cell r="C30" t="str">
            <v>提本月福利费19455.4*14%</v>
          </cell>
        </row>
        <row r="31">
          <cell r="A31" t="str">
            <v>01</v>
          </cell>
          <cell r="B31" t="str">
            <v>转字    29</v>
          </cell>
          <cell r="C31" t="str">
            <v>由关联额转入</v>
          </cell>
        </row>
        <row r="32">
          <cell r="C32" t="str">
            <v>本月合计</v>
          </cell>
          <cell r="D32">
            <v>3295902.01</v>
          </cell>
        </row>
        <row r="33">
          <cell r="A33" t="str">
            <v>02</v>
          </cell>
          <cell r="B33" t="str">
            <v>现字     3</v>
          </cell>
          <cell r="C33" t="str">
            <v>靳连瑞报差旅费</v>
          </cell>
        </row>
        <row r="34">
          <cell r="A34" t="str">
            <v>02</v>
          </cell>
          <cell r="B34" t="str">
            <v>现字    38</v>
          </cell>
          <cell r="C34" t="str">
            <v>付牛云龙差费</v>
          </cell>
        </row>
        <row r="35">
          <cell r="A35" t="str">
            <v>02</v>
          </cell>
          <cell r="B35" t="str">
            <v>现字    50</v>
          </cell>
          <cell r="C35" t="str">
            <v>由李红军报通风图板制作入</v>
          </cell>
        </row>
        <row r="36">
          <cell r="A36" t="str">
            <v>02</v>
          </cell>
          <cell r="B36" t="str">
            <v>转字    43</v>
          </cell>
          <cell r="C36" t="str">
            <v>提本月福利费</v>
          </cell>
        </row>
        <row r="37">
          <cell r="A37" t="str">
            <v>02</v>
          </cell>
          <cell r="B37" t="str">
            <v>转字    55</v>
          </cell>
          <cell r="C37" t="str">
            <v>结转2004年2月份电费</v>
          </cell>
        </row>
        <row r="38">
          <cell r="A38" t="str">
            <v>02</v>
          </cell>
          <cell r="B38" t="str">
            <v>转字    56</v>
          </cell>
          <cell r="C38" t="str">
            <v>生产领用劳保用品</v>
          </cell>
        </row>
        <row r="39">
          <cell r="A39" t="str">
            <v>02</v>
          </cell>
          <cell r="B39" t="str">
            <v>转字    56</v>
          </cell>
          <cell r="C39" t="str">
            <v>生产领用其他材料</v>
          </cell>
        </row>
        <row r="40">
          <cell r="A40" t="str">
            <v>02</v>
          </cell>
          <cell r="B40" t="str">
            <v>转字    56</v>
          </cell>
          <cell r="C40" t="str">
            <v>生产用材料差异</v>
          </cell>
        </row>
        <row r="41">
          <cell r="A41" t="str">
            <v>02</v>
          </cell>
          <cell r="B41" t="str">
            <v>转字    56</v>
          </cell>
          <cell r="C41" t="str">
            <v>生产领用专用工具</v>
          </cell>
        </row>
        <row r="42">
          <cell r="A42" t="str">
            <v>02</v>
          </cell>
          <cell r="B42" t="str">
            <v>转字    56</v>
          </cell>
          <cell r="C42" t="str">
            <v>生产领用配件</v>
          </cell>
        </row>
        <row r="43">
          <cell r="A43" t="str">
            <v>02</v>
          </cell>
          <cell r="B43" t="str">
            <v>转字    56</v>
          </cell>
          <cell r="C43" t="str">
            <v>生产领用配件</v>
          </cell>
        </row>
        <row r="44">
          <cell r="A44" t="str">
            <v>02</v>
          </cell>
          <cell r="B44" t="str">
            <v>转字    56</v>
          </cell>
          <cell r="C44" t="str">
            <v>生产领用矿灯</v>
          </cell>
        </row>
        <row r="45">
          <cell r="A45" t="str">
            <v>02</v>
          </cell>
          <cell r="B45" t="str">
            <v>转字    56</v>
          </cell>
          <cell r="C45" t="str">
            <v>生产领用7.5KW以上电机</v>
          </cell>
        </row>
        <row r="46">
          <cell r="A46" t="str">
            <v>02</v>
          </cell>
          <cell r="B46" t="str">
            <v>转字    56</v>
          </cell>
          <cell r="C46" t="str">
            <v>生产领用10KWA以下开关</v>
          </cell>
        </row>
        <row r="47">
          <cell r="A47" t="str">
            <v>02</v>
          </cell>
          <cell r="B47" t="str">
            <v>转字    56</v>
          </cell>
          <cell r="C47" t="str">
            <v>生产领用电缆</v>
          </cell>
        </row>
        <row r="48">
          <cell r="A48" t="str">
            <v>02</v>
          </cell>
          <cell r="B48" t="str">
            <v>转字    56</v>
          </cell>
          <cell r="C48" t="str">
            <v>生产领用钢材</v>
          </cell>
        </row>
        <row r="49">
          <cell r="A49" t="str">
            <v>02</v>
          </cell>
          <cell r="B49" t="str">
            <v>转字    56</v>
          </cell>
          <cell r="C49" t="str">
            <v>生产领用电煤钻</v>
          </cell>
        </row>
        <row r="50">
          <cell r="A50" t="str">
            <v>02</v>
          </cell>
          <cell r="B50" t="str">
            <v>转字    56</v>
          </cell>
          <cell r="C50" t="str">
            <v>生产领用雷管</v>
          </cell>
        </row>
        <row r="51">
          <cell r="A51" t="str">
            <v>02</v>
          </cell>
          <cell r="B51" t="str">
            <v>转字    56</v>
          </cell>
          <cell r="C51" t="str">
            <v>生产领用钢铁管</v>
          </cell>
        </row>
        <row r="52">
          <cell r="A52" t="str">
            <v>02</v>
          </cell>
          <cell r="B52" t="str">
            <v>转字    56</v>
          </cell>
          <cell r="C52" t="str">
            <v>生产领用钢丝绳</v>
          </cell>
        </row>
        <row r="53">
          <cell r="A53" t="str">
            <v>02</v>
          </cell>
          <cell r="B53" t="str">
            <v>转字    56</v>
          </cell>
          <cell r="C53" t="str">
            <v>生产领用坑木</v>
          </cell>
        </row>
        <row r="54">
          <cell r="A54" t="str">
            <v>02</v>
          </cell>
          <cell r="B54" t="str">
            <v>转字    56</v>
          </cell>
          <cell r="C54" t="str">
            <v>生产领用坑代品</v>
          </cell>
        </row>
        <row r="55">
          <cell r="A55" t="str">
            <v>02</v>
          </cell>
          <cell r="B55" t="str">
            <v>转字    56</v>
          </cell>
          <cell r="C55" t="str">
            <v>生产领用火药</v>
          </cell>
        </row>
        <row r="56">
          <cell r="A56" t="str">
            <v>02</v>
          </cell>
          <cell r="B56" t="str">
            <v>转字    58</v>
          </cell>
          <cell r="C56" t="str">
            <v>提本月累计折旧130652*10</v>
          </cell>
        </row>
        <row r="57">
          <cell r="A57" t="str">
            <v>02</v>
          </cell>
          <cell r="B57" t="str">
            <v>转字    60</v>
          </cell>
          <cell r="C57" t="str">
            <v>提本月育林基金130652*0.25</v>
          </cell>
        </row>
        <row r="58">
          <cell r="A58" t="str">
            <v>02</v>
          </cell>
          <cell r="B58" t="str">
            <v>转字    62</v>
          </cell>
          <cell r="C58" t="str">
            <v>由二月份电费进项税转出提税金入</v>
          </cell>
        </row>
        <row r="59">
          <cell r="A59" t="str">
            <v>02</v>
          </cell>
          <cell r="B59" t="str">
            <v>转字    63</v>
          </cell>
          <cell r="C59" t="str">
            <v>由关联额转入</v>
          </cell>
        </row>
        <row r="60">
          <cell r="A60" t="str">
            <v>02</v>
          </cell>
          <cell r="B60" t="str">
            <v>转字    64</v>
          </cell>
          <cell r="C60" t="str">
            <v>提本月工资</v>
          </cell>
        </row>
        <row r="61">
          <cell r="A61" t="str">
            <v>02</v>
          </cell>
          <cell r="B61" t="str">
            <v>现字    95</v>
          </cell>
          <cell r="C61" t="str">
            <v>由常洁报差旅费入</v>
          </cell>
        </row>
        <row r="62">
          <cell r="A62" t="str">
            <v>02</v>
          </cell>
          <cell r="C62" t="str">
            <v>本月合计</v>
          </cell>
          <cell r="D62">
            <v>6269056.8600000003</v>
          </cell>
        </row>
        <row r="63">
          <cell r="A63" t="str">
            <v>03</v>
          </cell>
          <cell r="B63" t="str">
            <v>现字    21</v>
          </cell>
          <cell r="C63" t="str">
            <v>收电费</v>
          </cell>
        </row>
        <row r="64">
          <cell r="A64" t="str">
            <v>03</v>
          </cell>
          <cell r="B64" t="str">
            <v>现字    28</v>
          </cell>
          <cell r="C64" t="str">
            <v>收电费</v>
          </cell>
        </row>
        <row r="65">
          <cell r="A65" t="str">
            <v>03</v>
          </cell>
          <cell r="B65" t="str">
            <v>现字    31</v>
          </cell>
          <cell r="C65" t="str">
            <v>收电费</v>
          </cell>
        </row>
        <row r="66">
          <cell r="A66" t="str">
            <v>03</v>
          </cell>
          <cell r="B66" t="str">
            <v>转字     1</v>
          </cell>
          <cell r="C66" t="str">
            <v>出售废铁提税金入</v>
          </cell>
        </row>
        <row r="67">
          <cell r="A67" t="str">
            <v>03</v>
          </cell>
          <cell r="B67" t="str">
            <v>现字    35</v>
          </cell>
          <cell r="C67" t="str">
            <v>出售废铁冲成本</v>
          </cell>
        </row>
        <row r="68">
          <cell r="A68" t="str">
            <v>03</v>
          </cell>
          <cell r="B68" t="str">
            <v>现字    54</v>
          </cell>
          <cell r="C68" t="str">
            <v>由魏杨敏报修理费入</v>
          </cell>
        </row>
        <row r="69">
          <cell r="A69" t="str">
            <v>03</v>
          </cell>
          <cell r="B69" t="str">
            <v>银字    43</v>
          </cell>
          <cell r="C69" t="str">
            <v>入联轴器修理费</v>
          </cell>
        </row>
        <row r="70">
          <cell r="A70" t="str">
            <v>03</v>
          </cell>
          <cell r="B70" t="str">
            <v>现字    62</v>
          </cell>
          <cell r="C70" t="str">
            <v>由常洁报晒图费、办公用品、差旅费入</v>
          </cell>
        </row>
        <row r="71">
          <cell r="A71" t="str">
            <v>03</v>
          </cell>
          <cell r="B71" t="str">
            <v>现字    66</v>
          </cell>
          <cell r="C71" t="str">
            <v>由牛和平报修理费入</v>
          </cell>
        </row>
        <row r="72">
          <cell r="A72" t="str">
            <v>03</v>
          </cell>
          <cell r="B72" t="str">
            <v>现字    79</v>
          </cell>
          <cell r="C72" t="str">
            <v>由魏杨敏报修理费入</v>
          </cell>
        </row>
        <row r="73">
          <cell r="A73" t="str">
            <v>03</v>
          </cell>
          <cell r="B73" t="str">
            <v>现字    81</v>
          </cell>
          <cell r="C73" t="str">
            <v>由高新亮报零工费、复印费入</v>
          </cell>
        </row>
        <row r="74">
          <cell r="A74" t="str">
            <v>03</v>
          </cell>
          <cell r="B74" t="str">
            <v>转字    35</v>
          </cell>
          <cell r="C74" t="str">
            <v>入生产成本</v>
          </cell>
        </row>
        <row r="75">
          <cell r="A75" t="str">
            <v>03</v>
          </cell>
          <cell r="B75" t="str">
            <v>转字    36</v>
          </cell>
          <cell r="C75" t="str">
            <v>冲生产成本</v>
          </cell>
        </row>
        <row r="76">
          <cell r="A76" t="str">
            <v>03</v>
          </cell>
          <cell r="B76" t="str">
            <v>转字    36</v>
          </cell>
          <cell r="C76" t="str">
            <v>冲生产成本</v>
          </cell>
        </row>
        <row r="77">
          <cell r="A77" t="str">
            <v>03</v>
          </cell>
          <cell r="B77" t="str">
            <v>转字    55</v>
          </cell>
          <cell r="C77" t="str">
            <v>收电费进项税转出、提各项税金入</v>
          </cell>
        </row>
        <row r="78">
          <cell r="A78" t="str">
            <v>03</v>
          </cell>
          <cell r="B78" t="str">
            <v>转字    59</v>
          </cell>
          <cell r="C78" t="str">
            <v>提本月福利费188227.1*14%</v>
          </cell>
        </row>
        <row r="79">
          <cell r="A79" t="str">
            <v>03</v>
          </cell>
          <cell r="B79" t="str">
            <v>转字    62</v>
          </cell>
          <cell r="C79" t="str">
            <v>入三月份电费</v>
          </cell>
        </row>
        <row r="80">
          <cell r="A80" t="str">
            <v>03</v>
          </cell>
          <cell r="B80" t="str">
            <v>转字    63</v>
          </cell>
          <cell r="C80" t="str">
            <v>三月份外转应收电费进项税转出应提城建税、教育费附加、价调基金入</v>
          </cell>
        </row>
        <row r="81">
          <cell r="A81" t="str">
            <v>03</v>
          </cell>
          <cell r="B81" t="str">
            <v>转字    64</v>
          </cell>
          <cell r="C81" t="str">
            <v>出售废铁提税金入成本</v>
          </cell>
        </row>
        <row r="82">
          <cell r="A82" t="str">
            <v>03</v>
          </cell>
          <cell r="B82" t="str">
            <v>转字    66</v>
          </cell>
          <cell r="C82" t="str">
            <v>提本月累计折旧144892*10</v>
          </cell>
        </row>
        <row r="83">
          <cell r="A83" t="str">
            <v>03</v>
          </cell>
          <cell r="B83" t="str">
            <v>转字    68</v>
          </cell>
          <cell r="C83" t="str">
            <v>提本月育林基金144892*0.25</v>
          </cell>
        </row>
        <row r="84">
          <cell r="A84" t="str">
            <v>03</v>
          </cell>
          <cell r="B84" t="str">
            <v>转字    72</v>
          </cell>
          <cell r="C84" t="str">
            <v>生产领用其他材料</v>
          </cell>
        </row>
        <row r="85">
          <cell r="A85" t="str">
            <v>03</v>
          </cell>
          <cell r="B85" t="str">
            <v>转字    72</v>
          </cell>
          <cell r="C85" t="str">
            <v>生产领用其他</v>
          </cell>
        </row>
        <row r="86">
          <cell r="A86" t="str">
            <v>03</v>
          </cell>
          <cell r="B86" t="str">
            <v>转字    72</v>
          </cell>
          <cell r="C86" t="str">
            <v>入材料差异</v>
          </cell>
        </row>
        <row r="87">
          <cell r="A87" t="str">
            <v>03</v>
          </cell>
          <cell r="B87" t="str">
            <v>转字    72</v>
          </cell>
          <cell r="C87" t="str">
            <v>生产领用劳保用品</v>
          </cell>
        </row>
        <row r="88">
          <cell r="A88" t="str">
            <v>03</v>
          </cell>
          <cell r="B88" t="str">
            <v>转字    72</v>
          </cell>
          <cell r="C88" t="str">
            <v>生产领用自救器</v>
          </cell>
        </row>
        <row r="89">
          <cell r="A89" t="str">
            <v>03</v>
          </cell>
          <cell r="B89" t="str">
            <v>转字    72</v>
          </cell>
          <cell r="C89" t="str">
            <v>生产领用其他</v>
          </cell>
        </row>
        <row r="90">
          <cell r="A90" t="str">
            <v>03</v>
          </cell>
          <cell r="B90" t="str">
            <v>转字    72</v>
          </cell>
          <cell r="C90" t="str">
            <v>生产领用普机配件</v>
          </cell>
        </row>
        <row r="91">
          <cell r="A91" t="str">
            <v>03</v>
          </cell>
          <cell r="B91" t="str">
            <v>转字    72</v>
          </cell>
          <cell r="C91" t="str">
            <v>生产领用电煤钻</v>
          </cell>
        </row>
        <row r="92">
          <cell r="A92" t="str">
            <v>03</v>
          </cell>
          <cell r="B92" t="str">
            <v>转字    72</v>
          </cell>
          <cell r="C92" t="str">
            <v>生产领用矿灯</v>
          </cell>
        </row>
        <row r="93">
          <cell r="A93" t="str">
            <v>03</v>
          </cell>
          <cell r="B93" t="str">
            <v>转字    72</v>
          </cell>
          <cell r="C93" t="str">
            <v>生产领用四吨以下矿车</v>
          </cell>
        </row>
        <row r="94">
          <cell r="A94" t="str">
            <v>03</v>
          </cell>
          <cell r="B94" t="str">
            <v>转字    72</v>
          </cell>
          <cell r="C94" t="str">
            <v>生产领用电缆</v>
          </cell>
        </row>
        <row r="95">
          <cell r="A95" t="str">
            <v>03</v>
          </cell>
          <cell r="B95" t="str">
            <v>转字    72</v>
          </cell>
          <cell r="C95" t="str">
            <v>生产领用运输皮带</v>
          </cell>
        </row>
        <row r="96">
          <cell r="A96" t="str">
            <v>03</v>
          </cell>
          <cell r="B96" t="str">
            <v>转字    72</v>
          </cell>
          <cell r="C96" t="str">
            <v>生产领用钢材</v>
          </cell>
        </row>
        <row r="97">
          <cell r="A97" t="str">
            <v>03</v>
          </cell>
          <cell r="B97" t="str">
            <v>转字    72</v>
          </cell>
          <cell r="C97" t="str">
            <v>生产领用雷管</v>
          </cell>
        </row>
        <row r="98">
          <cell r="A98" t="str">
            <v>03</v>
          </cell>
          <cell r="B98" t="str">
            <v>转字    72</v>
          </cell>
          <cell r="C98" t="str">
            <v>生产领用钢铁管</v>
          </cell>
        </row>
        <row r="99">
          <cell r="A99" t="str">
            <v>03</v>
          </cell>
          <cell r="B99" t="str">
            <v>转字    72</v>
          </cell>
          <cell r="C99" t="str">
            <v>生产领用钢丝绳</v>
          </cell>
        </row>
        <row r="100">
          <cell r="A100" t="str">
            <v>03</v>
          </cell>
          <cell r="B100" t="str">
            <v>转字    72</v>
          </cell>
          <cell r="C100" t="str">
            <v>生产领用坑木</v>
          </cell>
        </row>
        <row r="101">
          <cell r="A101" t="str">
            <v>03</v>
          </cell>
          <cell r="B101" t="str">
            <v>转字    72</v>
          </cell>
          <cell r="C101" t="str">
            <v>生产领用金属网</v>
          </cell>
        </row>
        <row r="102">
          <cell r="A102" t="str">
            <v>03</v>
          </cell>
          <cell r="B102" t="str">
            <v>转字    72</v>
          </cell>
          <cell r="C102" t="str">
            <v>生产领用火药</v>
          </cell>
        </row>
        <row r="103">
          <cell r="A103" t="str">
            <v>03</v>
          </cell>
          <cell r="B103" t="str">
            <v>转字    73</v>
          </cell>
          <cell r="C103" t="str">
            <v>提本月生产系统人员工资</v>
          </cell>
        </row>
        <row r="104">
          <cell r="A104" t="str">
            <v>03</v>
          </cell>
          <cell r="B104" t="str">
            <v>转字    76</v>
          </cell>
          <cell r="C104" t="str">
            <v>由关联交易转入</v>
          </cell>
        </row>
        <row r="105">
          <cell r="A105" t="str">
            <v>03</v>
          </cell>
          <cell r="B105" t="str">
            <v>现字   105</v>
          </cell>
          <cell r="C105" t="str">
            <v>出售废铁冲成本</v>
          </cell>
        </row>
        <row r="106">
          <cell r="A106" t="str">
            <v>03</v>
          </cell>
          <cell r="C106" t="str">
            <v>本月合计</v>
          </cell>
          <cell r="D106">
            <v>6920848.0499999998</v>
          </cell>
        </row>
        <row r="107">
          <cell r="A107" t="str">
            <v>04</v>
          </cell>
          <cell r="B107" t="str">
            <v>现字     8</v>
          </cell>
          <cell r="C107" t="str">
            <v>收电费（小用户）冲成本</v>
          </cell>
        </row>
        <row r="108">
          <cell r="A108" t="str">
            <v>04</v>
          </cell>
          <cell r="B108" t="str">
            <v>现字    19</v>
          </cell>
          <cell r="C108" t="str">
            <v>由王庆弟报会务费入</v>
          </cell>
        </row>
        <row r="109">
          <cell r="A109" t="str">
            <v>04</v>
          </cell>
          <cell r="B109" t="str">
            <v>现字    36</v>
          </cell>
          <cell r="C109" t="str">
            <v>收电费</v>
          </cell>
        </row>
        <row r="110">
          <cell r="A110" t="str">
            <v>04</v>
          </cell>
          <cell r="B110" t="str">
            <v>现字    45</v>
          </cell>
          <cell r="C110" t="str">
            <v>由常洁报差旅费入</v>
          </cell>
        </row>
        <row r="111">
          <cell r="A111" t="str">
            <v>04</v>
          </cell>
          <cell r="B111" t="str">
            <v>转字    16</v>
          </cell>
          <cell r="C111" t="str">
            <v>扣除火工品款</v>
          </cell>
        </row>
        <row r="112">
          <cell r="A112" t="str">
            <v>04</v>
          </cell>
          <cell r="B112" t="str">
            <v>转字    16</v>
          </cell>
          <cell r="C112" t="str">
            <v>扣除火工品款</v>
          </cell>
        </row>
        <row r="113">
          <cell r="A113" t="str">
            <v>04</v>
          </cell>
          <cell r="B113" t="str">
            <v>转字    17</v>
          </cell>
          <cell r="C113" t="str">
            <v>扣除火工品款</v>
          </cell>
        </row>
        <row r="114">
          <cell r="A114" t="str">
            <v>04</v>
          </cell>
          <cell r="B114" t="str">
            <v>转字    17</v>
          </cell>
          <cell r="C114" t="str">
            <v>扣除火工品款</v>
          </cell>
        </row>
        <row r="115">
          <cell r="A115" t="str">
            <v>04</v>
          </cell>
          <cell r="B115" t="str">
            <v>转字    39</v>
          </cell>
          <cell r="C115" t="str">
            <v>由李斌报差旅费入</v>
          </cell>
        </row>
        <row r="116">
          <cell r="A116" t="str">
            <v>04</v>
          </cell>
          <cell r="B116" t="str">
            <v>转字    39</v>
          </cell>
          <cell r="C116" t="str">
            <v>由李斌报培训费入</v>
          </cell>
        </row>
        <row r="117">
          <cell r="A117" t="str">
            <v>04</v>
          </cell>
          <cell r="B117" t="str">
            <v>转字    48</v>
          </cell>
          <cell r="C117" t="str">
            <v>冲3月份转64号凭证</v>
          </cell>
        </row>
        <row r="118">
          <cell r="A118" t="str">
            <v>04</v>
          </cell>
          <cell r="B118" t="str">
            <v>转字    49</v>
          </cell>
          <cell r="C118" t="str">
            <v>调整3月现字105号</v>
          </cell>
        </row>
        <row r="119">
          <cell r="A119" t="str">
            <v>04</v>
          </cell>
          <cell r="B119" t="str">
            <v>转字    50</v>
          </cell>
          <cell r="C119" t="str">
            <v>调整3月转55号多提税金</v>
          </cell>
        </row>
        <row r="120">
          <cell r="A120" t="str">
            <v>04</v>
          </cell>
          <cell r="B120" t="str">
            <v>转字    51</v>
          </cell>
          <cell r="C120" t="str">
            <v>4月份收电费提税金入</v>
          </cell>
        </row>
        <row r="121">
          <cell r="A121" t="str">
            <v>04</v>
          </cell>
          <cell r="B121" t="str">
            <v>转字    63</v>
          </cell>
          <cell r="C121" t="str">
            <v>2003年让售材料应交增值税及补提税金入</v>
          </cell>
        </row>
        <row r="122">
          <cell r="A122" t="str">
            <v>04</v>
          </cell>
          <cell r="B122" t="str">
            <v>转字    64</v>
          </cell>
          <cell r="C122" t="str">
            <v>调3月现35号凭证</v>
          </cell>
        </row>
        <row r="123">
          <cell r="A123" t="str">
            <v>04</v>
          </cell>
          <cell r="B123" t="str">
            <v>转字    65</v>
          </cell>
          <cell r="C123" t="str">
            <v>冲3月转1号凭证</v>
          </cell>
        </row>
        <row r="124">
          <cell r="A124" t="str">
            <v>04</v>
          </cell>
          <cell r="B124" t="str">
            <v>转字    66</v>
          </cell>
          <cell r="C124" t="str">
            <v>调2003年应做进项税转出材料</v>
          </cell>
        </row>
        <row r="125">
          <cell r="A125" t="str">
            <v>04</v>
          </cell>
          <cell r="B125" t="str">
            <v>转字    66</v>
          </cell>
          <cell r="C125" t="str">
            <v>调2003年应做进项税转出材料</v>
          </cell>
        </row>
        <row r="126">
          <cell r="A126" t="str">
            <v>04</v>
          </cell>
          <cell r="B126" t="str">
            <v>转字    68</v>
          </cell>
          <cell r="C126" t="str">
            <v>调03年12月转90号材料应入固定资产进项税出提税金入</v>
          </cell>
        </row>
        <row r="127">
          <cell r="A127" t="str">
            <v>04</v>
          </cell>
          <cell r="B127" t="str">
            <v>现字    85</v>
          </cell>
          <cell r="C127" t="str">
            <v>由张军报洗煤厂技术实用手册及新技术资料费入</v>
          </cell>
        </row>
        <row r="128">
          <cell r="A128" t="str">
            <v>04</v>
          </cell>
          <cell r="B128" t="str">
            <v>现字    88</v>
          </cell>
          <cell r="C128" t="str">
            <v>由牛和平报激振器修理费入</v>
          </cell>
        </row>
        <row r="129">
          <cell r="A129" t="str">
            <v>04</v>
          </cell>
          <cell r="B129" t="str">
            <v>转字    75</v>
          </cell>
          <cell r="C129" t="str">
            <v>提本月福利费1622433.05*14%</v>
          </cell>
        </row>
        <row r="130">
          <cell r="A130" t="str">
            <v>04</v>
          </cell>
          <cell r="B130" t="str">
            <v>转字    78</v>
          </cell>
          <cell r="C130" t="str">
            <v>调三月份非生产领用材料</v>
          </cell>
        </row>
        <row r="131">
          <cell r="A131" t="str">
            <v>04</v>
          </cell>
          <cell r="B131" t="str">
            <v>转字    78</v>
          </cell>
          <cell r="C131" t="str">
            <v>调三月份非生产领用材料</v>
          </cell>
        </row>
        <row r="132">
          <cell r="A132" t="str">
            <v>04</v>
          </cell>
          <cell r="B132" t="str">
            <v>转字    78</v>
          </cell>
          <cell r="C132" t="str">
            <v>调三月份非生产领用材料</v>
          </cell>
        </row>
        <row r="133">
          <cell r="A133" t="str">
            <v>04</v>
          </cell>
          <cell r="B133" t="str">
            <v>转字    78</v>
          </cell>
          <cell r="C133" t="str">
            <v>调三月份非生产领用材料</v>
          </cell>
        </row>
        <row r="134">
          <cell r="A134" t="str">
            <v>04</v>
          </cell>
          <cell r="B134" t="str">
            <v>转字    78</v>
          </cell>
          <cell r="C134" t="str">
            <v>调三月份非生产领用材料</v>
          </cell>
        </row>
        <row r="135">
          <cell r="A135" t="str">
            <v>04</v>
          </cell>
          <cell r="B135" t="str">
            <v>转字    81</v>
          </cell>
          <cell r="C135" t="str">
            <v>由生产领用原材料入</v>
          </cell>
        </row>
        <row r="136">
          <cell r="A136" t="str">
            <v>04</v>
          </cell>
          <cell r="B136" t="str">
            <v>转字    81</v>
          </cell>
          <cell r="C136" t="str">
            <v>由生产领用原材料入</v>
          </cell>
        </row>
        <row r="137">
          <cell r="A137" t="str">
            <v>04</v>
          </cell>
          <cell r="B137" t="str">
            <v>转字    81</v>
          </cell>
          <cell r="C137" t="str">
            <v>由生产领用原材料入</v>
          </cell>
        </row>
        <row r="138">
          <cell r="A138" t="str">
            <v>04</v>
          </cell>
          <cell r="B138" t="str">
            <v>转字    81</v>
          </cell>
          <cell r="C138" t="str">
            <v>由生产领用原材料入</v>
          </cell>
        </row>
        <row r="139">
          <cell r="A139" t="str">
            <v>04</v>
          </cell>
          <cell r="B139" t="str">
            <v>转字    81</v>
          </cell>
          <cell r="C139" t="str">
            <v>由生产领用原材料入</v>
          </cell>
        </row>
        <row r="140">
          <cell r="A140" t="str">
            <v>04</v>
          </cell>
          <cell r="B140" t="str">
            <v>转字    81</v>
          </cell>
          <cell r="C140" t="str">
            <v>由生产领用原材料入</v>
          </cell>
        </row>
        <row r="141">
          <cell r="A141" t="str">
            <v>04</v>
          </cell>
          <cell r="B141" t="str">
            <v>转字    81</v>
          </cell>
          <cell r="C141" t="str">
            <v>由生产领用原材料入</v>
          </cell>
        </row>
        <row r="142">
          <cell r="A142" t="str">
            <v>04</v>
          </cell>
          <cell r="B142" t="str">
            <v>转字    81</v>
          </cell>
          <cell r="C142" t="str">
            <v>由生产领用原材料入</v>
          </cell>
        </row>
        <row r="143">
          <cell r="A143" t="str">
            <v>04</v>
          </cell>
          <cell r="B143" t="str">
            <v>转字    81</v>
          </cell>
          <cell r="C143" t="str">
            <v>由生产领用原材料入</v>
          </cell>
        </row>
        <row r="144">
          <cell r="A144" t="str">
            <v>04</v>
          </cell>
          <cell r="B144" t="str">
            <v>转字    81</v>
          </cell>
          <cell r="C144" t="str">
            <v>由生产领用原材料入</v>
          </cell>
        </row>
        <row r="145">
          <cell r="A145" t="str">
            <v>04</v>
          </cell>
          <cell r="B145" t="str">
            <v>转字    81</v>
          </cell>
          <cell r="C145" t="str">
            <v>由生产领用原材料入</v>
          </cell>
        </row>
        <row r="146">
          <cell r="A146" t="str">
            <v>04</v>
          </cell>
          <cell r="B146" t="str">
            <v>转字    81</v>
          </cell>
          <cell r="C146" t="str">
            <v>由生产领用原材料入</v>
          </cell>
        </row>
        <row r="147">
          <cell r="A147" t="str">
            <v>04</v>
          </cell>
          <cell r="B147" t="str">
            <v>转字    81</v>
          </cell>
          <cell r="C147" t="str">
            <v>由生产领用原材料入</v>
          </cell>
        </row>
        <row r="148">
          <cell r="A148" t="str">
            <v>04</v>
          </cell>
          <cell r="B148" t="str">
            <v>转字    81</v>
          </cell>
          <cell r="C148" t="str">
            <v>由生产领用原材料入</v>
          </cell>
        </row>
        <row r="149">
          <cell r="A149" t="str">
            <v>04</v>
          </cell>
          <cell r="B149" t="str">
            <v>转字    81</v>
          </cell>
          <cell r="C149" t="str">
            <v>由生产领用原材料入</v>
          </cell>
        </row>
        <row r="150">
          <cell r="A150" t="str">
            <v>04</v>
          </cell>
          <cell r="B150" t="str">
            <v>转字    84</v>
          </cell>
          <cell r="C150" t="str">
            <v>提本月折旧142347*10</v>
          </cell>
        </row>
        <row r="151">
          <cell r="A151" t="str">
            <v>04</v>
          </cell>
          <cell r="B151" t="str">
            <v>转字    86</v>
          </cell>
          <cell r="C151" t="str">
            <v>提本月育林基金142347*0.25</v>
          </cell>
        </row>
        <row r="152">
          <cell r="A152" t="str">
            <v>04</v>
          </cell>
          <cell r="B152" t="str">
            <v>转字    89</v>
          </cell>
          <cell r="C152" t="str">
            <v>提本月工资</v>
          </cell>
        </row>
        <row r="153">
          <cell r="A153" t="str">
            <v>04</v>
          </cell>
          <cell r="B153" t="str">
            <v>转字    90</v>
          </cell>
          <cell r="C153" t="str">
            <v>提本月电费</v>
          </cell>
        </row>
        <row r="154">
          <cell r="A154" t="str">
            <v>04</v>
          </cell>
          <cell r="B154" t="str">
            <v>转字    91</v>
          </cell>
          <cell r="C154" t="str">
            <v>由关联交易转入</v>
          </cell>
        </row>
        <row r="155">
          <cell r="A155" t="str">
            <v>04</v>
          </cell>
          <cell r="B155" t="str">
            <v>转字    99</v>
          </cell>
          <cell r="C155" t="str">
            <v>补转63号少提</v>
          </cell>
        </row>
        <row r="156">
          <cell r="A156" t="str">
            <v>04</v>
          </cell>
          <cell r="B156" t="str">
            <v>转字   100</v>
          </cell>
          <cell r="C156" t="str">
            <v>结转本月生产成本</v>
          </cell>
        </row>
        <row r="157">
          <cell r="C157" t="str">
            <v>本月合计</v>
          </cell>
          <cell r="D157">
            <v>6589588.5</v>
          </cell>
        </row>
        <row r="158">
          <cell r="A158" t="str">
            <v>05</v>
          </cell>
          <cell r="B158" t="str">
            <v>转字     2</v>
          </cell>
          <cell r="C158" t="str">
            <v>由高新亮报费用入</v>
          </cell>
        </row>
        <row r="159">
          <cell r="A159" t="str">
            <v>05</v>
          </cell>
          <cell r="B159" t="str">
            <v>现字    30</v>
          </cell>
          <cell r="C159" t="str">
            <v>收电费冲成本94/1.17</v>
          </cell>
        </row>
        <row r="160">
          <cell r="A160" t="str">
            <v>05</v>
          </cell>
          <cell r="B160" t="str">
            <v>现字    59</v>
          </cell>
          <cell r="C160" t="str">
            <v>由机电科报钢丝绳试验费入</v>
          </cell>
        </row>
        <row r="161">
          <cell r="A161" t="str">
            <v>05</v>
          </cell>
          <cell r="B161" t="str">
            <v>现字    62</v>
          </cell>
          <cell r="C161" t="str">
            <v>由李红军报费用入</v>
          </cell>
        </row>
        <row r="162">
          <cell r="A162" t="str">
            <v>05</v>
          </cell>
          <cell r="B162" t="str">
            <v>转字    11</v>
          </cell>
          <cell r="C162" t="str">
            <v>由范军红报其他费入</v>
          </cell>
        </row>
        <row r="163">
          <cell r="A163" t="str">
            <v>05</v>
          </cell>
          <cell r="B163" t="str">
            <v>转字    32</v>
          </cell>
          <cell r="C163" t="str">
            <v>入其他费用</v>
          </cell>
        </row>
        <row r="164">
          <cell r="A164" t="str">
            <v>05</v>
          </cell>
          <cell r="B164" t="str">
            <v>转字    38</v>
          </cell>
          <cell r="C164" t="str">
            <v>扣除火工品款</v>
          </cell>
        </row>
        <row r="165">
          <cell r="A165" t="str">
            <v>05</v>
          </cell>
          <cell r="B165" t="str">
            <v>转字    38</v>
          </cell>
          <cell r="C165" t="str">
            <v>扣除火工品款</v>
          </cell>
        </row>
        <row r="166">
          <cell r="A166" t="str">
            <v>05</v>
          </cell>
          <cell r="B166" t="str">
            <v>银字    48</v>
          </cell>
          <cell r="C166" t="str">
            <v>入仪器检定费</v>
          </cell>
        </row>
        <row r="167">
          <cell r="A167" t="str">
            <v>05</v>
          </cell>
          <cell r="B167" t="str">
            <v>银字    49</v>
          </cell>
          <cell r="C167" t="str">
            <v>入锅炉检验费</v>
          </cell>
        </row>
        <row r="168">
          <cell r="A168" t="str">
            <v>05</v>
          </cell>
          <cell r="B168" t="str">
            <v>现字    82</v>
          </cell>
          <cell r="C168" t="str">
            <v>入费用</v>
          </cell>
        </row>
        <row r="169">
          <cell r="A169" t="str">
            <v>05</v>
          </cell>
          <cell r="B169" t="str">
            <v>转字    48</v>
          </cell>
          <cell r="C169" t="str">
            <v>冲4月份预提电费</v>
          </cell>
        </row>
        <row r="170">
          <cell r="A170" t="str">
            <v>05</v>
          </cell>
          <cell r="B170" t="str">
            <v>转字    49</v>
          </cell>
          <cell r="C170" t="str">
            <v>入4月份电费</v>
          </cell>
        </row>
        <row r="171">
          <cell r="A171" t="str">
            <v>05</v>
          </cell>
          <cell r="B171" t="str">
            <v>现字    84</v>
          </cell>
          <cell r="C171" t="str">
            <v>入费用</v>
          </cell>
        </row>
        <row r="172">
          <cell r="A172" t="str">
            <v>05</v>
          </cell>
          <cell r="B172" t="str">
            <v>现字    87</v>
          </cell>
          <cell r="C172" t="str">
            <v>入费用</v>
          </cell>
        </row>
        <row r="173">
          <cell r="A173" t="str">
            <v>05</v>
          </cell>
          <cell r="B173" t="str">
            <v>转字    51</v>
          </cell>
          <cell r="C173" t="str">
            <v>电费进项税转出提税金</v>
          </cell>
        </row>
        <row r="174">
          <cell r="A174" t="str">
            <v>05</v>
          </cell>
          <cell r="B174" t="str">
            <v>转字    56</v>
          </cell>
          <cell r="C174" t="str">
            <v>提本月福利费</v>
          </cell>
        </row>
        <row r="175">
          <cell r="A175" t="str">
            <v>05</v>
          </cell>
          <cell r="B175" t="str">
            <v>转字    67</v>
          </cell>
          <cell r="C175" t="str">
            <v>提本月折旧156847*10</v>
          </cell>
        </row>
        <row r="176">
          <cell r="A176" t="str">
            <v>05</v>
          </cell>
          <cell r="B176" t="str">
            <v>转字    69</v>
          </cell>
          <cell r="C176" t="str">
            <v>提育林基金156847*0.25</v>
          </cell>
        </row>
        <row r="177">
          <cell r="A177" t="str">
            <v>05</v>
          </cell>
          <cell r="B177" t="str">
            <v>转字    72</v>
          </cell>
          <cell r="C177" t="str">
            <v>由生产领用原材料入</v>
          </cell>
        </row>
        <row r="178">
          <cell r="A178" t="str">
            <v>05</v>
          </cell>
          <cell r="B178" t="str">
            <v>转字    72</v>
          </cell>
          <cell r="C178" t="str">
            <v>由生产领用原材料入</v>
          </cell>
        </row>
        <row r="179">
          <cell r="A179" t="str">
            <v>05</v>
          </cell>
          <cell r="B179" t="str">
            <v>转字    72</v>
          </cell>
          <cell r="C179" t="str">
            <v>由生产领用原材料入</v>
          </cell>
        </row>
        <row r="180">
          <cell r="A180" t="str">
            <v>05</v>
          </cell>
          <cell r="B180" t="str">
            <v>转字    72</v>
          </cell>
          <cell r="C180" t="str">
            <v>由生产领用原材料入</v>
          </cell>
        </row>
        <row r="181">
          <cell r="A181" t="str">
            <v>05</v>
          </cell>
          <cell r="B181" t="str">
            <v>转字    72</v>
          </cell>
          <cell r="C181" t="str">
            <v>由生产领用原材料入</v>
          </cell>
        </row>
        <row r="182">
          <cell r="A182" t="str">
            <v>05</v>
          </cell>
          <cell r="B182" t="str">
            <v>转字    72</v>
          </cell>
          <cell r="C182" t="str">
            <v>由生产领用原材料入</v>
          </cell>
        </row>
        <row r="183">
          <cell r="A183" t="str">
            <v>05</v>
          </cell>
          <cell r="B183" t="str">
            <v>转字    72</v>
          </cell>
          <cell r="C183" t="str">
            <v>由生产领用原材料入</v>
          </cell>
        </row>
        <row r="184">
          <cell r="A184" t="str">
            <v>05</v>
          </cell>
          <cell r="B184" t="str">
            <v>转字    72</v>
          </cell>
          <cell r="C184" t="str">
            <v>由生产领用原材料入</v>
          </cell>
        </row>
        <row r="185">
          <cell r="A185" t="str">
            <v>05</v>
          </cell>
          <cell r="B185" t="str">
            <v>转字    72</v>
          </cell>
          <cell r="C185" t="str">
            <v>由生产领用原材料入</v>
          </cell>
        </row>
        <row r="186">
          <cell r="A186" t="str">
            <v>05</v>
          </cell>
          <cell r="B186" t="str">
            <v>转字    72</v>
          </cell>
          <cell r="C186" t="str">
            <v>由生产领用原材料入</v>
          </cell>
        </row>
        <row r="187">
          <cell r="A187" t="str">
            <v>05</v>
          </cell>
          <cell r="B187" t="str">
            <v>转字    72</v>
          </cell>
          <cell r="C187" t="str">
            <v>由生产领用原材料入</v>
          </cell>
        </row>
        <row r="188">
          <cell r="A188" t="str">
            <v>05</v>
          </cell>
          <cell r="B188" t="str">
            <v>转字    72</v>
          </cell>
          <cell r="C188" t="str">
            <v>由生产领用原材料入</v>
          </cell>
        </row>
        <row r="189">
          <cell r="A189" t="str">
            <v>05</v>
          </cell>
          <cell r="B189" t="str">
            <v>转字    72</v>
          </cell>
          <cell r="C189" t="str">
            <v>由生产领用原材料入</v>
          </cell>
        </row>
        <row r="190">
          <cell r="A190" t="str">
            <v>05</v>
          </cell>
          <cell r="B190" t="str">
            <v>转字    72</v>
          </cell>
          <cell r="C190" t="str">
            <v>由生产领用原材料入</v>
          </cell>
        </row>
        <row r="191">
          <cell r="A191" t="str">
            <v>05</v>
          </cell>
          <cell r="B191" t="str">
            <v>转字    72</v>
          </cell>
          <cell r="C191" t="str">
            <v>由生产领用原材料入</v>
          </cell>
        </row>
        <row r="192">
          <cell r="A192" t="str">
            <v>05</v>
          </cell>
          <cell r="B192" t="str">
            <v>转字    72</v>
          </cell>
          <cell r="C192" t="str">
            <v>由生产领用原材料入</v>
          </cell>
        </row>
        <row r="193">
          <cell r="A193" t="str">
            <v>05</v>
          </cell>
          <cell r="B193" t="str">
            <v>转字    73</v>
          </cell>
          <cell r="C193" t="str">
            <v>提本月工资</v>
          </cell>
        </row>
        <row r="194">
          <cell r="A194" t="str">
            <v>05</v>
          </cell>
          <cell r="B194" t="str">
            <v>转字    74</v>
          </cell>
          <cell r="C194" t="str">
            <v>提本月电费</v>
          </cell>
        </row>
        <row r="195">
          <cell r="A195" t="str">
            <v>05</v>
          </cell>
          <cell r="B195" t="str">
            <v>转字    75</v>
          </cell>
          <cell r="C195" t="str">
            <v>由关联交易入</v>
          </cell>
        </row>
        <row r="196">
          <cell r="A196" t="str">
            <v>05</v>
          </cell>
          <cell r="B196" t="str">
            <v>现字   104</v>
          </cell>
          <cell r="C196" t="str">
            <v>入其他费用</v>
          </cell>
        </row>
        <row r="197">
          <cell r="A197" t="str">
            <v>05</v>
          </cell>
          <cell r="C197" t="str">
            <v>本月合计</v>
          </cell>
          <cell r="D197">
            <v>7065431.1399999997</v>
          </cell>
        </row>
        <row r="198">
          <cell r="A198" t="str">
            <v>06</v>
          </cell>
          <cell r="B198" t="str">
            <v>现字    40</v>
          </cell>
          <cell r="C198" t="str">
            <v>收电费冲成本</v>
          </cell>
        </row>
        <row r="199">
          <cell r="A199" t="str">
            <v>06</v>
          </cell>
          <cell r="B199" t="str">
            <v>现字    44</v>
          </cell>
          <cell r="C199" t="str">
            <v>入其他费用</v>
          </cell>
        </row>
        <row r="200">
          <cell r="A200" t="str">
            <v>06</v>
          </cell>
          <cell r="B200" t="str">
            <v>现字    46</v>
          </cell>
          <cell r="C200" t="str">
            <v>入其他费用</v>
          </cell>
        </row>
        <row r="201">
          <cell r="A201" t="str">
            <v>06</v>
          </cell>
          <cell r="B201" t="str">
            <v>现字    57</v>
          </cell>
          <cell r="C201" t="str">
            <v>收电费冲成本</v>
          </cell>
        </row>
        <row r="202">
          <cell r="A202" t="str">
            <v>06</v>
          </cell>
          <cell r="B202" t="str">
            <v>转字    13</v>
          </cell>
          <cell r="C202" t="str">
            <v>差旅费入</v>
          </cell>
        </row>
        <row r="203">
          <cell r="A203" t="str">
            <v>06</v>
          </cell>
          <cell r="B203" t="str">
            <v>现字    67</v>
          </cell>
          <cell r="C203" t="str">
            <v>差旅费入</v>
          </cell>
        </row>
        <row r="204">
          <cell r="A204" t="str">
            <v>06</v>
          </cell>
          <cell r="B204" t="str">
            <v>现字    82</v>
          </cell>
          <cell r="C204" t="str">
            <v>入费用</v>
          </cell>
        </row>
        <row r="205">
          <cell r="A205" t="str">
            <v>06</v>
          </cell>
          <cell r="B205" t="str">
            <v>转字    20</v>
          </cell>
          <cell r="C205" t="str">
            <v>入费用</v>
          </cell>
        </row>
        <row r="206">
          <cell r="A206" t="str">
            <v>06</v>
          </cell>
          <cell r="B206" t="str">
            <v>转字    40</v>
          </cell>
          <cell r="C206" t="str">
            <v>入费用</v>
          </cell>
        </row>
        <row r="207">
          <cell r="A207" t="str">
            <v>06</v>
          </cell>
          <cell r="B207" t="str">
            <v>现字   103</v>
          </cell>
          <cell r="C207" t="str">
            <v>入费用</v>
          </cell>
        </row>
        <row r="208">
          <cell r="A208" t="str">
            <v>06</v>
          </cell>
          <cell r="B208" t="str">
            <v>转字    45</v>
          </cell>
          <cell r="C208" t="str">
            <v>冲五月份预提电费</v>
          </cell>
        </row>
        <row r="209">
          <cell r="A209" t="str">
            <v>06</v>
          </cell>
          <cell r="B209" t="str">
            <v>转字    46</v>
          </cell>
          <cell r="C209" t="str">
            <v>入五月份电费</v>
          </cell>
        </row>
        <row r="210">
          <cell r="A210" t="str">
            <v>06</v>
          </cell>
          <cell r="B210" t="str">
            <v>转字    47</v>
          </cell>
          <cell r="C210" t="str">
            <v>电费进项税转出提税金</v>
          </cell>
        </row>
        <row r="211">
          <cell r="A211" t="str">
            <v>06</v>
          </cell>
          <cell r="B211" t="str">
            <v>转字    77</v>
          </cell>
          <cell r="C211" t="str">
            <v>提本月福利费1664299.8*14%</v>
          </cell>
        </row>
        <row r="212">
          <cell r="A212" t="str">
            <v>06</v>
          </cell>
          <cell r="B212" t="str">
            <v>转字    80</v>
          </cell>
          <cell r="C212" t="str">
            <v>提本月折旧114194*10</v>
          </cell>
        </row>
        <row r="213">
          <cell r="A213" t="str">
            <v>06</v>
          </cell>
          <cell r="B213" t="str">
            <v>转字    82</v>
          </cell>
          <cell r="C213" t="str">
            <v>提育林基金114194*0.25</v>
          </cell>
        </row>
        <row r="214">
          <cell r="A214" t="str">
            <v>06</v>
          </cell>
          <cell r="B214" t="str">
            <v>转字    84</v>
          </cell>
          <cell r="C214" t="str">
            <v>由生产领用原材料入</v>
          </cell>
        </row>
        <row r="215">
          <cell r="A215" t="str">
            <v>06</v>
          </cell>
          <cell r="B215" t="str">
            <v>转字    84</v>
          </cell>
          <cell r="C215" t="str">
            <v>由生产领用原材料入</v>
          </cell>
        </row>
        <row r="216">
          <cell r="A216" t="str">
            <v>06</v>
          </cell>
          <cell r="B216" t="str">
            <v>转字    84</v>
          </cell>
          <cell r="C216" t="str">
            <v>由生产领用原材料入</v>
          </cell>
        </row>
        <row r="217">
          <cell r="A217" t="str">
            <v>06</v>
          </cell>
          <cell r="B217" t="str">
            <v>转字    84</v>
          </cell>
          <cell r="C217" t="str">
            <v>由生产领用原材料入</v>
          </cell>
        </row>
        <row r="218">
          <cell r="A218" t="str">
            <v>06</v>
          </cell>
          <cell r="B218" t="str">
            <v>转字    84</v>
          </cell>
          <cell r="C218" t="str">
            <v>由生产领用原材料入</v>
          </cell>
        </row>
        <row r="219">
          <cell r="A219" t="str">
            <v>06</v>
          </cell>
          <cell r="B219" t="str">
            <v>转字    84</v>
          </cell>
          <cell r="C219" t="str">
            <v>由生产领用原材料入</v>
          </cell>
        </row>
        <row r="220">
          <cell r="A220" t="str">
            <v>06</v>
          </cell>
          <cell r="B220" t="str">
            <v>转字    84</v>
          </cell>
          <cell r="C220" t="str">
            <v>由生产领用原材料入</v>
          </cell>
        </row>
        <row r="221">
          <cell r="A221" t="str">
            <v>06</v>
          </cell>
          <cell r="B221" t="str">
            <v>转字    84</v>
          </cell>
          <cell r="C221" t="str">
            <v>由生产领用原材料入</v>
          </cell>
        </row>
        <row r="222">
          <cell r="A222" t="str">
            <v>06</v>
          </cell>
          <cell r="B222" t="str">
            <v>转字    84</v>
          </cell>
          <cell r="C222" t="str">
            <v>由生产领用原材料入</v>
          </cell>
        </row>
        <row r="223">
          <cell r="A223" t="str">
            <v>06</v>
          </cell>
          <cell r="B223" t="str">
            <v>转字    84</v>
          </cell>
          <cell r="C223" t="str">
            <v>由生产领用原材料入</v>
          </cell>
        </row>
        <row r="224">
          <cell r="A224" t="str">
            <v>06</v>
          </cell>
          <cell r="B224" t="str">
            <v>转字    84</v>
          </cell>
          <cell r="C224" t="str">
            <v>由生产领用原材料入</v>
          </cell>
        </row>
        <row r="225">
          <cell r="A225" t="str">
            <v>06</v>
          </cell>
          <cell r="B225" t="str">
            <v>转字    84</v>
          </cell>
          <cell r="C225" t="str">
            <v>由生产领用原材料入</v>
          </cell>
        </row>
        <row r="226">
          <cell r="A226" t="str">
            <v>06</v>
          </cell>
          <cell r="B226" t="str">
            <v>转字    84</v>
          </cell>
          <cell r="C226" t="str">
            <v>由生产领用原材料入</v>
          </cell>
        </row>
        <row r="227">
          <cell r="A227" t="str">
            <v>06</v>
          </cell>
          <cell r="B227" t="str">
            <v>转字    84</v>
          </cell>
          <cell r="C227" t="str">
            <v>由生产领用原材料入</v>
          </cell>
        </row>
        <row r="228">
          <cell r="A228" t="str">
            <v>06</v>
          </cell>
          <cell r="B228" t="str">
            <v>转字    84</v>
          </cell>
          <cell r="C228" t="str">
            <v>由生产领用原材料入</v>
          </cell>
        </row>
        <row r="229">
          <cell r="A229" t="str">
            <v>06</v>
          </cell>
          <cell r="B229" t="str">
            <v>转字    84</v>
          </cell>
          <cell r="C229" t="str">
            <v>由生产领用原材料入</v>
          </cell>
        </row>
        <row r="230">
          <cell r="A230" t="str">
            <v>06</v>
          </cell>
          <cell r="B230" t="str">
            <v>转字    85</v>
          </cell>
          <cell r="C230" t="str">
            <v>提本月工资</v>
          </cell>
        </row>
        <row r="231">
          <cell r="A231" t="str">
            <v>06</v>
          </cell>
          <cell r="B231" t="str">
            <v>转字    86</v>
          </cell>
          <cell r="C231" t="str">
            <v>提本月电费</v>
          </cell>
        </row>
        <row r="232">
          <cell r="A232" t="str">
            <v>06</v>
          </cell>
          <cell r="B232" t="str">
            <v>转字    89</v>
          </cell>
          <cell r="C232" t="str">
            <v>由关联交易入</v>
          </cell>
        </row>
        <row r="233">
          <cell r="A233" t="str">
            <v>06</v>
          </cell>
          <cell r="B233" t="str">
            <v>现字   134</v>
          </cell>
          <cell r="C233" t="str">
            <v>入费用</v>
          </cell>
        </row>
        <row r="234">
          <cell r="C234" t="str">
            <v>本月合计</v>
          </cell>
          <cell r="D234">
            <v>5308446.74</v>
          </cell>
        </row>
        <row r="235">
          <cell r="C235" t="str">
            <v>本年累计</v>
          </cell>
          <cell r="D235">
            <v>35449273.299999997</v>
          </cell>
        </row>
      </sheetData>
      <sheetData sheetId="6" refreshError="1"/>
      <sheetData sheetId="7" refreshError="1"/>
      <sheetData sheetId="8"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
  <sheetViews>
    <sheetView workbookViewId="0"/>
  </sheetViews>
  <sheetFormatPr defaultRowHeight="14.25"/>
  <sheetData>
    <row r="5" spans="3:3">
      <c r="C5" s="150">
        <v>38717</v>
      </c>
    </row>
  </sheetData>
  <phoneticPr fontId="3"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39"/>
    <pageSetUpPr fitToPage="1"/>
  </sheetPr>
  <dimension ref="B2:M37"/>
  <sheetViews>
    <sheetView tabSelected="1" workbookViewId="0">
      <selection activeCell="C3" sqref="C3"/>
    </sheetView>
  </sheetViews>
  <sheetFormatPr defaultColWidth="7" defaultRowHeight="12"/>
  <cols>
    <col min="1" max="1" width="0.75" style="734" customWidth="1"/>
    <col min="2" max="2" width="3" style="734" customWidth="1"/>
    <col min="3" max="3" width="13.375" style="734" customWidth="1"/>
    <col min="4" max="4" width="13.25" style="734" customWidth="1"/>
    <col min="5" max="5" width="16.875" style="734" customWidth="1"/>
    <col min="6" max="7" width="13.375" style="734" customWidth="1"/>
    <col min="8" max="8" width="9.375" style="734" customWidth="1"/>
    <col min="9" max="9" width="8.875" style="734" customWidth="1"/>
    <col min="10" max="10" width="6.5" style="734" customWidth="1"/>
    <col min="11" max="11" width="0.875" style="734" customWidth="1"/>
    <col min="12" max="12" width="5.125" style="734" customWidth="1"/>
    <col min="13" max="13" width="15.25" style="734" customWidth="1"/>
    <col min="14" max="16384" width="7" style="734"/>
  </cols>
  <sheetData>
    <row r="2" spans="2:13" s="739" customFormat="1" ht="15.95" customHeight="1">
      <c r="B2" s="735" t="s">
        <v>926</v>
      </c>
      <c r="C2" s="736"/>
      <c r="D2" s="736"/>
      <c r="E2" s="736"/>
      <c r="F2" s="736"/>
      <c r="G2" s="736"/>
      <c r="H2" s="736"/>
      <c r="I2" s="736"/>
      <c r="J2" s="737"/>
      <c r="K2" s="738"/>
      <c r="L2" s="814" t="s">
        <v>927</v>
      </c>
      <c r="M2" s="815" t="s">
        <v>928</v>
      </c>
    </row>
    <row r="3" spans="2:13" s="739" customFormat="1" ht="15.95" customHeight="1">
      <c r="B3" s="740"/>
      <c r="C3" s="738"/>
      <c r="D3" s="738"/>
      <c r="E3" s="738"/>
      <c r="F3" s="738"/>
      <c r="G3" s="738"/>
      <c r="H3" s="738"/>
      <c r="I3" s="738"/>
      <c r="J3" s="741"/>
      <c r="K3" s="738"/>
      <c r="L3" s="812">
        <v>1</v>
      </c>
      <c r="M3" s="813" t="s">
        <v>770</v>
      </c>
    </row>
    <row r="4" spans="2:13" s="739" customFormat="1" ht="15.95" customHeight="1">
      <c r="B4" s="743">
        <v>1</v>
      </c>
      <c r="C4" s="744" t="s">
        <v>929</v>
      </c>
      <c r="D4" s="744"/>
      <c r="E4" s="744"/>
      <c r="F4" s="744"/>
      <c r="G4" s="744"/>
      <c r="H4" s="744"/>
      <c r="I4" s="744"/>
      <c r="J4" s="745"/>
      <c r="K4" s="738"/>
      <c r="L4" s="816">
        <v>2</v>
      </c>
      <c r="M4" s="817" t="s">
        <v>564</v>
      </c>
    </row>
    <row r="5" spans="2:13" s="739" customFormat="1" ht="15.95" customHeight="1">
      <c r="B5" s="746"/>
      <c r="C5" s="738"/>
      <c r="D5" s="738"/>
      <c r="E5" s="738"/>
      <c r="F5" s="738"/>
      <c r="G5" s="738"/>
      <c r="H5" s="738"/>
      <c r="I5" s="738"/>
      <c r="J5" s="741"/>
      <c r="K5" s="738"/>
      <c r="L5" s="816">
        <v>3</v>
      </c>
      <c r="M5" s="817" t="s">
        <v>565</v>
      </c>
    </row>
    <row r="6" spans="2:13" s="739" customFormat="1" ht="15.95" customHeight="1">
      <c r="B6" s="743">
        <v>2</v>
      </c>
      <c r="C6" s="744" t="s">
        <v>930</v>
      </c>
      <c r="D6" s="744"/>
      <c r="E6" s="744"/>
      <c r="F6" s="744"/>
      <c r="G6" s="744"/>
      <c r="H6" s="744"/>
      <c r="I6" s="744"/>
      <c r="J6" s="745"/>
      <c r="K6" s="738"/>
      <c r="L6" s="742">
        <v>4</v>
      </c>
      <c r="M6" s="817" t="s">
        <v>572</v>
      </c>
    </row>
    <row r="7" spans="2:13" s="739" customFormat="1" ht="15.95" customHeight="1">
      <c r="B7" s="743"/>
      <c r="C7" s="744" t="s">
        <v>931</v>
      </c>
      <c r="D7" s="744"/>
      <c r="E7" s="744"/>
      <c r="F7" s="744"/>
      <c r="G7" s="744"/>
      <c r="H7" s="744"/>
      <c r="I7" s="744"/>
      <c r="J7" s="745"/>
      <c r="K7" s="738"/>
      <c r="L7" s="742">
        <v>5</v>
      </c>
      <c r="M7" s="817" t="s">
        <v>573</v>
      </c>
    </row>
    <row r="8" spans="2:13" s="739" customFormat="1" ht="15.95" customHeight="1">
      <c r="B8" s="743"/>
      <c r="C8" s="744"/>
      <c r="D8" s="744"/>
      <c r="E8" s="744"/>
      <c r="F8" s="744"/>
      <c r="G8" s="744"/>
      <c r="H8" s="744"/>
      <c r="I8" s="744"/>
      <c r="J8" s="745"/>
      <c r="K8" s="738"/>
      <c r="L8" s="742">
        <v>6</v>
      </c>
      <c r="M8" s="817" t="s">
        <v>574</v>
      </c>
    </row>
    <row r="9" spans="2:13" s="739" customFormat="1" ht="15.95" customHeight="1">
      <c r="B9" s="743">
        <v>3</v>
      </c>
      <c r="C9" s="747" t="s">
        <v>932</v>
      </c>
      <c r="D9" s="748" t="s">
        <v>567</v>
      </c>
      <c r="E9" s="744" t="s">
        <v>933</v>
      </c>
      <c r="F9" s="744"/>
      <c r="G9" s="744"/>
      <c r="H9" s="744"/>
      <c r="I9" s="744"/>
      <c r="J9" s="745"/>
      <c r="K9" s="738"/>
      <c r="L9" s="742">
        <v>7</v>
      </c>
      <c r="M9" s="817" t="s">
        <v>571</v>
      </c>
    </row>
    <row r="10" spans="2:13" s="739" customFormat="1" ht="15.95" customHeight="1">
      <c r="B10" s="743"/>
      <c r="C10" s="744"/>
      <c r="D10" s="744"/>
      <c r="E10" s="744"/>
      <c r="F10" s="744"/>
      <c r="G10" s="744"/>
      <c r="H10" s="744"/>
      <c r="I10" s="744"/>
      <c r="J10" s="745"/>
      <c r="K10" s="738"/>
      <c r="L10" s="742">
        <v>8</v>
      </c>
      <c r="M10" s="817" t="s">
        <v>715</v>
      </c>
    </row>
    <row r="11" spans="2:13" s="739" customFormat="1" ht="15.95" customHeight="1">
      <c r="B11" s="743">
        <v>4</v>
      </c>
      <c r="C11" s="744" t="s">
        <v>934</v>
      </c>
      <c r="D11" s="744"/>
      <c r="E11" s="744"/>
      <c r="G11" s="748" t="s">
        <v>568</v>
      </c>
      <c r="H11" s="744" t="s">
        <v>935</v>
      </c>
      <c r="I11" s="744"/>
      <c r="J11" s="745"/>
      <c r="K11" s="738"/>
      <c r="L11" s="816">
        <v>9</v>
      </c>
      <c r="M11" s="817" t="s">
        <v>575</v>
      </c>
    </row>
    <row r="12" spans="2:13" s="739" customFormat="1" ht="15.95" customHeight="1">
      <c r="B12" s="743"/>
      <c r="C12" s="744" t="s">
        <v>936</v>
      </c>
      <c r="D12" s="744"/>
      <c r="E12" s="748" t="s">
        <v>568</v>
      </c>
      <c r="F12" s="744" t="s">
        <v>937</v>
      </c>
      <c r="G12" s="744"/>
      <c r="H12" s="744"/>
      <c r="I12" s="744"/>
      <c r="J12" s="745"/>
      <c r="K12" s="738"/>
      <c r="L12" s="816">
        <v>10</v>
      </c>
      <c r="M12" s="817" t="s">
        <v>566</v>
      </c>
    </row>
    <row r="13" spans="2:13" s="739" customFormat="1" ht="15.95" customHeight="1">
      <c r="B13" s="743"/>
      <c r="C13" s="744"/>
      <c r="D13" s="744"/>
      <c r="E13" s="744"/>
      <c r="F13" s="744"/>
      <c r="G13" s="744"/>
      <c r="H13" s="744"/>
      <c r="I13" s="744"/>
      <c r="J13" s="745"/>
      <c r="K13" s="738"/>
      <c r="L13" s="816">
        <v>11</v>
      </c>
      <c r="M13" s="817" t="s">
        <v>960</v>
      </c>
    </row>
    <row r="14" spans="2:13" s="739" customFormat="1" ht="15.95" customHeight="1">
      <c r="B14" s="743">
        <v>5</v>
      </c>
      <c r="C14" s="748" t="s">
        <v>569</v>
      </c>
      <c r="D14" s="748" t="s">
        <v>570</v>
      </c>
      <c r="E14" s="744" t="s">
        <v>938</v>
      </c>
      <c r="F14" s="744"/>
      <c r="G14" s="744"/>
      <c r="H14" s="744"/>
      <c r="I14" s="744"/>
      <c r="J14" s="745"/>
      <c r="K14" s="738"/>
      <c r="L14" s="812">
        <v>12</v>
      </c>
      <c r="M14" s="813" t="s">
        <v>576</v>
      </c>
    </row>
    <row r="15" spans="2:13" s="739" customFormat="1" ht="15.95" customHeight="1">
      <c r="B15" s="743"/>
      <c r="C15" s="744" t="s">
        <v>939</v>
      </c>
      <c r="D15" s="744"/>
      <c r="E15" s="744"/>
      <c r="F15" s="744"/>
      <c r="G15" s="744"/>
      <c r="H15" s="744"/>
      <c r="I15" s="744"/>
      <c r="J15" s="745"/>
      <c r="K15" s="738"/>
      <c r="L15" s="812">
        <v>13</v>
      </c>
      <c r="M15" s="813" t="s">
        <v>577</v>
      </c>
    </row>
    <row r="16" spans="2:13" s="739" customFormat="1" ht="15.95" customHeight="1">
      <c r="B16" s="743"/>
      <c r="C16" s="747" t="s">
        <v>940</v>
      </c>
      <c r="D16" s="748" t="s">
        <v>568</v>
      </c>
      <c r="E16" s="744" t="s">
        <v>941</v>
      </c>
      <c r="F16" s="744"/>
      <c r="G16" s="744"/>
      <c r="H16" s="820" t="s">
        <v>969</v>
      </c>
      <c r="I16" s="744"/>
      <c r="J16" s="745"/>
      <c r="K16" s="738"/>
      <c r="L16" s="812">
        <v>14</v>
      </c>
      <c r="M16" s="813" t="s">
        <v>578</v>
      </c>
    </row>
    <row r="17" spans="2:13" s="739" customFormat="1" ht="15.95" customHeight="1">
      <c r="B17" s="743"/>
      <c r="C17" s="744"/>
      <c r="D17" s="744"/>
      <c r="E17" s="744"/>
      <c r="F17" s="744"/>
      <c r="G17" s="744"/>
      <c r="H17" s="744"/>
      <c r="I17" s="744"/>
      <c r="J17" s="745"/>
      <c r="K17" s="749"/>
      <c r="L17" s="818">
        <v>15</v>
      </c>
      <c r="M17" s="819" t="s">
        <v>579</v>
      </c>
    </row>
    <row r="18" spans="2:13" s="739" customFormat="1" ht="15.95" customHeight="1">
      <c r="B18" s="750"/>
      <c r="C18" s="751"/>
      <c r="D18" s="751"/>
      <c r="E18" s="751"/>
      <c r="F18" s="751"/>
      <c r="G18" s="751"/>
      <c r="H18" s="751"/>
      <c r="I18" s="751"/>
      <c r="J18" s="752"/>
      <c r="K18" s="749"/>
      <c r="L18" s="818">
        <v>16</v>
      </c>
      <c r="M18" s="819" t="s">
        <v>580</v>
      </c>
    </row>
    <row r="19" spans="2:13" s="739" customFormat="1" ht="15.95" customHeight="1">
      <c r="B19" s="749"/>
      <c r="C19" s="749"/>
      <c r="D19" s="749"/>
      <c r="E19" s="749"/>
      <c r="F19" s="749"/>
      <c r="G19" s="749"/>
      <c r="H19" s="749"/>
      <c r="I19" s="749"/>
      <c r="J19" s="749"/>
      <c r="K19" s="749"/>
      <c r="L19" s="818">
        <v>17</v>
      </c>
      <c r="M19" s="819" t="s">
        <v>581</v>
      </c>
    </row>
    <row r="20" spans="2:13" s="739" customFormat="1" ht="15.95" customHeight="1">
      <c r="K20" s="749"/>
      <c r="L20" s="812">
        <v>18</v>
      </c>
      <c r="M20" s="813" t="s">
        <v>716</v>
      </c>
    </row>
    <row r="21" spans="2:13" s="739" customFormat="1" ht="15.95" customHeight="1">
      <c r="K21" s="749"/>
      <c r="L21" s="812">
        <v>19</v>
      </c>
      <c r="M21" s="813" t="s">
        <v>717</v>
      </c>
    </row>
    <row r="22" spans="2:13" s="739" customFormat="1" ht="15.95" customHeight="1">
      <c r="L22" s="812">
        <v>20</v>
      </c>
      <c r="M22" s="813" t="s">
        <v>718</v>
      </c>
    </row>
    <row r="23" spans="2:13" s="739" customFormat="1" ht="15.95" customHeight="1">
      <c r="L23" s="812">
        <v>21</v>
      </c>
      <c r="M23" s="813" t="s">
        <v>719</v>
      </c>
    </row>
    <row r="24" spans="2:13" s="739" customFormat="1" ht="15.95" customHeight="1">
      <c r="L24" s="812">
        <v>22</v>
      </c>
      <c r="M24" s="813" t="s">
        <v>720</v>
      </c>
    </row>
    <row r="25" spans="2:13" s="739" customFormat="1" ht="15.95" customHeight="1">
      <c r="L25" s="812">
        <v>23</v>
      </c>
      <c r="M25" s="813" t="s">
        <v>721</v>
      </c>
    </row>
    <row r="26" spans="2:13" s="739" customFormat="1" ht="15.95" customHeight="1">
      <c r="L26" s="812">
        <v>24</v>
      </c>
      <c r="M26" s="813" t="s">
        <v>722</v>
      </c>
    </row>
    <row r="27" spans="2:13" s="739" customFormat="1" ht="15.95" customHeight="1">
      <c r="L27" s="812">
        <v>25</v>
      </c>
      <c r="M27" s="813" t="s">
        <v>723</v>
      </c>
    </row>
    <row r="28" spans="2:13" s="739" customFormat="1" ht="15.95" customHeight="1">
      <c r="L28" s="812">
        <v>26</v>
      </c>
      <c r="M28" s="813" t="s">
        <v>724</v>
      </c>
    </row>
    <row r="29" spans="2:13" s="739" customFormat="1" ht="15.95" customHeight="1">
      <c r="L29" s="812">
        <v>27</v>
      </c>
      <c r="M29" s="813" t="s">
        <v>791</v>
      </c>
    </row>
    <row r="30" spans="2:13" s="739" customFormat="1" ht="15.95" customHeight="1">
      <c r="L30" s="816">
        <v>28</v>
      </c>
      <c r="M30" s="817" t="s">
        <v>967</v>
      </c>
    </row>
    <row r="31" spans="2:13" s="739" customFormat="1" ht="15.95" customHeight="1">
      <c r="L31" s="816">
        <v>29</v>
      </c>
      <c r="M31" s="817" t="s">
        <v>968</v>
      </c>
    </row>
    <row r="32" spans="2:13" s="739" customFormat="1" ht="15.95" customHeight="1">
      <c r="L32" s="812">
        <v>30</v>
      </c>
      <c r="M32" s="813" t="s">
        <v>961</v>
      </c>
    </row>
    <row r="33" spans="12:13" s="739" customFormat="1" ht="15.95" customHeight="1">
      <c r="L33" s="812">
        <v>31</v>
      </c>
      <c r="M33" s="813" t="s">
        <v>962</v>
      </c>
    </row>
    <row r="34" spans="12:13" s="739" customFormat="1" ht="15.95" customHeight="1">
      <c r="L34" s="812">
        <v>32</v>
      </c>
      <c r="M34" s="813" t="s">
        <v>963</v>
      </c>
    </row>
    <row r="35" spans="12:13" s="739" customFormat="1" ht="15.95" customHeight="1">
      <c r="L35" s="742">
        <v>33</v>
      </c>
      <c r="M35" s="810" t="s">
        <v>964</v>
      </c>
    </row>
    <row r="36" spans="12:13" s="739" customFormat="1" ht="15.95" customHeight="1">
      <c r="L36" s="742">
        <v>34</v>
      </c>
      <c r="M36" s="810" t="s">
        <v>965</v>
      </c>
    </row>
    <row r="37" spans="12:13" ht="14.25">
      <c r="L37" s="753">
        <v>35</v>
      </c>
      <c r="M37" s="811" t="s">
        <v>966</v>
      </c>
    </row>
  </sheetData>
  <sheetProtection formatCells="0" insertRows="0" autoFilter="0" pivotTables="0"/>
  <phoneticPr fontId="15" type="noConversion"/>
  <hyperlinks>
    <hyperlink ref="D9" location="参数!D3" display="“参数表”"/>
    <hyperlink ref="G11" location="报表格式!A1" display="“报表格式”"/>
    <hyperlink ref="E12" location="说明!A1" display="“报表格式”"/>
    <hyperlink ref="C14" location="账项调整!Print_Area" display="“账项调整”、"/>
    <hyperlink ref="D14" location="报表调整!Print_Area" display="“报表调整”"/>
    <hyperlink ref="D16" location="报表格式!Print_Titles" display="“报表格式”"/>
    <hyperlink ref="H16" location="报表格式!AA:AA" display="“报表格式AA列”"/>
    <hyperlink ref="M3" location="说明!B2:J18" display="说明"/>
    <hyperlink ref="M4" location="参数!D3" display="参数"/>
    <hyperlink ref="M5" location="'报表格式'!A1" display="'报表格式'!A1"/>
    <hyperlink ref="M6" location="未审BS!C7" display="未审BS"/>
    <hyperlink ref="M7" location="未审PL!C6" display="未审PL"/>
    <hyperlink ref="M8" location="未审CF!C7" display="未审CF"/>
    <hyperlink ref="M9" location="期初核对BS!C7" display="期初核对BS"/>
    <hyperlink ref="M10" location="期初核对PL!C6" display="期初核对PL"/>
    <hyperlink ref="M11" location="账项调整!E5" display="账项调整"/>
    <hyperlink ref="M12" location="报表调整!E5" display="报表调整"/>
    <hyperlink ref="M13" location="CF调整!C6" display="CF调整"/>
    <hyperlink ref="M14" location="'TB资产'!A1" display="'TB资产'!A1"/>
    <hyperlink ref="M15" location="'TB负债'!A1" display="'TB负债'!A1"/>
    <hyperlink ref="M16" location="'TB损益'!A1" display="'TB损益'!A1"/>
    <hyperlink ref="M17" location="'审定BS'!A1" display="'审定BS'!A1"/>
    <hyperlink ref="M18" location="'审定PL'!A1" display="'审定PL'!A1"/>
    <hyperlink ref="M19" location="'审定CF'!A1" display="'审定CF'!A1"/>
    <hyperlink ref="M20" location="'未审横向BS'!A1" display="'未审横向BS'!A1"/>
    <hyperlink ref="M21" location="'未审横向PL '!A1" display="'未审横向PL '!A1"/>
    <hyperlink ref="M22" location="'未审纵向BS '!A1" display="'未审纵向BS '!A1"/>
    <hyperlink ref="M23" location="'未审纵向PL'!A1" display="'未审纵向PL'!A1"/>
    <hyperlink ref="M24" location="'未审比率分析'!A1" display="'未审比率分析'!A1"/>
    <hyperlink ref="M25" location="'已审横向BS'!A1" display="'已审横向BS'!A1"/>
    <hyperlink ref="M26" location="'已审横向PL'!A1" display="'已审横向PL'!A1"/>
    <hyperlink ref="M27" location="'已审纵向BS'!A1" display="'已审纵向BS'!A1"/>
    <hyperlink ref="M28" location="'已审纵向PL'!A1" display="'已审纵向PL'!A1"/>
    <hyperlink ref="M29" location="'已审比率分析'!A1" display="'已审比率分析'!A1"/>
    <hyperlink ref="M30" location="'账项调整(期初)'!E5" display="账项调整(期初)"/>
    <hyperlink ref="M31" location="'报表调整(期初)'!E5" display="报表调整(期初)"/>
    <hyperlink ref="M32" location="'TB资产(期初)'!A1" display="'TB资产(期初)'!A1"/>
    <hyperlink ref="M33" location="'TB负债(期初)'!A1" display="'TB负债(期初)'!A1"/>
    <hyperlink ref="M34" location="'TB损益(期初)'!A1" display="'TB损益(期初)'!A1"/>
    <hyperlink ref="M35" location="'审定BS(上期)'!A1" display="'审定BS(上期)'!A1"/>
    <hyperlink ref="M36" location="'审定PL(上期)'!A1" display="'审定PL(上期)'!A1"/>
    <hyperlink ref="M37" location="'审定CF(上期)'!A1" display="'审定CF(上期)'!A1"/>
  </hyperlinks>
  <printOptions horizontalCentered="1"/>
  <pageMargins left="0.74803149606299202" right="0.74803149606299202" top="0.98425196850393704" bottom="0.98425196850393704" header="0.511811023622047" footer="0.511811023622047"/>
  <pageSetup paperSize="9" scale="70" orientation="portrait" cellComments="asDisplayed" r:id="rId1"/>
  <headerFooter alignWithMargins="0">
    <oddHeader>&amp;C&amp;F/&amp;A&amp;R
&amp;T  &amp;D</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39"/>
    <pageSetUpPr autoPageBreaks="0"/>
  </sheetPr>
  <dimension ref="A1:I47"/>
  <sheetViews>
    <sheetView topLeftCell="A16" workbookViewId="0">
      <selection activeCell="E41" sqref="E41"/>
    </sheetView>
  </sheetViews>
  <sheetFormatPr defaultRowHeight="14.25"/>
  <cols>
    <col min="1" max="1" width="1.25" style="29" customWidth="1"/>
    <col min="2" max="2" width="3.75" style="29" customWidth="1"/>
    <col min="3" max="3" width="34.625" style="29" bestFit="1" customWidth="1"/>
    <col min="4" max="4" width="31.875" style="29" bestFit="1" customWidth="1"/>
    <col min="5" max="5" width="34.125" style="30" customWidth="1"/>
    <col min="6" max="6" width="1.125" style="10" customWidth="1"/>
    <col min="7" max="7" width="2.125" style="10" hidden="1" customWidth="1"/>
    <col min="8" max="8" width="39" style="10" hidden="1" customWidth="1"/>
    <col min="9" max="9" width="4.75" style="10" customWidth="1"/>
    <col min="10" max="10" width="5.75" style="10" customWidth="1"/>
    <col min="11" max="11" width="8.75" style="10" customWidth="1"/>
    <col min="12" max="16384" width="9" style="10"/>
  </cols>
  <sheetData>
    <row r="1" spans="1:9" ht="8.25" customHeight="1">
      <c r="A1" s="889"/>
      <c r="B1" s="889"/>
      <c r="C1" s="889"/>
      <c r="D1" s="889"/>
      <c r="E1" s="889"/>
      <c r="F1" s="889"/>
    </row>
    <row r="2" spans="1:9" s="24" customFormat="1" ht="16.5" customHeight="1">
      <c r="A2" s="890"/>
      <c r="B2" s="888" t="s">
        <v>369</v>
      </c>
      <c r="C2" s="888"/>
      <c r="D2" s="2" t="s">
        <v>370</v>
      </c>
      <c r="E2" s="2" t="s">
        <v>371</v>
      </c>
      <c r="F2" s="23"/>
    </row>
    <row r="3" spans="1:9" ht="16.5" customHeight="1">
      <c r="A3" s="890"/>
      <c r="B3" s="893" t="s">
        <v>372</v>
      </c>
      <c r="C3" s="3" t="s">
        <v>527</v>
      </c>
      <c r="D3" s="31"/>
      <c r="E3" s="3" t="s">
        <v>216</v>
      </c>
      <c r="F3" s="25"/>
    </row>
    <row r="4" spans="1:9" ht="16.5" customHeight="1">
      <c r="A4" s="890"/>
      <c r="B4" s="894"/>
      <c r="C4" s="32" t="s">
        <v>813</v>
      </c>
      <c r="D4" s="36"/>
      <c r="E4" s="3" t="s">
        <v>521</v>
      </c>
      <c r="F4" s="25"/>
    </row>
    <row r="5" spans="1:9" ht="16.5" customHeight="1">
      <c r="A5" s="890"/>
      <c r="B5" s="894"/>
      <c r="C5" s="32" t="s">
        <v>814</v>
      </c>
      <c r="D5" s="36"/>
      <c r="E5" s="3" t="s">
        <v>522</v>
      </c>
      <c r="F5" s="25"/>
    </row>
    <row r="6" spans="1:9" ht="16.5" customHeight="1">
      <c r="A6" s="890"/>
      <c r="B6" s="895"/>
      <c r="C6" s="32" t="s">
        <v>815</v>
      </c>
      <c r="D6" s="36"/>
      <c r="E6" s="3" t="s">
        <v>523</v>
      </c>
      <c r="F6" s="25"/>
      <c r="H6" s="26"/>
    </row>
    <row r="7" spans="1:9" ht="6" customHeight="1">
      <c r="A7" s="890"/>
      <c r="B7" s="891"/>
      <c r="C7" s="891"/>
      <c r="D7" s="891"/>
      <c r="E7" s="891"/>
      <c r="F7" s="25"/>
    </row>
    <row r="8" spans="1:9" ht="16.5" customHeight="1">
      <c r="A8" s="890"/>
      <c r="B8" s="896" t="s">
        <v>350</v>
      </c>
      <c r="C8" s="8" t="s">
        <v>435</v>
      </c>
      <c r="D8" s="33" t="s">
        <v>1029</v>
      </c>
      <c r="E8" s="4" t="s">
        <v>540</v>
      </c>
      <c r="F8" s="25"/>
    </row>
    <row r="9" spans="1:9" ht="16.5" customHeight="1">
      <c r="A9" s="890"/>
      <c r="B9" s="897"/>
      <c r="C9" s="8" t="s">
        <v>20</v>
      </c>
      <c r="D9" s="619" t="s">
        <v>854</v>
      </c>
      <c r="E9" s="5" t="s">
        <v>341</v>
      </c>
      <c r="F9" s="25"/>
      <c r="H9" s="10" t="s">
        <v>440</v>
      </c>
    </row>
    <row r="10" spans="1:9" ht="16.5" customHeight="1">
      <c r="A10" s="890"/>
      <c r="B10" s="897"/>
      <c r="C10" s="8" t="s">
        <v>342</v>
      </c>
      <c r="D10" s="619" t="s">
        <v>1030</v>
      </c>
      <c r="E10" s="5" t="s">
        <v>343</v>
      </c>
      <c r="F10" s="25"/>
      <c r="H10" s="10" t="s">
        <v>517</v>
      </c>
    </row>
    <row r="11" spans="1:9" ht="16.5" customHeight="1">
      <c r="A11" s="890"/>
      <c r="B11" s="897"/>
      <c r="C11" s="8" t="s">
        <v>344</v>
      </c>
      <c r="D11" s="618">
        <v>39082</v>
      </c>
      <c r="E11" s="6" t="s">
        <v>345</v>
      </c>
      <c r="F11" s="25"/>
      <c r="I11" s="412">
        <f>MONTH(D11)</f>
        <v>12</v>
      </c>
    </row>
    <row r="12" spans="1:9" ht="16.5" customHeight="1">
      <c r="A12" s="890"/>
      <c r="B12" s="897"/>
      <c r="C12" s="8" t="s">
        <v>346</v>
      </c>
      <c r="D12" s="618">
        <v>39447</v>
      </c>
      <c r="E12" s="7" t="s">
        <v>347</v>
      </c>
      <c r="F12" s="25"/>
      <c r="I12" s="412">
        <f>MONTH(D12)</f>
        <v>12</v>
      </c>
    </row>
    <row r="13" spans="1:9" ht="16.5" customHeight="1">
      <c r="A13" s="890"/>
      <c r="B13" s="898"/>
      <c r="C13" s="8" t="s">
        <v>348</v>
      </c>
      <c r="D13" s="31" t="s">
        <v>539</v>
      </c>
      <c r="E13" s="8" t="s">
        <v>538</v>
      </c>
      <c r="F13" s="25"/>
    </row>
    <row r="14" spans="1:9" ht="6" customHeight="1">
      <c r="A14" s="890"/>
      <c r="B14" s="892"/>
      <c r="C14" s="892"/>
      <c r="D14" s="892"/>
      <c r="E14" s="892"/>
      <c r="F14" s="25"/>
    </row>
    <row r="15" spans="1:9" ht="16.5" customHeight="1">
      <c r="A15" s="890"/>
      <c r="B15" s="896" t="s">
        <v>373</v>
      </c>
      <c r="C15" s="8" t="s">
        <v>349</v>
      </c>
      <c r="D15" s="31" t="s">
        <v>560</v>
      </c>
      <c r="E15" s="3" t="s">
        <v>215</v>
      </c>
      <c r="F15" s="25"/>
    </row>
    <row r="16" spans="1:9" ht="16.5" customHeight="1">
      <c r="A16" s="890"/>
      <c r="B16" s="897"/>
      <c r="C16" s="8" t="s">
        <v>556</v>
      </c>
      <c r="D16" s="31"/>
      <c r="E16" s="3"/>
      <c r="F16" s="25"/>
    </row>
    <row r="17" spans="1:6" ht="16.5" customHeight="1">
      <c r="A17" s="890"/>
      <c r="B17" s="897"/>
      <c r="C17" s="8" t="s">
        <v>351</v>
      </c>
      <c r="D17" s="31"/>
      <c r="E17" s="3" t="s">
        <v>524</v>
      </c>
      <c r="F17" s="25"/>
    </row>
    <row r="18" spans="1:6" ht="16.5" customHeight="1">
      <c r="A18" s="890"/>
      <c r="B18" s="897"/>
      <c r="C18" s="8" t="s">
        <v>526</v>
      </c>
      <c r="D18" s="31"/>
      <c r="E18" s="3" t="s">
        <v>525</v>
      </c>
      <c r="F18" s="25"/>
    </row>
    <row r="19" spans="1:6" ht="7.5" customHeight="1">
      <c r="A19" s="890"/>
      <c r="B19" s="27"/>
      <c r="C19" s="27"/>
      <c r="D19" s="27"/>
      <c r="E19" s="28"/>
      <c r="F19" s="25"/>
    </row>
    <row r="20" spans="1:6">
      <c r="B20" s="149" t="s">
        <v>725</v>
      </c>
      <c r="C20" s="148" t="s">
        <v>555</v>
      </c>
    </row>
    <row r="21" spans="1:6">
      <c r="B21" s="149"/>
      <c r="C21" s="148"/>
    </row>
    <row r="23" spans="1:6" ht="7.5" customHeight="1">
      <c r="A23" s="114"/>
      <c r="B23" s="114"/>
      <c r="C23" s="114"/>
      <c r="D23" s="114"/>
      <c r="E23" s="115"/>
      <c r="F23" s="116"/>
    </row>
    <row r="24" spans="1:6">
      <c r="A24" s="114"/>
      <c r="B24" s="885" t="s">
        <v>209</v>
      </c>
      <c r="C24" s="886"/>
      <c r="D24" s="886"/>
      <c r="E24" s="887"/>
      <c r="F24" s="116"/>
    </row>
    <row r="25" spans="1:6" ht="15">
      <c r="A25" s="114"/>
      <c r="B25" s="117" t="s">
        <v>210</v>
      </c>
      <c r="C25" s="118" t="s">
        <v>211</v>
      </c>
      <c r="D25" s="118" t="s">
        <v>212</v>
      </c>
      <c r="E25" s="119" t="s">
        <v>213</v>
      </c>
      <c r="F25" s="116"/>
    </row>
    <row r="26" spans="1:6" ht="15">
      <c r="A26" s="114"/>
      <c r="B26" s="120">
        <v>1</v>
      </c>
      <c r="C26" s="122" t="s">
        <v>792</v>
      </c>
      <c r="D26" s="146" t="b">
        <f>IF(ABS(审定BS!C62-审定BS!C125)&lt;0.01,TRUE,FALSE)</f>
        <v>1</v>
      </c>
      <c r="E26" s="121" t="str">
        <f>IF(D26=TRUE,"","期末资产负债表不平")</f>
        <v/>
      </c>
      <c r="F26" s="116"/>
    </row>
    <row r="27" spans="1:6" ht="15">
      <c r="A27" s="114"/>
      <c r="B27" s="120">
        <v>2</v>
      </c>
      <c r="C27" s="122" t="s">
        <v>793</v>
      </c>
      <c r="D27" s="146" t="b">
        <f>IF(ABS(审定BS!E62-审定BS!E125)&lt;0.01,TRUE,FALSE)</f>
        <v>1</v>
      </c>
      <c r="E27" s="121" t="str">
        <f>IF(D27=TRUE,"","期初资产负债表不平")</f>
        <v/>
      </c>
      <c r="F27" s="116"/>
    </row>
    <row r="28" spans="1:6" ht="15">
      <c r="A28" s="114"/>
      <c r="B28" s="120">
        <v>3</v>
      </c>
      <c r="C28" s="599" t="s">
        <v>794</v>
      </c>
      <c r="D28" s="146" t="b">
        <f>IF(ABS(审定BS!C118-审定PL!C73)&lt;0.01,TRUE,FALSE)</f>
        <v>1</v>
      </c>
      <c r="E28" s="121" t="str">
        <f>IF(D28=TRUE,"","期末利润分配表与资产负债表未分配利润勾稽不对")</f>
        <v/>
      </c>
      <c r="F28" s="116"/>
    </row>
    <row r="29" spans="1:6" ht="15">
      <c r="A29" s="114"/>
      <c r="B29" s="120">
        <v>4</v>
      </c>
      <c r="C29" s="599" t="s">
        <v>795</v>
      </c>
      <c r="D29" s="146" t="b">
        <f>IF(ABS(审定BS!E118-审定PL!E73)&lt;0.01,TRUE,FALSE)</f>
        <v>1</v>
      </c>
      <c r="E29" s="121" t="str">
        <f>IF(D29=TRUE,"","期初利润分配表与资产负债表未分配利润勾稽不对")</f>
        <v/>
      </c>
      <c r="F29" s="116"/>
    </row>
    <row r="30" spans="1:6" ht="15">
      <c r="A30" s="114"/>
      <c r="B30" s="120">
        <v>5</v>
      </c>
      <c r="C30" s="126" t="s">
        <v>796</v>
      </c>
      <c r="D30" s="146" t="b">
        <f>IF(ABS(审定PL!C54-审定PL!E73)&lt;0.01,TRUE,FALSE)</f>
        <v>1</v>
      </c>
      <c r="E30" s="121" t="str">
        <f>IF(D30=TRUE,"","利润及利润分配表年初未分配利润与上期勾稽不对")</f>
        <v/>
      </c>
      <c r="F30" s="116"/>
    </row>
    <row r="31" spans="1:6" ht="15">
      <c r="A31" s="114"/>
      <c r="B31" s="120">
        <v>6</v>
      </c>
      <c r="C31" s="599" t="s">
        <v>797</v>
      </c>
      <c r="D31" s="146" t="b">
        <f>IF(ABS(审定BS!C7-审定CF!C82)&lt;0.01,TRUE,FALSE)</f>
        <v>1</v>
      </c>
      <c r="E31" s="121" t="str">
        <f>IF(D31=TRUE,"","现金流量表与资产负债表期末货币资金勾稽不对")</f>
        <v/>
      </c>
      <c r="F31" s="116"/>
    </row>
    <row r="32" spans="1:6" ht="15">
      <c r="A32" s="114"/>
      <c r="B32" s="120">
        <v>7</v>
      </c>
      <c r="C32" s="599" t="s">
        <v>798</v>
      </c>
      <c r="D32" s="146" t="b">
        <f>IF(ABS(审定BS!E7-审定CF!C83)&lt;0.01,TRUE,FALSE)</f>
        <v>1</v>
      </c>
      <c r="E32" s="121" t="str">
        <f>IF(D32=TRUE,"","现金流量表与资产负债表期初货币资金勾稽不对")</f>
        <v/>
      </c>
      <c r="F32" s="116"/>
    </row>
    <row r="33" spans="1:6" ht="15">
      <c r="A33" s="114"/>
      <c r="B33" s="120">
        <v>8</v>
      </c>
      <c r="C33" s="122" t="s">
        <v>799</v>
      </c>
      <c r="D33" s="146" t="b">
        <f>IF(ABS(审定CF!C16-审定CF!C74)&lt;0.01,TRUE,FALSE)</f>
        <v>1</v>
      </c>
      <c r="E33" s="121" t="str">
        <f>IF(D33=TRUE,"","现金流量表主表与附表勾稽不对-经营活动现金净增加额")</f>
        <v/>
      </c>
      <c r="F33" s="116"/>
    </row>
    <row r="34" spans="1:6" ht="15">
      <c r="A34" s="114"/>
      <c r="B34" s="120">
        <v>9</v>
      </c>
      <c r="C34" s="122" t="s">
        <v>800</v>
      </c>
      <c r="D34" s="146" t="b">
        <f>IF(ABS(审定CF!C45-审定CF!C86)&lt;0.01,TRUE,FALSE)</f>
        <v>1</v>
      </c>
      <c r="E34" s="121" t="str">
        <f>IF(D34=TRUE,"","现金流量表主表与附表勾稽不对-现金净增加额")</f>
        <v/>
      </c>
      <c r="F34" s="116"/>
    </row>
    <row r="35" spans="1:6" ht="15">
      <c r="A35" s="114"/>
      <c r="B35" s="120">
        <v>10</v>
      </c>
      <c r="C35" s="599" t="s">
        <v>801</v>
      </c>
      <c r="D35" s="146" t="b">
        <f>IF(ABS(审定PL!C53-审定CF!C56)&lt;0.01,TRUE,FALSE)</f>
        <v>1</v>
      </c>
      <c r="E35" s="121" t="str">
        <f>IF(D35=TRUE,"","现金流量表与利润表勾稽不对-净利润")</f>
        <v/>
      </c>
      <c r="F35" s="116"/>
    </row>
    <row r="36" spans="1:6" ht="15">
      <c r="A36" s="114"/>
      <c r="B36" s="120">
        <v>11</v>
      </c>
      <c r="C36" s="599" t="s">
        <v>802</v>
      </c>
      <c r="D36" s="146" t="b">
        <f>IF(ABS(审定CF!C63-(审定BS!E21-审定BS!C21))&lt;0.01,TRUE,FALSE)</f>
        <v>1</v>
      </c>
      <c r="E36" s="121" t="str">
        <f>IF(D36=TRUE,"","现金流量表待摊费用与资产负债表勾稽不对")</f>
        <v/>
      </c>
      <c r="F36" s="116"/>
    </row>
    <row r="37" spans="1:6" ht="15">
      <c r="A37" s="114"/>
      <c r="B37" s="120">
        <v>12</v>
      </c>
      <c r="C37" s="599" t="s">
        <v>803</v>
      </c>
      <c r="D37" s="146" t="b">
        <f>IF(ABS(审定CF!C64-(审定BS!C81-审定BS!E81))&lt;0.01,TRUE,FALSE)</f>
        <v>1</v>
      </c>
      <c r="E37" s="121" t="str">
        <f>IF(D37=TRUE,"","现金流量表预提费用与资产负债表勾稽不对")</f>
        <v/>
      </c>
      <c r="F37" s="116"/>
    </row>
    <row r="38" spans="1:6" ht="15">
      <c r="A38" s="114"/>
      <c r="B38" s="120">
        <v>13</v>
      </c>
      <c r="C38" s="599" t="s">
        <v>804</v>
      </c>
      <c r="D38" s="146" t="b">
        <f>IF(ABS(审定CF!C70-(审定BS!E18-审定BS!C18))&lt;0.01,TRUE,FALSE)</f>
        <v>1</v>
      </c>
      <c r="E38" s="121" t="str">
        <f>IF(D38=TRUE,"","现金流量表存货与资产负债表勾稽不对")</f>
        <v/>
      </c>
      <c r="F38" s="116"/>
    </row>
    <row r="39" spans="1:6" ht="15">
      <c r="A39" s="114"/>
      <c r="B39" s="120">
        <v>14</v>
      </c>
      <c r="C39" s="599" t="s">
        <v>805</v>
      </c>
      <c r="D39" s="146" t="b">
        <f>IF(ABS(审定CF!C68+审定PL!C31)&lt;0.01,TRUE,FALSE)</f>
        <v>1</v>
      </c>
      <c r="E39" s="121" t="str">
        <f>IF(D39=TRUE,"","2005年利润分配表与现金流量表投资收益勾稽不对")</f>
        <v/>
      </c>
      <c r="F39" s="116"/>
    </row>
    <row r="40" spans="1:6" ht="15">
      <c r="A40" s="114"/>
      <c r="B40" s="120">
        <v>15</v>
      </c>
      <c r="C40" s="599" t="s">
        <v>806</v>
      </c>
      <c r="D40" s="146" t="b">
        <f>IF(ABS(审定CF!C57-审定PL!C51)&lt;0.01,TRUE,FALSE)</f>
        <v>1</v>
      </c>
      <c r="E40" s="121" t="str">
        <f>IF(D40=TRUE,"","利润分配表与现金流量表少数股东损益勾稽不对")</f>
        <v/>
      </c>
      <c r="F40" s="116"/>
    </row>
    <row r="41" spans="1:6" ht="15">
      <c r="A41" s="114"/>
      <c r="B41" s="120">
        <v>16</v>
      </c>
      <c r="C41" s="122" t="s">
        <v>807</v>
      </c>
      <c r="D41" s="146" t="b">
        <f>IF(ABS(审定PL!C58-审定PL!C53*0.1)&lt;0.01,TRUE,FALSE)</f>
        <v>1</v>
      </c>
      <c r="E41" s="121" t="str">
        <f>IF(D41=TRUE,"","按照公司政策，公司提取的法定盈余公积不符")</f>
        <v/>
      </c>
      <c r="F41" s="116"/>
    </row>
    <row r="42" spans="1:6" ht="15">
      <c r="A42" s="114"/>
      <c r="B42" s="120">
        <v>17</v>
      </c>
      <c r="C42" s="122" t="s">
        <v>808</v>
      </c>
      <c r="D42" s="146" t="b">
        <f>IF(审定BS!C116=0,TRUE,FALSE)</f>
        <v>1</v>
      </c>
      <c r="E42" s="121" t="str">
        <f>IF(D42=TRUE,"","法定公益金结转盈余公积后无余额")</f>
        <v/>
      </c>
      <c r="F42" s="116"/>
    </row>
    <row r="43" spans="1:6" ht="15">
      <c r="A43" s="114"/>
      <c r="B43" s="120">
        <v>18</v>
      </c>
      <c r="C43" s="599"/>
      <c r="D43" s="146"/>
      <c r="E43" s="121"/>
      <c r="F43" s="116"/>
    </row>
    <row r="44" spans="1:6" ht="15">
      <c r="A44" s="114"/>
      <c r="B44" s="120">
        <v>19</v>
      </c>
      <c r="C44" s="599"/>
      <c r="D44" s="146"/>
      <c r="E44" s="121"/>
      <c r="F44" s="116"/>
    </row>
    <row r="45" spans="1:6" ht="15">
      <c r="A45" s="114"/>
      <c r="B45" s="120">
        <v>20</v>
      </c>
      <c r="C45" s="122" t="s">
        <v>809</v>
      </c>
      <c r="D45" s="146" t="b">
        <f>IF(审定BS!C22=0,TRUE,FALSE)</f>
        <v>1</v>
      </c>
      <c r="E45" s="121" t="str">
        <f>IF(D45=TRUE,"","按照新制度规定，待处理流动资产净损益科目年末不应有余额")</f>
        <v/>
      </c>
      <c r="F45" s="116"/>
    </row>
    <row r="46" spans="1:6" ht="15">
      <c r="A46" s="114"/>
      <c r="B46" s="123">
        <v>21</v>
      </c>
      <c r="C46" s="124" t="s">
        <v>810</v>
      </c>
      <c r="D46" s="147" t="b">
        <f>IF(审定BS!C44=0,TRUE,FALSE)</f>
        <v>1</v>
      </c>
      <c r="E46" s="125" t="str">
        <f>IF(D46=TRUE,"","按照新制度规定，待处理固定资产净损益科目年末不应有余额")</f>
        <v/>
      </c>
      <c r="F46" s="116"/>
    </row>
    <row r="47" spans="1:6" ht="7.5" customHeight="1">
      <c r="A47" s="114"/>
      <c r="B47" s="114"/>
      <c r="C47" s="114"/>
      <c r="D47" s="114"/>
      <c r="E47" s="115"/>
      <c r="F47" s="116"/>
    </row>
  </sheetData>
  <customSheetViews>
    <customSheetView guid="{9A8CA204-20A8-11D5-8CC7-F77182B33125}" showPageBreaks="1" printArea="1" hiddenColumns="1" view="pageBreakPreview" showRuler="0">
      <selection activeCell="D8" sqref="D8"/>
      <pageMargins left="0.74803149606299213" right="0.74803149606299213" top="1.99" bottom="0.98425196850393704" header="0.51181102362204722" footer="0.51181102362204722"/>
      <printOptions horizontalCentered="1"/>
      <pageSetup paperSize="9" orientation="landscape" r:id="rId1"/>
      <headerFooter alignWithMargins="0"/>
    </customSheetView>
  </customSheetViews>
  <mergeCells count="9">
    <mergeCell ref="B24:E24"/>
    <mergeCell ref="B2:C2"/>
    <mergeCell ref="A1:F1"/>
    <mergeCell ref="A2:A19"/>
    <mergeCell ref="B7:E7"/>
    <mergeCell ref="B14:E14"/>
    <mergeCell ref="B3:B6"/>
    <mergeCell ref="B15:B18"/>
    <mergeCell ref="B8:B13"/>
  </mergeCells>
  <phoneticPr fontId="3" type="noConversion"/>
  <conditionalFormatting sqref="D26:D46">
    <cfRule type="cellIs" dxfId="73" priority="1" stopIfTrue="1" operator="equal">
      <formula>FALSE</formula>
    </cfRule>
  </conditionalFormatting>
  <dataValidations count="1">
    <dataValidation type="list" allowBlank="1" showInputMessage="1" showErrorMessage="1" prompt="报表类型不同，资产负债表的相应项目随之改变。" sqref="D8">
      <formula1>$H$9:$H$10</formula1>
    </dataValidation>
  </dataValidations>
  <printOptions horizontalCentered="1"/>
  <pageMargins left="0.74803149606299213" right="0.74803149606299213" top="2.0078740157480315" bottom="0.98425196850393704" header="0.51181102362204722" footer="0.51181102362204722"/>
  <pageSetup paperSize="9" orientation="landscape" blackAndWhite="1"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39"/>
  </sheetPr>
  <dimension ref="A1:AB207"/>
  <sheetViews>
    <sheetView topLeftCell="A31" workbookViewId="0">
      <selection activeCell="G42" sqref="G42"/>
    </sheetView>
  </sheetViews>
  <sheetFormatPr defaultRowHeight="15.75"/>
  <cols>
    <col min="1" max="1" width="0.75" style="699" customWidth="1"/>
    <col min="2" max="2" width="28.625" style="680" customWidth="1"/>
    <col min="3" max="3" width="3.75" style="708" customWidth="1"/>
    <col min="4" max="5" width="18.625" style="705" hidden="1" customWidth="1"/>
    <col min="6" max="6" width="0.625" style="700" customWidth="1"/>
    <col min="7" max="7" width="32.125" style="705" customWidth="1"/>
    <col min="8" max="8" width="3.25" style="705" customWidth="1"/>
    <col min="9" max="10" width="18.625" style="705" hidden="1" customWidth="1"/>
    <col min="11" max="11" width="0.625" style="701" customWidth="1"/>
    <col min="12" max="12" width="38" style="706" customWidth="1"/>
    <col min="13" max="13" width="3.125" style="706" customWidth="1"/>
    <col min="14" max="15" width="20.625" style="680" hidden="1" customWidth="1"/>
    <col min="16" max="16" width="0.625" style="701" customWidth="1"/>
    <col min="17" max="17" width="36.5" style="705" customWidth="1"/>
    <col min="18" max="18" width="1.875" style="709" customWidth="1"/>
    <col min="19" max="19" width="29.5" style="705" hidden="1" customWidth="1"/>
    <col min="20" max="20" width="0.625" style="701" customWidth="1"/>
    <col min="21" max="21" width="32.375" style="680" customWidth="1"/>
    <col min="22" max="22" width="3" style="705" bestFit="1" customWidth="1"/>
    <col min="23" max="23" width="31" style="705" hidden="1" customWidth="1"/>
    <col min="24" max="25" width="9" style="680"/>
    <col min="26" max="26" width="6.75" style="628" bestFit="1" customWidth="1"/>
    <col min="27" max="27" width="22.375" style="626" bestFit="1" customWidth="1"/>
    <col min="28" max="16384" width="9" style="680"/>
  </cols>
  <sheetData>
    <row r="1" spans="1:28" s="718" customFormat="1" ht="18.75">
      <c r="A1" s="901" t="s">
        <v>398</v>
      </c>
      <c r="B1" s="901"/>
      <c r="C1" s="901"/>
      <c r="D1" s="901"/>
      <c r="E1" s="901"/>
      <c r="F1" s="901"/>
      <c r="G1" s="901"/>
      <c r="H1" s="901"/>
      <c r="I1" s="901"/>
      <c r="J1" s="901"/>
      <c r="K1" s="901"/>
      <c r="L1" s="901"/>
      <c r="M1" s="901"/>
      <c r="N1" s="901"/>
      <c r="O1" s="713"/>
      <c r="P1" s="717"/>
      <c r="Q1" s="901" t="s">
        <v>398</v>
      </c>
      <c r="R1" s="901"/>
      <c r="S1" s="901"/>
      <c r="T1" s="901"/>
      <c r="U1" s="901"/>
      <c r="V1" s="901"/>
      <c r="W1" s="901"/>
      <c r="Z1" s="719" t="s">
        <v>708</v>
      </c>
      <c r="AA1" s="720" t="s">
        <v>551</v>
      </c>
    </row>
    <row r="2" spans="1:28" s="668" customFormat="1" ht="15" customHeight="1">
      <c r="A2" s="669"/>
      <c r="B2" s="670" t="s">
        <v>217</v>
      </c>
      <c r="C2" s="671"/>
      <c r="D2" s="671"/>
      <c r="E2" s="671"/>
      <c r="F2" s="671"/>
      <c r="G2" s="671"/>
      <c r="H2" s="671"/>
      <c r="I2" s="671"/>
      <c r="J2" s="671"/>
      <c r="K2" s="671"/>
      <c r="L2" s="671"/>
      <c r="M2" s="671"/>
      <c r="N2" s="671"/>
      <c r="O2" s="671"/>
      <c r="P2" s="672"/>
      <c r="Q2" s="671"/>
      <c r="R2" s="671"/>
      <c r="S2" s="671"/>
      <c r="T2" s="671"/>
      <c r="U2" s="671"/>
      <c r="V2" s="671"/>
      <c r="W2" s="671"/>
      <c r="Z2" s="625"/>
      <c r="AA2" s="626"/>
    </row>
    <row r="3" spans="1:28" s="786" customFormat="1" ht="16.5">
      <c r="A3" s="900"/>
      <c r="B3" s="902" t="s">
        <v>862</v>
      </c>
      <c r="C3" s="902"/>
      <c r="D3" s="902"/>
      <c r="E3" s="902"/>
      <c r="F3" s="900"/>
      <c r="G3" s="902" t="s">
        <v>399</v>
      </c>
      <c r="H3" s="902"/>
      <c r="I3" s="902"/>
      <c r="J3" s="902"/>
      <c r="K3" s="899"/>
      <c r="L3" s="902" t="s">
        <v>863</v>
      </c>
      <c r="M3" s="902"/>
      <c r="N3" s="902"/>
      <c r="O3" s="902"/>
      <c r="P3" s="899"/>
      <c r="Q3" s="902" t="s">
        <v>400</v>
      </c>
      <c r="R3" s="902"/>
      <c r="S3" s="902"/>
      <c r="T3" s="899"/>
      <c r="U3" s="902" t="s">
        <v>400</v>
      </c>
      <c r="V3" s="902"/>
      <c r="W3" s="902"/>
      <c r="X3" s="785"/>
      <c r="Y3" s="785"/>
      <c r="Z3" s="714"/>
      <c r="AA3" s="715"/>
      <c r="AB3" s="785"/>
    </row>
    <row r="4" spans="1:28" s="788" customFormat="1" ht="16.5">
      <c r="A4" s="900"/>
      <c r="B4" s="789" t="s">
        <v>367</v>
      </c>
      <c r="C4" s="789" t="s">
        <v>19</v>
      </c>
      <c r="D4" s="789" t="s">
        <v>856</v>
      </c>
      <c r="E4" s="789" t="s">
        <v>857</v>
      </c>
      <c r="F4" s="900"/>
      <c r="G4" s="789" t="s">
        <v>367</v>
      </c>
      <c r="H4" s="789" t="s">
        <v>19</v>
      </c>
      <c r="I4" s="789" t="s">
        <v>856</v>
      </c>
      <c r="J4" s="789" t="s">
        <v>857</v>
      </c>
      <c r="K4" s="899"/>
      <c r="L4" s="789" t="s">
        <v>367</v>
      </c>
      <c r="M4" s="789" t="s">
        <v>19</v>
      </c>
      <c r="N4" s="789" t="s">
        <v>858</v>
      </c>
      <c r="O4" s="789" t="s">
        <v>859</v>
      </c>
      <c r="P4" s="899"/>
      <c r="Q4" s="789" t="s">
        <v>367</v>
      </c>
      <c r="R4" s="789" t="s">
        <v>19</v>
      </c>
      <c r="S4" s="789" t="s">
        <v>860</v>
      </c>
      <c r="T4" s="899"/>
      <c r="U4" s="902" t="s">
        <v>861</v>
      </c>
      <c r="V4" s="902" t="s">
        <v>19</v>
      </c>
      <c r="W4" s="902" t="s">
        <v>860</v>
      </c>
      <c r="X4" s="787"/>
      <c r="Y4" s="787"/>
      <c r="Z4" s="714"/>
      <c r="AA4" s="716"/>
      <c r="AB4" s="787"/>
    </row>
    <row r="5" spans="1:28" ht="15.75" customHeight="1">
      <c r="A5" s="900"/>
      <c r="B5" s="673" t="s">
        <v>392</v>
      </c>
      <c r="C5" s="674">
        <v>1</v>
      </c>
      <c r="D5" s="594"/>
      <c r="E5" s="594"/>
      <c r="F5" s="900"/>
      <c r="G5" s="675" t="s">
        <v>374</v>
      </c>
      <c r="H5" s="598">
        <f>C72+1</f>
        <v>58</v>
      </c>
      <c r="I5" s="586"/>
      <c r="J5" s="586"/>
      <c r="K5" s="899"/>
      <c r="L5" s="586" t="s">
        <v>507</v>
      </c>
      <c r="M5" s="676">
        <v>1</v>
      </c>
      <c r="N5" s="677" t="s">
        <v>545</v>
      </c>
      <c r="O5" s="678" t="str">
        <f t="shared" ref="O5:O73" si="0">IF(N5="",0,CONCATENATE("上年",N5))</f>
        <v>上年主营业务收入</v>
      </c>
      <c r="P5" s="899"/>
      <c r="Q5" s="586" t="s">
        <v>405</v>
      </c>
      <c r="R5" s="674">
        <v>1</v>
      </c>
      <c r="S5" s="586"/>
      <c r="T5" s="899"/>
      <c r="U5" s="598" t="s">
        <v>458</v>
      </c>
      <c r="V5" s="598">
        <f>R78+1</f>
        <v>1</v>
      </c>
      <c r="W5" s="598"/>
      <c r="X5" s="679"/>
      <c r="Y5" s="679"/>
      <c r="Z5" s="625"/>
      <c r="AA5" s="627" t="s">
        <v>220</v>
      </c>
      <c r="AB5" s="679"/>
    </row>
    <row r="6" spans="1:28" ht="15.75" customHeight="1">
      <c r="A6" s="900"/>
      <c r="B6" s="594" t="s">
        <v>110</v>
      </c>
      <c r="C6" s="674">
        <v>2</v>
      </c>
      <c r="D6" s="681" t="s">
        <v>541</v>
      </c>
      <c r="E6" s="594" t="str">
        <f t="shared" ref="E6:E74" si="1">IF(D6="",0,CONCATENATE("年初",D6))</f>
        <v>年初货币资金</v>
      </c>
      <c r="F6" s="900"/>
      <c r="G6" s="597" t="s">
        <v>115</v>
      </c>
      <c r="H6" s="598">
        <f>H5+1</f>
        <v>59</v>
      </c>
      <c r="I6" s="683" t="s">
        <v>543</v>
      </c>
      <c r="J6" s="594" t="str">
        <f t="shared" ref="J6:J74" si="2">IF(I6="",0,CONCATENATE("年初",I6))</f>
        <v>年初短期借款</v>
      </c>
      <c r="K6" s="899"/>
      <c r="L6" s="586" t="s">
        <v>823</v>
      </c>
      <c r="M6" s="676">
        <v>2</v>
      </c>
      <c r="N6" s="677"/>
      <c r="O6" s="678"/>
      <c r="P6" s="899"/>
      <c r="Q6" s="684" t="s">
        <v>449</v>
      </c>
      <c r="R6" s="674">
        <v>2</v>
      </c>
      <c r="S6" s="685" t="s">
        <v>546</v>
      </c>
      <c r="T6" s="899"/>
      <c r="U6" s="686" t="s">
        <v>417</v>
      </c>
      <c r="V6" s="598">
        <f>V5+1</f>
        <v>2</v>
      </c>
      <c r="W6" s="683" t="s">
        <v>547</v>
      </c>
      <c r="X6" s="679"/>
      <c r="Y6" s="679"/>
      <c r="Z6" s="628" t="s">
        <v>895</v>
      </c>
      <c r="AA6" s="629" t="str">
        <f>B6</f>
        <v>货币资金</v>
      </c>
      <c r="AB6" s="679"/>
    </row>
    <row r="7" spans="1:28" ht="15.75" customHeight="1">
      <c r="A7" s="900"/>
      <c r="B7" s="594" t="s">
        <v>111</v>
      </c>
      <c r="C7" s="674">
        <v>3</v>
      </c>
      <c r="D7" s="681" t="s">
        <v>544</v>
      </c>
      <c r="E7" s="594" t="str">
        <f>IF(D7="",0,CONCATENATE("年初",D7))</f>
        <v>年初短期投资</v>
      </c>
      <c r="F7" s="900"/>
      <c r="G7" s="597" t="s">
        <v>27</v>
      </c>
      <c r="H7" s="598">
        <f t="shared" ref="H7:H61" si="3">H6+1</f>
        <v>60</v>
      </c>
      <c r="I7" s="682" t="s">
        <v>352</v>
      </c>
      <c r="J7" s="594" t="str">
        <f t="shared" si="2"/>
        <v>年初应付票据</v>
      </c>
      <c r="K7" s="899"/>
      <c r="L7" s="586" t="s">
        <v>824</v>
      </c>
      <c r="M7" s="676">
        <v>3</v>
      </c>
      <c r="N7" s="677"/>
      <c r="O7" s="678"/>
      <c r="P7" s="899"/>
      <c r="Q7" s="684" t="s">
        <v>406</v>
      </c>
      <c r="R7" s="674">
        <v>3</v>
      </c>
      <c r="S7" s="687" t="s">
        <v>459</v>
      </c>
      <c r="T7" s="899"/>
      <c r="U7" s="682" t="s">
        <v>100</v>
      </c>
      <c r="V7" s="598">
        <f t="shared" ref="V7:V72" si="4">V6+1</f>
        <v>3</v>
      </c>
      <c r="W7" s="683" t="s">
        <v>101</v>
      </c>
      <c r="X7" s="679"/>
      <c r="Y7" s="679"/>
      <c r="Z7" s="628" t="s">
        <v>879</v>
      </c>
      <c r="AA7" s="629" t="str">
        <f t="shared" ref="AA7:AA25" si="5">B7</f>
        <v>短期投资</v>
      </c>
      <c r="AB7" s="679"/>
    </row>
    <row r="8" spans="1:28" ht="15.75" customHeight="1">
      <c r="A8" s="900"/>
      <c r="B8" s="594" t="s">
        <v>528</v>
      </c>
      <c r="C8" s="674">
        <v>4</v>
      </c>
      <c r="D8" s="688" t="s">
        <v>528</v>
      </c>
      <c r="E8" s="594" t="str">
        <f t="shared" si="1"/>
        <v>年初应收票据</v>
      </c>
      <c r="F8" s="900"/>
      <c r="G8" s="597" t="s">
        <v>396</v>
      </c>
      <c r="H8" s="598">
        <f t="shared" si="3"/>
        <v>61</v>
      </c>
      <c r="I8" s="682" t="s">
        <v>396</v>
      </c>
      <c r="J8" s="594" t="str">
        <f t="shared" si="2"/>
        <v>年初应付账款</v>
      </c>
      <c r="K8" s="899"/>
      <c r="L8" s="586" t="s">
        <v>166</v>
      </c>
      <c r="M8" s="676">
        <v>4</v>
      </c>
      <c r="N8" s="677" t="s">
        <v>167</v>
      </c>
      <c r="O8" s="678" t="str">
        <f t="shared" si="0"/>
        <v>上年折扣与折让</v>
      </c>
      <c r="P8" s="899"/>
      <c r="Q8" s="684" t="s">
        <v>407</v>
      </c>
      <c r="R8" s="674">
        <v>4</v>
      </c>
      <c r="S8" s="687" t="s">
        <v>460</v>
      </c>
      <c r="T8" s="899"/>
      <c r="U8" s="682" t="s">
        <v>102</v>
      </c>
      <c r="V8" s="598">
        <f t="shared" si="4"/>
        <v>4</v>
      </c>
      <c r="W8" s="683" t="s">
        <v>56</v>
      </c>
      <c r="X8" s="679"/>
      <c r="Y8" s="679"/>
      <c r="Z8" s="628" t="s">
        <v>867</v>
      </c>
      <c r="AA8" s="629" t="str">
        <f t="shared" si="5"/>
        <v>应收票据</v>
      </c>
      <c r="AB8" s="679"/>
    </row>
    <row r="9" spans="1:28" ht="15.75" customHeight="1">
      <c r="A9" s="900"/>
      <c r="B9" s="594" t="s">
        <v>431</v>
      </c>
      <c r="C9" s="674">
        <v>5</v>
      </c>
      <c r="D9" s="688" t="s">
        <v>431</v>
      </c>
      <c r="E9" s="594" t="str">
        <f t="shared" si="1"/>
        <v>年初应收股利</v>
      </c>
      <c r="F9" s="900"/>
      <c r="G9" s="597" t="s">
        <v>116</v>
      </c>
      <c r="H9" s="598">
        <f t="shared" si="3"/>
        <v>62</v>
      </c>
      <c r="I9" s="682" t="s">
        <v>397</v>
      </c>
      <c r="J9" s="594" t="str">
        <f t="shared" si="2"/>
        <v>年初预收账款</v>
      </c>
      <c r="K9" s="899"/>
      <c r="L9" s="586" t="s">
        <v>61</v>
      </c>
      <c r="M9" s="676">
        <v>5</v>
      </c>
      <c r="N9" s="677"/>
      <c r="O9" s="678"/>
      <c r="P9" s="899"/>
      <c r="Q9" s="684"/>
      <c r="R9" s="674">
        <v>5</v>
      </c>
      <c r="S9" s="684"/>
      <c r="T9" s="899"/>
      <c r="U9" s="682" t="s">
        <v>536</v>
      </c>
      <c r="V9" s="598">
        <f t="shared" si="4"/>
        <v>5</v>
      </c>
      <c r="W9" s="682" t="s">
        <v>537</v>
      </c>
      <c r="X9" s="679"/>
      <c r="Y9" s="679"/>
      <c r="Z9" s="628" t="s">
        <v>882</v>
      </c>
      <c r="AA9" s="629" t="str">
        <f t="shared" si="5"/>
        <v>应收股利</v>
      </c>
      <c r="AB9" s="679"/>
    </row>
    <row r="10" spans="1:28" ht="15.75" customHeight="1">
      <c r="A10" s="900"/>
      <c r="B10" s="594" t="s">
        <v>529</v>
      </c>
      <c r="C10" s="674">
        <v>6</v>
      </c>
      <c r="D10" s="688" t="s">
        <v>529</v>
      </c>
      <c r="E10" s="594" t="str">
        <f t="shared" si="1"/>
        <v>年初应收利息</v>
      </c>
      <c r="F10" s="900"/>
      <c r="G10" s="597" t="s">
        <v>122</v>
      </c>
      <c r="H10" s="598">
        <f t="shared" si="3"/>
        <v>63</v>
      </c>
      <c r="I10" s="682" t="s">
        <v>375</v>
      </c>
      <c r="J10" s="594" t="str">
        <f t="shared" si="2"/>
        <v>年初应付工资</v>
      </c>
      <c r="K10" s="899"/>
      <c r="L10" s="595" t="s">
        <v>62</v>
      </c>
      <c r="M10" s="676">
        <v>6</v>
      </c>
      <c r="N10" s="678" t="s">
        <v>508</v>
      </c>
      <c r="O10" s="678" t="str">
        <f t="shared" si="0"/>
        <v>上年主营业务成本</v>
      </c>
      <c r="P10" s="899"/>
      <c r="Q10" s="689" t="s">
        <v>408</v>
      </c>
      <c r="R10" s="674">
        <v>6</v>
      </c>
      <c r="S10" s="689"/>
      <c r="T10" s="899"/>
      <c r="U10" s="686" t="s">
        <v>418</v>
      </c>
      <c r="V10" s="598">
        <f t="shared" si="4"/>
        <v>6</v>
      </c>
      <c r="W10" s="682" t="s">
        <v>487</v>
      </c>
      <c r="X10" s="679"/>
      <c r="Y10" s="679"/>
      <c r="Z10" s="628" t="s">
        <v>883</v>
      </c>
      <c r="AA10" s="629" t="str">
        <f t="shared" si="5"/>
        <v>应收利息</v>
      </c>
      <c r="AB10" s="679"/>
    </row>
    <row r="11" spans="1:28" ht="15.75" customHeight="1">
      <c r="A11" s="900"/>
      <c r="B11" s="594" t="s">
        <v>395</v>
      </c>
      <c r="C11" s="674">
        <v>7</v>
      </c>
      <c r="D11" s="688" t="s">
        <v>395</v>
      </c>
      <c r="E11" s="594" t="str">
        <f t="shared" si="1"/>
        <v>年初应收账款</v>
      </c>
      <c r="F11" s="900"/>
      <c r="G11" s="597" t="s">
        <v>223</v>
      </c>
      <c r="H11" s="598">
        <f t="shared" si="3"/>
        <v>64</v>
      </c>
      <c r="I11" s="682" t="s">
        <v>376</v>
      </c>
      <c r="J11" s="594" t="str">
        <f t="shared" si="2"/>
        <v>年初应付福利费</v>
      </c>
      <c r="K11" s="899"/>
      <c r="L11" s="595" t="s">
        <v>136</v>
      </c>
      <c r="M11" s="676">
        <v>7</v>
      </c>
      <c r="N11" s="678"/>
      <c r="O11" s="678"/>
      <c r="P11" s="899"/>
      <c r="Q11" s="684" t="s">
        <v>409</v>
      </c>
      <c r="R11" s="674">
        <v>7</v>
      </c>
      <c r="S11" s="687" t="s">
        <v>461</v>
      </c>
      <c r="T11" s="899"/>
      <c r="U11" s="686" t="s">
        <v>419</v>
      </c>
      <c r="V11" s="598">
        <f t="shared" si="4"/>
        <v>7</v>
      </c>
      <c r="W11" s="682" t="s">
        <v>488</v>
      </c>
      <c r="X11" s="679"/>
      <c r="Y11" s="679"/>
      <c r="Z11" s="628" t="s">
        <v>866</v>
      </c>
      <c r="AA11" s="629" t="str">
        <f t="shared" si="5"/>
        <v>应收账款</v>
      </c>
      <c r="AB11" s="679"/>
    </row>
    <row r="12" spans="1:28" ht="15.75" customHeight="1">
      <c r="A12" s="900"/>
      <c r="B12" s="594" t="s">
        <v>530</v>
      </c>
      <c r="C12" s="674">
        <v>8</v>
      </c>
      <c r="D12" s="688" t="s">
        <v>530</v>
      </c>
      <c r="E12" s="594" t="str">
        <f t="shared" si="1"/>
        <v>年初其他应收款</v>
      </c>
      <c r="F12" s="900"/>
      <c r="G12" s="597" t="s">
        <v>821</v>
      </c>
      <c r="H12" s="598">
        <f t="shared" si="3"/>
        <v>65</v>
      </c>
      <c r="I12" s="682" t="s">
        <v>377</v>
      </c>
      <c r="J12" s="594" t="str">
        <f t="shared" si="2"/>
        <v>年初应付股利</v>
      </c>
      <c r="K12" s="899"/>
      <c r="L12" s="597" t="s">
        <v>825</v>
      </c>
      <c r="M12" s="676">
        <v>8</v>
      </c>
      <c r="N12" s="678" t="s">
        <v>509</v>
      </c>
      <c r="O12" s="678" t="str">
        <f t="shared" si="0"/>
        <v>上年主营业务税金及附加</v>
      </c>
      <c r="P12" s="899"/>
      <c r="Q12" s="684" t="s">
        <v>452</v>
      </c>
      <c r="R12" s="674">
        <v>8</v>
      </c>
      <c r="S12" s="687" t="s">
        <v>462</v>
      </c>
      <c r="T12" s="899"/>
      <c r="U12" s="686" t="s">
        <v>456</v>
      </c>
      <c r="V12" s="598">
        <f t="shared" si="4"/>
        <v>8</v>
      </c>
      <c r="W12" s="682" t="s">
        <v>489</v>
      </c>
      <c r="X12" s="679"/>
      <c r="Y12" s="679"/>
      <c r="Z12" s="628" t="s">
        <v>896</v>
      </c>
      <c r="AA12" s="629" t="str">
        <f t="shared" si="5"/>
        <v>其他应收款</v>
      </c>
      <c r="AB12" s="679"/>
    </row>
    <row r="13" spans="1:28" ht="15.75" customHeight="1">
      <c r="A13" s="900"/>
      <c r="B13" s="594" t="s">
        <v>519</v>
      </c>
      <c r="C13" s="674">
        <v>9</v>
      </c>
      <c r="D13" s="688" t="s">
        <v>519</v>
      </c>
      <c r="E13" s="594" t="str">
        <f t="shared" si="1"/>
        <v>年初预付账款</v>
      </c>
      <c r="F13" s="900"/>
      <c r="G13" s="597" t="s">
        <v>837</v>
      </c>
      <c r="H13" s="598">
        <f t="shared" si="3"/>
        <v>66</v>
      </c>
      <c r="I13" s="682" t="s">
        <v>378</v>
      </c>
      <c r="J13" s="594" t="str">
        <f t="shared" si="2"/>
        <v>年初应交税金</v>
      </c>
      <c r="K13" s="899"/>
      <c r="L13" s="597" t="s">
        <v>826</v>
      </c>
      <c r="M13" s="676">
        <v>9</v>
      </c>
      <c r="N13" s="678" t="s">
        <v>63</v>
      </c>
      <c r="O13" s="678" t="str">
        <f t="shared" si="0"/>
        <v>上年经营费用</v>
      </c>
      <c r="P13" s="899"/>
      <c r="Q13" s="684" t="s">
        <v>438</v>
      </c>
      <c r="R13" s="674">
        <v>9</v>
      </c>
      <c r="S13" s="687" t="s">
        <v>463</v>
      </c>
      <c r="T13" s="899"/>
      <c r="U13" s="686" t="s">
        <v>457</v>
      </c>
      <c r="V13" s="598">
        <f t="shared" si="4"/>
        <v>9</v>
      </c>
      <c r="W13" s="682" t="s">
        <v>490</v>
      </c>
      <c r="X13" s="679"/>
      <c r="Y13" s="679"/>
      <c r="Z13" s="628" t="s">
        <v>873</v>
      </c>
      <c r="AA13" s="629" t="str">
        <f t="shared" si="5"/>
        <v>预付账款</v>
      </c>
      <c r="AB13" s="679"/>
    </row>
    <row r="14" spans="1:28" ht="15.75" customHeight="1">
      <c r="A14" s="900"/>
      <c r="B14" s="594" t="s">
        <v>28</v>
      </c>
      <c r="C14" s="674">
        <v>10</v>
      </c>
      <c r="D14" s="688" t="s">
        <v>28</v>
      </c>
      <c r="E14" s="594" t="str">
        <f t="shared" si="1"/>
        <v>年初期货保证金</v>
      </c>
      <c r="F14" s="900"/>
      <c r="G14" s="597" t="s">
        <v>117</v>
      </c>
      <c r="H14" s="598">
        <f t="shared" si="3"/>
        <v>67</v>
      </c>
      <c r="I14" s="682" t="s">
        <v>379</v>
      </c>
      <c r="J14" s="594" t="str">
        <f t="shared" si="2"/>
        <v>年初其他未交款</v>
      </c>
      <c r="K14" s="899"/>
      <c r="L14" s="597" t="s">
        <v>827</v>
      </c>
      <c r="M14" s="676">
        <v>10</v>
      </c>
      <c r="N14" s="678" t="s">
        <v>500</v>
      </c>
      <c r="O14" s="678" t="str">
        <f t="shared" si="0"/>
        <v>上年其他</v>
      </c>
      <c r="P14" s="899"/>
      <c r="Q14" s="684" t="s">
        <v>410</v>
      </c>
      <c r="R14" s="674">
        <v>10</v>
      </c>
      <c r="S14" s="687" t="s">
        <v>464</v>
      </c>
      <c r="T14" s="899"/>
      <c r="U14" s="686" t="s">
        <v>420</v>
      </c>
      <c r="V14" s="598">
        <f t="shared" si="4"/>
        <v>10</v>
      </c>
      <c r="W14" s="682" t="s">
        <v>491</v>
      </c>
      <c r="X14" s="679"/>
      <c r="Y14" s="679"/>
      <c r="AA14" s="629" t="str">
        <f t="shared" si="5"/>
        <v>期货保证金</v>
      </c>
      <c r="AB14" s="679"/>
    </row>
    <row r="15" spans="1:28" ht="15.75" customHeight="1">
      <c r="A15" s="900"/>
      <c r="B15" s="594" t="s">
        <v>531</v>
      </c>
      <c r="C15" s="674">
        <v>11</v>
      </c>
      <c r="D15" s="688" t="s">
        <v>531</v>
      </c>
      <c r="E15" s="594" t="str">
        <f t="shared" si="1"/>
        <v>年初应收补贴款</v>
      </c>
      <c r="F15" s="900"/>
      <c r="G15" s="597" t="s">
        <v>118</v>
      </c>
      <c r="H15" s="598">
        <f t="shared" si="3"/>
        <v>68</v>
      </c>
      <c r="I15" s="682" t="s">
        <v>380</v>
      </c>
      <c r="J15" s="594" t="str">
        <f t="shared" si="2"/>
        <v>年初其他应付款</v>
      </c>
      <c r="K15" s="899"/>
      <c r="L15" s="595" t="s">
        <v>828</v>
      </c>
      <c r="M15" s="676">
        <v>11</v>
      </c>
      <c r="N15" s="596" t="s">
        <v>64</v>
      </c>
      <c r="O15" s="678" t="str">
        <f t="shared" si="0"/>
        <v>上年递延收益</v>
      </c>
      <c r="P15" s="899"/>
      <c r="Q15" s="684"/>
      <c r="R15" s="674">
        <v>11</v>
      </c>
      <c r="S15" s="684"/>
      <c r="T15" s="899"/>
      <c r="U15" s="686" t="s">
        <v>421</v>
      </c>
      <c r="V15" s="598">
        <f t="shared" si="4"/>
        <v>11</v>
      </c>
      <c r="W15" s="682" t="s">
        <v>492</v>
      </c>
      <c r="X15" s="679"/>
      <c r="Y15" s="679"/>
      <c r="Z15" s="628" t="s">
        <v>907</v>
      </c>
      <c r="AA15" s="629" t="str">
        <f t="shared" si="5"/>
        <v>应收补贴款</v>
      </c>
      <c r="AB15" s="679"/>
    </row>
    <row r="16" spans="1:28" ht="15.75" customHeight="1">
      <c r="A16" s="900"/>
      <c r="B16" s="594" t="s">
        <v>29</v>
      </c>
      <c r="C16" s="674">
        <v>12</v>
      </c>
      <c r="D16" s="688" t="s">
        <v>29</v>
      </c>
      <c r="E16" s="594" t="str">
        <f t="shared" si="1"/>
        <v>年初应收出口退税</v>
      </c>
      <c r="F16" s="900"/>
      <c r="G16" s="597" t="s">
        <v>119</v>
      </c>
      <c r="H16" s="598">
        <f t="shared" si="3"/>
        <v>69</v>
      </c>
      <c r="I16" s="682" t="s">
        <v>381</v>
      </c>
      <c r="J16" s="594" t="str">
        <f t="shared" si="2"/>
        <v>年初预提费用</v>
      </c>
      <c r="K16" s="899"/>
      <c r="L16" s="586" t="s">
        <v>829</v>
      </c>
      <c r="M16" s="676">
        <v>12</v>
      </c>
      <c r="N16" s="596" t="s">
        <v>65</v>
      </c>
      <c r="O16" s="678" t="str">
        <f t="shared" si="0"/>
        <v>上年代购代销收入</v>
      </c>
      <c r="P16" s="899"/>
      <c r="Q16" s="689"/>
      <c r="R16" s="674">
        <v>12</v>
      </c>
      <c r="S16" s="689"/>
      <c r="T16" s="899"/>
      <c r="U16" s="686" t="s">
        <v>422</v>
      </c>
      <c r="V16" s="598">
        <f t="shared" si="4"/>
        <v>12</v>
      </c>
      <c r="W16" s="682" t="s">
        <v>493</v>
      </c>
      <c r="X16" s="679"/>
      <c r="Y16" s="679"/>
      <c r="AA16" s="629" t="str">
        <f t="shared" si="5"/>
        <v>应收出口退税</v>
      </c>
      <c r="AB16" s="679"/>
    </row>
    <row r="17" spans="1:28" ht="15.75" customHeight="1">
      <c r="A17" s="900"/>
      <c r="B17" s="594" t="s">
        <v>532</v>
      </c>
      <c r="C17" s="674">
        <v>13</v>
      </c>
      <c r="D17" s="688" t="s">
        <v>532</v>
      </c>
      <c r="E17" s="594" t="str">
        <f t="shared" si="1"/>
        <v>年初存货</v>
      </c>
      <c r="F17" s="900"/>
      <c r="G17" s="597" t="s">
        <v>26</v>
      </c>
      <c r="H17" s="598">
        <f t="shared" si="3"/>
        <v>70</v>
      </c>
      <c r="I17" s="682" t="s">
        <v>515</v>
      </c>
      <c r="J17" s="594" t="str">
        <f t="shared" si="2"/>
        <v>年初预计负债</v>
      </c>
      <c r="K17" s="899"/>
      <c r="L17" s="586" t="s">
        <v>830</v>
      </c>
      <c r="M17" s="676">
        <v>13</v>
      </c>
      <c r="N17" s="596" t="s">
        <v>500</v>
      </c>
      <c r="O17" s="678" t="str">
        <f t="shared" si="0"/>
        <v>上年其他</v>
      </c>
      <c r="P17" s="899"/>
      <c r="Q17" s="689"/>
      <c r="R17" s="674">
        <v>13</v>
      </c>
      <c r="S17" s="689"/>
      <c r="T17" s="899"/>
      <c r="U17" s="686" t="s">
        <v>423</v>
      </c>
      <c r="V17" s="598">
        <f t="shared" si="4"/>
        <v>13</v>
      </c>
      <c r="W17" s="682" t="s">
        <v>494</v>
      </c>
      <c r="X17" s="679"/>
      <c r="Y17" s="679"/>
      <c r="Z17" s="628" t="s">
        <v>872</v>
      </c>
      <c r="AA17" s="629" t="str">
        <f t="shared" si="5"/>
        <v>存货</v>
      </c>
      <c r="AB17" s="679"/>
    </row>
    <row r="18" spans="1:28" ht="15.75" customHeight="1">
      <c r="A18" s="900"/>
      <c r="B18" s="594" t="s">
        <v>32</v>
      </c>
      <c r="C18" s="674">
        <v>14</v>
      </c>
      <c r="D18" s="688" t="s">
        <v>30</v>
      </c>
      <c r="E18" s="594"/>
      <c r="F18" s="900"/>
      <c r="G18" s="597" t="s">
        <v>120</v>
      </c>
      <c r="H18" s="598">
        <f t="shared" si="3"/>
        <v>71</v>
      </c>
      <c r="I18" s="682" t="s">
        <v>382</v>
      </c>
      <c r="J18" s="594" t="str">
        <f t="shared" si="2"/>
        <v>年初一年内到期的长期负债</v>
      </c>
      <c r="K18" s="899"/>
      <c r="L18" s="586" t="s">
        <v>831</v>
      </c>
      <c r="M18" s="676">
        <v>14</v>
      </c>
      <c r="N18" s="678"/>
      <c r="O18" s="678">
        <f t="shared" si="0"/>
        <v>0</v>
      </c>
      <c r="P18" s="899"/>
      <c r="Q18" s="689" t="s">
        <v>411</v>
      </c>
      <c r="R18" s="674">
        <v>14</v>
      </c>
      <c r="S18" s="689"/>
      <c r="T18" s="899"/>
      <c r="U18" s="686" t="s">
        <v>520</v>
      </c>
      <c r="V18" s="598">
        <f t="shared" si="4"/>
        <v>14</v>
      </c>
      <c r="W18" s="689"/>
      <c r="X18" s="679"/>
      <c r="Y18" s="679"/>
      <c r="AA18" s="629"/>
      <c r="AB18" s="679"/>
    </row>
    <row r="19" spans="1:28" ht="15.75" customHeight="1">
      <c r="A19" s="900"/>
      <c r="B19" s="594" t="s">
        <v>816</v>
      </c>
      <c r="C19" s="674">
        <v>15</v>
      </c>
      <c r="D19" s="688" t="s">
        <v>31</v>
      </c>
      <c r="E19" s="594"/>
      <c r="F19" s="900"/>
      <c r="G19" s="597" t="s">
        <v>838</v>
      </c>
      <c r="H19" s="598">
        <f t="shared" si="3"/>
        <v>72</v>
      </c>
      <c r="I19" s="682" t="s">
        <v>383</v>
      </c>
      <c r="J19" s="594" t="str">
        <f t="shared" si="2"/>
        <v>年初其他流动负债</v>
      </c>
      <c r="K19" s="899"/>
      <c r="L19" s="595" t="s">
        <v>832</v>
      </c>
      <c r="M19" s="676">
        <v>15</v>
      </c>
      <c r="N19" s="678" t="s">
        <v>356</v>
      </c>
      <c r="O19" s="678" t="str">
        <f t="shared" si="0"/>
        <v>上年其他业务利润</v>
      </c>
      <c r="P19" s="899"/>
      <c r="Q19" s="689" t="s">
        <v>412</v>
      </c>
      <c r="R19" s="674">
        <v>15</v>
      </c>
      <c r="S19" s="689"/>
      <c r="T19" s="899"/>
      <c r="U19" s="686" t="s">
        <v>424</v>
      </c>
      <c r="V19" s="598">
        <f>V18+1</f>
        <v>15</v>
      </c>
      <c r="W19" s="689"/>
      <c r="X19" s="679"/>
      <c r="Y19" s="679"/>
      <c r="AA19" s="629"/>
      <c r="AB19" s="679"/>
    </row>
    <row r="20" spans="1:28" ht="15.75" customHeight="1">
      <c r="A20" s="900"/>
      <c r="B20" s="594" t="s">
        <v>533</v>
      </c>
      <c r="C20" s="674">
        <v>16</v>
      </c>
      <c r="D20" s="688" t="s">
        <v>533</v>
      </c>
      <c r="E20" s="594" t="str">
        <f t="shared" si="1"/>
        <v>年初待摊费用</v>
      </c>
      <c r="F20" s="900"/>
      <c r="G20" s="597" t="s">
        <v>224</v>
      </c>
      <c r="H20" s="598">
        <f t="shared" si="3"/>
        <v>73</v>
      </c>
      <c r="I20" s="682"/>
      <c r="J20" s="594"/>
      <c r="K20" s="899"/>
      <c r="L20" s="598" t="s">
        <v>66</v>
      </c>
      <c r="M20" s="676">
        <v>16</v>
      </c>
      <c r="N20" s="682" t="s">
        <v>510</v>
      </c>
      <c r="O20" s="678" t="str">
        <f t="shared" si="0"/>
        <v>上年营业费用</v>
      </c>
      <c r="P20" s="899"/>
      <c r="Q20" s="586" t="s">
        <v>404</v>
      </c>
      <c r="R20" s="674">
        <v>16</v>
      </c>
      <c r="S20" s="586"/>
      <c r="T20" s="899"/>
      <c r="U20" s="686" t="s">
        <v>425</v>
      </c>
      <c r="V20" s="598">
        <f t="shared" si="4"/>
        <v>16</v>
      </c>
      <c r="W20" s="682" t="s">
        <v>495</v>
      </c>
      <c r="X20" s="679"/>
      <c r="Y20" s="679"/>
      <c r="Z20" s="628" t="s">
        <v>909</v>
      </c>
      <c r="AA20" s="629" t="str">
        <f t="shared" si="5"/>
        <v>待摊费用</v>
      </c>
      <c r="AB20" s="679"/>
    </row>
    <row r="21" spans="1:28" ht="15.75" customHeight="1">
      <c r="A21" s="900"/>
      <c r="B21" s="594" t="s">
        <v>33</v>
      </c>
      <c r="C21" s="674">
        <v>17</v>
      </c>
      <c r="D21" s="688" t="s">
        <v>33</v>
      </c>
      <c r="E21" s="594" t="str">
        <f t="shared" si="1"/>
        <v>年初待处理流动资产净损失</v>
      </c>
      <c r="F21" s="900"/>
      <c r="G21" s="597" t="s">
        <v>839</v>
      </c>
      <c r="H21" s="598">
        <f t="shared" si="3"/>
        <v>74</v>
      </c>
      <c r="I21" s="686"/>
      <c r="J21" s="594">
        <f t="shared" si="2"/>
        <v>0</v>
      </c>
      <c r="K21" s="899"/>
      <c r="L21" s="598" t="s">
        <v>137</v>
      </c>
      <c r="M21" s="676">
        <v>17</v>
      </c>
      <c r="N21" s="682" t="s">
        <v>511</v>
      </c>
      <c r="O21" s="678" t="str">
        <f t="shared" si="0"/>
        <v>上年管理费用</v>
      </c>
      <c r="P21" s="899"/>
      <c r="Q21" s="684" t="s">
        <v>447</v>
      </c>
      <c r="R21" s="674">
        <v>17</v>
      </c>
      <c r="S21" s="687" t="s">
        <v>465</v>
      </c>
      <c r="T21" s="899"/>
      <c r="U21" s="686" t="s">
        <v>426</v>
      </c>
      <c r="V21" s="598">
        <f t="shared" si="4"/>
        <v>17</v>
      </c>
      <c r="W21" s="682" t="s">
        <v>496</v>
      </c>
      <c r="X21" s="679"/>
      <c r="Y21" s="679"/>
      <c r="Z21" s="628" t="s">
        <v>911</v>
      </c>
      <c r="AA21" s="629" t="str">
        <f t="shared" si="5"/>
        <v>待处理流动资产净损失</v>
      </c>
      <c r="AB21" s="679"/>
    </row>
    <row r="22" spans="1:28" ht="15.75" customHeight="1">
      <c r="A22" s="900"/>
      <c r="B22" s="594" t="s">
        <v>258</v>
      </c>
      <c r="C22" s="674">
        <v>18</v>
      </c>
      <c r="D22" s="688" t="s">
        <v>534</v>
      </c>
      <c r="E22" s="594" t="str">
        <f t="shared" si="1"/>
        <v>年初一年内到期的长期债权投资</v>
      </c>
      <c r="F22" s="900"/>
      <c r="G22" s="597" t="s">
        <v>121</v>
      </c>
      <c r="H22" s="598">
        <f t="shared" si="3"/>
        <v>75</v>
      </c>
      <c r="I22" s="689"/>
      <c r="J22" s="594">
        <f t="shared" si="2"/>
        <v>0</v>
      </c>
      <c r="K22" s="899"/>
      <c r="L22" s="594" t="s">
        <v>840</v>
      </c>
      <c r="M22" s="676">
        <v>18</v>
      </c>
      <c r="N22" s="682" t="s">
        <v>494</v>
      </c>
      <c r="O22" s="678" t="str">
        <f t="shared" si="0"/>
        <v>上年财务费用</v>
      </c>
      <c r="P22" s="899"/>
      <c r="Q22" s="687" t="s">
        <v>848</v>
      </c>
      <c r="R22" s="674">
        <v>18</v>
      </c>
      <c r="S22" s="687"/>
      <c r="T22" s="899"/>
      <c r="U22" s="686" t="s">
        <v>427</v>
      </c>
      <c r="V22" s="598">
        <f t="shared" si="4"/>
        <v>18</v>
      </c>
      <c r="W22" s="682" t="s">
        <v>497</v>
      </c>
      <c r="X22" s="679"/>
      <c r="Y22" s="679"/>
      <c r="AA22" s="629" t="str">
        <f t="shared" si="5"/>
        <v>一年内到期的长期债权投资</v>
      </c>
      <c r="AB22" s="679"/>
    </row>
    <row r="23" spans="1:28" ht="15.75" customHeight="1">
      <c r="A23" s="900"/>
      <c r="B23" s="594" t="s">
        <v>535</v>
      </c>
      <c r="C23" s="674">
        <v>19</v>
      </c>
      <c r="D23" s="688" t="s">
        <v>535</v>
      </c>
      <c r="E23" s="594" t="str">
        <f t="shared" si="1"/>
        <v>年初其他流动资产</v>
      </c>
      <c r="F23" s="900"/>
      <c r="G23" s="686"/>
      <c r="H23" s="598">
        <f t="shared" si="3"/>
        <v>76</v>
      </c>
      <c r="I23" s="689"/>
      <c r="J23" s="594">
        <f t="shared" si="2"/>
        <v>0</v>
      </c>
      <c r="K23" s="899"/>
      <c r="L23" s="598" t="s">
        <v>841</v>
      </c>
      <c r="M23" s="676">
        <v>19</v>
      </c>
      <c r="N23" s="682"/>
      <c r="O23" s="678"/>
      <c r="P23" s="899"/>
      <c r="Q23" s="684" t="s">
        <v>448</v>
      </c>
      <c r="R23" s="674">
        <v>19</v>
      </c>
      <c r="S23" s="687" t="s">
        <v>466</v>
      </c>
      <c r="T23" s="899"/>
      <c r="U23" s="686" t="s">
        <v>428</v>
      </c>
      <c r="V23" s="598">
        <f t="shared" si="4"/>
        <v>19</v>
      </c>
      <c r="W23" s="682" t="s">
        <v>498</v>
      </c>
      <c r="X23" s="679"/>
      <c r="Y23" s="679"/>
      <c r="AA23" s="629" t="str">
        <f t="shared" si="5"/>
        <v>其他流动资产</v>
      </c>
      <c r="AB23" s="679"/>
    </row>
    <row r="24" spans="1:28" ht="15.75" customHeight="1">
      <c r="A24" s="900"/>
      <c r="B24" s="682"/>
      <c r="C24" s="674">
        <v>20</v>
      </c>
      <c r="D24" s="691"/>
      <c r="E24" s="594">
        <f t="shared" si="1"/>
        <v>0</v>
      </c>
      <c r="F24" s="900"/>
      <c r="G24" s="686"/>
      <c r="H24" s="598">
        <f t="shared" si="3"/>
        <v>77</v>
      </c>
      <c r="I24" s="689"/>
      <c r="J24" s="594">
        <f t="shared" si="2"/>
        <v>0</v>
      </c>
      <c r="K24" s="899"/>
      <c r="L24" s="598" t="s">
        <v>138</v>
      </c>
      <c r="M24" s="676">
        <v>20</v>
      </c>
      <c r="N24" s="682"/>
      <c r="O24" s="678"/>
      <c r="P24" s="899"/>
      <c r="Q24" s="684" t="s">
        <v>439</v>
      </c>
      <c r="R24" s="674">
        <v>20</v>
      </c>
      <c r="S24" s="687" t="s">
        <v>467</v>
      </c>
      <c r="T24" s="899"/>
      <c r="U24" s="682"/>
      <c r="V24" s="598">
        <f t="shared" si="4"/>
        <v>20</v>
      </c>
      <c r="W24" s="682" t="s">
        <v>499</v>
      </c>
      <c r="X24" s="679"/>
      <c r="Y24" s="679"/>
      <c r="AA24" s="629">
        <f t="shared" si="5"/>
        <v>0</v>
      </c>
      <c r="AB24" s="679"/>
    </row>
    <row r="25" spans="1:28" ht="15.75" customHeight="1">
      <c r="A25" s="900"/>
      <c r="B25" s="686"/>
      <c r="C25" s="674">
        <v>21</v>
      </c>
      <c r="D25" s="691"/>
      <c r="E25" s="594">
        <f t="shared" si="1"/>
        <v>0</v>
      </c>
      <c r="F25" s="900"/>
      <c r="G25" s="690" t="s">
        <v>393</v>
      </c>
      <c r="H25" s="598">
        <f t="shared" si="3"/>
        <v>78</v>
      </c>
      <c r="I25" s="682" t="s">
        <v>353</v>
      </c>
      <c r="J25" s="594" t="str">
        <f t="shared" si="2"/>
        <v>年初长期借款</v>
      </c>
      <c r="K25" s="899"/>
      <c r="L25" s="594" t="s">
        <v>139</v>
      </c>
      <c r="M25" s="676">
        <v>21</v>
      </c>
      <c r="N25" s="686"/>
      <c r="O25" s="678">
        <f t="shared" si="0"/>
        <v>0</v>
      </c>
      <c r="P25" s="899"/>
      <c r="Q25" s="684" t="s">
        <v>413</v>
      </c>
      <c r="R25" s="674">
        <v>21</v>
      </c>
      <c r="S25" s="687" t="s">
        <v>468</v>
      </c>
      <c r="T25" s="899"/>
      <c r="U25" s="686"/>
      <c r="V25" s="598">
        <f t="shared" si="4"/>
        <v>21</v>
      </c>
      <c r="W25" s="682" t="s">
        <v>500</v>
      </c>
      <c r="X25" s="679"/>
      <c r="Y25" s="679"/>
      <c r="AA25" s="629">
        <f t="shared" si="5"/>
        <v>0</v>
      </c>
      <c r="AB25" s="679"/>
    </row>
    <row r="26" spans="1:28" ht="15.75" customHeight="1">
      <c r="A26" s="900"/>
      <c r="B26" s="692" t="s">
        <v>10</v>
      </c>
      <c r="C26" s="674">
        <v>22</v>
      </c>
      <c r="D26" s="693"/>
      <c r="E26" s="594">
        <f t="shared" si="1"/>
        <v>0</v>
      </c>
      <c r="F26" s="900"/>
      <c r="G26" s="675" t="s">
        <v>385</v>
      </c>
      <c r="H26" s="598">
        <f t="shared" si="3"/>
        <v>79</v>
      </c>
      <c r="I26" s="682" t="s">
        <v>354</v>
      </c>
      <c r="J26" s="594" t="str">
        <f t="shared" si="2"/>
        <v>年初应付债券</v>
      </c>
      <c r="K26" s="899"/>
      <c r="L26" s="598" t="s">
        <v>141</v>
      </c>
      <c r="M26" s="676">
        <v>22</v>
      </c>
      <c r="N26" s="586" t="s">
        <v>500</v>
      </c>
      <c r="O26" s="678" t="str">
        <f t="shared" si="0"/>
        <v>上年其他</v>
      </c>
      <c r="P26" s="899"/>
      <c r="Q26" s="684"/>
      <c r="R26" s="674">
        <v>22</v>
      </c>
      <c r="S26" s="684"/>
      <c r="T26" s="899"/>
      <c r="U26" s="694" t="s">
        <v>429</v>
      </c>
      <c r="V26" s="598">
        <f t="shared" si="4"/>
        <v>22</v>
      </c>
      <c r="W26" s="682"/>
      <c r="X26" s="679"/>
      <c r="Y26" s="679"/>
      <c r="AA26" s="631" t="s">
        <v>10</v>
      </c>
      <c r="AB26" s="679"/>
    </row>
    <row r="27" spans="1:28" ht="15.75" customHeight="1">
      <c r="A27" s="900"/>
      <c r="B27" s="693" t="s">
        <v>817</v>
      </c>
      <c r="C27" s="674">
        <v>23</v>
      </c>
      <c r="D27" s="693"/>
      <c r="E27" s="594">
        <f t="shared" si="1"/>
        <v>0</v>
      </c>
      <c r="F27" s="900"/>
      <c r="G27" s="597" t="s">
        <v>226</v>
      </c>
      <c r="H27" s="598">
        <f t="shared" si="3"/>
        <v>80</v>
      </c>
      <c r="I27" s="682" t="s">
        <v>355</v>
      </c>
      <c r="J27" s="594" t="str">
        <f t="shared" si="2"/>
        <v>年初长期应付款</v>
      </c>
      <c r="K27" s="899"/>
      <c r="L27" s="598" t="s">
        <v>140</v>
      </c>
      <c r="M27" s="676">
        <v>23</v>
      </c>
      <c r="N27" s="678"/>
      <c r="O27" s="678">
        <f t="shared" si="0"/>
        <v>0</v>
      </c>
      <c r="P27" s="899"/>
      <c r="Q27" s="689" t="s">
        <v>414</v>
      </c>
      <c r="R27" s="674">
        <v>23</v>
      </c>
      <c r="S27" s="689"/>
      <c r="T27" s="899"/>
      <c r="U27" s="594"/>
      <c r="V27" s="598">
        <f t="shared" si="4"/>
        <v>23</v>
      </c>
      <c r="W27" s="686"/>
      <c r="X27" s="679"/>
      <c r="Y27" s="679"/>
      <c r="AA27" s="630"/>
      <c r="AB27" s="679"/>
    </row>
    <row r="28" spans="1:28" ht="15.75" customHeight="1">
      <c r="A28" s="900"/>
      <c r="B28" s="586" t="s">
        <v>819</v>
      </c>
      <c r="C28" s="674">
        <v>24</v>
      </c>
      <c r="D28" s="693"/>
      <c r="E28" s="594">
        <f t="shared" si="1"/>
        <v>0</v>
      </c>
      <c r="F28" s="900"/>
      <c r="G28" s="597" t="s">
        <v>227</v>
      </c>
      <c r="H28" s="598">
        <f t="shared" si="3"/>
        <v>81</v>
      </c>
      <c r="I28" s="682" t="s">
        <v>514</v>
      </c>
      <c r="J28" s="594" t="str">
        <f t="shared" si="2"/>
        <v>年初专项应付款</v>
      </c>
      <c r="K28" s="899"/>
      <c r="L28" s="595" t="s">
        <v>142</v>
      </c>
      <c r="M28" s="676">
        <v>24</v>
      </c>
      <c r="N28" s="678" t="s">
        <v>357</v>
      </c>
      <c r="O28" s="678" t="str">
        <f t="shared" si="0"/>
        <v>上年投资收益</v>
      </c>
      <c r="P28" s="899"/>
      <c r="Q28" s="684" t="s">
        <v>415</v>
      </c>
      <c r="R28" s="674">
        <v>24</v>
      </c>
      <c r="S28" s="687" t="s">
        <v>469</v>
      </c>
      <c r="T28" s="899"/>
      <c r="U28" s="594" t="s">
        <v>476</v>
      </c>
      <c r="V28" s="598">
        <f t="shared" si="4"/>
        <v>24</v>
      </c>
      <c r="W28" s="594"/>
      <c r="X28" s="679"/>
      <c r="Y28" s="679"/>
      <c r="AA28" s="627" t="s">
        <v>7</v>
      </c>
      <c r="AB28" s="679"/>
    </row>
    <row r="29" spans="1:28" ht="15.75" customHeight="1">
      <c r="A29" s="900"/>
      <c r="B29" s="586" t="s">
        <v>820</v>
      </c>
      <c r="C29" s="674">
        <v>25</v>
      </c>
      <c r="D29" s="695" t="s">
        <v>542</v>
      </c>
      <c r="E29" s="594" t="str">
        <f t="shared" si="1"/>
        <v>年初长期股权投资</v>
      </c>
      <c r="F29" s="900"/>
      <c r="G29" s="597" t="s">
        <v>228</v>
      </c>
      <c r="H29" s="598">
        <f t="shared" si="3"/>
        <v>82</v>
      </c>
      <c r="I29" s="682" t="s">
        <v>386</v>
      </c>
      <c r="J29" s="594" t="str">
        <f t="shared" si="2"/>
        <v>年初其他长期负债</v>
      </c>
      <c r="K29" s="899"/>
      <c r="L29" s="596" t="s">
        <v>68</v>
      </c>
      <c r="M29" s="676">
        <v>25</v>
      </c>
      <c r="N29" s="678" t="s">
        <v>71</v>
      </c>
      <c r="O29" s="678"/>
      <c r="P29" s="899"/>
      <c r="Q29" s="684" t="s">
        <v>450</v>
      </c>
      <c r="R29" s="674">
        <v>25</v>
      </c>
      <c r="S29" s="687" t="s">
        <v>470</v>
      </c>
      <c r="T29" s="899"/>
      <c r="U29" s="686" t="s">
        <v>481</v>
      </c>
      <c r="V29" s="598">
        <f t="shared" si="4"/>
        <v>25</v>
      </c>
      <c r="W29" s="594"/>
      <c r="X29" s="679"/>
      <c r="Y29" s="679"/>
      <c r="Z29" s="628" t="s">
        <v>880</v>
      </c>
      <c r="AA29" s="630" t="s">
        <v>103</v>
      </c>
      <c r="AB29" s="679"/>
    </row>
    <row r="30" spans="1:28" ht="15.75" customHeight="1">
      <c r="A30" s="900"/>
      <c r="B30" s="595" t="s">
        <v>34</v>
      </c>
      <c r="C30" s="674">
        <v>26</v>
      </c>
      <c r="D30" s="693" t="s">
        <v>18</v>
      </c>
      <c r="E30" s="594" t="str">
        <f t="shared" si="1"/>
        <v>年初长期债权投资</v>
      </c>
      <c r="F30" s="900"/>
      <c r="G30" s="597" t="s">
        <v>123</v>
      </c>
      <c r="H30" s="598">
        <f t="shared" si="3"/>
        <v>83</v>
      </c>
      <c r="I30" s="682" t="s">
        <v>44</v>
      </c>
      <c r="J30" s="594"/>
      <c r="K30" s="899"/>
      <c r="L30" s="595" t="s">
        <v>69</v>
      </c>
      <c r="M30" s="676">
        <v>26</v>
      </c>
      <c r="N30" s="678" t="s">
        <v>23</v>
      </c>
      <c r="O30" s="678"/>
      <c r="P30" s="899"/>
      <c r="Q30" s="687" t="s">
        <v>849</v>
      </c>
      <c r="R30" s="674">
        <v>26</v>
      </c>
      <c r="S30" s="687"/>
      <c r="T30" s="899"/>
      <c r="U30" s="686" t="s">
        <v>482</v>
      </c>
      <c r="V30" s="598">
        <f>V29+1</f>
        <v>26</v>
      </c>
      <c r="W30" s="594"/>
      <c r="X30" s="679"/>
      <c r="Y30" s="679"/>
      <c r="Z30" s="628" t="s">
        <v>881</v>
      </c>
      <c r="AA30" s="630" t="s">
        <v>18</v>
      </c>
      <c r="AB30" s="679"/>
    </row>
    <row r="31" spans="1:28" ht="15.75" customHeight="1">
      <c r="A31" s="900"/>
      <c r="B31" s="682"/>
      <c r="C31" s="674">
        <v>27</v>
      </c>
      <c r="D31" s="693" t="s">
        <v>35</v>
      </c>
      <c r="E31" s="594" t="str">
        <f t="shared" si="1"/>
        <v>年初合并价差</v>
      </c>
      <c r="F31" s="900"/>
      <c r="G31" s="597" t="s">
        <v>124</v>
      </c>
      <c r="H31" s="598">
        <f t="shared" si="3"/>
        <v>84</v>
      </c>
      <c r="I31" s="682"/>
      <c r="J31" s="594"/>
      <c r="K31" s="899"/>
      <c r="L31" s="595" t="s">
        <v>143</v>
      </c>
      <c r="M31" s="676">
        <v>27</v>
      </c>
      <c r="N31" s="678"/>
      <c r="O31" s="678"/>
      <c r="P31" s="899"/>
      <c r="Q31" s="684" t="s">
        <v>451</v>
      </c>
      <c r="R31" s="674">
        <v>27</v>
      </c>
      <c r="S31" s="687" t="s">
        <v>471</v>
      </c>
      <c r="T31" s="899"/>
      <c r="U31" s="686" t="s">
        <v>483</v>
      </c>
      <c r="V31" s="598">
        <f t="shared" si="4"/>
        <v>27</v>
      </c>
      <c r="W31" s="682" t="s">
        <v>477</v>
      </c>
      <c r="X31" s="679"/>
      <c r="Y31" s="679"/>
      <c r="AA31" s="630" t="s">
        <v>35</v>
      </c>
      <c r="AB31" s="679"/>
    </row>
    <row r="32" spans="1:28" ht="15.75" customHeight="1">
      <c r="A32" s="900"/>
      <c r="B32" s="686"/>
      <c r="C32" s="674">
        <v>28</v>
      </c>
      <c r="D32" s="688"/>
      <c r="E32" s="594"/>
      <c r="F32" s="900"/>
      <c r="G32" s="597" t="s">
        <v>43</v>
      </c>
      <c r="H32" s="598">
        <f t="shared" si="3"/>
        <v>85</v>
      </c>
      <c r="I32" s="686"/>
      <c r="J32" s="594">
        <f t="shared" si="2"/>
        <v>0</v>
      </c>
      <c r="K32" s="899"/>
      <c r="L32" s="595" t="s">
        <v>144</v>
      </c>
      <c r="M32" s="676">
        <v>28</v>
      </c>
      <c r="N32" s="682" t="s">
        <v>24</v>
      </c>
      <c r="O32" s="678" t="str">
        <f t="shared" si="0"/>
        <v>上年营业外收入</v>
      </c>
      <c r="P32" s="899"/>
      <c r="Q32" s="684"/>
      <c r="R32" s="674">
        <v>28</v>
      </c>
      <c r="S32" s="684"/>
      <c r="T32" s="899"/>
      <c r="U32" s="686" t="s">
        <v>428</v>
      </c>
      <c r="V32" s="598">
        <f t="shared" si="4"/>
        <v>28</v>
      </c>
      <c r="W32" s="682" t="s">
        <v>478</v>
      </c>
      <c r="X32" s="679"/>
      <c r="Y32" s="679"/>
      <c r="AA32" s="630">
        <f>B31</f>
        <v>0</v>
      </c>
      <c r="AB32" s="679"/>
    </row>
    <row r="33" spans="1:28" ht="15.75" customHeight="1">
      <c r="A33" s="900"/>
      <c r="B33" s="692" t="s">
        <v>8</v>
      </c>
      <c r="C33" s="674">
        <v>29</v>
      </c>
      <c r="D33" s="691"/>
      <c r="E33" s="594"/>
      <c r="F33" s="900"/>
      <c r="G33" s="686"/>
      <c r="H33" s="598">
        <f t="shared" si="3"/>
        <v>86</v>
      </c>
      <c r="I33" s="696"/>
      <c r="J33" s="594">
        <f t="shared" si="2"/>
        <v>0</v>
      </c>
      <c r="K33" s="899"/>
      <c r="L33" s="595" t="s">
        <v>70</v>
      </c>
      <c r="M33" s="676">
        <v>29</v>
      </c>
      <c r="N33" s="682"/>
      <c r="O33" s="678"/>
      <c r="P33" s="899"/>
      <c r="Q33" s="689" t="s">
        <v>411</v>
      </c>
      <c r="R33" s="674">
        <v>29</v>
      </c>
      <c r="S33" s="689"/>
      <c r="T33" s="899"/>
      <c r="U33" s="686"/>
      <c r="V33" s="598">
        <f t="shared" si="4"/>
        <v>29</v>
      </c>
      <c r="W33" s="682" t="s">
        <v>479</v>
      </c>
      <c r="X33" s="679"/>
      <c r="Y33" s="679"/>
      <c r="AA33" s="630">
        <f>B32</f>
        <v>0</v>
      </c>
      <c r="AB33" s="679"/>
    </row>
    <row r="34" spans="1:28" ht="15.75" customHeight="1">
      <c r="A34" s="900"/>
      <c r="B34" s="673" t="s">
        <v>9</v>
      </c>
      <c r="C34" s="674">
        <v>30</v>
      </c>
      <c r="D34" s="693"/>
      <c r="E34" s="594">
        <f t="shared" si="1"/>
        <v>0</v>
      </c>
      <c r="F34" s="900"/>
      <c r="G34" s="686"/>
      <c r="H34" s="598">
        <f t="shared" si="3"/>
        <v>87</v>
      </c>
      <c r="I34" s="586"/>
      <c r="J34" s="594">
        <f t="shared" si="2"/>
        <v>0</v>
      </c>
      <c r="K34" s="899"/>
      <c r="L34" s="598" t="s">
        <v>145</v>
      </c>
      <c r="M34" s="676">
        <v>30</v>
      </c>
      <c r="N34" s="682"/>
      <c r="O34" s="678"/>
      <c r="P34" s="899"/>
      <c r="Q34" s="689" t="s">
        <v>416</v>
      </c>
      <c r="R34" s="674">
        <v>30</v>
      </c>
      <c r="S34" s="689"/>
      <c r="T34" s="899"/>
      <c r="U34" s="598" t="s">
        <v>403</v>
      </c>
      <c r="V34" s="598">
        <f t="shared" si="4"/>
        <v>30</v>
      </c>
      <c r="W34" s="682" t="s">
        <v>500</v>
      </c>
      <c r="X34" s="679"/>
      <c r="Y34" s="679"/>
      <c r="AA34" s="631" t="s">
        <v>8</v>
      </c>
      <c r="AB34" s="679"/>
    </row>
    <row r="35" spans="1:28" ht="15.75" customHeight="1">
      <c r="A35" s="900"/>
      <c r="B35" s="586" t="s">
        <v>105</v>
      </c>
      <c r="C35" s="674">
        <v>31</v>
      </c>
      <c r="D35" s="693"/>
      <c r="E35" s="594">
        <f t="shared" si="1"/>
        <v>0</v>
      </c>
      <c r="F35" s="900"/>
      <c r="G35" s="690" t="s">
        <v>394</v>
      </c>
      <c r="H35" s="598">
        <f t="shared" si="3"/>
        <v>88</v>
      </c>
      <c r="I35" s="586"/>
      <c r="J35" s="594">
        <f t="shared" si="2"/>
        <v>0</v>
      </c>
      <c r="K35" s="899"/>
      <c r="L35" s="598" t="s">
        <v>72</v>
      </c>
      <c r="M35" s="676">
        <v>31</v>
      </c>
      <c r="N35" s="682"/>
      <c r="O35" s="678"/>
      <c r="P35" s="899"/>
      <c r="Q35" s="586" t="s">
        <v>401</v>
      </c>
      <c r="R35" s="674">
        <v>31</v>
      </c>
      <c r="S35" s="586"/>
      <c r="T35" s="899"/>
      <c r="U35" s="598" t="s">
        <v>480</v>
      </c>
      <c r="V35" s="598">
        <f t="shared" si="4"/>
        <v>31</v>
      </c>
      <c r="W35" s="686"/>
      <c r="X35" s="679"/>
      <c r="Y35" s="679"/>
      <c r="AA35" s="630"/>
      <c r="AB35" s="679"/>
    </row>
    <row r="36" spans="1:28" ht="15.75" customHeight="1">
      <c r="A36" s="900"/>
      <c r="B36" s="586" t="s">
        <v>818</v>
      </c>
      <c r="C36" s="674">
        <v>32</v>
      </c>
      <c r="D36" s="594"/>
      <c r="E36" s="594">
        <f t="shared" si="1"/>
        <v>0</v>
      </c>
      <c r="F36" s="900"/>
      <c r="G36" s="675" t="s">
        <v>387</v>
      </c>
      <c r="H36" s="598">
        <f t="shared" si="3"/>
        <v>89</v>
      </c>
      <c r="I36" s="586" t="s">
        <v>388</v>
      </c>
      <c r="J36" s="594" t="str">
        <f t="shared" si="2"/>
        <v>年初递延税款贷项</v>
      </c>
      <c r="K36" s="899"/>
      <c r="L36" s="598" t="s">
        <v>146</v>
      </c>
      <c r="M36" s="676">
        <v>32</v>
      </c>
      <c r="N36" s="682"/>
      <c r="O36" s="678"/>
      <c r="P36" s="899"/>
      <c r="Q36" s="684" t="s">
        <v>453</v>
      </c>
      <c r="R36" s="674">
        <v>32</v>
      </c>
      <c r="S36" s="687" t="s">
        <v>472</v>
      </c>
      <c r="T36" s="899"/>
      <c r="U36" s="598" t="s">
        <v>484</v>
      </c>
      <c r="V36" s="598">
        <f t="shared" si="4"/>
        <v>32</v>
      </c>
      <c r="W36" s="594"/>
      <c r="X36" s="679"/>
      <c r="Y36" s="679"/>
      <c r="AA36" s="627" t="s">
        <v>9</v>
      </c>
      <c r="AB36" s="679"/>
    </row>
    <row r="37" spans="1:28" ht="15.75" customHeight="1">
      <c r="A37" s="900"/>
      <c r="B37" s="586" t="s">
        <v>106</v>
      </c>
      <c r="C37" s="674">
        <v>33</v>
      </c>
      <c r="D37" s="594" t="s">
        <v>4</v>
      </c>
      <c r="E37" s="594" t="str">
        <f t="shared" si="1"/>
        <v>年初固定资产</v>
      </c>
      <c r="F37" s="900"/>
      <c r="G37" s="586" t="s">
        <v>125</v>
      </c>
      <c r="H37" s="598">
        <f t="shared" si="3"/>
        <v>90</v>
      </c>
      <c r="I37" s="595"/>
      <c r="J37" s="594">
        <f t="shared" si="2"/>
        <v>0</v>
      </c>
      <c r="K37" s="899"/>
      <c r="L37" s="598" t="s">
        <v>147</v>
      </c>
      <c r="M37" s="676">
        <v>33</v>
      </c>
      <c r="N37" s="682"/>
      <c r="O37" s="678"/>
      <c r="P37" s="899"/>
      <c r="Q37" s="684" t="s">
        <v>454</v>
      </c>
      <c r="R37" s="674">
        <v>33</v>
      </c>
      <c r="S37" s="687" t="s">
        <v>473</v>
      </c>
      <c r="T37" s="899"/>
      <c r="U37" s="598" t="s">
        <v>485</v>
      </c>
      <c r="V37" s="598">
        <f t="shared" si="4"/>
        <v>33</v>
      </c>
      <c r="W37" s="594" t="s">
        <v>501</v>
      </c>
      <c r="X37" s="679"/>
      <c r="Y37" s="679"/>
      <c r="Z37" s="628" t="s">
        <v>900</v>
      </c>
      <c r="AA37" s="630" t="s">
        <v>104</v>
      </c>
      <c r="AB37" s="679"/>
    </row>
    <row r="38" spans="1:28" ht="15.75" customHeight="1">
      <c r="A38" s="900"/>
      <c r="B38" s="586" t="s">
        <v>112</v>
      </c>
      <c r="C38" s="674">
        <v>34</v>
      </c>
      <c r="D38" s="594" t="s">
        <v>5</v>
      </c>
      <c r="E38" s="594" t="str">
        <f t="shared" si="1"/>
        <v>年初累计折旧</v>
      </c>
      <c r="F38" s="900"/>
      <c r="G38" s="690" t="s">
        <v>518</v>
      </c>
      <c r="H38" s="598">
        <f t="shared" si="3"/>
        <v>91</v>
      </c>
      <c r="I38" s="689"/>
      <c r="J38" s="594">
        <f t="shared" si="2"/>
        <v>0</v>
      </c>
      <c r="K38" s="899"/>
      <c r="L38" s="598" t="s">
        <v>148</v>
      </c>
      <c r="M38" s="676">
        <v>34</v>
      </c>
      <c r="N38" s="682"/>
      <c r="O38" s="678"/>
      <c r="P38" s="899"/>
      <c r="Q38" s="684" t="s">
        <v>455</v>
      </c>
      <c r="R38" s="674">
        <v>34</v>
      </c>
      <c r="S38" s="687" t="s">
        <v>474</v>
      </c>
      <c r="T38" s="899"/>
      <c r="U38" s="598" t="s">
        <v>486</v>
      </c>
      <c r="V38" s="598">
        <f t="shared" si="4"/>
        <v>34</v>
      </c>
      <c r="W38" s="594" t="s">
        <v>502</v>
      </c>
      <c r="X38" s="679"/>
      <c r="Y38" s="679"/>
      <c r="Z38" s="628" t="s">
        <v>901</v>
      </c>
      <c r="AA38" s="629" t="s">
        <v>259</v>
      </c>
      <c r="AB38" s="679"/>
    </row>
    <row r="39" spans="1:28" ht="15.75" customHeight="1">
      <c r="A39" s="900"/>
      <c r="B39" s="586" t="s">
        <v>260</v>
      </c>
      <c r="C39" s="674">
        <v>35</v>
      </c>
      <c r="D39" s="594"/>
      <c r="E39" s="594">
        <f t="shared" si="1"/>
        <v>0</v>
      </c>
      <c r="F39" s="900"/>
      <c r="G39" s="586" t="s">
        <v>47</v>
      </c>
      <c r="H39" s="598">
        <f t="shared" si="3"/>
        <v>92</v>
      </c>
      <c r="I39" s="595"/>
      <c r="J39" s="594">
        <f t="shared" si="2"/>
        <v>0</v>
      </c>
      <c r="K39" s="899"/>
      <c r="L39" s="598" t="s">
        <v>149</v>
      </c>
      <c r="M39" s="676">
        <v>35</v>
      </c>
      <c r="N39" s="682"/>
      <c r="O39" s="678">
        <f t="shared" si="0"/>
        <v>0</v>
      </c>
      <c r="P39" s="899"/>
      <c r="Q39" s="684"/>
      <c r="R39" s="674">
        <v>35</v>
      </c>
      <c r="S39" s="684"/>
      <c r="T39" s="899"/>
      <c r="U39" s="594"/>
      <c r="V39" s="598">
        <f t="shared" si="4"/>
        <v>35</v>
      </c>
      <c r="W39" s="594" t="s">
        <v>503</v>
      </c>
      <c r="X39" s="679"/>
      <c r="Y39" s="679"/>
      <c r="AA39" s="630"/>
      <c r="AB39" s="679"/>
    </row>
    <row r="40" spans="1:28" ht="15.75" customHeight="1">
      <c r="A40" s="900"/>
      <c r="B40" s="586" t="s">
        <v>261</v>
      </c>
      <c r="C40" s="674">
        <v>36</v>
      </c>
      <c r="D40" s="594" t="s">
        <v>6</v>
      </c>
      <c r="E40" s="594" t="str">
        <f t="shared" si="1"/>
        <v>年初固定资产减值准备</v>
      </c>
      <c r="F40" s="900"/>
      <c r="G40" s="686"/>
      <c r="H40" s="598">
        <f t="shared" si="3"/>
        <v>93</v>
      </c>
      <c r="I40" s="586" t="s">
        <v>21</v>
      </c>
      <c r="J40" s="594" t="str">
        <f t="shared" si="2"/>
        <v>年初少数股东权益</v>
      </c>
      <c r="K40" s="899"/>
      <c r="L40" s="598" t="s">
        <v>73</v>
      </c>
      <c r="M40" s="676">
        <v>36</v>
      </c>
      <c r="N40" s="678" t="s">
        <v>358</v>
      </c>
      <c r="O40" s="678" t="str">
        <f t="shared" si="0"/>
        <v>上年营业外支出</v>
      </c>
      <c r="P40" s="899"/>
      <c r="Q40" s="689" t="s">
        <v>408</v>
      </c>
      <c r="R40" s="674">
        <v>36</v>
      </c>
      <c r="S40" s="689"/>
      <c r="T40" s="899"/>
      <c r="U40" s="594"/>
      <c r="V40" s="598">
        <f>V39+1</f>
        <v>36</v>
      </c>
      <c r="W40" s="594" t="s">
        <v>504</v>
      </c>
      <c r="X40" s="679"/>
      <c r="Y40" s="679"/>
      <c r="Z40" s="628" t="s">
        <v>902</v>
      </c>
      <c r="AA40" s="630" t="s">
        <v>203</v>
      </c>
      <c r="AB40" s="679"/>
    </row>
    <row r="41" spans="1:28" ht="15.75" customHeight="1">
      <c r="A41" s="900"/>
      <c r="B41" s="586" t="s">
        <v>108</v>
      </c>
      <c r="C41" s="674">
        <v>37</v>
      </c>
      <c r="D41" s="594"/>
      <c r="E41" s="594">
        <f t="shared" si="1"/>
        <v>0</v>
      </c>
      <c r="F41" s="900"/>
      <c r="G41" s="675" t="str">
        <f>IF(参数!D$8="股份有限公司","股东权益：",IF(参数!D$8="一般企业（执行统一会计制度）","所有者权益：",""))</f>
        <v>所有者权益：</v>
      </c>
      <c r="H41" s="598">
        <f t="shared" si="3"/>
        <v>94</v>
      </c>
      <c r="I41" s="595"/>
      <c r="J41" s="594">
        <f t="shared" si="2"/>
        <v>0</v>
      </c>
      <c r="K41" s="899"/>
      <c r="L41" s="595" t="s">
        <v>74</v>
      </c>
      <c r="M41" s="676">
        <v>37</v>
      </c>
      <c r="N41" s="678"/>
      <c r="O41" s="678"/>
      <c r="P41" s="899"/>
      <c r="Q41" s="684" t="s">
        <v>444</v>
      </c>
      <c r="R41" s="674">
        <v>37</v>
      </c>
      <c r="S41" s="687" t="s">
        <v>441</v>
      </c>
      <c r="T41" s="899"/>
      <c r="U41" s="598"/>
      <c r="V41" s="598">
        <f t="shared" si="4"/>
        <v>37</v>
      </c>
      <c r="W41" s="594"/>
      <c r="X41" s="679"/>
      <c r="Y41" s="679"/>
      <c r="AA41" s="629"/>
      <c r="AB41" s="679"/>
    </row>
    <row r="42" spans="1:28" ht="15.75" customHeight="1">
      <c r="A42" s="900"/>
      <c r="B42" s="586" t="s">
        <v>432</v>
      </c>
      <c r="C42" s="674">
        <v>38</v>
      </c>
      <c r="D42" s="594" t="s">
        <v>222</v>
      </c>
      <c r="E42" s="594" t="str">
        <f t="shared" si="1"/>
        <v>年初固定资产清理</v>
      </c>
      <c r="F42" s="900"/>
      <c r="G42" s="754" t="str">
        <f>IF(参数!D$8="股份有限公司","股本",IF(参数!D$8="一般企业（执行统一会计制度）","实收资本",""))</f>
        <v>实收资本</v>
      </c>
      <c r="H42" s="598">
        <f t="shared" si="3"/>
        <v>95</v>
      </c>
      <c r="I42" s="586"/>
      <c r="J42" s="594">
        <f t="shared" si="2"/>
        <v>0</v>
      </c>
      <c r="K42" s="899"/>
      <c r="L42" s="595" t="s">
        <v>75</v>
      </c>
      <c r="M42" s="676">
        <v>38</v>
      </c>
      <c r="N42" s="678"/>
      <c r="O42" s="678"/>
      <c r="P42" s="899"/>
      <c r="Q42" s="684" t="s">
        <v>445</v>
      </c>
      <c r="R42" s="674">
        <v>38</v>
      </c>
      <c r="S42" s="687" t="s">
        <v>475</v>
      </c>
      <c r="T42" s="899"/>
      <c r="U42" s="598"/>
      <c r="V42" s="598">
        <f t="shared" si="4"/>
        <v>38</v>
      </c>
      <c r="W42" s="594"/>
      <c r="X42" s="679"/>
      <c r="Y42" s="679"/>
      <c r="Z42" s="628" t="s">
        <v>903</v>
      </c>
      <c r="AA42" s="632" t="s">
        <v>222</v>
      </c>
      <c r="AB42" s="679"/>
    </row>
    <row r="43" spans="1:28" ht="15.75" customHeight="1">
      <c r="A43" s="900"/>
      <c r="B43" s="586" t="s">
        <v>37</v>
      </c>
      <c r="C43" s="674">
        <v>39</v>
      </c>
      <c r="D43" s="688" t="s">
        <v>389</v>
      </c>
      <c r="E43" s="594" t="str">
        <f t="shared" si="1"/>
        <v>年初工程物资</v>
      </c>
      <c r="F43" s="900"/>
      <c r="G43" s="597" t="s">
        <v>128</v>
      </c>
      <c r="H43" s="598">
        <f t="shared" si="3"/>
        <v>96</v>
      </c>
      <c r="I43" s="586" t="str">
        <f>IF(参数!D$8="股份有限公司","股本",IF(参数!D$8="一般企业（执行统一会计制度）","实收资本",""))</f>
        <v>实收资本</v>
      </c>
      <c r="J43" s="594" t="str">
        <f t="shared" si="2"/>
        <v>年初实收资本</v>
      </c>
      <c r="K43" s="899"/>
      <c r="L43" s="595" t="s">
        <v>76</v>
      </c>
      <c r="M43" s="676">
        <v>39</v>
      </c>
      <c r="N43" s="678"/>
      <c r="O43" s="678"/>
      <c r="P43" s="899"/>
      <c r="Q43" s="684" t="s">
        <v>446</v>
      </c>
      <c r="R43" s="674">
        <v>39</v>
      </c>
      <c r="S43" s="687" t="s">
        <v>442</v>
      </c>
      <c r="T43" s="899"/>
      <c r="U43" s="594"/>
      <c r="V43" s="598">
        <f t="shared" si="4"/>
        <v>39</v>
      </c>
      <c r="W43" s="594"/>
      <c r="X43" s="679"/>
      <c r="Y43" s="679"/>
      <c r="Z43" s="628" t="s">
        <v>906</v>
      </c>
      <c r="AA43" s="633" t="s">
        <v>107</v>
      </c>
      <c r="AB43" s="679"/>
    </row>
    <row r="44" spans="1:28" ht="15.75" customHeight="1">
      <c r="A44" s="900"/>
      <c r="B44" s="682"/>
      <c r="C44" s="674">
        <v>40</v>
      </c>
      <c r="D44" s="688" t="s">
        <v>433</v>
      </c>
      <c r="E44" s="594" t="str">
        <f t="shared" si="1"/>
        <v>年初在建工程</v>
      </c>
      <c r="F44" s="900"/>
      <c r="G44" s="597" t="s">
        <v>129</v>
      </c>
      <c r="H44" s="598">
        <f t="shared" si="3"/>
        <v>97</v>
      </c>
      <c r="I44" s="586" t="s">
        <v>48</v>
      </c>
      <c r="J44" s="594" t="str">
        <f t="shared" si="2"/>
        <v>年初国家资本</v>
      </c>
      <c r="K44" s="899"/>
      <c r="L44" s="595" t="s">
        <v>77</v>
      </c>
      <c r="M44" s="676">
        <v>40</v>
      </c>
      <c r="N44" s="678"/>
      <c r="O44" s="678"/>
      <c r="P44" s="899"/>
      <c r="Q44" s="684"/>
      <c r="R44" s="674">
        <v>40</v>
      </c>
      <c r="S44" s="684"/>
      <c r="T44" s="899"/>
      <c r="U44" s="594"/>
      <c r="V44" s="598">
        <f t="shared" si="4"/>
        <v>40</v>
      </c>
      <c r="W44" s="594"/>
      <c r="X44" s="679"/>
      <c r="Y44" s="679"/>
      <c r="Z44" s="628" t="s">
        <v>905</v>
      </c>
      <c r="AA44" s="634" t="s">
        <v>221</v>
      </c>
      <c r="AB44" s="679"/>
    </row>
    <row r="45" spans="1:28" ht="15.75" customHeight="1">
      <c r="A45" s="900"/>
      <c r="B45" s="686"/>
      <c r="C45" s="674">
        <v>41</v>
      </c>
      <c r="D45" s="688" t="s">
        <v>37</v>
      </c>
      <c r="E45" s="594" t="str">
        <f t="shared" si="1"/>
        <v>年初待处理固定资产净损失</v>
      </c>
      <c r="F45" s="900"/>
      <c r="G45" s="597" t="s">
        <v>130</v>
      </c>
      <c r="H45" s="598">
        <f t="shared" si="3"/>
        <v>98</v>
      </c>
      <c r="I45" s="586" t="s">
        <v>49</v>
      </c>
      <c r="J45" s="594" t="str">
        <f t="shared" si="2"/>
        <v>年初集体资本</v>
      </c>
      <c r="K45" s="899"/>
      <c r="L45" s="595" t="s">
        <v>78</v>
      </c>
      <c r="M45" s="676">
        <v>41</v>
      </c>
      <c r="N45" s="678" t="s">
        <v>80</v>
      </c>
      <c r="O45" s="678" t="str">
        <f t="shared" si="0"/>
        <v>上年其他支出</v>
      </c>
      <c r="P45" s="899"/>
      <c r="Q45" s="595"/>
      <c r="R45" s="674">
        <v>41</v>
      </c>
      <c r="S45" s="595"/>
      <c r="T45" s="899"/>
      <c r="U45" s="594"/>
      <c r="V45" s="598">
        <f t="shared" si="4"/>
        <v>41</v>
      </c>
      <c r="W45" s="594"/>
      <c r="X45" s="679"/>
      <c r="Y45" s="679"/>
      <c r="Z45" s="628" t="s">
        <v>904</v>
      </c>
      <c r="AA45" s="634" t="s">
        <v>36</v>
      </c>
      <c r="AB45" s="679"/>
    </row>
    <row r="46" spans="1:28" ht="15.75" customHeight="1">
      <c r="A46" s="900"/>
      <c r="B46" s="692" t="s">
        <v>11</v>
      </c>
      <c r="C46" s="674">
        <v>42</v>
      </c>
      <c r="D46" s="688"/>
      <c r="E46" s="594"/>
      <c r="F46" s="900"/>
      <c r="G46" s="597" t="s">
        <v>131</v>
      </c>
      <c r="H46" s="598">
        <f t="shared" si="3"/>
        <v>99</v>
      </c>
      <c r="I46" s="586" t="s">
        <v>50</v>
      </c>
      <c r="J46" s="594" t="str">
        <f t="shared" si="2"/>
        <v>年初法人资本</v>
      </c>
      <c r="K46" s="899"/>
      <c r="L46" s="595" t="s">
        <v>150</v>
      </c>
      <c r="M46" s="676">
        <v>42</v>
      </c>
      <c r="N46" s="678"/>
      <c r="O46" s="678"/>
      <c r="P46" s="899"/>
      <c r="Q46" s="595"/>
      <c r="R46" s="674">
        <v>42</v>
      </c>
      <c r="S46" s="586"/>
      <c r="T46" s="899"/>
      <c r="U46" s="594"/>
      <c r="V46" s="598">
        <f t="shared" si="4"/>
        <v>42</v>
      </c>
      <c r="W46" s="594"/>
      <c r="X46" s="679"/>
      <c r="Y46" s="679"/>
      <c r="AA46" s="634">
        <f>B44</f>
        <v>0</v>
      </c>
      <c r="AB46" s="679"/>
    </row>
    <row r="47" spans="1:28" ht="15.75" customHeight="1">
      <c r="A47" s="900"/>
      <c r="B47" s="673" t="s">
        <v>12</v>
      </c>
      <c r="C47" s="674">
        <v>43</v>
      </c>
      <c r="D47" s="691"/>
      <c r="E47" s="594">
        <f t="shared" si="1"/>
        <v>0</v>
      </c>
      <c r="F47" s="900"/>
      <c r="G47" s="597" t="s">
        <v>132</v>
      </c>
      <c r="H47" s="598">
        <f t="shared" si="3"/>
        <v>100</v>
      </c>
      <c r="I47" s="586" t="s">
        <v>51</v>
      </c>
      <c r="J47" s="594"/>
      <c r="K47" s="899"/>
      <c r="L47" s="595" t="s">
        <v>79</v>
      </c>
      <c r="M47" s="676">
        <v>43</v>
      </c>
      <c r="N47" s="686"/>
      <c r="O47" s="678">
        <f t="shared" si="0"/>
        <v>0</v>
      </c>
      <c r="P47" s="899"/>
      <c r="Q47" s="595"/>
      <c r="R47" s="674">
        <v>43</v>
      </c>
      <c r="S47" s="586"/>
      <c r="T47" s="899"/>
      <c r="U47" s="594"/>
      <c r="V47" s="598">
        <f t="shared" si="4"/>
        <v>43</v>
      </c>
      <c r="W47" s="594"/>
      <c r="X47" s="679"/>
      <c r="Y47" s="679"/>
      <c r="AA47" s="634">
        <f>B45</f>
        <v>0</v>
      </c>
      <c r="AB47" s="679"/>
    </row>
    <row r="48" spans="1:28" ht="15.75" customHeight="1">
      <c r="A48" s="900"/>
      <c r="B48" s="586" t="s">
        <v>109</v>
      </c>
      <c r="C48" s="674">
        <v>44</v>
      </c>
      <c r="D48" s="697"/>
      <c r="E48" s="594">
        <f t="shared" si="1"/>
        <v>0</v>
      </c>
      <c r="F48" s="900"/>
      <c r="G48" s="597" t="s">
        <v>55</v>
      </c>
      <c r="H48" s="598">
        <f t="shared" si="3"/>
        <v>101</v>
      </c>
      <c r="I48" s="586" t="s">
        <v>52</v>
      </c>
      <c r="J48" s="594"/>
      <c r="K48" s="899"/>
      <c r="L48" s="586" t="s">
        <v>81</v>
      </c>
      <c r="M48" s="676">
        <v>44</v>
      </c>
      <c r="N48" s="678"/>
      <c r="O48" s="678">
        <f t="shared" si="0"/>
        <v>0</v>
      </c>
      <c r="P48" s="899"/>
      <c r="Q48" s="689" t="s">
        <v>411</v>
      </c>
      <c r="R48" s="674">
        <v>44</v>
      </c>
      <c r="S48" s="689"/>
      <c r="T48" s="899"/>
      <c r="U48" s="594"/>
      <c r="V48" s="598">
        <f t="shared" si="4"/>
        <v>44</v>
      </c>
      <c r="W48" s="594"/>
      <c r="X48" s="679"/>
      <c r="Y48" s="679"/>
      <c r="AA48" s="631" t="s">
        <v>11</v>
      </c>
      <c r="AB48" s="679"/>
    </row>
    <row r="49" spans="1:28" ht="15.75" customHeight="1">
      <c r="A49" s="900"/>
      <c r="B49" s="586" t="s">
        <v>40</v>
      </c>
      <c r="C49" s="674">
        <v>45</v>
      </c>
      <c r="D49" s="594"/>
      <c r="E49" s="594">
        <f t="shared" si="1"/>
        <v>0</v>
      </c>
      <c r="F49" s="900"/>
      <c r="G49" s="597" t="s">
        <v>133</v>
      </c>
      <c r="H49" s="598">
        <f t="shared" si="3"/>
        <v>102</v>
      </c>
      <c r="I49" s="586" t="s">
        <v>53</v>
      </c>
      <c r="J49" s="594" t="str">
        <f t="shared" si="2"/>
        <v>年初个人资本</v>
      </c>
      <c r="K49" s="899"/>
      <c r="L49" s="595" t="s">
        <v>82</v>
      </c>
      <c r="M49" s="676">
        <v>45</v>
      </c>
      <c r="N49" s="678"/>
      <c r="O49" s="678">
        <f t="shared" si="0"/>
        <v>0</v>
      </c>
      <c r="P49" s="899"/>
      <c r="Q49" s="689" t="s">
        <v>443</v>
      </c>
      <c r="R49" s="674">
        <v>45</v>
      </c>
      <c r="S49" s="689"/>
      <c r="T49" s="899"/>
      <c r="U49" s="594"/>
      <c r="V49" s="598">
        <f t="shared" si="4"/>
        <v>45</v>
      </c>
      <c r="W49" s="594"/>
      <c r="X49" s="679"/>
      <c r="Y49" s="679"/>
      <c r="AA49" s="635" t="s">
        <v>168</v>
      </c>
      <c r="AB49" s="679"/>
    </row>
    <row r="50" spans="1:28" ht="15.75" customHeight="1">
      <c r="A50" s="900"/>
      <c r="B50" s="586" t="s">
        <v>512</v>
      </c>
      <c r="C50" s="674">
        <v>46</v>
      </c>
      <c r="D50" s="688" t="s">
        <v>390</v>
      </c>
      <c r="E50" s="594" t="str">
        <f t="shared" si="1"/>
        <v>年初无形资产</v>
      </c>
      <c r="F50" s="900"/>
      <c r="G50" s="586" t="s">
        <v>0</v>
      </c>
      <c r="H50" s="598">
        <f t="shared" si="3"/>
        <v>103</v>
      </c>
      <c r="I50" s="586" t="s">
        <v>54</v>
      </c>
      <c r="J50" s="594" t="str">
        <f t="shared" si="2"/>
        <v>年初外商资本</v>
      </c>
      <c r="K50" s="899"/>
      <c r="L50" s="594" t="s">
        <v>83</v>
      </c>
      <c r="M50" s="676">
        <v>46</v>
      </c>
      <c r="N50" s="678" t="s">
        <v>359</v>
      </c>
      <c r="O50" s="678" t="str">
        <f t="shared" si="0"/>
        <v>上年所得税</v>
      </c>
      <c r="P50" s="899"/>
      <c r="Q50" s="586" t="s">
        <v>402</v>
      </c>
      <c r="R50" s="674">
        <v>46</v>
      </c>
      <c r="S50" s="586" t="s">
        <v>430</v>
      </c>
      <c r="T50" s="899"/>
      <c r="U50" s="598"/>
      <c r="V50" s="598">
        <f>V49+1</f>
        <v>46</v>
      </c>
      <c r="W50" s="594"/>
      <c r="X50" s="679"/>
      <c r="Y50" s="679"/>
      <c r="Z50" s="628" t="s">
        <v>908</v>
      </c>
      <c r="AA50" s="629" t="str">
        <f>B48</f>
        <v>无形资产</v>
      </c>
      <c r="AB50" s="679"/>
    </row>
    <row r="51" spans="1:28" s="783" customFormat="1" ht="15.75" customHeight="1">
      <c r="A51" s="900"/>
      <c r="B51" s="586" t="s">
        <v>41</v>
      </c>
      <c r="C51" s="674">
        <v>47</v>
      </c>
      <c r="D51" s="778" t="s">
        <v>38</v>
      </c>
      <c r="E51" s="778"/>
      <c r="F51" s="900"/>
      <c r="G51" s="586" t="s">
        <v>126</v>
      </c>
      <c r="H51" s="598">
        <f t="shared" si="3"/>
        <v>104</v>
      </c>
      <c r="I51" s="777" t="s">
        <v>0</v>
      </c>
      <c r="J51" s="778" t="str">
        <f t="shared" si="2"/>
        <v>年初资本公积</v>
      </c>
      <c r="K51" s="899"/>
      <c r="L51" s="594" t="s">
        <v>208</v>
      </c>
      <c r="M51" s="676">
        <v>47</v>
      </c>
      <c r="N51" s="779" t="s">
        <v>22</v>
      </c>
      <c r="O51" s="780" t="str">
        <f t="shared" si="0"/>
        <v>上年少数股东收益</v>
      </c>
      <c r="P51" s="899"/>
      <c r="Q51" s="721" t="s">
        <v>864</v>
      </c>
      <c r="R51" s="674">
        <v>47</v>
      </c>
      <c r="S51" s="777"/>
      <c r="T51" s="899"/>
      <c r="U51" s="722" t="s">
        <v>865</v>
      </c>
      <c r="V51" s="598">
        <f t="shared" si="4"/>
        <v>47</v>
      </c>
      <c r="W51" s="781"/>
      <c r="X51" s="782"/>
      <c r="Y51" s="782"/>
      <c r="Z51" s="628"/>
      <c r="AA51" s="629"/>
      <c r="AB51" s="782"/>
    </row>
    <row r="52" spans="1:28" s="783" customFormat="1" ht="15.75" customHeight="1">
      <c r="A52" s="900"/>
      <c r="B52" s="586" t="s">
        <v>113</v>
      </c>
      <c r="C52" s="674">
        <v>48</v>
      </c>
      <c r="D52" s="778" t="s">
        <v>512</v>
      </c>
      <c r="E52" s="778" t="str">
        <f t="shared" si="1"/>
        <v>年初长期待摊费用</v>
      </c>
      <c r="F52" s="900"/>
      <c r="G52" s="597" t="s">
        <v>127</v>
      </c>
      <c r="H52" s="598">
        <f t="shared" si="3"/>
        <v>105</v>
      </c>
      <c r="I52" s="777" t="s">
        <v>1</v>
      </c>
      <c r="J52" s="778" t="str">
        <f t="shared" si="2"/>
        <v>年初盈余公积━法定或任意公积</v>
      </c>
      <c r="K52" s="899"/>
      <c r="L52" s="586" t="s">
        <v>84</v>
      </c>
      <c r="M52" s="676">
        <v>48</v>
      </c>
      <c r="N52" s="779"/>
      <c r="O52" s="780"/>
      <c r="P52" s="899"/>
      <c r="Q52" s="586"/>
      <c r="R52" s="674">
        <v>48</v>
      </c>
      <c r="S52" s="784"/>
      <c r="T52" s="899"/>
      <c r="U52" s="598"/>
      <c r="V52" s="598">
        <f t="shared" si="4"/>
        <v>48</v>
      </c>
      <c r="W52" s="781"/>
      <c r="X52" s="782"/>
      <c r="Y52" s="782"/>
      <c r="Z52" s="628" t="s">
        <v>910</v>
      </c>
      <c r="AA52" s="629" t="str">
        <f t="shared" ref="AA52:AA58" si="6">B50</f>
        <v>长期待摊费用</v>
      </c>
      <c r="AB52" s="782"/>
    </row>
    <row r="53" spans="1:28" s="783" customFormat="1" ht="15.75" customHeight="1">
      <c r="A53" s="900"/>
      <c r="B53" s="586" t="s">
        <v>836</v>
      </c>
      <c r="C53" s="674">
        <v>49</v>
      </c>
      <c r="D53" s="778" t="s">
        <v>39</v>
      </c>
      <c r="E53" s="778"/>
      <c r="F53" s="900"/>
      <c r="G53" s="597" t="s">
        <v>855</v>
      </c>
      <c r="H53" s="598">
        <f t="shared" si="3"/>
        <v>106</v>
      </c>
      <c r="I53" s="777" t="s">
        <v>2</v>
      </c>
      <c r="J53" s="778" t="str">
        <f t="shared" si="2"/>
        <v>年初盈余公积━法定公益金</v>
      </c>
      <c r="K53" s="899"/>
      <c r="L53" s="595" t="s">
        <v>85</v>
      </c>
      <c r="M53" s="676">
        <v>49</v>
      </c>
      <c r="N53" s="780"/>
      <c r="O53" s="780">
        <f t="shared" si="0"/>
        <v>0</v>
      </c>
      <c r="P53" s="899"/>
      <c r="Q53" s="586"/>
      <c r="R53" s="674">
        <v>49</v>
      </c>
      <c r="S53" s="784"/>
      <c r="T53" s="899"/>
      <c r="U53" s="598"/>
      <c r="V53" s="598">
        <f t="shared" si="4"/>
        <v>49</v>
      </c>
      <c r="W53" s="781"/>
      <c r="X53" s="782"/>
      <c r="Y53" s="782"/>
      <c r="Z53" s="628"/>
      <c r="AA53" s="629"/>
      <c r="AB53" s="782"/>
    </row>
    <row r="54" spans="1:28" s="783" customFormat="1" ht="15.75" customHeight="1">
      <c r="A54" s="900"/>
      <c r="B54" s="586" t="s">
        <v>513</v>
      </c>
      <c r="C54" s="674">
        <v>50</v>
      </c>
      <c r="D54" s="778" t="s">
        <v>46</v>
      </c>
      <c r="E54" s="778"/>
      <c r="F54" s="900"/>
      <c r="G54" s="597" t="s">
        <v>264</v>
      </c>
      <c r="H54" s="598">
        <f t="shared" si="3"/>
        <v>107</v>
      </c>
      <c r="I54" s="777" t="s">
        <v>56</v>
      </c>
      <c r="J54" s="778" t="str">
        <f t="shared" si="2"/>
        <v>年初未确认的投资损失</v>
      </c>
      <c r="K54" s="899"/>
      <c r="L54" s="598" t="s">
        <v>151</v>
      </c>
      <c r="M54" s="676">
        <v>50</v>
      </c>
      <c r="N54" s="780" t="s">
        <v>360</v>
      </c>
      <c r="O54" s="780" t="str">
        <f t="shared" si="0"/>
        <v>上年年初未分配利润</v>
      </c>
      <c r="P54" s="899"/>
      <c r="Q54" s="586"/>
      <c r="R54" s="674">
        <v>50</v>
      </c>
      <c r="S54" s="784"/>
      <c r="T54" s="899"/>
      <c r="U54" s="598"/>
      <c r="V54" s="598">
        <f t="shared" si="4"/>
        <v>50</v>
      </c>
      <c r="W54" s="781"/>
      <c r="X54" s="782"/>
      <c r="Y54" s="782"/>
      <c r="Z54" s="628"/>
      <c r="AA54" s="629"/>
      <c r="AB54" s="782"/>
    </row>
    <row r="55" spans="1:28">
      <c r="B55" s="586" t="s">
        <v>42</v>
      </c>
      <c r="C55" s="674">
        <v>51</v>
      </c>
      <c r="D55" s="688" t="s">
        <v>513</v>
      </c>
      <c r="E55" s="594" t="str">
        <f t="shared" si="1"/>
        <v>年初其他长期资产</v>
      </c>
      <c r="G55" s="597" t="s">
        <v>58</v>
      </c>
      <c r="H55" s="598">
        <f t="shared" si="3"/>
        <v>108</v>
      </c>
      <c r="I55" s="696" t="s">
        <v>264</v>
      </c>
      <c r="J55" s="594" t="str">
        <f t="shared" si="2"/>
        <v>年初未分配利润</v>
      </c>
      <c r="L55" s="598" t="s">
        <v>152</v>
      </c>
      <c r="M55" s="676">
        <v>51</v>
      </c>
      <c r="N55" s="682" t="s">
        <v>384</v>
      </c>
      <c r="O55" s="678" t="str">
        <f t="shared" si="0"/>
        <v>上年盈余公积金转入数</v>
      </c>
      <c r="Q55" s="586"/>
      <c r="R55" s="674">
        <v>51</v>
      </c>
      <c r="S55" s="696"/>
      <c r="U55" s="598"/>
      <c r="V55" s="598">
        <f t="shared" si="4"/>
        <v>51</v>
      </c>
      <c r="W55" s="698"/>
      <c r="X55" s="679"/>
      <c r="Y55" s="679"/>
      <c r="AA55" s="629" t="str">
        <f t="shared" si="6"/>
        <v>股权分置流通权</v>
      </c>
    </row>
    <row r="56" spans="1:28">
      <c r="B56" s="686"/>
      <c r="C56" s="674">
        <v>52</v>
      </c>
      <c r="D56" s="688" t="s">
        <v>45</v>
      </c>
      <c r="E56" s="594"/>
      <c r="G56" s="597" t="s">
        <v>59</v>
      </c>
      <c r="H56" s="598">
        <f t="shared" si="3"/>
        <v>109</v>
      </c>
      <c r="I56" s="696" t="s">
        <v>57</v>
      </c>
      <c r="J56" s="594"/>
      <c r="L56" s="586" t="s">
        <v>86</v>
      </c>
      <c r="M56" s="676">
        <v>52</v>
      </c>
      <c r="N56" s="686"/>
      <c r="O56" s="678">
        <f t="shared" si="0"/>
        <v>0</v>
      </c>
      <c r="Q56" s="586"/>
      <c r="R56" s="674">
        <v>52</v>
      </c>
      <c r="S56" s="696"/>
      <c r="U56" s="598"/>
      <c r="V56" s="598">
        <f t="shared" si="4"/>
        <v>52</v>
      </c>
      <c r="W56" s="698"/>
      <c r="AA56" s="629" t="str">
        <f t="shared" si="6"/>
        <v>其他长期资产</v>
      </c>
    </row>
    <row r="57" spans="1:28">
      <c r="B57" s="692" t="s">
        <v>13</v>
      </c>
      <c r="C57" s="674">
        <v>53</v>
      </c>
      <c r="D57" s="688"/>
      <c r="E57" s="594"/>
      <c r="G57" s="686"/>
      <c r="H57" s="598">
        <f t="shared" si="3"/>
        <v>110</v>
      </c>
      <c r="I57" s="696" t="s">
        <v>234</v>
      </c>
      <c r="J57" s="594" t="str">
        <f t="shared" si="2"/>
        <v>年初外币报表折算差额</v>
      </c>
      <c r="L57" s="586" t="s">
        <v>87</v>
      </c>
      <c r="M57" s="676">
        <v>53</v>
      </c>
      <c r="N57" s="678"/>
      <c r="O57" s="678">
        <f t="shared" si="0"/>
        <v>0</v>
      </c>
      <c r="Q57" s="586"/>
      <c r="R57" s="674">
        <v>53</v>
      </c>
      <c r="S57" s="696"/>
      <c r="U57" s="598"/>
      <c r="V57" s="598">
        <f t="shared" si="4"/>
        <v>53</v>
      </c>
      <c r="W57" s="698"/>
      <c r="AA57" s="629"/>
    </row>
    <row r="58" spans="1:28">
      <c r="B58" s="673" t="s">
        <v>14</v>
      </c>
      <c r="C58" s="674">
        <v>54</v>
      </c>
      <c r="D58" s="691"/>
      <c r="E58" s="594">
        <f t="shared" si="1"/>
        <v>0</v>
      </c>
      <c r="G58" s="690" t="str">
        <f>IF(参数!D$8="股份有限公司","股东权益小计",IF(参数!D$8="一般企业（执行统一会计制度）","所有者权益小计",""))</f>
        <v>所有者权益小计</v>
      </c>
      <c r="H58" s="598">
        <f t="shared" si="3"/>
        <v>111</v>
      </c>
      <c r="I58" s="686"/>
      <c r="J58" s="594"/>
      <c r="L58" s="586" t="s">
        <v>153</v>
      </c>
      <c r="M58" s="676">
        <v>54</v>
      </c>
      <c r="N58" s="678" t="s">
        <v>89</v>
      </c>
      <c r="O58" s="678" t="str">
        <f t="shared" si="0"/>
        <v>上年提取法定公积金</v>
      </c>
      <c r="Q58" s="586"/>
      <c r="R58" s="674">
        <v>54</v>
      </c>
      <c r="S58" s="696"/>
      <c r="U58" s="598"/>
      <c r="V58" s="598">
        <f t="shared" si="4"/>
        <v>54</v>
      </c>
      <c r="W58" s="698"/>
      <c r="AA58" s="629">
        <f t="shared" si="6"/>
        <v>0</v>
      </c>
    </row>
    <row r="59" spans="1:28">
      <c r="B59" s="594" t="s">
        <v>114</v>
      </c>
      <c r="C59" s="674">
        <v>55</v>
      </c>
      <c r="D59" s="697"/>
      <c r="E59" s="594">
        <f t="shared" si="1"/>
        <v>0</v>
      </c>
      <c r="G59" s="597" t="s">
        <v>822</v>
      </c>
      <c r="H59" s="598">
        <f t="shared" si="3"/>
        <v>112</v>
      </c>
      <c r="I59" s="696"/>
      <c r="J59" s="594"/>
      <c r="L59" s="586" t="s">
        <v>88</v>
      </c>
      <c r="M59" s="676">
        <v>55</v>
      </c>
      <c r="N59" s="678" t="s">
        <v>235</v>
      </c>
      <c r="O59" s="678" t="str">
        <f t="shared" si="0"/>
        <v>上年提取法定公益金</v>
      </c>
      <c r="Q59" s="586"/>
      <c r="R59" s="674">
        <v>55</v>
      </c>
      <c r="S59" s="696"/>
      <c r="U59" s="598"/>
      <c r="V59" s="598">
        <f t="shared" si="4"/>
        <v>55</v>
      </c>
      <c r="W59" s="698"/>
      <c r="AA59" s="631" t="s">
        <v>13</v>
      </c>
    </row>
    <row r="60" spans="1:28">
      <c r="B60" s="686"/>
      <c r="C60" s="674">
        <v>56</v>
      </c>
      <c r="D60" s="594"/>
      <c r="E60" s="594">
        <f t="shared" si="1"/>
        <v>0</v>
      </c>
      <c r="G60" s="690" t="str">
        <f>IF(参数!D$8="股份有限公司","股东权益合计(剔除未处理资产损失后的金额)",IF(参数!D$8="一般企业（执行统一会计制度）","所有者权益合计(剔除未处理资产损失后的金额)",""))</f>
        <v>所有者权益合计(剔除未处理资产损失后的金额)</v>
      </c>
      <c r="H60" s="598">
        <f t="shared" si="3"/>
        <v>113</v>
      </c>
      <c r="I60" s="696"/>
      <c r="J60" s="594">
        <f t="shared" si="2"/>
        <v>0</v>
      </c>
      <c r="L60" s="586" t="s">
        <v>154</v>
      </c>
      <c r="M60" s="676">
        <v>56</v>
      </c>
      <c r="N60" s="678" t="s">
        <v>90</v>
      </c>
      <c r="O60" s="678" t="str">
        <f t="shared" si="0"/>
        <v>上年提取职工福利及奖励金</v>
      </c>
      <c r="Q60" s="586"/>
      <c r="R60" s="674">
        <v>56</v>
      </c>
      <c r="S60" s="696"/>
      <c r="U60" s="598"/>
      <c r="V60" s="598">
        <f>V59+1</f>
        <v>56</v>
      </c>
      <c r="W60" s="698"/>
      <c r="AA60" s="636" t="s">
        <v>14</v>
      </c>
    </row>
    <row r="61" spans="1:28">
      <c r="B61" s="598"/>
      <c r="C61" s="674">
        <v>57</v>
      </c>
      <c r="D61" s="594" t="s">
        <v>391</v>
      </c>
      <c r="E61" s="594" t="str">
        <f t="shared" si="1"/>
        <v>年初递延税款借项</v>
      </c>
      <c r="G61" s="690"/>
      <c r="H61" s="598">
        <f t="shared" si="3"/>
        <v>114</v>
      </c>
      <c r="I61" s="686"/>
      <c r="J61" s="594"/>
      <c r="L61" s="586" t="s">
        <v>155</v>
      </c>
      <c r="M61" s="676">
        <v>57</v>
      </c>
      <c r="N61" s="678" t="s">
        <v>91</v>
      </c>
      <c r="O61" s="678" t="str">
        <f t="shared" si="0"/>
        <v>上年提取储备基金</v>
      </c>
      <c r="Q61" s="586"/>
      <c r="R61" s="674">
        <v>57</v>
      </c>
      <c r="S61" s="696"/>
      <c r="U61" s="598"/>
      <c r="V61" s="598">
        <f t="shared" si="4"/>
        <v>57</v>
      </c>
      <c r="W61" s="698"/>
      <c r="Z61" s="628" t="s">
        <v>916</v>
      </c>
      <c r="AA61" s="629" t="s">
        <v>204</v>
      </c>
    </row>
    <row r="62" spans="1:28">
      <c r="B62" s="598"/>
      <c r="C62" s="674">
        <v>57</v>
      </c>
      <c r="D62" s="594"/>
      <c r="E62" s="594"/>
      <c r="G62" s="690"/>
      <c r="H62" s="598">
        <f>H61</f>
        <v>114</v>
      </c>
      <c r="I62" s="696"/>
      <c r="J62" s="594">
        <f t="shared" si="2"/>
        <v>0</v>
      </c>
      <c r="L62" s="595" t="s">
        <v>156</v>
      </c>
      <c r="M62" s="676">
        <v>58</v>
      </c>
      <c r="N62" s="678" t="s">
        <v>92</v>
      </c>
      <c r="O62" s="678" t="str">
        <f t="shared" si="0"/>
        <v xml:space="preserve">上年提取企业发展基金 </v>
      </c>
      <c r="Q62" s="586"/>
      <c r="R62" s="674">
        <v>58</v>
      </c>
      <c r="S62" s="696"/>
      <c r="U62" s="598"/>
      <c r="V62" s="598">
        <f t="shared" si="4"/>
        <v>58</v>
      </c>
      <c r="W62" s="698"/>
      <c r="AA62" s="637"/>
    </row>
    <row r="63" spans="1:28">
      <c r="B63" s="598"/>
      <c r="C63" s="674">
        <v>57</v>
      </c>
      <c r="D63" s="594"/>
      <c r="E63" s="594"/>
      <c r="G63" s="690"/>
      <c r="H63" s="598">
        <f t="shared" ref="H63:H73" si="7">H62</f>
        <v>114</v>
      </c>
      <c r="I63" s="696"/>
      <c r="J63" s="594"/>
      <c r="L63" s="598" t="s">
        <v>157</v>
      </c>
      <c r="M63" s="676">
        <v>59</v>
      </c>
      <c r="N63" s="678" t="s">
        <v>93</v>
      </c>
      <c r="O63" s="678" t="str">
        <f t="shared" si="0"/>
        <v xml:space="preserve">上年利润归还投资 </v>
      </c>
      <c r="Q63" s="586"/>
      <c r="R63" s="674">
        <v>59</v>
      </c>
      <c r="S63" s="696"/>
      <c r="U63" s="598"/>
      <c r="V63" s="598">
        <f t="shared" si="4"/>
        <v>59</v>
      </c>
      <c r="W63" s="698"/>
      <c r="AA63" s="631" t="s">
        <v>202</v>
      </c>
    </row>
    <row r="64" spans="1:28">
      <c r="B64" s="598"/>
      <c r="C64" s="674">
        <v>57</v>
      </c>
      <c r="D64" s="594"/>
      <c r="E64" s="594"/>
      <c r="G64" s="690"/>
      <c r="H64" s="598">
        <f t="shared" si="7"/>
        <v>114</v>
      </c>
      <c r="I64" s="696"/>
      <c r="J64" s="594"/>
      <c r="L64" s="598" t="s">
        <v>158</v>
      </c>
      <c r="M64" s="676">
        <v>60</v>
      </c>
      <c r="N64" s="682" t="s">
        <v>94</v>
      </c>
      <c r="O64" s="678" t="str">
        <f t="shared" si="0"/>
        <v>上年补充流动资本</v>
      </c>
      <c r="Q64" s="586"/>
      <c r="R64" s="674">
        <v>60</v>
      </c>
      <c r="S64" s="696"/>
      <c r="U64" s="598"/>
      <c r="V64" s="598">
        <f t="shared" si="4"/>
        <v>60</v>
      </c>
      <c r="W64" s="698"/>
      <c r="AA64" s="629"/>
    </row>
    <row r="65" spans="2:27">
      <c r="B65" s="598"/>
      <c r="C65" s="674">
        <v>57</v>
      </c>
      <c r="D65" s="594"/>
      <c r="E65" s="594"/>
      <c r="G65" s="690"/>
      <c r="H65" s="598">
        <f t="shared" si="7"/>
        <v>114</v>
      </c>
      <c r="I65" s="696"/>
      <c r="J65" s="594"/>
      <c r="L65" s="598" t="s">
        <v>159</v>
      </c>
      <c r="M65" s="676">
        <v>61</v>
      </c>
      <c r="N65" s="682" t="s">
        <v>95</v>
      </c>
      <c r="O65" s="678" t="str">
        <f t="shared" si="0"/>
        <v>上年单项留用的利润</v>
      </c>
      <c r="Q65" s="586"/>
      <c r="R65" s="674">
        <v>61</v>
      </c>
      <c r="S65" s="696"/>
      <c r="U65" s="598"/>
      <c r="V65" s="598">
        <f t="shared" si="4"/>
        <v>61</v>
      </c>
      <c r="W65" s="698"/>
      <c r="AA65" s="638" t="s">
        <v>205</v>
      </c>
    </row>
    <row r="66" spans="2:27">
      <c r="B66" s="598"/>
      <c r="C66" s="674">
        <v>57</v>
      </c>
      <c r="D66" s="594"/>
      <c r="E66" s="594"/>
      <c r="G66" s="690"/>
      <c r="H66" s="598">
        <f t="shared" si="7"/>
        <v>114</v>
      </c>
      <c r="I66" s="696"/>
      <c r="J66" s="594"/>
      <c r="L66" s="586" t="s">
        <v>96</v>
      </c>
      <c r="M66" s="676">
        <v>62</v>
      </c>
      <c r="N66" s="682" t="s">
        <v>500</v>
      </c>
      <c r="O66" s="678" t="str">
        <f t="shared" si="0"/>
        <v>上年其他</v>
      </c>
      <c r="Q66" s="586"/>
      <c r="R66" s="674">
        <v>62</v>
      </c>
      <c r="S66" s="696"/>
      <c r="U66" s="598"/>
      <c r="V66" s="598">
        <f t="shared" si="4"/>
        <v>62</v>
      </c>
      <c r="W66" s="698"/>
      <c r="Z66" s="628" t="s">
        <v>884</v>
      </c>
      <c r="AA66" s="629" t="str">
        <f>G6</f>
        <v>短期借款</v>
      </c>
    </row>
    <row r="67" spans="2:27">
      <c r="B67" s="598"/>
      <c r="C67" s="674">
        <v>57</v>
      </c>
      <c r="D67" s="594"/>
      <c r="E67" s="594"/>
      <c r="G67" s="690"/>
      <c r="H67" s="598">
        <f t="shared" si="7"/>
        <v>114</v>
      </c>
      <c r="I67" s="696"/>
      <c r="J67" s="594"/>
      <c r="L67" s="595" t="s">
        <v>97</v>
      </c>
      <c r="M67" s="676">
        <v>63</v>
      </c>
      <c r="N67" s="678"/>
      <c r="O67" s="678">
        <f t="shared" si="0"/>
        <v>0</v>
      </c>
      <c r="Q67" s="586"/>
      <c r="R67" s="674">
        <v>63</v>
      </c>
      <c r="S67" s="696"/>
      <c r="U67" s="598"/>
      <c r="V67" s="598">
        <f t="shared" si="4"/>
        <v>63</v>
      </c>
      <c r="W67" s="698"/>
      <c r="Z67" s="628" t="s">
        <v>875</v>
      </c>
      <c r="AA67" s="629" t="str">
        <f t="shared" ref="AA67:AA84" si="8">G7</f>
        <v>应付票据</v>
      </c>
    </row>
    <row r="68" spans="2:27">
      <c r="B68" s="598"/>
      <c r="C68" s="674">
        <v>57</v>
      </c>
      <c r="D68" s="594"/>
      <c r="E68" s="594"/>
      <c r="G68" s="690"/>
      <c r="H68" s="598">
        <f t="shared" si="7"/>
        <v>114</v>
      </c>
      <c r="I68" s="696"/>
      <c r="J68" s="594"/>
      <c r="L68" s="598" t="s">
        <v>160</v>
      </c>
      <c r="M68" s="676">
        <v>64</v>
      </c>
      <c r="N68" s="678" t="s">
        <v>361</v>
      </c>
      <c r="O68" s="678" t="str">
        <f t="shared" si="0"/>
        <v>上年应付优先股股利</v>
      </c>
      <c r="Q68" s="586"/>
      <c r="R68" s="674">
        <v>64</v>
      </c>
      <c r="S68" s="696"/>
      <c r="U68" s="598"/>
      <c r="V68" s="598">
        <f t="shared" si="4"/>
        <v>64</v>
      </c>
      <c r="W68" s="698"/>
      <c r="Z68" s="628" t="s">
        <v>874</v>
      </c>
      <c r="AA68" s="629" t="str">
        <f t="shared" si="8"/>
        <v>应付账款</v>
      </c>
    </row>
    <row r="69" spans="2:27">
      <c r="B69" s="598"/>
      <c r="C69" s="674">
        <v>57</v>
      </c>
      <c r="D69" s="594"/>
      <c r="E69" s="594"/>
      <c r="G69" s="690"/>
      <c r="H69" s="598">
        <f t="shared" si="7"/>
        <v>114</v>
      </c>
      <c r="I69" s="696"/>
      <c r="J69" s="594"/>
      <c r="L69" s="598" t="s">
        <v>161</v>
      </c>
      <c r="M69" s="676">
        <v>65</v>
      </c>
      <c r="N69" s="682" t="s">
        <v>436</v>
      </c>
      <c r="O69" s="678" t="str">
        <f t="shared" si="0"/>
        <v>上年提取任意盈余公积金</v>
      </c>
      <c r="Q69" s="586"/>
      <c r="R69" s="674">
        <v>65</v>
      </c>
      <c r="S69" s="696"/>
      <c r="U69" s="598"/>
      <c r="V69" s="598">
        <f t="shared" si="4"/>
        <v>65</v>
      </c>
      <c r="W69" s="698"/>
      <c r="Z69" s="628" t="s">
        <v>868</v>
      </c>
      <c r="AA69" s="629" t="str">
        <f t="shared" si="8"/>
        <v>预收账款</v>
      </c>
    </row>
    <row r="70" spans="2:27">
      <c r="B70" s="598"/>
      <c r="C70" s="674">
        <v>57</v>
      </c>
      <c r="D70" s="594"/>
      <c r="E70" s="594"/>
      <c r="G70" s="690"/>
      <c r="H70" s="598">
        <f t="shared" si="7"/>
        <v>114</v>
      </c>
      <c r="I70" s="696"/>
      <c r="J70" s="594"/>
      <c r="L70" s="598" t="s">
        <v>162</v>
      </c>
      <c r="M70" s="676">
        <v>66</v>
      </c>
      <c r="N70" s="682" t="s">
        <v>362</v>
      </c>
      <c r="O70" s="678" t="str">
        <f t="shared" si="0"/>
        <v>上年应付普通股股利</v>
      </c>
      <c r="Q70" s="586"/>
      <c r="R70" s="674">
        <v>66</v>
      </c>
      <c r="S70" s="696"/>
      <c r="U70" s="586"/>
      <c r="V70" s="598">
        <f t="shared" si="4"/>
        <v>66</v>
      </c>
      <c r="W70" s="698"/>
      <c r="Z70" s="628" t="s">
        <v>876</v>
      </c>
      <c r="AA70" s="629" t="str">
        <f t="shared" si="8"/>
        <v>应付工资</v>
      </c>
    </row>
    <row r="71" spans="2:27">
      <c r="B71" s="598"/>
      <c r="C71" s="674">
        <v>57</v>
      </c>
      <c r="D71" s="594"/>
      <c r="E71" s="594"/>
      <c r="G71" s="690"/>
      <c r="H71" s="598">
        <f t="shared" si="7"/>
        <v>114</v>
      </c>
      <c r="I71" s="696"/>
      <c r="J71" s="594"/>
      <c r="L71" s="598" t="s">
        <v>149</v>
      </c>
      <c r="M71" s="676">
        <v>67</v>
      </c>
      <c r="N71" s="682" t="s">
        <v>516</v>
      </c>
      <c r="O71" s="678" t="str">
        <f t="shared" si="0"/>
        <v>上年转作资本的普通股股利</v>
      </c>
      <c r="Q71" s="586"/>
      <c r="R71" s="674">
        <v>67</v>
      </c>
      <c r="S71" s="696"/>
      <c r="U71" s="586"/>
      <c r="V71" s="598">
        <f t="shared" si="4"/>
        <v>67</v>
      </c>
      <c r="W71" s="696"/>
      <c r="Z71" s="628" t="s">
        <v>877</v>
      </c>
      <c r="AA71" s="629" t="str">
        <f t="shared" si="8"/>
        <v>应付福利费</v>
      </c>
    </row>
    <row r="72" spans="2:27">
      <c r="B72" s="598"/>
      <c r="C72" s="674">
        <v>57</v>
      </c>
      <c r="D72" s="680"/>
      <c r="E72" s="680"/>
      <c r="G72" s="595"/>
      <c r="H72" s="598">
        <f t="shared" si="7"/>
        <v>114</v>
      </c>
      <c r="I72" s="696"/>
      <c r="J72" s="594"/>
      <c r="L72" s="596" t="s">
        <v>98</v>
      </c>
      <c r="M72" s="676">
        <v>68</v>
      </c>
      <c r="N72" s="682" t="s">
        <v>500</v>
      </c>
      <c r="O72" s="678" t="str">
        <f t="shared" si="0"/>
        <v>上年其他</v>
      </c>
      <c r="Q72" s="586"/>
      <c r="R72" s="674">
        <v>68</v>
      </c>
      <c r="S72" s="586"/>
      <c r="U72" s="586"/>
      <c r="V72" s="598">
        <f t="shared" si="4"/>
        <v>68</v>
      </c>
      <c r="W72" s="586"/>
      <c r="Z72" s="628" t="s">
        <v>888</v>
      </c>
      <c r="AA72" s="629" t="str">
        <f t="shared" si="8"/>
        <v>应付股利（利润）</v>
      </c>
    </row>
    <row r="73" spans="2:27">
      <c r="B73" s="702" t="s">
        <v>15</v>
      </c>
      <c r="C73" s="674">
        <v>57</v>
      </c>
      <c r="D73" s="697"/>
      <c r="E73" s="594">
        <f t="shared" si="1"/>
        <v>0</v>
      </c>
      <c r="G73" s="703" t="str">
        <f>IF(参数!D8="股份有限公司","负债及股东权益合计",IF(参数!D8="一般企业（执行统一会计制度）","负债及所有者权益合计",""))</f>
        <v>负债及所有者权益合计</v>
      </c>
      <c r="H73" s="598">
        <f t="shared" si="7"/>
        <v>114</v>
      </c>
      <c r="I73" s="696"/>
      <c r="J73" s="594"/>
      <c r="L73" s="586" t="s">
        <v>99</v>
      </c>
      <c r="M73" s="676">
        <v>69</v>
      </c>
      <c r="N73" s="678"/>
      <c r="O73" s="678">
        <f t="shared" si="0"/>
        <v>0</v>
      </c>
      <c r="Q73" s="703"/>
      <c r="R73" s="674">
        <v>69</v>
      </c>
      <c r="S73" s="586"/>
      <c r="U73" s="704"/>
      <c r="V73" s="598">
        <f>V72+1</f>
        <v>69</v>
      </c>
      <c r="W73" s="680"/>
      <c r="Z73" s="628" t="s">
        <v>887</v>
      </c>
      <c r="AA73" s="629" t="str">
        <f t="shared" si="8"/>
        <v>应付利息</v>
      </c>
    </row>
    <row r="74" spans="2:27">
      <c r="C74" s="680"/>
      <c r="D74" s="697"/>
      <c r="E74" s="594">
        <f t="shared" si="1"/>
        <v>0</v>
      </c>
      <c r="I74" s="586"/>
      <c r="J74" s="594">
        <f t="shared" si="2"/>
        <v>0</v>
      </c>
      <c r="N74" s="678"/>
      <c r="O74" s="678"/>
      <c r="R74" s="705"/>
      <c r="S74" s="586"/>
      <c r="V74" s="680"/>
      <c r="W74" s="680"/>
      <c r="Z74" s="628" t="s">
        <v>913</v>
      </c>
      <c r="AA74" s="629" t="str">
        <f t="shared" si="8"/>
        <v>应交税金</v>
      </c>
    </row>
    <row r="75" spans="2:27">
      <c r="C75" s="680"/>
      <c r="D75" s="707"/>
      <c r="E75" s="707"/>
      <c r="I75" s="704"/>
      <c r="J75" s="704"/>
      <c r="N75" s="704"/>
      <c r="O75" s="704"/>
      <c r="R75" s="705"/>
      <c r="S75" s="704"/>
      <c r="V75" s="680"/>
      <c r="W75" s="680"/>
      <c r="Z75" s="628" t="s">
        <v>914</v>
      </c>
      <c r="AA75" s="629" t="str">
        <f t="shared" si="8"/>
        <v>其他应交款</v>
      </c>
    </row>
    <row r="76" spans="2:27">
      <c r="R76" s="705"/>
      <c r="V76" s="680"/>
      <c r="Z76" s="628" t="s">
        <v>897</v>
      </c>
      <c r="AA76" s="629" t="str">
        <f t="shared" si="8"/>
        <v>其他应付款</v>
      </c>
    </row>
    <row r="77" spans="2:27">
      <c r="R77" s="705"/>
      <c r="V77" s="680"/>
      <c r="Z77" s="628" t="s">
        <v>912</v>
      </c>
      <c r="AA77" s="629" t="str">
        <f t="shared" si="8"/>
        <v>预提费用</v>
      </c>
    </row>
    <row r="78" spans="2:27">
      <c r="R78" s="705"/>
      <c r="V78" s="680"/>
      <c r="Z78" s="628" t="s">
        <v>917</v>
      </c>
      <c r="AA78" s="629" t="str">
        <f t="shared" si="8"/>
        <v>预计负债</v>
      </c>
    </row>
    <row r="79" spans="2:27">
      <c r="Z79" s="628" t="s">
        <v>869</v>
      </c>
      <c r="AA79" s="629" t="str">
        <f t="shared" si="8"/>
        <v>递延收益</v>
      </c>
    </row>
    <row r="80" spans="2:27">
      <c r="AA80" s="629" t="str">
        <f t="shared" si="8"/>
        <v>一年内到期的长期负债</v>
      </c>
    </row>
    <row r="81" spans="26:27">
      <c r="AA81" s="629" t="str">
        <f t="shared" si="8"/>
        <v>应付权证</v>
      </c>
    </row>
    <row r="82" spans="26:27">
      <c r="AA82" s="629" t="str">
        <f t="shared" si="8"/>
        <v>其他流动负债</v>
      </c>
    </row>
    <row r="83" spans="26:27">
      <c r="AA83" s="629">
        <f t="shared" si="8"/>
        <v>0</v>
      </c>
    </row>
    <row r="84" spans="26:27">
      <c r="AA84" s="629">
        <f t="shared" si="8"/>
        <v>0</v>
      </c>
    </row>
    <row r="85" spans="26:27">
      <c r="AA85" s="639" t="s">
        <v>169</v>
      </c>
    </row>
    <row r="86" spans="26:27">
      <c r="AA86" s="640"/>
    </row>
    <row r="87" spans="26:27">
      <c r="AA87" s="641" t="s">
        <v>225</v>
      </c>
    </row>
    <row r="88" spans="26:27">
      <c r="Z88" s="628" t="s">
        <v>885</v>
      </c>
      <c r="AA88" s="640" t="str">
        <f>G27</f>
        <v>长期借款</v>
      </c>
    </row>
    <row r="89" spans="26:27">
      <c r="Z89" s="628" t="s">
        <v>886</v>
      </c>
      <c r="AA89" s="640" t="str">
        <f t="shared" ref="AA89:AA95" si="9">G28</f>
        <v>应付债券</v>
      </c>
    </row>
    <row r="90" spans="26:27">
      <c r="Z90" s="628" t="s">
        <v>898</v>
      </c>
      <c r="AA90" s="640" t="str">
        <f t="shared" si="9"/>
        <v>长期应付款</v>
      </c>
    </row>
    <row r="91" spans="26:27">
      <c r="Z91" s="628" t="s">
        <v>899</v>
      </c>
      <c r="AA91" s="640" t="str">
        <f t="shared" si="9"/>
        <v>专项应付款</v>
      </c>
    </row>
    <row r="92" spans="26:27">
      <c r="AA92" s="640" t="str">
        <f t="shared" si="9"/>
        <v>其他长期负债</v>
      </c>
    </row>
    <row r="93" spans="26:27">
      <c r="AA93" s="640"/>
    </row>
    <row r="94" spans="26:27">
      <c r="AA94" s="640">
        <f t="shared" si="9"/>
        <v>0</v>
      </c>
    </row>
    <row r="95" spans="26:27">
      <c r="AA95" s="640">
        <f t="shared" si="9"/>
        <v>0</v>
      </c>
    </row>
    <row r="96" spans="26:27">
      <c r="AA96" s="639" t="s">
        <v>170</v>
      </c>
    </row>
    <row r="97" spans="26:27">
      <c r="AA97" s="640"/>
    </row>
    <row r="98" spans="26:27">
      <c r="AA98" s="641" t="s">
        <v>14</v>
      </c>
    </row>
    <row r="99" spans="26:27">
      <c r="Z99" s="628" t="s">
        <v>915</v>
      </c>
      <c r="AA99" s="640" t="s">
        <v>229</v>
      </c>
    </row>
    <row r="100" spans="26:27">
      <c r="AA100" s="640"/>
    </row>
    <row r="101" spans="26:27">
      <c r="AA101" s="639" t="s">
        <v>230</v>
      </c>
    </row>
    <row r="102" spans="26:27">
      <c r="AA102" s="640"/>
    </row>
    <row r="103" spans="26:27">
      <c r="AA103" s="640" t="s">
        <v>811</v>
      </c>
    </row>
    <row r="104" spans="26:27">
      <c r="AA104" s="640"/>
    </row>
    <row r="105" spans="26:27">
      <c r="AA105" s="641" t="s">
        <v>171</v>
      </c>
    </row>
    <row r="106" spans="26:27">
      <c r="Z106" s="628" t="s">
        <v>889</v>
      </c>
      <c r="AA106" s="640" t="str">
        <f>G42</f>
        <v>实收资本</v>
      </c>
    </row>
    <row r="107" spans="26:27">
      <c r="AA107" s="640"/>
    </row>
    <row r="108" spans="26:27">
      <c r="AA108" s="640"/>
    </row>
    <row r="110" spans="26:27">
      <c r="AA110" s="642"/>
    </row>
    <row r="111" spans="26:27">
      <c r="AA111" s="643"/>
    </row>
    <row r="112" spans="26:27">
      <c r="AA112" s="643"/>
    </row>
    <row r="113" spans="26:27">
      <c r="AA113" s="643"/>
    </row>
    <row r="114" spans="26:27">
      <c r="Z114" s="628" t="s">
        <v>890</v>
      </c>
      <c r="AA114" s="626" t="s">
        <v>231</v>
      </c>
    </row>
    <row r="115" spans="26:27">
      <c r="Z115" s="628" t="s">
        <v>891</v>
      </c>
      <c r="AA115" s="626" t="s">
        <v>232</v>
      </c>
    </row>
    <row r="116" spans="26:27">
      <c r="AA116" s="643" t="s">
        <v>552</v>
      </c>
    </row>
    <row r="117" spans="26:27">
      <c r="AA117" s="642" t="s">
        <v>263</v>
      </c>
    </row>
    <row r="118" spans="26:27">
      <c r="Z118" s="628" t="s">
        <v>892</v>
      </c>
      <c r="AA118" s="626" t="s">
        <v>233</v>
      </c>
    </row>
    <row r="119" spans="26:27">
      <c r="AA119" s="643"/>
    </row>
    <row r="120" spans="26:27">
      <c r="AA120" s="626" t="s">
        <v>234</v>
      </c>
    </row>
    <row r="121" spans="26:27">
      <c r="AA121" s="626">
        <f>G57</f>
        <v>0</v>
      </c>
    </row>
    <row r="122" spans="26:27">
      <c r="AA122" s="644" t="s">
        <v>172</v>
      </c>
    </row>
    <row r="123" spans="26:27">
      <c r="AA123" s="642" t="s">
        <v>201</v>
      </c>
    </row>
    <row r="125" spans="26:27">
      <c r="AA125" s="723" t="str">
        <f>G60</f>
        <v>所有者权益合计(剔除未处理资产损失后的金额)</v>
      </c>
    </row>
    <row r="128" spans="26:27">
      <c r="AA128" s="644" t="s">
        <v>173</v>
      </c>
    </row>
    <row r="130" spans="26:27">
      <c r="Z130" s="628" t="s">
        <v>870</v>
      </c>
      <c r="AA130" s="645" t="s">
        <v>174</v>
      </c>
    </row>
    <row r="131" spans="26:27">
      <c r="AA131" s="642"/>
    </row>
    <row r="132" spans="26:27">
      <c r="AA132" s="643"/>
    </row>
    <row r="133" spans="26:27">
      <c r="AA133" s="642"/>
    </row>
    <row r="134" spans="26:27">
      <c r="AA134" s="646" t="s">
        <v>60</v>
      </c>
    </row>
    <row r="135" spans="26:27">
      <c r="Z135" s="628" t="s">
        <v>878</v>
      </c>
      <c r="AA135" s="642" t="s">
        <v>207</v>
      </c>
    </row>
    <row r="136" spans="26:27">
      <c r="AA136" s="642"/>
    </row>
    <row r="137" spans="26:27">
      <c r="AA137" s="642"/>
    </row>
    <row r="138" spans="26:27">
      <c r="Z138" s="628" t="s">
        <v>918</v>
      </c>
      <c r="AA138" s="642" t="s">
        <v>175</v>
      </c>
    </row>
    <row r="139" spans="26:27">
      <c r="AA139" s="642" t="s">
        <v>176</v>
      </c>
    </row>
    <row r="140" spans="26:27">
      <c r="AA140" s="642"/>
    </row>
    <row r="141" spans="26:27">
      <c r="AA141" s="642"/>
    </row>
    <row r="142" spans="26:27">
      <c r="AA142" s="642" t="s">
        <v>553</v>
      </c>
    </row>
    <row r="143" spans="26:27">
      <c r="AA143" s="642" t="s">
        <v>177</v>
      </c>
    </row>
    <row r="144" spans="26:27">
      <c r="AA144" s="642"/>
    </row>
    <row r="145" spans="26:27">
      <c r="AA145" s="646" t="s">
        <v>67</v>
      </c>
    </row>
    <row r="146" spans="26:27">
      <c r="Z146" s="628" t="s">
        <v>871</v>
      </c>
      <c r="AA146" s="642" t="s">
        <v>178</v>
      </c>
    </row>
    <row r="147" spans="26:27">
      <c r="Z147" s="628" t="s">
        <v>920</v>
      </c>
      <c r="AA147" s="642" t="s">
        <v>179</v>
      </c>
    </row>
    <row r="148" spans="26:27">
      <c r="Z148" s="628" t="s">
        <v>921</v>
      </c>
      <c r="AA148" s="642" t="s">
        <v>180</v>
      </c>
    </row>
    <row r="149" spans="26:27">
      <c r="AA149" s="642"/>
    </row>
    <row r="150" spans="26:27">
      <c r="Z150" s="628" t="s">
        <v>894</v>
      </c>
      <c r="AA150" s="642" t="s">
        <v>181</v>
      </c>
    </row>
    <row r="151" spans="26:27">
      <c r="AA151" s="642"/>
    </row>
    <row r="152" spans="26:27">
      <c r="AA152" s="643"/>
    </row>
    <row r="153" spans="26:27">
      <c r="AA153" s="643"/>
    </row>
    <row r="154" spans="26:27">
      <c r="AA154" s="642"/>
    </row>
    <row r="155" spans="26:27">
      <c r="AA155" s="642"/>
    </row>
    <row r="156" spans="26:27">
      <c r="AA156" s="646" t="s">
        <v>68</v>
      </c>
    </row>
    <row r="157" spans="26:27">
      <c r="Z157" s="628" t="s">
        <v>893</v>
      </c>
      <c r="AA157" s="642" t="s">
        <v>182</v>
      </c>
    </row>
    <row r="158" spans="26:27">
      <c r="AA158" s="642" t="s">
        <v>183</v>
      </c>
    </row>
    <row r="159" spans="26:27">
      <c r="AA159" s="642"/>
    </row>
    <row r="160" spans="26:27">
      <c r="Z160" s="628" t="s">
        <v>919</v>
      </c>
      <c r="AA160" s="642" t="s">
        <v>184</v>
      </c>
    </row>
    <row r="161" spans="26:27">
      <c r="AA161" s="642"/>
    </row>
    <row r="162" spans="26:27">
      <c r="AA162" s="642"/>
    </row>
    <row r="163" spans="26:27">
      <c r="Z163" s="628" t="s">
        <v>922</v>
      </c>
      <c r="AA163" s="642" t="s">
        <v>554</v>
      </c>
    </row>
    <row r="164" spans="26:27">
      <c r="AA164" s="642"/>
    </row>
    <row r="165" spans="26:27">
      <c r="AA165" s="643"/>
    </row>
    <row r="166" spans="26:27">
      <c r="AA166" s="643"/>
    </row>
    <row r="167" spans="26:27">
      <c r="AA167" s="643"/>
    </row>
    <row r="168" spans="26:27">
      <c r="AA168" s="642"/>
    </row>
    <row r="169" spans="26:27">
      <c r="AA169" s="642"/>
    </row>
    <row r="170" spans="26:27">
      <c r="AA170" s="642"/>
    </row>
    <row r="172" spans="26:27">
      <c r="Z172" s="628" t="s">
        <v>923</v>
      </c>
      <c r="AA172" s="642" t="s">
        <v>185</v>
      </c>
    </row>
    <row r="174" spans="26:27">
      <c r="AA174" s="643"/>
    </row>
    <row r="175" spans="26:27">
      <c r="AA175" s="643"/>
    </row>
    <row r="176" spans="26:27">
      <c r="AA176" s="643"/>
    </row>
    <row r="178" spans="26:27">
      <c r="AA178" s="642"/>
    </row>
    <row r="179" spans="26:27">
      <c r="AA179" s="642"/>
    </row>
    <row r="181" spans="26:27">
      <c r="AA181" s="642"/>
    </row>
    <row r="182" spans="26:27">
      <c r="AA182" s="646" t="s">
        <v>81</v>
      </c>
    </row>
    <row r="183" spans="26:27">
      <c r="Z183" s="628" t="s">
        <v>924</v>
      </c>
      <c r="AA183" s="642" t="s">
        <v>186</v>
      </c>
    </row>
    <row r="184" spans="26:27">
      <c r="AA184" s="642" t="s">
        <v>262</v>
      </c>
    </row>
    <row r="185" spans="26:27">
      <c r="AA185" s="642" t="s">
        <v>263</v>
      </c>
    </row>
    <row r="186" spans="26:27">
      <c r="AA186" s="646" t="s">
        <v>84</v>
      </c>
    </row>
    <row r="187" spans="26:27">
      <c r="AA187" s="642" t="s">
        <v>187</v>
      </c>
    </row>
    <row r="188" spans="26:27">
      <c r="AA188" s="642" t="s">
        <v>188</v>
      </c>
    </row>
    <row r="189" spans="26:27">
      <c r="AA189" s="642" t="s">
        <v>189</v>
      </c>
    </row>
    <row r="190" spans="26:27">
      <c r="AA190" s="646" t="s">
        <v>86</v>
      </c>
    </row>
    <row r="191" spans="26:27">
      <c r="AA191" s="642" t="s">
        <v>190</v>
      </c>
    </row>
    <row r="192" spans="26:27">
      <c r="AA192" s="642" t="s">
        <v>191</v>
      </c>
    </row>
    <row r="193" spans="27:27">
      <c r="AA193" s="642" t="s">
        <v>192</v>
      </c>
    </row>
    <row r="194" spans="27:27">
      <c r="AA194" s="642" t="s">
        <v>193</v>
      </c>
    </row>
    <row r="195" spans="27:27">
      <c r="AA195" s="642" t="s">
        <v>236</v>
      </c>
    </row>
    <row r="196" spans="27:27">
      <c r="AA196" s="642" t="s">
        <v>237</v>
      </c>
    </row>
    <row r="197" spans="27:27">
      <c r="AA197" s="642" t="s">
        <v>194</v>
      </c>
    </row>
    <row r="198" spans="27:27">
      <c r="AA198" s="642" t="s">
        <v>195</v>
      </c>
    </row>
    <row r="199" spans="27:27">
      <c r="AA199" s="642"/>
    </row>
    <row r="200" spans="27:27">
      <c r="AA200" s="646" t="s">
        <v>96</v>
      </c>
    </row>
    <row r="201" spans="27:27">
      <c r="AA201" s="642" t="s">
        <v>196</v>
      </c>
    </row>
    <row r="202" spans="27:27">
      <c r="AA202" s="642" t="s">
        <v>197</v>
      </c>
    </row>
    <row r="203" spans="27:27">
      <c r="AA203" s="642" t="s">
        <v>198</v>
      </c>
    </row>
    <row r="204" spans="27:27">
      <c r="AA204" s="642" t="s">
        <v>199</v>
      </c>
    </row>
    <row r="205" spans="27:27">
      <c r="AA205" s="642"/>
    </row>
    <row r="206" spans="27:27">
      <c r="AA206" s="645" t="s">
        <v>200</v>
      </c>
    </row>
    <row r="207" spans="27:27">
      <c r="AA207" s="642"/>
    </row>
  </sheetData>
  <sheetProtection insertRows="0" autoFilter="0" pivotTables="0"/>
  <customSheetViews>
    <customSheetView guid="{9A8CA204-20A8-11D5-8CC7-F77182B33125}" showPageBreaks="1" zeroValues="0" printArea="1" view="pageBreakPreview" showRuler="0">
      <pane ySplit="3" topLeftCell="A4" activePane="bottomLeft" state="frozenSplit"/>
      <selection pane="bottomLeft" activeCell="B5" sqref="B5"/>
      <pageMargins left="0.25" right="0.55000000000000004" top="1.1299999999999999" bottom="0.5" header="0.65" footer="0.25"/>
      <printOptions horizontalCentered="1"/>
      <pageSetup paperSize="9" orientation="landscape" r:id="rId1"/>
      <headerFooter alignWithMargins="0"/>
    </customSheetView>
  </customSheetViews>
  <mergeCells count="13">
    <mergeCell ref="P3:P54"/>
    <mergeCell ref="Q1:W1"/>
    <mergeCell ref="U3:W3"/>
    <mergeCell ref="U4:W4"/>
    <mergeCell ref="Q3:S3"/>
    <mergeCell ref="T3:T54"/>
    <mergeCell ref="K3:K54"/>
    <mergeCell ref="A3:A54"/>
    <mergeCell ref="A1:N1"/>
    <mergeCell ref="F3:F54"/>
    <mergeCell ref="B3:E3"/>
    <mergeCell ref="G3:J3"/>
    <mergeCell ref="L3:O3"/>
  </mergeCells>
  <phoneticPr fontId="3" type="noConversion"/>
  <dataValidations count="3">
    <dataValidation allowBlank="1" showInputMessage="1" showErrorMessage="1" prompt="本栏已设定为加项" sqref="G56:G57 B60 G6:G24 G27:G31 B31:B32 L53:L55 L34:L40 D14 B56 B6:B17 B20:B25 L15:L17 L19 L30:L32 L51 B41:B45 B48 B50 B53:B54 G33:G34 G40 G54 G50:G51"/>
    <dataValidation allowBlank="1" showInputMessage="1" showErrorMessage="1" prompt="本栏未计入合计数" sqref="G55 L22:L23 B55 L25:L27 L6:L7 B18:B19 B49 B51:B52 G32 G43:G49 G52"/>
    <dataValidation allowBlank="1" showInputMessage="1" showErrorMessage="1" prompt="本栏已设定为减项" sqref="G59 L24 L20:L21 L28 L67:L71 L41 L46 L49:L50 L10 L8 L12:L14 L57:L65"/>
  </dataValidations>
  <printOptions horizontalCentered="1"/>
  <pageMargins left="0.25" right="0.55000000000000004" top="0.74" bottom="0.5" header="0.65" footer="0.25"/>
  <pageSetup paperSize="9" orientation="landscape" blackAndWhite="1" r:id="rId2"/>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66"/>
  <sheetViews>
    <sheetView showZeros="0" zoomScaleNormal="100" workbookViewId="0">
      <pane xSplit="2" ySplit="5" topLeftCell="C6" activePane="bottomRight" state="frozen"/>
      <selection activeCell="D21" sqref="D21"/>
      <selection pane="topRight" activeCell="D21" sqref="D21"/>
      <selection pane="bottomLeft" activeCell="D21" sqref="D21"/>
      <selection pane="bottomRight" activeCell="A2" sqref="A2:H2"/>
    </sheetView>
  </sheetViews>
  <sheetFormatPr defaultRowHeight="14.25"/>
  <cols>
    <col min="1" max="1" width="23.125" style="34" customWidth="1"/>
    <col min="2" max="2" width="2.625" style="34" customWidth="1"/>
    <col min="3" max="3" width="11.625" style="22" customWidth="1"/>
    <col min="4" max="4" width="11.875" style="22" customWidth="1"/>
    <col min="5" max="5" width="18.375" style="34" customWidth="1"/>
    <col min="6" max="6" width="3.125" style="34" customWidth="1"/>
    <col min="7" max="7" width="12.125" style="22" customWidth="1"/>
    <col min="8" max="8" width="11.75" style="22" customWidth="1"/>
    <col min="9" max="9" width="9" style="22"/>
    <col min="10" max="10" width="15" style="22" bestFit="1" customWidth="1"/>
    <col min="11" max="16384" width="9" style="22"/>
  </cols>
  <sheetData>
    <row r="1" spans="1:8" s="756" customFormat="1" ht="9.75" customHeight="1">
      <c r="A1" s="755" t="str">
        <f>IF(ABS(G55-未审PL!C73)&lt;0.005,"","年初未分配利润勾稽有误！")</f>
        <v/>
      </c>
      <c r="B1" s="755"/>
      <c r="C1" s="755" t="str">
        <f>IF(ABS(H55-未审PL!D73)&lt;0.005,"","年末未分配利润勾稽有误！")</f>
        <v/>
      </c>
      <c r="D1" s="755"/>
      <c r="E1" s="755"/>
      <c r="F1" s="903" t="s">
        <v>218</v>
      </c>
      <c r="G1" s="903"/>
      <c r="H1" s="755" t="s">
        <v>559</v>
      </c>
    </row>
    <row r="2" spans="1:8" ht="18.75">
      <c r="A2" s="907" t="s">
        <v>16</v>
      </c>
      <c r="B2" s="907"/>
      <c r="C2" s="907"/>
      <c r="D2" s="907"/>
      <c r="E2" s="907"/>
      <c r="F2" s="907"/>
      <c r="G2" s="907"/>
      <c r="H2" s="907"/>
    </row>
    <row r="3" spans="1:8" s="757" customFormat="1" ht="12.75">
      <c r="A3" s="909">
        <f>IF(ABS(C62-G62)&lt;0.005,0,"年初数不平，差额为：")</f>
        <v>0</v>
      </c>
      <c r="B3" s="909"/>
      <c r="C3" s="910">
        <f>IF(ABS(C62-G62)&lt;0.005,0,C62-G62)</f>
        <v>0</v>
      </c>
      <c r="D3" s="910"/>
      <c r="E3" s="909">
        <f>IF(ABS(D62-H62)&lt;0.005,0,"年末数不平，差额为：")</f>
        <v>0</v>
      </c>
      <c r="F3" s="909"/>
      <c r="G3" s="910" t="str">
        <f>IF(ABS(D62-H62)&lt;0.005,"                    财企01表",D62-H62)</f>
        <v xml:space="preserve">                    财企01表</v>
      </c>
      <c r="H3" s="910"/>
    </row>
    <row r="4" spans="1:8" s="34" customFormat="1" ht="15.75" customHeight="1">
      <c r="A4" s="904" t="str">
        <f>IF(报表格式!G41="","            对不起，请到参数表中确定报表类型！",CONCATENATE(" 编制单位：",参数!D3))</f>
        <v xml:space="preserve"> 编制单位：</v>
      </c>
      <c r="B4" s="904"/>
      <c r="C4" s="904"/>
      <c r="D4" s="905">
        <f>参数!$D$12</f>
        <v>39447</v>
      </c>
      <c r="E4" s="905"/>
      <c r="F4" s="268"/>
      <c r="G4" s="908" t="str">
        <f>CONCATENATE("金额单位：",参数!$D$13)</f>
        <v>金额单位：人民币元</v>
      </c>
      <c r="H4" s="908"/>
    </row>
    <row r="5" spans="1:8" ht="14.25" customHeight="1">
      <c r="A5" s="242" t="s">
        <v>437</v>
      </c>
      <c r="B5" s="243" t="s">
        <v>366</v>
      </c>
      <c r="C5" s="460">
        <f>参数!D11</f>
        <v>39082</v>
      </c>
      <c r="D5" s="460">
        <f>参数!D12</f>
        <v>39447</v>
      </c>
      <c r="E5" s="461" t="str">
        <f>IF(参数!D8="一般企业（执行统一会计制度）","负债及所有者权益","负债及股东权益")</f>
        <v>负债及所有者权益</v>
      </c>
      <c r="F5" s="244" t="s">
        <v>366</v>
      </c>
      <c r="G5" s="460">
        <f>C5</f>
        <v>39082</v>
      </c>
      <c r="H5" s="460">
        <f>D5</f>
        <v>39447</v>
      </c>
    </row>
    <row r="6" spans="1:8" ht="13.9" customHeight="1">
      <c r="A6" s="245" t="str">
        <f>报表格式!B5</f>
        <v>流动资产：</v>
      </c>
      <c r="B6" s="246">
        <v>1</v>
      </c>
      <c r="C6" s="247"/>
      <c r="D6" s="247"/>
      <c r="E6" s="248" t="str">
        <f>报表格式!G5</f>
        <v>流动负债：</v>
      </c>
      <c r="F6" s="243">
        <f>B62+1</f>
        <v>58</v>
      </c>
      <c r="G6" s="249"/>
      <c r="H6" s="249"/>
    </row>
    <row r="7" spans="1:8" ht="13.9" customHeight="1">
      <c r="A7" s="250" t="str">
        <f>报表格式!B6</f>
        <v>货币资金</v>
      </c>
      <c r="B7" s="246">
        <v>2</v>
      </c>
      <c r="C7" s="432"/>
      <c r="D7" s="432"/>
      <c r="E7" s="251" t="str">
        <f>报表格式!G6</f>
        <v>短期借款</v>
      </c>
      <c r="F7" s="243">
        <f>F6+1</f>
        <v>59</v>
      </c>
      <c r="G7" s="432"/>
      <c r="H7" s="432"/>
    </row>
    <row r="8" spans="1:8" ht="13.9" customHeight="1">
      <c r="A8" s="250" t="str">
        <f>报表格式!B7</f>
        <v>短期投资</v>
      </c>
      <c r="B8" s="246">
        <v>3</v>
      </c>
      <c r="C8" s="432"/>
      <c r="D8" s="432"/>
      <c r="E8" s="251" t="str">
        <f>报表格式!G7</f>
        <v>应付票据</v>
      </c>
      <c r="F8" s="243">
        <f t="shared" ref="F8:F62" si="0">F7+1</f>
        <v>60</v>
      </c>
      <c r="G8" s="432"/>
      <c r="H8" s="432"/>
    </row>
    <row r="9" spans="1:8" ht="13.9" customHeight="1">
      <c r="A9" s="250" t="str">
        <f>报表格式!B8</f>
        <v>应收票据</v>
      </c>
      <c r="B9" s="246">
        <v>4</v>
      </c>
      <c r="C9" s="432"/>
      <c r="D9" s="432"/>
      <c r="E9" s="251" t="str">
        <f>报表格式!G8</f>
        <v>应付账款</v>
      </c>
      <c r="F9" s="243">
        <f t="shared" si="0"/>
        <v>61</v>
      </c>
      <c r="G9" s="432"/>
      <c r="H9" s="432"/>
    </row>
    <row r="10" spans="1:8" ht="13.9" customHeight="1">
      <c r="A10" s="250" t="str">
        <f>报表格式!B9</f>
        <v>应收股利</v>
      </c>
      <c r="B10" s="246">
        <v>5</v>
      </c>
      <c r="C10" s="432"/>
      <c r="D10" s="432"/>
      <c r="E10" s="251" t="str">
        <f>报表格式!G9</f>
        <v>预收账款</v>
      </c>
      <c r="F10" s="243">
        <f t="shared" si="0"/>
        <v>62</v>
      </c>
      <c r="G10" s="432"/>
      <c r="H10" s="432"/>
    </row>
    <row r="11" spans="1:8" ht="13.9" customHeight="1">
      <c r="A11" s="250" t="str">
        <f>报表格式!B10</f>
        <v>应收利息</v>
      </c>
      <c r="B11" s="246">
        <v>6</v>
      </c>
      <c r="C11" s="432"/>
      <c r="D11" s="432"/>
      <c r="E11" s="251" t="str">
        <f>报表格式!G10</f>
        <v>应付工资</v>
      </c>
      <c r="F11" s="243">
        <f t="shared" si="0"/>
        <v>63</v>
      </c>
      <c r="G11" s="432"/>
      <c r="H11" s="432"/>
    </row>
    <row r="12" spans="1:8" ht="13.9" customHeight="1">
      <c r="A12" s="250" t="str">
        <f>报表格式!B11</f>
        <v>应收账款</v>
      </c>
      <c r="B12" s="246">
        <v>7</v>
      </c>
      <c r="C12" s="432"/>
      <c r="D12" s="432"/>
      <c r="E12" s="251" t="str">
        <f>报表格式!G11</f>
        <v>应付福利费</v>
      </c>
      <c r="F12" s="243">
        <f t="shared" si="0"/>
        <v>64</v>
      </c>
      <c r="G12" s="432"/>
      <c r="H12" s="432"/>
    </row>
    <row r="13" spans="1:8" ht="13.9" customHeight="1">
      <c r="A13" s="250" t="str">
        <f>报表格式!B12</f>
        <v>其他应收款</v>
      </c>
      <c r="B13" s="246">
        <v>8</v>
      </c>
      <c r="C13" s="432"/>
      <c r="D13" s="432"/>
      <c r="E13" s="251" t="str">
        <f>报表格式!G12</f>
        <v>应付股利（利润）</v>
      </c>
      <c r="F13" s="243">
        <f t="shared" si="0"/>
        <v>65</v>
      </c>
      <c r="G13" s="432"/>
      <c r="H13" s="432"/>
    </row>
    <row r="14" spans="1:8" ht="13.9" customHeight="1">
      <c r="A14" s="250" t="str">
        <f>报表格式!B13</f>
        <v>预付账款</v>
      </c>
      <c r="B14" s="246">
        <v>9</v>
      </c>
      <c r="C14" s="432"/>
      <c r="D14" s="432"/>
      <c r="E14" s="251" t="str">
        <f>报表格式!G13</f>
        <v>应付利息</v>
      </c>
      <c r="F14" s="243">
        <f t="shared" si="0"/>
        <v>66</v>
      </c>
      <c r="G14" s="432"/>
      <c r="H14" s="432"/>
    </row>
    <row r="15" spans="1:8" ht="13.9" customHeight="1">
      <c r="A15" s="250" t="str">
        <f>报表格式!B14</f>
        <v>期货保证金</v>
      </c>
      <c r="B15" s="246">
        <v>10</v>
      </c>
      <c r="C15" s="432"/>
      <c r="D15" s="432"/>
      <c r="E15" s="251" t="str">
        <f>报表格式!G14</f>
        <v>应交税金</v>
      </c>
      <c r="F15" s="243">
        <f t="shared" si="0"/>
        <v>67</v>
      </c>
      <c r="G15" s="432"/>
      <c r="H15" s="432"/>
    </row>
    <row r="16" spans="1:8" ht="13.9" customHeight="1">
      <c r="A16" s="250" t="str">
        <f>报表格式!B15</f>
        <v>应收补贴款</v>
      </c>
      <c r="B16" s="246">
        <v>11</v>
      </c>
      <c r="C16" s="432"/>
      <c r="D16" s="432"/>
      <c r="E16" s="251" t="str">
        <f>报表格式!G15</f>
        <v>其他应交款</v>
      </c>
      <c r="F16" s="243">
        <f t="shared" si="0"/>
        <v>68</v>
      </c>
      <c r="G16" s="432"/>
      <c r="H16" s="432"/>
    </row>
    <row r="17" spans="1:10" ht="13.9" customHeight="1">
      <c r="A17" s="250" t="str">
        <f>报表格式!B16</f>
        <v>应收出口退税</v>
      </c>
      <c r="B17" s="246">
        <v>12</v>
      </c>
      <c r="C17" s="432"/>
      <c r="D17" s="432"/>
      <c r="E17" s="251" t="str">
        <f>报表格式!G16</f>
        <v>其他应付款</v>
      </c>
      <c r="F17" s="243">
        <f t="shared" si="0"/>
        <v>69</v>
      </c>
      <c r="G17" s="432"/>
      <c r="H17" s="432"/>
      <c r="J17" s="35"/>
    </row>
    <row r="18" spans="1:10" ht="13.9" customHeight="1">
      <c r="A18" s="250" t="str">
        <f>报表格式!B17</f>
        <v>存货</v>
      </c>
      <c r="B18" s="246">
        <v>13</v>
      </c>
      <c r="C18" s="432"/>
      <c r="D18" s="432"/>
      <c r="E18" s="251" t="str">
        <f>报表格式!G17</f>
        <v>预提费用</v>
      </c>
      <c r="F18" s="243">
        <f t="shared" si="0"/>
        <v>70</v>
      </c>
      <c r="G18" s="432"/>
      <c r="H18" s="432"/>
    </row>
    <row r="19" spans="1:10" ht="13.9" customHeight="1">
      <c r="A19" s="250" t="str">
        <f>报表格式!B18</f>
        <v xml:space="preserve">  其中：原材料</v>
      </c>
      <c r="B19" s="246">
        <v>14</v>
      </c>
      <c r="C19" s="432"/>
      <c r="D19" s="432"/>
      <c r="E19" s="251" t="str">
        <f>报表格式!G18</f>
        <v>预计负债</v>
      </c>
      <c r="F19" s="243">
        <f t="shared" si="0"/>
        <v>71</v>
      </c>
      <c r="G19" s="432"/>
      <c r="H19" s="432"/>
    </row>
    <row r="20" spans="1:10" ht="13.9" customHeight="1">
      <c r="A20" s="250" t="str">
        <f>报表格式!B19</f>
        <v xml:space="preserve">        库存商品（产成品）</v>
      </c>
      <c r="B20" s="246">
        <v>15</v>
      </c>
      <c r="C20" s="432"/>
      <c r="D20" s="432"/>
      <c r="E20" s="251" t="str">
        <f>报表格式!G19</f>
        <v>递延收益</v>
      </c>
      <c r="F20" s="243">
        <f t="shared" si="0"/>
        <v>72</v>
      </c>
      <c r="G20" s="432"/>
      <c r="H20" s="432"/>
    </row>
    <row r="21" spans="1:10" ht="13.9" customHeight="1">
      <c r="A21" s="250" t="str">
        <f>报表格式!B20</f>
        <v>待摊费用</v>
      </c>
      <c r="B21" s="246">
        <v>16</v>
      </c>
      <c r="C21" s="432"/>
      <c r="D21" s="432"/>
      <c r="E21" s="251" t="str">
        <f>报表格式!G20</f>
        <v>一年内到期的长期负债</v>
      </c>
      <c r="F21" s="243">
        <f t="shared" si="0"/>
        <v>73</v>
      </c>
      <c r="G21" s="432"/>
      <c r="H21" s="432"/>
    </row>
    <row r="22" spans="1:10" ht="13.9" customHeight="1">
      <c r="A22" s="250" t="str">
        <f>报表格式!B21</f>
        <v>待处理流动资产净损失</v>
      </c>
      <c r="B22" s="246">
        <v>17</v>
      </c>
      <c r="C22" s="432"/>
      <c r="D22" s="432"/>
      <c r="E22" s="251" t="str">
        <f>报表格式!G21</f>
        <v>应付权证</v>
      </c>
      <c r="F22" s="243">
        <f t="shared" si="0"/>
        <v>74</v>
      </c>
      <c r="G22" s="432"/>
      <c r="H22" s="432"/>
    </row>
    <row r="23" spans="1:10" ht="13.9" customHeight="1">
      <c r="A23" s="250" t="str">
        <f>报表格式!B22</f>
        <v>一年内到期的长期债权投资</v>
      </c>
      <c r="B23" s="246">
        <v>18</v>
      </c>
      <c r="C23" s="432"/>
      <c r="D23" s="432"/>
      <c r="E23" s="251" t="str">
        <f>报表格式!G22</f>
        <v>其他流动负债</v>
      </c>
      <c r="F23" s="243">
        <f t="shared" si="0"/>
        <v>75</v>
      </c>
      <c r="G23" s="432"/>
      <c r="H23" s="432"/>
    </row>
    <row r="24" spans="1:10" ht="13.9" customHeight="1">
      <c r="A24" s="250" t="str">
        <f>报表格式!B23</f>
        <v>其他流动资产</v>
      </c>
      <c r="B24" s="246">
        <v>19</v>
      </c>
      <c r="C24" s="432"/>
      <c r="D24" s="432"/>
      <c r="E24" s="251">
        <f>报表格式!G23</f>
        <v>0</v>
      </c>
      <c r="F24" s="243">
        <f t="shared" si="0"/>
        <v>76</v>
      </c>
      <c r="G24" s="432"/>
      <c r="H24" s="432"/>
    </row>
    <row r="25" spans="1:10" ht="13.9" customHeight="1">
      <c r="A25" s="454">
        <f>报表格式!B24</f>
        <v>0</v>
      </c>
      <c r="B25" s="246">
        <v>20</v>
      </c>
      <c r="C25" s="432"/>
      <c r="D25" s="432"/>
      <c r="E25" s="251">
        <f>报表格式!G24</f>
        <v>0</v>
      </c>
      <c r="F25" s="243">
        <f t="shared" si="0"/>
        <v>77</v>
      </c>
      <c r="G25" s="432"/>
      <c r="H25" s="432"/>
    </row>
    <row r="26" spans="1:10" ht="13.9" customHeight="1">
      <c r="A26" s="454">
        <f>报表格式!B25</f>
        <v>0</v>
      </c>
      <c r="B26" s="246">
        <v>21</v>
      </c>
      <c r="C26" s="432"/>
      <c r="D26" s="432"/>
      <c r="E26" s="252" t="str">
        <f>报表格式!G25</f>
        <v>流动负债合计</v>
      </c>
      <c r="F26" s="243">
        <f t="shared" si="0"/>
        <v>78</v>
      </c>
      <c r="G26" s="435">
        <f>SUM(G7:G25)</f>
        <v>0</v>
      </c>
      <c r="H26" s="435">
        <f>SUM(H7:H25)</f>
        <v>0</v>
      </c>
    </row>
    <row r="27" spans="1:10" ht="13.9" customHeight="1">
      <c r="A27" s="252" t="str">
        <f>报表格式!B26</f>
        <v>流动资产合计</v>
      </c>
      <c r="B27" s="246">
        <v>22</v>
      </c>
      <c r="C27" s="435">
        <f>SUM(C7:C26)-C19-C20</f>
        <v>0</v>
      </c>
      <c r="D27" s="435">
        <f>SUM(D7:D26)-D19-D20</f>
        <v>0</v>
      </c>
      <c r="E27" s="253" t="str">
        <f>报表格式!G26</f>
        <v>长期负债：</v>
      </c>
      <c r="F27" s="243">
        <f t="shared" si="0"/>
        <v>79</v>
      </c>
      <c r="G27" s="431"/>
      <c r="H27" s="431"/>
    </row>
    <row r="28" spans="1:10" ht="13.9" customHeight="1">
      <c r="A28" s="250" t="str">
        <f>报表格式!B27</f>
        <v>长期投资</v>
      </c>
      <c r="B28" s="246">
        <v>23</v>
      </c>
      <c r="C28" s="431">
        <f>SUM(C29:C30)</f>
        <v>0</v>
      </c>
      <c r="D28" s="431">
        <f>SUM(D29:D30)</f>
        <v>0</v>
      </c>
      <c r="E28" s="251" t="str">
        <f>报表格式!G27</f>
        <v>长期借款</v>
      </c>
      <c r="F28" s="243">
        <f>F27+1</f>
        <v>80</v>
      </c>
      <c r="G28" s="432"/>
      <c r="H28" s="432"/>
    </row>
    <row r="29" spans="1:10" ht="13.9" customHeight="1">
      <c r="A29" s="250" t="str">
        <f>报表格式!B28</f>
        <v xml:space="preserve">  其中：长期股权投资</v>
      </c>
      <c r="B29" s="246">
        <v>24</v>
      </c>
      <c r="C29" s="432"/>
      <c r="D29" s="432"/>
      <c r="E29" s="251" t="str">
        <f>报表格式!G28</f>
        <v>应付债券</v>
      </c>
      <c r="F29" s="243">
        <f t="shared" si="0"/>
        <v>81</v>
      </c>
      <c r="G29" s="432"/>
      <c r="H29" s="432"/>
    </row>
    <row r="30" spans="1:10" ht="13.9" customHeight="1">
      <c r="A30" s="250" t="str">
        <f>报表格式!B29</f>
        <v xml:space="preserve">       长期债权投资</v>
      </c>
      <c r="B30" s="246">
        <v>25</v>
      </c>
      <c r="C30" s="432"/>
      <c r="D30" s="432"/>
      <c r="E30" s="251" t="str">
        <f>报表格式!G29</f>
        <v>长期应付款</v>
      </c>
      <c r="F30" s="243">
        <f t="shared" si="0"/>
        <v>82</v>
      </c>
      <c r="G30" s="432"/>
      <c r="H30" s="432"/>
    </row>
    <row r="31" spans="1:10" ht="13.9" customHeight="1">
      <c r="A31" s="250" t="str">
        <f>报表格式!B30</f>
        <v>*合并价差</v>
      </c>
      <c r="B31" s="246">
        <v>26</v>
      </c>
      <c r="C31" s="432"/>
      <c r="D31" s="432"/>
      <c r="E31" s="251" t="str">
        <f>报表格式!G30</f>
        <v>专项应付款</v>
      </c>
      <c r="F31" s="243">
        <f t="shared" si="0"/>
        <v>83</v>
      </c>
      <c r="G31" s="432"/>
      <c r="H31" s="432"/>
    </row>
    <row r="32" spans="1:10" ht="13.9" customHeight="1">
      <c r="A32" s="250">
        <f>报表格式!B31</f>
        <v>0</v>
      </c>
      <c r="B32" s="246">
        <v>27</v>
      </c>
      <c r="C32" s="432"/>
      <c r="D32" s="432"/>
      <c r="E32" s="251" t="str">
        <f>报表格式!G31</f>
        <v>其他长期负债</v>
      </c>
      <c r="F32" s="243">
        <f t="shared" si="0"/>
        <v>84</v>
      </c>
      <c r="G32" s="432"/>
      <c r="H32" s="432"/>
    </row>
    <row r="33" spans="1:8" ht="13.9" customHeight="1">
      <c r="A33" s="250">
        <f>报表格式!B32</f>
        <v>0</v>
      </c>
      <c r="B33" s="246">
        <v>28</v>
      </c>
      <c r="C33" s="432"/>
      <c r="D33" s="432"/>
      <c r="E33" s="251" t="str">
        <f>报表格式!G32</f>
        <v xml:space="preserve">  其中：特准储备资金</v>
      </c>
      <c r="F33" s="243">
        <f t="shared" si="0"/>
        <v>85</v>
      </c>
      <c r="G33" s="432"/>
      <c r="H33" s="432"/>
    </row>
    <row r="34" spans="1:8" ht="13.9" customHeight="1">
      <c r="A34" s="254" t="str">
        <f>报表格式!B33</f>
        <v>长期投资合计</v>
      </c>
      <c r="B34" s="246">
        <v>29</v>
      </c>
      <c r="C34" s="662">
        <f>SUM(C28,C31:C33)</f>
        <v>0</v>
      </c>
      <c r="D34" s="662">
        <f>SUM(D28,D31:D33)</f>
        <v>0</v>
      </c>
      <c r="E34" s="251">
        <f>报表格式!G33</f>
        <v>0</v>
      </c>
      <c r="F34" s="243">
        <f t="shared" si="0"/>
        <v>86</v>
      </c>
      <c r="G34" s="432"/>
      <c r="H34" s="432"/>
    </row>
    <row r="35" spans="1:8" ht="13.9" customHeight="1">
      <c r="A35" s="245" t="str">
        <f>报表格式!B34</f>
        <v>固定资产：</v>
      </c>
      <c r="B35" s="246">
        <v>30</v>
      </c>
      <c r="C35" s="433"/>
      <c r="D35" s="433"/>
      <c r="E35" s="251">
        <f>报表格式!G34</f>
        <v>0</v>
      </c>
      <c r="F35" s="243">
        <f t="shared" si="0"/>
        <v>87</v>
      </c>
      <c r="G35" s="432"/>
      <c r="H35" s="432"/>
    </row>
    <row r="36" spans="1:8" ht="13.9" customHeight="1">
      <c r="A36" s="250" t="str">
        <f>报表格式!B35</f>
        <v>固定资产原价</v>
      </c>
      <c r="B36" s="246">
        <v>31</v>
      </c>
      <c r="C36" s="432"/>
      <c r="D36" s="432"/>
      <c r="E36" s="252" t="str">
        <f>报表格式!G35</f>
        <v>长期负债合计</v>
      </c>
      <c r="F36" s="243">
        <f t="shared" si="0"/>
        <v>88</v>
      </c>
      <c r="G36" s="435">
        <f>SUM(G28:G32,G34:G35)</f>
        <v>0</v>
      </c>
      <c r="H36" s="435">
        <f>SUM(H28:H32,H34:H35)</f>
        <v>0</v>
      </c>
    </row>
    <row r="37" spans="1:8" ht="13.9" customHeight="1">
      <c r="A37" s="250" t="str">
        <f>报表格式!B36</f>
        <v xml:space="preserve">  减：累计折旧</v>
      </c>
      <c r="B37" s="246">
        <v>32</v>
      </c>
      <c r="C37" s="432"/>
      <c r="D37" s="432"/>
      <c r="E37" s="253" t="str">
        <f>报表格式!G36</f>
        <v>递延税项：</v>
      </c>
      <c r="F37" s="243">
        <f t="shared" si="0"/>
        <v>89</v>
      </c>
      <c r="G37" s="433"/>
      <c r="H37" s="433"/>
    </row>
    <row r="38" spans="1:8" ht="13.9" customHeight="1">
      <c r="A38" s="250" t="str">
        <f>报表格式!B37</f>
        <v>固定资产净值</v>
      </c>
      <c r="B38" s="246">
        <v>33</v>
      </c>
      <c r="C38" s="433">
        <f>C36-C37</f>
        <v>0</v>
      </c>
      <c r="D38" s="433">
        <f>D36-D37</f>
        <v>0</v>
      </c>
      <c r="E38" s="251" t="str">
        <f>报表格式!G37</f>
        <v>递延税款贷项</v>
      </c>
      <c r="F38" s="243">
        <f t="shared" si="0"/>
        <v>90</v>
      </c>
      <c r="G38" s="432"/>
      <c r="H38" s="432"/>
    </row>
    <row r="39" spans="1:8" ht="13.9" customHeight="1">
      <c r="A39" s="250" t="str">
        <f>报表格式!B38</f>
        <v xml:space="preserve">  减：固定资产减值准备</v>
      </c>
      <c r="B39" s="246">
        <v>34</v>
      </c>
      <c r="C39" s="432"/>
      <c r="D39" s="432"/>
      <c r="E39" s="252" t="str">
        <f>报表格式!G38</f>
        <v>负 债 合 计</v>
      </c>
      <c r="F39" s="243">
        <f t="shared" si="0"/>
        <v>91</v>
      </c>
      <c r="G39" s="435">
        <f>SUM(G26,G36,G38:G38)</f>
        <v>0</v>
      </c>
      <c r="H39" s="435">
        <f>SUM(H26,H36,H38:H38)</f>
        <v>0</v>
      </c>
    </row>
    <row r="40" spans="1:8" ht="13.9" customHeight="1">
      <c r="A40" s="250" t="str">
        <f>报表格式!B39</f>
        <v>固定资产净额</v>
      </c>
      <c r="B40" s="246">
        <v>35</v>
      </c>
      <c r="C40" s="433">
        <f>C38-C39</f>
        <v>0</v>
      </c>
      <c r="D40" s="433">
        <f>D38-D39</f>
        <v>0</v>
      </c>
      <c r="E40" s="251" t="str">
        <f>报表格式!G39</f>
        <v>*少数股东权益</v>
      </c>
      <c r="F40" s="243">
        <f t="shared" si="0"/>
        <v>92</v>
      </c>
      <c r="G40" s="434"/>
      <c r="H40" s="434"/>
    </row>
    <row r="41" spans="1:8" ht="13.9" customHeight="1">
      <c r="A41" s="250" t="str">
        <f>报表格式!B40</f>
        <v>工程物资</v>
      </c>
      <c r="B41" s="246">
        <v>36</v>
      </c>
      <c r="C41" s="432"/>
      <c r="D41" s="432"/>
      <c r="E41" s="251">
        <f>报表格式!G40</f>
        <v>0</v>
      </c>
      <c r="F41" s="243">
        <f t="shared" si="0"/>
        <v>93</v>
      </c>
      <c r="G41" s="434"/>
      <c r="H41" s="434"/>
    </row>
    <row r="42" spans="1:8" ht="13.9" customHeight="1">
      <c r="A42" s="250" t="str">
        <f>报表格式!B41</f>
        <v>在建工程</v>
      </c>
      <c r="B42" s="246">
        <v>37</v>
      </c>
      <c r="C42" s="432"/>
      <c r="D42" s="432"/>
      <c r="E42" s="253" t="str">
        <f>报表格式!G41</f>
        <v>所有者权益：</v>
      </c>
      <c r="F42" s="243">
        <f t="shared" si="0"/>
        <v>94</v>
      </c>
      <c r="G42" s="433"/>
      <c r="H42" s="433"/>
    </row>
    <row r="43" spans="1:8" ht="13.9" customHeight="1">
      <c r="A43" s="250" t="str">
        <f>报表格式!B42</f>
        <v>固定资产清理</v>
      </c>
      <c r="B43" s="246">
        <v>38</v>
      </c>
      <c r="C43" s="432"/>
      <c r="D43" s="432"/>
      <c r="E43" s="251" t="str">
        <f>报表格式!G42</f>
        <v>实收资本</v>
      </c>
      <c r="F43" s="243">
        <f t="shared" si="0"/>
        <v>95</v>
      </c>
      <c r="G43" s="432"/>
      <c r="H43" s="432"/>
    </row>
    <row r="44" spans="1:8" ht="13.9" customHeight="1">
      <c r="A44" s="250" t="str">
        <f>报表格式!B43</f>
        <v>待处理固定资产净损失</v>
      </c>
      <c r="B44" s="246">
        <v>39</v>
      </c>
      <c r="C44" s="432"/>
      <c r="D44" s="432"/>
      <c r="E44" s="251" t="str">
        <f>报表格式!G43</f>
        <v xml:space="preserve"> 国家资本</v>
      </c>
      <c r="F44" s="243">
        <f t="shared" si="0"/>
        <v>96</v>
      </c>
      <c r="G44" s="432"/>
      <c r="H44" s="432"/>
    </row>
    <row r="45" spans="1:8" ht="13.9" customHeight="1">
      <c r="A45" s="250">
        <f>报表格式!B44</f>
        <v>0</v>
      </c>
      <c r="B45" s="246">
        <v>40</v>
      </c>
      <c r="C45" s="432"/>
      <c r="D45" s="432"/>
      <c r="E45" s="251" t="str">
        <f>报表格式!G44</f>
        <v xml:space="preserve"> 集体资本</v>
      </c>
      <c r="F45" s="243">
        <f t="shared" si="0"/>
        <v>97</v>
      </c>
      <c r="G45" s="432"/>
      <c r="H45" s="432"/>
    </row>
    <row r="46" spans="1:8" ht="13.9" customHeight="1">
      <c r="A46" s="250">
        <f>报表格式!B45</f>
        <v>0</v>
      </c>
      <c r="B46" s="246">
        <v>41</v>
      </c>
      <c r="C46" s="432"/>
      <c r="D46" s="432"/>
      <c r="E46" s="251" t="str">
        <f>报表格式!G45</f>
        <v xml:space="preserve"> 法人资本</v>
      </c>
      <c r="F46" s="243">
        <f t="shared" si="0"/>
        <v>98</v>
      </c>
      <c r="G46" s="432"/>
      <c r="H46" s="432"/>
    </row>
    <row r="47" spans="1:8" ht="13.9" customHeight="1">
      <c r="A47" s="254" t="str">
        <f>报表格式!B46</f>
        <v>固定资产合计</v>
      </c>
      <c r="B47" s="246">
        <v>42</v>
      </c>
      <c r="C47" s="435">
        <f>SUM(C40:C46)</f>
        <v>0</v>
      </c>
      <c r="D47" s="435">
        <f>SUM(D40:D46)</f>
        <v>0</v>
      </c>
      <c r="E47" s="251" t="str">
        <f>报表格式!G46</f>
        <v xml:space="preserve">   其中：国有法人资本</v>
      </c>
      <c r="F47" s="243">
        <f t="shared" si="0"/>
        <v>99</v>
      </c>
      <c r="G47" s="432"/>
      <c r="H47" s="432"/>
    </row>
    <row r="48" spans="1:8" ht="13.9" customHeight="1">
      <c r="A48" s="245" t="str">
        <f>报表格式!B47</f>
        <v>无形资产及其他资产：</v>
      </c>
      <c r="B48" s="246">
        <v>43</v>
      </c>
      <c r="C48" s="433"/>
      <c r="D48" s="433"/>
      <c r="E48" s="251" t="str">
        <f>报表格式!G47</f>
        <v xml:space="preserve">         集体法人资本</v>
      </c>
      <c r="F48" s="243">
        <f t="shared" si="0"/>
        <v>100</v>
      </c>
      <c r="G48" s="432"/>
      <c r="H48" s="432"/>
    </row>
    <row r="49" spans="1:10" ht="13.9" customHeight="1">
      <c r="A49" s="250" t="str">
        <f>报表格式!B48</f>
        <v>无形资产</v>
      </c>
      <c r="B49" s="246">
        <v>44</v>
      </c>
      <c r="C49" s="432"/>
      <c r="D49" s="432"/>
      <c r="E49" s="251" t="str">
        <f>报表格式!G48</f>
        <v xml:space="preserve"> 个人资本</v>
      </c>
      <c r="F49" s="243">
        <f t="shared" si="0"/>
        <v>101</v>
      </c>
      <c r="G49" s="432"/>
      <c r="H49" s="432"/>
    </row>
    <row r="50" spans="1:10" s="34" customFormat="1" ht="13.9" customHeight="1">
      <c r="A50" s="250" t="str">
        <f>报表格式!B49</f>
        <v xml:space="preserve">  其中：土地使用权</v>
      </c>
      <c r="B50" s="246">
        <v>45</v>
      </c>
      <c r="C50" s="432"/>
      <c r="D50" s="432"/>
      <c r="E50" s="251" t="str">
        <f>报表格式!G49</f>
        <v xml:space="preserve"> 外商资本</v>
      </c>
      <c r="F50" s="243">
        <f t="shared" si="0"/>
        <v>102</v>
      </c>
      <c r="G50" s="432"/>
      <c r="H50" s="432"/>
    </row>
    <row r="51" spans="1:10">
      <c r="A51" s="250" t="str">
        <f>报表格式!B50</f>
        <v>长期待摊费用</v>
      </c>
      <c r="B51" s="246">
        <v>46</v>
      </c>
      <c r="C51" s="432"/>
      <c r="D51" s="432"/>
      <c r="E51" s="251" t="str">
        <f>报表格式!G50</f>
        <v>资本公积</v>
      </c>
      <c r="F51" s="243">
        <f t="shared" si="0"/>
        <v>103</v>
      </c>
      <c r="G51" s="432"/>
      <c r="H51" s="432"/>
    </row>
    <row r="52" spans="1:10">
      <c r="A52" s="250" t="str">
        <f>报表格式!B51</f>
        <v xml:space="preserve">  其中：固定资产修理</v>
      </c>
      <c r="B52" s="246">
        <v>47</v>
      </c>
      <c r="C52" s="432"/>
      <c r="D52" s="432"/>
      <c r="E52" s="251" t="str">
        <f>报表格式!G51</f>
        <v>盈余公积</v>
      </c>
      <c r="F52" s="243">
        <f>F51+1</f>
        <v>104</v>
      </c>
      <c r="G52" s="432"/>
      <c r="H52" s="432"/>
    </row>
    <row r="53" spans="1:10">
      <c r="A53" s="250" t="str">
        <f>报表格式!B52</f>
        <v xml:space="preserve">       固定资产改良支出</v>
      </c>
      <c r="B53" s="246">
        <v>48</v>
      </c>
      <c r="C53" s="432"/>
      <c r="D53" s="432"/>
      <c r="E53" s="251" t="str">
        <f>报表格式!G52</f>
        <v xml:space="preserve">  其中：法定公益金</v>
      </c>
      <c r="F53" s="243">
        <f t="shared" si="0"/>
        <v>105</v>
      </c>
      <c r="G53" s="432"/>
      <c r="H53" s="432"/>
    </row>
    <row r="54" spans="1:10">
      <c r="A54" s="250" t="str">
        <f>报表格式!B53</f>
        <v>股权分置流通权</v>
      </c>
      <c r="B54" s="246">
        <v>49</v>
      </c>
      <c r="C54" s="432"/>
      <c r="D54" s="432"/>
      <c r="E54" s="251" t="str">
        <f>报表格式!G53</f>
        <v>*未确认的投资损失（以“-”号填列）</v>
      </c>
      <c r="F54" s="243">
        <f t="shared" si="0"/>
        <v>106</v>
      </c>
      <c r="G54" s="432"/>
      <c r="H54" s="432"/>
    </row>
    <row r="55" spans="1:10">
      <c r="A55" s="250" t="str">
        <f>报表格式!B54</f>
        <v>其他长期资产</v>
      </c>
      <c r="B55" s="246">
        <v>50</v>
      </c>
      <c r="C55" s="432"/>
      <c r="D55" s="432"/>
      <c r="E55" s="251" t="str">
        <f>报表格式!G54</f>
        <v>未分配利润</v>
      </c>
      <c r="F55" s="243">
        <f t="shared" si="0"/>
        <v>107</v>
      </c>
      <c r="G55" s="432"/>
      <c r="H55" s="432"/>
    </row>
    <row r="56" spans="1:10">
      <c r="A56" s="250" t="str">
        <f>报表格式!B55</f>
        <v xml:space="preserve">  其中：特准储备物资</v>
      </c>
      <c r="B56" s="246">
        <v>51</v>
      </c>
      <c r="C56" s="432"/>
      <c r="D56" s="432"/>
      <c r="E56" s="251" t="str">
        <f>报表格式!G55</f>
        <v xml:space="preserve">  其中：现金股利</v>
      </c>
      <c r="F56" s="243">
        <f t="shared" si="0"/>
        <v>108</v>
      </c>
      <c r="G56" s="432"/>
      <c r="H56" s="432"/>
    </row>
    <row r="57" spans="1:10">
      <c r="A57" s="250">
        <f>报表格式!B56</f>
        <v>0</v>
      </c>
      <c r="B57" s="246">
        <v>52</v>
      </c>
      <c r="C57" s="432"/>
      <c r="D57" s="432"/>
      <c r="E57" s="251" t="str">
        <f>报表格式!G56</f>
        <v>外币报表折算差额</v>
      </c>
      <c r="F57" s="243">
        <f t="shared" si="0"/>
        <v>109</v>
      </c>
      <c r="G57" s="432"/>
      <c r="H57" s="432"/>
      <c r="J57" s="35"/>
    </row>
    <row r="58" spans="1:10">
      <c r="A58" s="254" t="str">
        <f>报表格式!B57</f>
        <v>无形资产及其他资产合计</v>
      </c>
      <c r="B58" s="246">
        <v>53</v>
      </c>
      <c r="C58" s="435">
        <f>SUM(C49,C51,C54:C55,C57)</f>
        <v>0</v>
      </c>
      <c r="D58" s="435">
        <f>SUM(D49,D51,D54:D55,D57)</f>
        <v>0</v>
      </c>
      <c r="E58" s="251">
        <f>报表格式!G57</f>
        <v>0</v>
      </c>
      <c r="F58" s="243">
        <f t="shared" si="0"/>
        <v>110</v>
      </c>
      <c r="G58" s="432"/>
      <c r="H58" s="432"/>
    </row>
    <row r="59" spans="1:10">
      <c r="A59" s="245" t="str">
        <f>报表格式!B58</f>
        <v>递延税项：</v>
      </c>
      <c r="B59" s="246">
        <v>54</v>
      </c>
      <c r="C59" s="433"/>
      <c r="D59" s="433"/>
      <c r="E59" s="252" t="str">
        <f>报表格式!G58</f>
        <v>所有者权益小计</v>
      </c>
      <c r="F59" s="243">
        <f t="shared" si="0"/>
        <v>111</v>
      </c>
      <c r="G59" s="435">
        <f>SUM(G43,G51,G52,G54,G55,G57:G58)</f>
        <v>0</v>
      </c>
      <c r="H59" s="435">
        <f>SUM(H43,H51,H52,H54,H55,H57:H58)</f>
        <v>0</v>
      </c>
    </row>
    <row r="60" spans="1:10">
      <c r="A60" s="250" t="str">
        <f>报表格式!B59</f>
        <v>递延税款借项</v>
      </c>
      <c r="B60" s="246">
        <v>55</v>
      </c>
      <c r="C60" s="432"/>
      <c r="D60" s="432"/>
      <c r="E60" s="251" t="str">
        <f>报表格式!G59</f>
        <v>减：未处理资产损失</v>
      </c>
      <c r="F60" s="243">
        <f t="shared" si="0"/>
        <v>112</v>
      </c>
      <c r="G60" s="432"/>
      <c r="H60" s="432"/>
    </row>
    <row r="61" spans="1:10">
      <c r="A61" s="250">
        <f>报表格式!B60</f>
        <v>0</v>
      </c>
      <c r="B61" s="246">
        <v>56</v>
      </c>
      <c r="C61" s="432"/>
      <c r="D61" s="432"/>
      <c r="E61" s="252" t="str">
        <f>报表格式!G60</f>
        <v>所有者权益合计(剔除未处理资产损失后的金额)</v>
      </c>
      <c r="F61" s="243">
        <f t="shared" si="0"/>
        <v>113</v>
      </c>
      <c r="G61" s="435">
        <f>G59-G60</f>
        <v>0</v>
      </c>
      <c r="H61" s="435">
        <f>H59-H60</f>
        <v>0</v>
      </c>
    </row>
    <row r="62" spans="1:10">
      <c r="A62" s="254" t="str">
        <f>报表格式!B73</f>
        <v>资 产 总 计</v>
      </c>
      <c r="B62" s="246">
        <v>57</v>
      </c>
      <c r="C62" s="435">
        <f>C27+C34+C47+C58+C60+C61</f>
        <v>0</v>
      </c>
      <c r="D62" s="435">
        <f>D27+D34+D47+D58+D60+D61</f>
        <v>0</v>
      </c>
      <c r="E62" s="252" t="str">
        <f>报表格式!G73</f>
        <v>负债及所有者权益合计</v>
      </c>
      <c r="F62" s="243">
        <f t="shared" si="0"/>
        <v>114</v>
      </c>
      <c r="G62" s="435">
        <f>G39+G40+G41+G61</f>
        <v>0</v>
      </c>
      <c r="H62" s="435">
        <f>H39+H40+H41+H61</f>
        <v>0</v>
      </c>
    </row>
    <row r="63" spans="1:10">
      <c r="A63" s="255" t="str">
        <f>CONCATENATE(参数!C4,参数!D4)</f>
        <v>法定代表人：</v>
      </c>
      <c r="B63" s="457"/>
      <c r="C63" s="457"/>
      <c r="D63" s="255" t="str">
        <f>CONCATENATE(参数!C5,参数!D5)</f>
        <v>财务负责人：</v>
      </c>
      <c r="E63" s="457"/>
      <c r="F63" s="906" t="str">
        <f>CONCATENATE(参数!C6,参数!D6)</f>
        <v>会计主管：</v>
      </c>
      <c r="G63" s="906"/>
      <c r="H63" s="906"/>
    </row>
    <row r="65" spans="1:8">
      <c r="A65" s="763" t="s">
        <v>958</v>
      </c>
      <c r="B65" s="763"/>
      <c r="C65" s="333">
        <f>C62-G62</f>
        <v>0</v>
      </c>
      <c r="D65" s="333">
        <f>D62-H62</f>
        <v>0</v>
      </c>
      <c r="E65" s="763" t="s">
        <v>959</v>
      </c>
      <c r="F65" s="763"/>
      <c r="G65" s="333">
        <f>G55-未审PL!C73</f>
        <v>0</v>
      </c>
      <c r="H65" s="333">
        <f>H55-未审PL!D73</f>
        <v>0</v>
      </c>
    </row>
    <row r="66" spans="1:8">
      <c r="B66" s="763"/>
      <c r="C66" s="763"/>
      <c r="E66" s="34" t="s">
        <v>951</v>
      </c>
      <c r="F66" s="763"/>
      <c r="G66" s="809">
        <f>未审PL!C73-未审PL!D54</f>
        <v>0</v>
      </c>
    </row>
  </sheetData>
  <sheetProtection formatCells="0" insertRows="0" autoFilter="0" pivotTables="0"/>
  <customSheetViews>
    <customSheetView guid="{9A8CA204-20A8-11D5-8CC7-F77182B33125}" showPageBreaks="1" zeroValues="0" hiddenRows="1" view="pageBreakPreview" showRuler="0">
      <pane ySplit="6" topLeftCell="A7" activePane="bottomLeft" state="frozenSplit"/>
      <selection pane="bottomLeft" activeCell="I28" sqref="I28"/>
      <pageMargins left="0.98425196850393704" right="0.23622047244094491" top="0.59055118110236227" bottom="0.61" header="0.39370078740157483" footer="0.55118110236220474"/>
      <printOptions horizontalCentered="1"/>
      <pageSetup paperSize="9" orientation="portrait" r:id="rId1"/>
      <headerFooter alignWithMargins="0">
        <oddHeader>&amp;L&amp;"Times New Roman,常规"         &amp;"宋体,常规"未审表：</oddHeader>
      </headerFooter>
    </customSheetView>
  </customSheetViews>
  <mergeCells count="10">
    <mergeCell ref="F1:G1"/>
    <mergeCell ref="A4:C4"/>
    <mergeCell ref="D4:E4"/>
    <mergeCell ref="F63:H63"/>
    <mergeCell ref="A2:H2"/>
    <mergeCell ref="G4:H4"/>
    <mergeCell ref="A3:B3"/>
    <mergeCell ref="C3:D3"/>
    <mergeCell ref="E3:F3"/>
    <mergeCell ref="G3:H3"/>
  </mergeCells>
  <phoneticPr fontId="3" type="noConversion"/>
  <conditionalFormatting sqref="C6:F6 A4:C4">
    <cfRule type="cellIs" dxfId="72" priority="1" stopIfTrue="1" operator="equal">
      <formula>"            对不起，请到参数表中确定报表类型！"</formula>
    </cfRule>
    <cfRule type="cellIs" dxfId="71" priority="2" stopIfTrue="1" operator="equal">
      <formula>"对不起，试用期已到，请查看系统信息，并与作者联系。"</formula>
    </cfRule>
  </conditionalFormatting>
  <conditionalFormatting sqref="A3:F3">
    <cfRule type="cellIs" dxfId="70" priority="3" stopIfTrue="1" operator="equal">
      <formula>0</formula>
    </cfRule>
  </conditionalFormatting>
  <conditionalFormatting sqref="A2:H2">
    <cfRule type="cellIs" dxfId="69" priority="4" stopIfTrue="1" operator="equal">
      <formula>"资产负债表"</formula>
    </cfRule>
  </conditionalFormatting>
  <conditionalFormatting sqref="A1">
    <cfRule type="cellIs" dxfId="68" priority="5" stopIfTrue="1" operator="equal">
      <formula>"年初未分配利润勾稽有误！"</formula>
    </cfRule>
  </conditionalFormatting>
  <conditionalFormatting sqref="C1">
    <cfRule type="cellIs" dxfId="67" priority="6" stopIfTrue="1" operator="equal">
      <formula>"年末未分配利润勾稽有误！"</formula>
    </cfRule>
  </conditionalFormatting>
  <conditionalFormatting sqref="G3:H3">
    <cfRule type="cellIs" dxfId="66" priority="7" stopIfTrue="1" operator="equal">
      <formula>"                    财企01表"</formula>
    </cfRule>
  </conditionalFormatting>
  <printOptions horizontalCentered="1"/>
  <pageMargins left="0.9" right="0.23622047244094491" top="0.38" bottom="0.27" header="0.23" footer="0.2"/>
  <pageSetup paperSize="9" scale="88" orientation="portrait" blackAndWhite="1" r:id="rId2"/>
  <headerFooter alignWithMargins="0">
    <oddHeader>&amp;L&amp;"Times New Roman,常规"&amp;8         &amp;"宋体,常规"未审会计报表：</oddHead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D78"/>
  <sheetViews>
    <sheetView showZeros="0" zoomScaleNormal="100" workbookViewId="0">
      <pane xSplit="2" ySplit="5" topLeftCell="C6" activePane="bottomRight" state="frozen"/>
      <selection activeCell="D21" sqref="D21"/>
      <selection pane="topRight" activeCell="D21" sqref="D21"/>
      <selection pane="bottomLeft" activeCell="D21" sqref="D21"/>
      <selection pane="bottomRight" activeCell="A2" sqref="A2:D2"/>
    </sheetView>
  </sheetViews>
  <sheetFormatPr defaultRowHeight="14.25"/>
  <cols>
    <col min="1" max="1" width="42.625" style="22" customWidth="1"/>
    <col min="2" max="2" width="5.625" style="22" customWidth="1"/>
    <col min="3" max="3" width="17.25" style="22" customWidth="1"/>
    <col min="4" max="4" width="18.375" style="22" customWidth="1"/>
    <col min="5" max="16384" width="9" style="22"/>
  </cols>
  <sheetData>
    <row r="1" spans="1:4" ht="12.75" customHeight="1">
      <c r="A1" s="755" t="str">
        <f>IF(ABS(C73-D54)&lt;0.005,"","年初未分配利润勾稽有误！")</f>
        <v/>
      </c>
      <c r="B1" s="755"/>
      <c r="C1" s="755"/>
      <c r="D1" s="755" t="s">
        <v>942</v>
      </c>
    </row>
    <row r="2" spans="1:4" ht="18.75">
      <c r="A2" s="907" t="s">
        <v>597</v>
      </c>
      <c r="B2" s="911"/>
      <c r="C2" s="911"/>
      <c r="D2" s="911"/>
    </row>
    <row r="3" spans="1:4" ht="12" customHeight="1">
      <c r="A3" s="913">
        <f>IF(ABS(C73-未审BS!G55)&lt;0.005,IF(ABS(D73-未审BS!H55)&lt;0.005,0,"“未分配利润”栏与资产负债表不平,差额为:"),"“未分配利润”栏与资产负债表不平,差额为:")</f>
        <v>0</v>
      </c>
      <c r="B3" s="913"/>
      <c r="C3" s="758">
        <f>IF(ABS(C73-未审BS!G55)&lt;0.005,0,C73-未审BS!G55)</f>
        <v>0</v>
      </c>
      <c r="D3" s="759" t="str">
        <f>IF(ABS(D73-未审BS!H55)&lt;0.005,"              财企02表",D73-未审BS!H55)</f>
        <v xml:space="preserve">              财企02表</v>
      </c>
    </row>
    <row r="4" spans="1:4" s="34" customFormat="1" ht="12.75">
      <c r="A4" s="256" t="str">
        <f>IF(报表格式!G41="","  对不起，请到参数表中确定报表类型！",CONCATENATE(" 编制单位：",参数!D3))</f>
        <v xml:space="preserve"> 编制单位：</v>
      </c>
      <c r="B4" s="912" t="str">
        <f>参数!$D$10</f>
        <v>2007年度</v>
      </c>
      <c r="C4" s="912"/>
      <c r="D4" s="269" t="str">
        <f>CONCATENATE("金额单位：",参数!$D$13)</f>
        <v>金额单位：人民币元</v>
      </c>
    </row>
    <row r="5" spans="1:4" s="82" customFormat="1" ht="15.75" customHeight="1">
      <c r="A5" s="270" t="s">
        <v>134</v>
      </c>
      <c r="B5" s="270" t="s">
        <v>165</v>
      </c>
      <c r="C5" s="458" t="str">
        <f>参数!D9</f>
        <v>2006年度</v>
      </c>
      <c r="D5" s="459" t="str">
        <f>参数!D10</f>
        <v>2007年度</v>
      </c>
    </row>
    <row r="6" spans="1:4" s="82" customFormat="1" ht="12.75">
      <c r="A6" s="271" t="str">
        <f>报表格式!L5</f>
        <v>一、主营业务收入</v>
      </c>
      <c r="B6" s="272">
        <v>1</v>
      </c>
      <c r="C6" s="851"/>
      <c r="D6" s="851"/>
    </row>
    <row r="7" spans="1:4" s="82" customFormat="1" ht="13.5">
      <c r="A7" s="273" t="str">
        <f>报表格式!L6</f>
        <v xml:space="preserve">    其中：进口产品（商品）销售收入</v>
      </c>
      <c r="B7" s="272">
        <v>2</v>
      </c>
      <c r="C7" s="432"/>
      <c r="D7" s="432"/>
    </row>
    <row r="8" spans="1:4" s="82" customFormat="1" ht="13.5">
      <c r="A8" s="273" t="str">
        <f>报表格式!L7</f>
        <v xml:space="preserve">          出口产品（商品）销售收入</v>
      </c>
      <c r="B8" s="272">
        <v>3</v>
      </c>
      <c r="C8" s="432"/>
      <c r="D8" s="432"/>
    </row>
    <row r="9" spans="1:4" s="82" customFormat="1" ht="13.5">
      <c r="A9" s="273" t="str">
        <f>报表格式!L8</f>
        <v xml:space="preserve">    减：折扣与折让</v>
      </c>
      <c r="B9" s="272">
        <v>4</v>
      </c>
      <c r="C9" s="432"/>
      <c r="D9" s="432"/>
    </row>
    <row r="10" spans="1:4" s="82" customFormat="1" ht="12.75">
      <c r="A10" s="271" t="str">
        <f>报表格式!L9</f>
        <v>二、主营业务收入净额</v>
      </c>
      <c r="B10" s="272">
        <v>5</v>
      </c>
      <c r="C10" s="274">
        <f>C6-C9</f>
        <v>0</v>
      </c>
      <c r="D10" s="274">
        <f>D6-D9</f>
        <v>0</v>
      </c>
    </row>
    <row r="11" spans="1:4" s="82" customFormat="1" ht="12.75">
      <c r="A11" s="273" t="str">
        <f>报表格式!L10</f>
        <v xml:space="preserve">    减：（一）主营业务成本</v>
      </c>
      <c r="B11" s="272">
        <v>6</v>
      </c>
      <c r="C11" s="852"/>
      <c r="D11" s="852"/>
    </row>
    <row r="12" spans="1:4" s="82" customFormat="1" ht="12.75">
      <c r="A12" s="273" t="str">
        <f>报表格式!L11</f>
        <v xml:space="preserve">              其中：出口产品（商品）销售成本</v>
      </c>
      <c r="B12" s="272">
        <v>7</v>
      </c>
      <c r="C12" s="852"/>
      <c r="D12" s="852"/>
    </row>
    <row r="13" spans="1:4" s="82" customFormat="1" ht="12.75">
      <c r="A13" s="273" t="str">
        <f>报表格式!L12</f>
        <v xml:space="preserve">        （二）主营业务税金及附加</v>
      </c>
      <c r="B13" s="272">
        <v>8</v>
      </c>
      <c r="C13" s="852"/>
      <c r="D13" s="852"/>
    </row>
    <row r="14" spans="1:4" s="82" customFormat="1" ht="12.75">
      <c r="A14" s="273" t="str">
        <f>报表格式!L13</f>
        <v xml:space="preserve">        （三）经营费用</v>
      </c>
      <c r="B14" s="272">
        <v>9</v>
      </c>
      <c r="C14" s="852"/>
      <c r="D14" s="852"/>
    </row>
    <row r="15" spans="1:4" s="82" customFormat="1" ht="12.75">
      <c r="A15" s="273" t="str">
        <f>报表格式!L14</f>
        <v xml:space="preserve">        （四）其他</v>
      </c>
      <c r="B15" s="272">
        <v>10</v>
      </c>
      <c r="C15" s="852"/>
      <c r="D15" s="852"/>
    </row>
    <row r="16" spans="1:4" s="82" customFormat="1" ht="12.75">
      <c r="A16" s="273" t="str">
        <f>报表格式!L15</f>
        <v xml:space="preserve">    加：（一）递延收益</v>
      </c>
      <c r="B16" s="272">
        <v>11</v>
      </c>
      <c r="C16" s="852"/>
      <c r="D16" s="852"/>
    </row>
    <row r="17" spans="1:4" s="82" customFormat="1" ht="12.75">
      <c r="A17" s="273" t="str">
        <f>报表格式!L16</f>
        <v xml:space="preserve">        （二）代购代销收入</v>
      </c>
      <c r="B17" s="272">
        <v>12</v>
      </c>
      <c r="C17" s="852"/>
      <c r="D17" s="852"/>
    </row>
    <row r="18" spans="1:4" s="82" customFormat="1" ht="12.75">
      <c r="A18" s="273" t="str">
        <f>报表格式!L17</f>
        <v xml:space="preserve">        （三）其他</v>
      </c>
      <c r="B18" s="272">
        <v>13</v>
      </c>
      <c r="C18" s="852"/>
      <c r="D18" s="852"/>
    </row>
    <row r="19" spans="1:4" s="82" customFormat="1" ht="12.75">
      <c r="A19" s="271" t="str">
        <f>报表格式!L18</f>
        <v>三、主营业务利润</v>
      </c>
      <c r="B19" s="272">
        <v>14</v>
      </c>
      <c r="C19" s="274">
        <f>C10-C11-C13-C14-C15+C16+C17+C18</f>
        <v>0</v>
      </c>
      <c r="D19" s="274">
        <f>D10-D11-D13-D14-D15+D16+D17+D18</f>
        <v>0</v>
      </c>
    </row>
    <row r="20" spans="1:4" s="82" customFormat="1" ht="12.75">
      <c r="A20" s="273" t="str">
        <f>报表格式!L19</f>
        <v xml:space="preserve">    加：其他业务利润</v>
      </c>
      <c r="B20" s="272">
        <v>15</v>
      </c>
      <c r="C20" s="852"/>
      <c r="D20" s="852"/>
    </row>
    <row r="21" spans="1:4" s="82" customFormat="1" ht="12.75">
      <c r="A21" s="273" t="str">
        <f>报表格式!L20</f>
        <v xml:space="preserve">    减：（一）营业费用</v>
      </c>
      <c r="B21" s="272">
        <v>16</v>
      </c>
      <c r="C21" s="852"/>
      <c r="D21" s="852"/>
    </row>
    <row r="22" spans="1:4" s="82" customFormat="1" ht="12.75">
      <c r="A22" s="273" t="str">
        <f>报表格式!L21</f>
        <v xml:space="preserve">        （二）管理费用</v>
      </c>
      <c r="B22" s="272">
        <v>17</v>
      </c>
      <c r="C22" s="852"/>
      <c r="D22" s="852"/>
    </row>
    <row r="23" spans="1:4" s="82" customFormat="1" ht="12.75">
      <c r="A23" s="273" t="str">
        <f>报表格式!L22</f>
        <v xml:space="preserve">         其中：业务招待费</v>
      </c>
      <c r="B23" s="272">
        <v>18</v>
      </c>
      <c r="C23" s="852"/>
      <c r="D23" s="852"/>
    </row>
    <row r="24" spans="1:4" s="82" customFormat="1" ht="12.75">
      <c r="A24" s="273" t="str">
        <f>报表格式!L23</f>
        <v xml:space="preserve">               研究与开发费</v>
      </c>
      <c r="B24" s="272">
        <v>19</v>
      </c>
      <c r="C24" s="852"/>
      <c r="D24" s="852"/>
    </row>
    <row r="25" spans="1:4" s="82" customFormat="1" ht="12.75">
      <c r="A25" s="273" t="str">
        <f>报表格式!L24</f>
        <v xml:space="preserve">        （三）财务费用</v>
      </c>
      <c r="B25" s="272">
        <v>20</v>
      </c>
      <c r="C25" s="852"/>
      <c r="D25" s="852"/>
    </row>
    <row r="26" spans="1:4" s="82" customFormat="1" ht="12.75">
      <c r="A26" s="273" t="str">
        <f>报表格式!L25</f>
        <v xml:space="preserve">         其中：利息支出</v>
      </c>
      <c r="B26" s="272">
        <v>21</v>
      </c>
      <c r="C26" s="852"/>
      <c r="D26" s="852"/>
    </row>
    <row r="27" spans="1:4" s="82" customFormat="1" ht="12.75">
      <c r="A27" s="273" t="str">
        <f>报表格式!L26</f>
        <v xml:space="preserve">               利息收入</v>
      </c>
      <c r="B27" s="272">
        <v>22</v>
      </c>
      <c r="C27" s="852"/>
      <c r="D27" s="852"/>
    </row>
    <row r="28" spans="1:4" s="82" customFormat="1" ht="12.75">
      <c r="A28" s="273" t="str">
        <f>报表格式!L27</f>
        <v xml:space="preserve">               汇兑净损失</v>
      </c>
      <c r="B28" s="272">
        <v>23</v>
      </c>
      <c r="C28" s="852"/>
      <c r="D28" s="852"/>
    </row>
    <row r="29" spans="1:4" s="82" customFormat="1" ht="12.75">
      <c r="A29" s="273" t="str">
        <f>报表格式!L28</f>
        <v xml:space="preserve">        （四）其他</v>
      </c>
      <c r="B29" s="272">
        <v>24</v>
      </c>
      <c r="C29" s="852"/>
      <c r="D29" s="852"/>
    </row>
    <row r="30" spans="1:4" s="82" customFormat="1" ht="12.75">
      <c r="A30" s="271" t="str">
        <f>报表格式!L29</f>
        <v>四、营业利润</v>
      </c>
      <c r="B30" s="272">
        <v>25</v>
      </c>
      <c r="C30" s="274">
        <f>C19+C20-C21-C22-C25-C29</f>
        <v>0</v>
      </c>
      <c r="D30" s="274">
        <f>D19+D20-D21-D22-D25-D29</f>
        <v>0</v>
      </c>
    </row>
    <row r="31" spans="1:4" s="82" customFormat="1" ht="12.75">
      <c r="A31" s="273" t="str">
        <f>报表格式!L30</f>
        <v xml:space="preserve">    加：（一）投资收益</v>
      </c>
      <c r="B31" s="272">
        <v>26</v>
      </c>
      <c r="C31" s="852"/>
      <c r="D31" s="852"/>
    </row>
    <row r="32" spans="1:4" s="82" customFormat="1" ht="12.75">
      <c r="A32" s="273" t="str">
        <f>报表格式!L31</f>
        <v xml:space="preserve">        （二）期货收益</v>
      </c>
      <c r="B32" s="272">
        <v>27</v>
      </c>
      <c r="C32" s="852"/>
      <c r="D32" s="852"/>
    </row>
    <row r="33" spans="1:4" s="82" customFormat="1" ht="12.75">
      <c r="A33" s="273" t="str">
        <f>报表格式!L32</f>
        <v xml:space="preserve">        （三）补贴收入</v>
      </c>
      <c r="B33" s="272">
        <v>28</v>
      </c>
      <c r="C33" s="852"/>
      <c r="D33" s="852"/>
    </row>
    <row r="34" spans="1:4" s="82" customFormat="1" ht="12.75">
      <c r="A34" s="273" t="str">
        <f>报表格式!L33</f>
        <v xml:space="preserve">             其中：补贴前亏损的企业补贴收入</v>
      </c>
      <c r="B34" s="272">
        <v>29</v>
      </c>
      <c r="C34" s="852"/>
      <c r="D34" s="852"/>
    </row>
    <row r="35" spans="1:4" s="82" customFormat="1" ht="12.75">
      <c r="A35" s="273" t="str">
        <f>报表格式!L34</f>
        <v xml:space="preserve">        （四）营业外收入</v>
      </c>
      <c r="B35" s="272">
        <v>30</v>
      </c>
      <c r="C35" s="852"/>
      <c r="D35" s="852"/>
    </row>
    <row r="36" spans="1:4" s="82" customFormat="1" ht="12.75">
      <c r="A36" s="273" t="str">
        <f>报表格式!L35</f>
        <v xml:space="preserve">             其中：处置固定资产净收益</v>
      </c>
      <c r="B36" s="272">
        <v>31</v>
      </c>
      <c r="C36" s="852"/>
      <c r="D36" s="852"/>
    </row>
    <row r="37" spans="1:4" s="82" customFormat="1" ht="12.75">
      <c r="A37" s="273" t="str">
        <f>报表格式!L36</f>
        <v xml:space="preserve">                   非货币性交易收益</v>
      </c>
      <c r="B37" s="272">
        <v>32</v>
      </c>
      <c r="C37" s="852"/>
      <c r="D37" s="852"/>
    </row>
    <row r="38" spans="1:4" s="82" customFormat="1" ht="12.75">
      <c r="A38" s="273" t="str">
        <f>报表格式!L37</f>
        <v xml:space="preserve">                   出售无形资产收益</v>
      </c>
      <c r="B38" s="272">
        <v>33</v>
      </c>
      <c r="C38" s="852"/>
      <c r="D38" s="852"/>
    </row>
    <row r="39" spans="1:4" s="82" customFormat="1" ht="12.75">
      <c r="A39" s="273" t="str">
        <f>报表格式!L38</f>
        <v xml:space="preserve">                   罚款净收入</v>
      </c>
      <c r="B39" s="272">
        <v>34</v>
      </c>
      <c r="C39" s="852"/>
      <c r="D39" s="852"/>
    </row>
    <row r="40" spans="1:4" s="82" customFormat="1" ht="12.75">
      <c r="A40" s="273" t="str">
        <f>报表格式!L39</f>
        <v xml:space="preserve">        （五）其他</v>
      </c>
      <c r="B40" s="272">
        <v>35</v>
      </c>
      <c r="C40" s="852"/>
      <c r="D40" s="852"/>
    </row>
    <row r="41" spans="1:4" s="82" customFormat="1" ht="12.75">
      <c r="A41" s="273" t="str">
        <f>报表格式!L40</f>
        <v xml:space="preserve">             其中：用以前年度含量工资结余弥补利润</v>
      </c>
      <c r="B41" s="272">
        <v>36</v>
      </c>
      <c r="C41" s="852"/>
      <c r="D41" s="852"/>
    </row>
    <row r="42" spans="1:4" s="82" customFormat="1" ht="12.75">
      <c r="A42" s="273" t="str">
        <f>报表格式!L41</f>
        <v xml:space="preserve">    减：（一）营业外支出</v>
      </c>
      <c r="B42" s="272">
        <v>37</v>
      </c>
      <c r="C42" s="852"/>
      <c r="D42" s="852"/>
    </row>
    <row r="43" spans="1:4" s="82" customFormat="1" ht="12.75">
      <c r="A43" s="273" t="str">
        <f>报表格式!L42</f>
        <v xml:space="preserve">             其中：处置固定资产净损失</v>
      </c>
      <c r="B43" s="272">
        <v>38</v>
      </c>
      <c r="C43" s="852"/>
      <c r="D43" s="852"/>
    </row>
    <row r="44" spans="1:4" s="82" customFormat="1" ht="12.75">
      <c r="A44" s="273" t="str">
        <f>报表格式!L43</f>
        <v xml:space="preserve">                   出售无形资产损失</v>
      </c>
      <c r="B44" s="272">
        <v>39</v>
      </c>
      <c r="C44" s="852"/>
      <c r="D44" s="852"/>
    </row>
    <row r="45" spans="1:4" s="82" customFormat="1" ht="12.75">
      <c r="A45" s="273" t="str">
        <f>报表格式!L44</f>
        <v xml:space="preserve">                   罚款支出</v>
      </c>
      <c r="B45" s="272">
        <v>40</v>
      </c>
      <c r="C45" s="852"/>
      <c r="D45" s="852"/>
    </row>
    <row r="46" spans="1:4" s="82" customFormat="1" ht="12.75">
      <c r="A46" s="273" t="str">
        <f>报表格式!L45</f>
        <v xml:space="preserve">                   捐赠支出</v>
      </c>
      <c r="B46" s="272">
        <v>41</v>
      </c>
      <c r="C46" s="852"/>
      <c r="D46" s="852"/>
    </row>
    <row r="47" spans="1:4" s="82" customFormat="1" ht="12.75">
      <c r="A47" s="273" t="str">
        <f>报表格式!L46</f>
        <v xml:space="preserve">        （二）其他支出</v>
      </c>
      <c r="B47" s="272">
        <v>42</v>
      </c>
      <c r="C47" s="852"/>
      <c r="D47" s="852"/>
    </row>
    <row r="48" spans="1:4" s="82" customFormat="1" ht="12.75">
      <c r="A48" s="273" t="str">
        <f>报表格式!L47</f>
        <v xml:space="preserve">             其中：结转的含量工资包干结余</v>
      </c>
      <c r="B48" s="272">
        <v>43</v>
      </c>
      <c r="C48" s="852"/>
      <c r="D48" s="852"/>
    </row>
    <row r="49" spans="1:4" s="82" customFormat="1" ht="12.75">
      <c r="A49" s="271" t="str">
        <f>报表格式!L48</f>
        <v>五、利润总额</v>
      </c>
      <c r="B49" s="272">
        <v>44</v>
      </c>
      <c r="C49" s="274">
        <f>C30+C31+C32+C33+C35+C40-C42-C47</f>
        <v>0</v>
      </c>
      <c r="D49" s="274">
        <f>D30+D31+D32+D33+D35+D40-D42-D47</f>
        <v>0</v>
      </c>
    </row>
    <row r="50" spans="1:4" s="82" customFormat="1" ht="12.75">
      <c r="A50" s="273" t="str">
        <f>报表格式!L49</f>
        <v xml:space="preserve">    减：所得税</v>
      </c>
      <c r="B50" s="272">
        <v>45</v>
      </c>
      <c r="C50" s="852"/>
      <c r="D50" s="852"/>
    </row>
    <row r="51" spans="1:4" s="82" customFormat="1" ht="12.75">
      <c r="A51" s="273" t="str">
        <f>报表格式!L50</f>
        <v xml:space="preserve">       *少数股东损益</v>
      </c>
      <c r="B51" s="272">
        <v>46</v>
      </c>
      <c r="C51" s="852"/>
      <c r="D51" s="852"/>
    </row>
    <row r="52" spans="1:4" s="82" customFormat="1" ht="12.75">
      <c r="A52" s="273" t="str">
        <f>报表格式!L51</f>
        <v xml:space="preserve">    加：*未确认的投资损失</v>
      </c>
      <c r="B52" s="272">
        <v>47</v>
      </c>
      <c r="C52" s="852"/>
      <c r="D52" s="852"/>
    </row>
    <row r="53" spans="1:4" s="82" customFormat="1" ht="12.75">
      <c r="A53" s="271" t="str">
        <f>报表格式!L52</f>
        <v>六、净利润</v>
      </c>
      <c r="B53" s="272">
        <v>48</v>
      </c>
      <c r="C53" s="274">
        <f>C49-C50-C51+C52</f>
        <v>0</v>
      </c>
      <c r="D53" s="274">
        <f>D49-D50-D51+D52</f>
        <v>0</v>
      </c>
    </row>
    <row r="54" spans="1:4" s="82" customFormat="1" ht="12.75">
      <c r="A54" s="273" t="str">
        <f>报表格式!L53</f>
        <v xml:space="preserve">    加：（一）年初未分配利润</v>
      </c>
      <c r="B54" s="272">
        <v>49</v>
      </c>
      <c r="C54" s="852"/>
      <c r="D54" s="852"/>
    </row>
    <row r="55" spans="1:4" s="82" customFormat="1" ht="12.75">
      <c r="A55" s="273" t="str">
        <f>报表格式!L54</f>
        <v xml:space="preserve">        （二）盈余公积补亏</v>
      </c>
      <c r="B55" s="272">
        <v>50</v>
      </c>
      <c r="C55" s="852"/>
      <c r="D55" s="852"/>
    </row>
    <row r="56" spans="1:4" s="82" customFormat="1" ht="12.75">
      <c r="A56" s="273" t="str">
        <f>报表格式!L55</f>
        <v xml:space="preserve">        （三）其他调整因素</v>
      </c>
      <c r="B56" s="272">
        <v>51</v>
      </c>
      <c r="C56" s="852"/>
      <c r="D56" s="852"/>
    </row>
    <row r="57" spans="1:4" s="82" customFormat="1" ht="12.75">
      <c r="A57" s="271" t="str">
        <f>报表格式!L56</f>
        <v>七、可供分配的利润</v>
      </c>
      <c r="B57" s="272">
        <v>52</v>
      </c>
      <c r="C57" s="275">
        <f>C53+C54+C55+C56</f>
        <v>0</v>
      </c>
      <c r="D57" s="275">
        <f>D53+D54+D55+D56</f>
        <v>0</v>
      </c>
    </row>
    <row r="58" spans="1:4" s="82" customFormat="1" ht="12.75">
      <c r="A58" s="273" t="str">
        <f>报表格式!L57</f>
        <v xml:space="preserve">    减：（一）提取法定盈余公积</v>
      </c>
      <c r="B58" s="272">
        <v>53</v>
      </c>
      <c r="C58" s="852"/>
      <c r="D58" s="852"/>
    </row>
    <row r="59" spans="1:4" s="82" customFormat="1" ht="12.75">
      <c r="A59" s="273" t="str">
        <f>报表格式!L58</f>
        <v xml:space="preserve">        （二）提取法定公益金</v>
      </c>
      <c r="B59" s="272">
        <v>54</v>
      </c>
      <c r="C59" s="852"/>
      <c r="D59" s="852"/>
    </row>
    <row r="60" spans="1:4" s="82" customFormat="1" ht="12.75">
      <c r="A60" s="273" t="str">
        <f>报表格式!L59</f>
        <v xml:space="preserve">        （三）提取职工奖励及福利基金</v>
      </c>
      <c r="B60" s="272">
        <v>55</v>
      </c>
      <c r="C60" s="852"/>
      <c r="D60" s="852"/>
    </row>
    <row r="61" spans="1:4" s="82" customFormat="1" ht="12.75">
      <c r="A61" s="273" t="str">
        <f>报表格式!L60</f>
        <v xml:space="preserve">        （四）提取储备基金</v>
      </c>
      <c r="B61" s="272">
        <v>56</v>
      </c>
      <c r="C61" s="852"/>
      <c r="D61" s="852"/>
    </row>
    <row r="62" spans="1:4" s="82" customFormat="1" ht="12.75">
      <c r="A62" s="273" t="str">
        <f>报表格式!L61</f>
        <v xml:space="preserve">        （五）提取企业发展基金 </v>
      </c>
      <c r="B62" s="272">
        <v>57</v>
      </c>
      <c r="C62" s="852"/>
      <c r="D62" s="852"/>
    </row>
    <row r="63" spans="1:4" s="82" customFormat="1" ht="12.75">
      <c r="A63" s="273" t="str">
        <f>报表格式!L62</f>
        <v xml:space="preserve">        （六）利润归还投资 </v>
      </c>
      <c r="B63" s="272">
        <v>58</v>
      </c>
      <c r="C63" s="852"/>
      <c r="D63" s="852"/>
    </row>
    <row r="64" spans="1:4" s="82" customFormat="1" ht="12.75">
      <c r="A64" s="273" t="str">
        <f>报表格式!L63</f>
        <v xml:space="preserve">        （七）补充流动资本</v>
      </c>
      <c r="B64" s="272">
        <v>59</v>
      </c>
      <c r="C64" s="852"/>
      <c r="D64" s="852"/>
    </row>
    <row r="65" spans="1:4" s="82" customFormat="1" ht="12.75">
      <c r="A65" s="273" t="str">
        <f>报表格式!L64</f>
        <v xml:space="preserve">        （八）单项留用的利润</v>
      </c>
      <c r="B65" s="272">
        <v>60</v>
      </c>
      <c r="C65" s="852"/>
      <c r="D65" s="852"/>
    </row>
    <row r="66" spans="1:4" s="82" customFormat="1" ht="12.75">
      <c r="A66" s="273" t="str">
        <f>报表格式!L65</f>
        <v xml:space="preserve">        （九）其他</v>
      </c>
      <c r="B66" s="272">
        <v>61</v>
      </c>
      <c r="C66" s="852"/>
      <c r="D66" s="852"/>
    </row>
    <row r="67" spans="1:4" s="82" customFormat="1" ht="12.75">
      <c r="A67" s="271" t="str">
        <f>报表格式!L66</f>
        <v>八、可供投资者分配的利润</v>
      </c>
      <c r="B67" s="272">
        <v>62</v>
      </c>
      <c r="C67" s="274">
        <f>C57-C58-C59-C60-C61-C62-C63-C64-C65-C66</f>
        <v>0</v>
      </c>
      <c r="D67" s="274">
        <f>D57-D58-D59-D60-D61-D62-D63-D64-D65-D66</f>
        <v>0</v>
      </c>
    </row>
    <row r="68" spans="1:4" s="82" customFormat="1" ht="12.75">
      <c r="A68" s="273" t="str">
        <f>报表格式!L67</f>
        <v xml:space="preserve">    减：（一）应付优先股股利</v>
      </c>
      <c r="B68" s="272">
        <v>63</v>
      </c>
      <c r="C68" s="852"/>
      <c r="D68" s="852"/>
    </row>
    <row r="69" spans="1:4" s="82" customFormat="1" ht="12.75">
      <c r="A69" s="273" t="str">
        <f>报表格式!L68</f>
        <v xml:space="preserve">        （二）提取任意盈余公积</v>
      </c>
      <c r="B69" s="272">
        <v>64</v>
      </c>
      <c r="C69" s="852"/>
      <c r="D69" s="852"/>
    </row>
    <row r="70" spans="1:4" s="82" customFormat="1" ht="12.75">
      <c r="A70" s="273" t="str">
        <f>报表格式!L69</f>
        <v xml:space="preserve">        （三）应付普通股股利（应付利润）</v>
      </c>
      <c r="B70" s="272">
        <v>65</v>
      </c>
      <c r="C70" s="852"/>
      <c r="D70" s="852"/>
    </row>
    <row r="71" spans="1:4" s="82" customFormat="1" ht="12.75">
      <c r="A71" s="273" t="str">
        <f>报表格式!L70</f>
        <v xml:space="preserve">        （四）转作资本（股本）的普通股股利</v>
      </c>
      <c r="B71" s="272">
        <v>66</v>
      </c>
      <c r="C71" s="852"/>
      <c r="D71" s="852"/>
    </row>
    <row r="72" spans="1:4">
      <c r="A72" s="273" t="str">
        <f>报表格式!L71</f>
        <v xml:space="preserve">        （五）其他</v>
      </c>
      <c r="B72" s="272">
        <v>67</v>
      </c>
      <c r="C72" s="852"/>
      <c r="D72" s="852"/>
    </row>
    <row r="73" spans="1:4">
      <c r="A73" s="271" t="str">
        <f>报表格式!L72</f>
        <v>九、未分配利润</v>
      </c>
      <c r="B73" s="272">
        <v>68</v>
      </c>
      <c r="C73" s="274">
        <f>C67-C68-C69-C70-C71-C72</f>
        <v>0</v>
      </c>
      <c r="D73" s="274">
        <f>D67-D68-D69-D70-D71-D72</f>
        <v>0</v>
      </c>
    </row>
    <row r="74" spans="1:4">
      <c r="A74" s="273" t="str">
        <f>报表格式!L73</f>
        <v xml:space="preserve">    其中：应由以后年度税前利润弥补的亏损（以“+”号填列）</v>
      </c>
      <c r="B74" s="272">
        <v>69</v>
      </c>
      <c r="C74" s="852"/>
      <c r="D74" s="852"/>
    </row>
    <row r="75" spans="1:4">
      <c r="A75" s="255" t="str">
        <f>CONCATENATE(参数!C4,参数!D4,"                         ",参数!C5,参数!D5)</f>
        <v>法定代表人：                         财务负责人：</v>
      </c>
      <c r="B75" s="456"/>
      <c r="C75" s="276"/>
      <c r="D75" s="255" t="str">
        <f>CONCATENATE(参数!C6,参数!D6)</f>
        <v>会计主管：</v>
      </c>
    </row>
    <row r="77" spans="1:4">
      <c r="A77" s="34"/>
      <c r="B77" s="34"/>
      <c r="C77" s="34"/>
      <c r="D77" s="34"/>
    </row>
    <row r="78" spans="1:4">
      <c r="D78" s="145"/>
    </row>
  </sheetData>
  <sheetProtection insertRows="0"/>
  <customSheetViews>
    <customSheetView guid="{9A8CA204-20A8-11D5-8CC7-F77182B33125}" showPageBreaks="1" zeroValues="0" hiddenRows="1" view="pageBreakPreview" showRuler="0">
      <pane xSplit="1" ySplit="5" topLeftCell="B6" activePane="bottomRight" state="frozen"/>
      <selection pane="bottomRight" activeCell="I28" sqref="I28"/>
      <pageMargins left="1.299212598425197" right="0.23622047244094491" top="0.70866141732283472" bottom="0.59055118110236227" header="0.39370078740157483" footer="0.55118110236220474"/>
      <printOptions horizontalCentered="1"/>
      <pageSetup paperSize="9" orientation="portrait" r:id="rId1"/>
      <headerFooter alignWithMargins="0">
        <oddHeader>&amp;L&amp;"Times New Roman,常规"               &amp;"宋体,常规"未审表：</oddHeader>
      </headerFooter>
    </customSheetView>
  </customSheetViews>
  <mergeCells count="3">
    <mergeCell ref="A2:D2"/>
    <mergeCell ref="B4:C4"/>
    <mergeCell ref="A3:B3"/>
  </mergeCells>
  <phoneticPr fontId="3" type="noConversion"/>
  <conditionalFormatting sqref="A3:C3">
    <cfRule type="cellIs" dxfId="65" priority="1" stopIfTrue="1" operator="equal">
      <formula>0</formula>
    </cfRule>
  </conditionalFormatting>
  <conditionalFormatting sqref="A1">
    <cfRule type="cellIs" dxfId="64" priority="2" stopIfTrue="1" operator="equal">
      <formula>"年初未分配利润勾稽有误！"</formula>
    </cfRule>
  </conditionalFormatting>
  <conditionalFormatting sqref="A2:D2">
    <cfRule type="cellIs" dxfId="63" priority="3" stopIfTrue="1" operator="equal">
      <formula>"利润表及利润分配表"</formula>
    </cfRule>
  </conditionalFormatting>
  <conditionalFormatting sqref="D3">
    <cfRule type="cellIs" dxfId="62" priority="4" stopIfTrue="1" operator="equal">
      <formula>"              财企02表"</formula>
    </cfRule>
  </conditionalFormatting>
  <printOptions horizontalCentered="1"/>
  <pageMargins left="1.08" right="0.23622047244094491" top="0.34" bottom="0.25" header="0.2" footer="0.2"/>
  <pageSetup paperSize="9" scale="80" orientation="portrait" blackAndWhite="1" r:id="rId2"/>
  <headerFooter alignWithMargins="0">
    <oddHeader>&amp;L&amp;"Times New Roman,常规"&amp;8               &amp;"宋体,常规"未审会计报表：</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pageSetUpPr fitToPage="1"/>
  </sheetPr>
  <dimension ref="A1:F53"/>
  <sheetViews>
    <sheetView showZeros="0" zoomScaleNormal="100" workbookViewId="0">
      <pane xSplit="2" ySplit="6" topLeftCell="C7" activePane="bottomRight" state="frozen"/>
      <selection pane="topRight" activeCell="C1" sqref="C1"/>
      <selection pane="bottomLeft" activeCell="A7" sqref="A7"/>
      <selection pane="bottomRight" activeCell="A2" sqref="A2:F2"/>
    </sheetView>
  </sheetViews>
  <sheetFormatPr defaultRowHeight="14.25"/>
  <cols>
    <col min="1" max="1" width="38.875" style="22" customWidth="1"/>
    <col min="2" max="2" width="3.875" style="22" customWidth="1"/>
    <col min="3" max="3" width="15" style="22" customWidth="1"/>
    <col min="4" max="4" width="38.75" style="22" customWidth="1"/>
    <col min="5" max="5" width="3.875" style="22" customWidth="1"/>
    <col min="6" max="6" width="14.625" style="22" customWidth="1"/>
    <col min="7" max="16384" width="9" style="22"/>
  </cols>
  <sheetData>
    <row r="1" spans="1:6" s="34" customFormat="1" ht="12">
      <c r="A1" s="755" t="str">
        <f>IF(AND(ABS(C18-F27)&lt;0.005,ABS(C47-F47)&lt;0.005),"","未审现金流量表不平！")</f>
        <v/>
      </c>
      <c r="B1" s="755"/>
      <c r="C1" s="755"/>
      <c r="D1" s="914" t="s">
        <v>218</v>
      </c>
      <c r="E1" s="914"/>
      <c r="F1" s="760" t="s">
        <v>559</v>
      </c>
    </row>
    <row r="2" spans="1:6" ht="18.75">
      <c r="A2" s="915" t="s">
        <v>17</v>
      </c>
      <c r="B2" s="915"/>
      <c r="C2" s="915"/>
      <c r="D2" s="915"/>
      <c r="E2" s="915"/>
      <c r="F2" s="915"/>
    </row>
    <row r="3" spans="1:6" s="1" customFormat="1" ht="12.75">
      <c r="A3" s="913">
        <f>IF(ABS(C18-F27)&lt;0.005,0,"“经营活动产生的现金流量”左右不平，差额为:")</f>
        <v>0</v>
      </c>
      <c r="B3" s="913"/>
      <c r="C3" s="761">
        <f>IF(ABS(C18-F27)&lt;0.005,0,C18-F27)</f>
        <v>0</v>
      </c>
      <c r="D3" s="913">
        <f>IF(ABS(C47-F47)&lt;0.005,0,"“现金及现金等价物净增加额”左右不平，差额为：")</f>
        <v>0</v>
      </c>
      <c r="E3" s="913"/>
      <c r="F3" s="762" t="str">
        <f>IF(ABS(C47-F47)&lt;0.005,"     财企03表",C47-F47)</f>
        <v xml:space="preserve">     财企03表</v>
      </c>
    </row>
    <row r="4" spans="1:6" s="9" customFormat="1" ht="11.25">
      <c r="A4" s="277" t="str">
        <f>IF(报表格式!G41="","      对不起，请到参数表中确定报表类型！",CONCATENATE(" 编制单位：",参数!D3))</f>
        <v xml:space="preserve"> 编制单位：</v>
      </c>
      <c r="B4" s="278"/>
      <c r="C4" s="279" t="str">
        <f>参数!$D$10</f>
        <v>2007年度</v>
      </c>
      <c r="D4" s="280"/>
      <c r="E4" s="916" t="str">
        <f>CONCATENATE("金额单位：",参数!$D$13)</f>
        <v>金额单位：人民币元</v>
      </c>
      <c r="F4" s="917"/>
    </row>
    <row r="5" spans="1:6" s="9" customFormat="1" ht="11.25">
      <c r="A5" s="281" t="s">
        <v>505</v>
      </c>
      <c r="B5" s="281" t="s">
        <v>366</v>
      </c>
      <c r="C5" s="282" t="s">
        <v>363</v>
      </c>
      <c r="D5" s="281" t="s">
        <v>506</v>
      </c>
      <c r="E5" s="281" t="s">
        <v>366</v>
      </c>
      <c r="F5" s="282" t="s">
        <v>364</v>
      </c>
    </row>
    <row r="6" spans="1:6" s="9" customFormat="1" ht="11.25">
      <c r="A6" s="283" t="str">
        <f>报表格式!Q5</f>
        <v>一、经营活动产生的现金流量</v>
      </c>
      <c r="B6" s="281">
        <v>1</v>
      </c>
      <c r="C6" s="284" t="s">
        <v>365</v>
      </c>
      <c r="D6" s="285" t="str">
        <f>报表格式!U5</f>
        <v>1、将净利润调节为经营活动现金流量</v>
      </c>
      <c r="E6" s="286">
        <v>1</v>
      </c>
      <c r="F6" s="284"/>
    </row>
    <row r="7" spans="1:6" s="9" customFormat="1" ht="12.75">
      <c r="A7" s="287" t="str">
        <f>报表格式!Q6</f>
        <v xml:space="preserve">     销售商品、提供劳务收到的现金</v>
      </c>
      <c r="B7" s="281">
        <v>2</v>
      </c>
      <c r="C7" s="436"/>
      <c r="D7" s="287" t="str">
        <f>报表格式!U6</f>
        <v xml:space="preserve">     净利润</v>
      </c>
      <c r="E7" s="286">
        <v>2</v>
      </c>
      <c r="F7" s="439">
        <f>未审PL!D53</f>
        <v>0</v>
      </c>
    </row>
    <row r="8" spans="1:6" s="9" customFormat="1" ht="12.75">
      <c r="A8" s="287" t="str">
        <f>报表格式!Q7</f>
        <v xml:space="preserve">     收到的税费返还</v>
      </c>
      <c r="B8" s="281">
        <v>3</v>
      </c>
      <c r="C8" s="436"/>
      <c r="D8" s="287" t="str">
        <f>报表格式!U7</f>
        <v>加：*少数股东损益</v>
      </c>
      <c r="E8" s="286">
        <v>3</v>
      </c>
      <c r="F8" s="436"/>
    </row>
    <row r="9" spans="1:6" s="9" customFormat="1" ht="12.75">
      <c r="A9" s="287" t="str">
        <f>报表格式!Q8</f>
        <v xml:space="preserve">     收到的其他与经营活动有关的现金</v>
      </c>
      <c r="B9" s="281">
        <v>4</v>
      </c>
      <c r="C9" s="436"/>
      <c r="D9" s="287" t="str">
        <f>报表格式!U8</f>
        <v>减：*未确认的投资损失</v>
      </c>
      <c r="E9" s="286">
        <v>4</v>
      </c>
      <c r="F9" s="436"/>
    </row>
    <row r="10" spans="1:6" s="9" customFormat="1" ht="12.75">
      <c r="A10" s="647">
        <f>报表格式!Q9</f>
        <v>0</v>
      </c>
      <c r="B10" s="281">
        <v>5</v>
      </c>
      <c r="C10" s="436"/>
      <c r="D10" s="287" t="str">
        <f>报表格式!U9</f>
        <v>加：计提的资产减值准备</v>
      </c>
      <c r="E10" s="286">
        <v>5</v>
      </c>
      <c r="F10" s="436"/>
    </row>
    <row r="11" spans="1:6" s="9" customFormat="1" ht="12.75">
      <c r="A11" s="283" t="str">
        <f>报表格式!Q10</f>
        <v xml:space="preserve">     现金流入小计</v>
      </c>
      <c r="B11" s="281">
        <v>6</v>
      </c>
      <c r="C11" s="437">
        <f>SUM(C7:C10)</f>
        <v>0</v>
      </c>
      <c r="D11" s="287" t="str">
        <f>报表格式!U10</f>
        <v xml:space="preserve">     固定资产折旧</v>
      </c>
      <c r="E11" s="286">
        <v>6</v>
      </c>
      <c r="F11" s="436"/>
    </row>
    <row r="12" spans="1:6" s="9" customFormat="1" ht="12.75">
      <c r="A12" s="287" t="str">
        <f>报表格式!Q11</f>
        <v xml:space="preserve">     购买商品、接受劳务支付的现金</v>
      </c>
      <c r="B12" s="281">
        <v>7</v>
      </c>
      <c r="C12" s="436"/>
      <c r="D12" s="287" t="str">
        <f>报表格式!U11</f>
        <v xml:space="preserve">     无形资产摊销</v>
      </c>
      <c r="E12" s="286">
        <v>7</v>
      </c>
      <c r="F12" s="436"/>
    </row>
    <row r="13" spans="1:6" s="9" customFormat="1" ht="12.75">
      <c r="A13" s="287" t="str">
        <f>报表格式!Q12</f>
        <v xml:space="preserve">     支付给职工以及为职工支付的现金</v>
      </c>
      <c r="B13" s="281">
        <v>8</v>
      </c>
      <c r="C13" s="436"/>
      <c r="D13" s="287" t="str">
        <f>报表格式!U12</f>
        <v xml:space="preserve">     长期待摊费用摊销</v>
      </c>
      <c r="E13" s="286">
        <v>8</v>
      </c>
      <c r="F13" s="436"/>
    </row>
    <row r="14" spans="1:6" s="9" customFormat="1" ht="12.75">
      <c r="A14" s="287" t="str">
        <f>报表格式!Q13</f>
        <v xml:space="preserve">     支付各项税费</v>
      </c>
      <c r="B14" s="281">
        <v>9</v>
      </c>
      <c r="C14" s="436"/>
      <c r="D14" s="287" t="str">
        <f>报表格式!U13</f>
        <v xml:space="preserve">     待摊费用的减少（减：增加）</v>
      </c>
      <c r="E14" s="286">
        <v>9</v>
      </c>
      <c r="F14" s="436"/>
    </row>
    <row r="15" spans="1:6" s="9" customFormat="1" ht="12.75">
      <c r="A15" s="287" t="str">
        <f>报表格式!Q14</f>
        <v xml:space="preserve">     支付的其他与经营活动有关的现金</v>
      </c>
      <c r="B15" s="281">
        <v>10</v>
      </c>
      <c r="C15" s="436"/>
      <c r="D15" s="287" t="str">
        <f>报表格式!U14</f>
        <v xml:space="preserve">     预提费用的增加（减：减少）</v>
      </c>
      <c r="E15" s="286">
        <v>10</v>
      </c>
      <c r="F15" s="436"/>
    </row>
    <row r="16" spans="1:6" s="9" customFormat="1" ht="12.75">
      <c r="A16" s="647">
        <f>报表格式!Q15</f>
        <v>0</v>
      </c>
      <c r="B16" s="281">
        <v>11</v>
      </c>
      <c r="C16" s="436"/>
      <c r="D16" s="287" t="str">
        <f>报表格式!U15</f>
        <v xml:space="preserve">     处置固定资产、无形资产和其他长期资产的损失（减：收益）</v>
      </c>
      <c r="E16" s="286">
        <v>11</v>
      </c>
      <c r="F16" s="436"/>
    </row>
    <row r="17" spans="1:6" s="9" customFormat="1" ht="12.75">
      <c r="A17" s="283" t="str">
        <f>报表格式!Q18</f>
        <v xml:space="preserve">     现金流出小计</v>
      </c>
      <c r="B17" s="281">
        <v>12</v>
      </c>
      <c r="C17" s="437">
        <f>SUM(C12:C16)</f>
        <v>0</v>
      </c>
      <c r="D17" s="287" t="str">
        <f>报表格式!U16</f>
        <v xml:space="preserve">     固定资产报废损失</v>
      </c>
      <c r="E17" s="286">
        <v>12</v>
      </c>
      <c r="F17" s="436"/>
    </row>
    <row r="18" spans="1:6" s="9" customFormat="1" ht="12.75">
      <c r="A18" s="283" t="str">
        <f>报表格式!Q19</f>
        <v xml:space="preserve">     经营活动产生的现金流量净额</v>
      </c>
      <c r="B18" s="281">
        <v>13</v>
      </c>
      <c r="C18" s="437">
        <f>C11-C17</f>
        <v>0</v>
      </c>
      <c r="D18" s="287" t="str">
        <f>报表格式!U17</f>
        <v xml:space="preserve">     财务费用</v>
      </c>
      <c r="E18" s="286">
        <v>13</v>
      </c>
      <c r="F18" s="436"/>
    </row>
    <row r="19" spans="1:6" s="9" customFormat="1" ht="12.75">
      <c r="A19" s="283" t="str">
        <f>报表格式!Q20</f>
        <v>二、投资活动产生的现金流量</v>
      </c>
      <c r="B19" s="281">
        <v>14</v>
      </c>
      <c r="C19" s="438" t="s">
        <v>702</v>
      </c>
      <c r="D19" s="287" t="str">
        <f>报表格式!U18</f>
        <v xml:space="preserve">     投资损失（减：收益）</v>
      </c>
      <c r="E19" s="286">
        <v>14</v>
      </c>
      <c r="F19" s="436"/>
    </row>
    <row r="20" spans="1:6" s="9" customFormat="1" ht="12.75">
      <c r="A20" s="287" t="str">
        <f>报表格式!Q21</f>
        <v xml:space="preserve">     收回投资所收到的现金</v>
      </c>
      <c r="B20" s="281">
        <v>15</v>
      </c>
      <c r="C20" s="436"/>
      <c r="D20" s="287" t="str">
        <f>报表格式!U19</f>
        <v xml:space="preserve">     递延税款贷项（减：借项）</v>
      </c>
      <c r="E20" s="286">
        <v>15</v>
      </c>
      <c r="F20" s="436"/>
    </row>
    <row r="21" spans="1:6" s="9" customFormat="1" ht="12.75">
      <c r="A21" s="287" t="str">
        <f>报表格式!Q22</f>
        <v xml:space="preserve">     其中：出售子公司所收到的现金</v>
      </c>
      <c r="B21" s="281">
        <v>16</v>
      </c>
      <c r="C21" s="436"/>
      <c r="D21" s="287" t="str">
        <f>报表格式!U20</f>
        <v xml:space="preserve">     存货的减少（减：增加）</v>
      </c>
      <c r="E21" s="286">
        <v>16</v>
      </c>
      <c r="F21" s="436"/>
    </row>
    <row r="22" spans="1:6" s="9" customFormat="1" ht="12.75">
      <c r="A22" s="287" t="str">
        <f>报表格式!Q23</f>
        <v xml:space="preserve">     取得投资收益所收到的现金</v>
      </c>
      <c r="B22" s="281">
        <v>17</v>
      </c>
      <c r="C22" s="436"/>
      <c r="D22" s="287" t="str">
        <f>报表格式!U21</f>
        <v xml:space="preserve">     经营性应收项目的减少（减：增加）</v>
      </c>
      <c r="E22" s="286">
        <v>17</v>
      </c>
      <c r="F22" s="436"/>
    </row>
    <row r="23" spans="1:6" s="9" customFormat="1" ht="12.75">
      <c r="A23" s="287" t="str">
        <f>报表格式!Q24</f>
        <v xml:space="preserve">     处置固定资产、无形资产和其他长期资产所收回的现金净额</v>
      </c>
      <c r="B23" s="281">
        <v>18</v>
      </c>
      <c r="C23" s="436"/>
      <c r="D23" s="287" t="str">
        <f>报表格式!U22</f>
        <v xml:space="preserve">     经营性应付项目的增加（减：减少）</v>
      </c>
      <c r="E23" s="286">
        <v>18</v>
      </c>
      <c r="F23" s="436"/>
    </row>
    <row r="24" spans="1:6" s="9" customFormat="1" ht="12.75">
      <c r="A24" s="287" t="str">
        <f>报表格式!Q25</f>
        <v xml:space="preserve">     收到的其他与投资活动有关的现金</v>
      </c>
      <c r="B24" s="281">
        <v>19</v>
      </c>
      <c r="C24" s="436"/>
      <c r="D24" s="287" t="str">
        <f>报表格式!U23</f>
        <v xml:space="preserve">     其他</v>
      </c>
      <c r="E24" s="286">
        <v>19</v>
      </c>
      <c r="F24" s="436"/>
    </row>
    <row r="25" spans="1:6" s="9" customFormat="1" ht="12.75">
      <c r="A25" s="647">
        <f>报表格式!Q26</f>
        <v>0</v>
      </c>
      <c r="B25" s="281">
        <v>20</v>
      </c>
      <c r="C25" s="436"/>
      <c r="D25" s="647">
        <f>报表格式!U24</f>
        <v>0</v>
      </c>
      <c r="E25" s="286">
        <v>20</v>
      </c>
      <c r="F25" s="436"/>
    </row>
    <row r="26" spans="1:6" s="9" customFormat="1" ht="12.75">
      <c r="A26" s="283" t="str">
        <f>报表格式!Q27</f>
        <v xml:space="preserve">     现金流入小计</v>
      </c>
      <c r="B26" s="281">
        <v>21</v>
      </c>
      <c r="C26" s="437">
        <f>SUM(C20:C25)-C21</f>
        <v>0</v>
      </c>
      <c r="D26" s="647">
        <f>报表格式!U25</f>
        <v>0</v>
      </c>
      <c r="E26" s="286">
        <v>21</v>
      </c>
      <c r="F26" s="436"/>
    </row>
    <row r="27" spans="1:6" s="9" customFormat="1" ht="12.75">
      <c r="A27" s="287" t="str">
        <f>报表格式!Q28</f>
        <v xml:space="preserve">     购置固定资产、无形资产和其他长期资产所支付的现金</v>
      </c>
      <c r="B27" s="281">
        <v>22</v>
      </c>
      <c r="C27" s="436"/>
      <c r="D27" s="285" t="str">
        <f>报表格式!U26</f>
        <v xml:space="preserve">     经营活动产生的现金流量净额</v>
      </c>
      <c r="E27" s="286">
        <v>22</v>
      </c>
      <c r="F27" s="437">
        <f>SUM(F7:F8,F10:F26)-F9</f>
        <v>0</v>
      </c>
    </row>
    <row r="28" spans="1:6" s="9" customFormat="1" ht="12.75">
      <c r="A28" s="287" t="str">
        <f>报表格式!Q29</f>
        <v xml:space="preserve">     投资所支付的现金</v>
      </c>
      <c r="B28" s="281">
        <v>23</v>
      </c>
      <c r="C28" s="436"/>
      <c r="D28" s="287" t="str">
        <f>IF(报表格式!U27="","",报表格式!U27)</f>
        <v/>
      </c>
      <c r="E28" s="286">
        <v>23</v>
      </c>
      <c r="F28" s="437"/>
    </row>
    <row r="29" spans="1:6" s="9" customFormat="1" ht="12.75">
      <c r="A29" s="287" t="str">
        <f>报表格式!Q30</f>
        <v xml:space="preserve">     其中：购买子公司所支付的现金</v>
      </c>
      <c r="B29" s="281">
        <v>24</v>
      </c>
      <c r="C29" s="436"/>
      <c r="D29" s="285" t="str">
        <f>报表格式!U28</f>
        <v>2、不涉及现金收支的投资和筹资活动</v>
      </c>
      <c r="E29" s="286">
        <v>24</v>
      </c>
      <c r="F29" s="437"/>
    </row>
    <row r="30" spans="1:6" s="9" customFormat="1" ht="12.75">
      <c r="A30" s="287" t="str">
        <f>报表格式!Q31</f>
        <v xml:space="preserve">     支付的其他与投资活动有关的现金</v>
      </c>
      <c r="B30" s="281">
        <v>25</v>
      </c>
      <c r="C30" s="436"/>
      <c r="D30" s="287" t="str">
        <f>报表格式!U29</f>
        <v xml:space="preserve">     债务转为资本</v>
      </c>
      <c r="E30" s="286">
        <v>25</v>
      </c>
      <c r="F30" s="436"/>
    </row>
    <row r="31" spans="1:6" s="9" customFormat="1" ht="12.75">
      <c r="A31" s="287">
        <f>报表格式!Q32</f>
        <v>0</v>
      </c>
      <c r="B31" s="281">
        <v>26</v>
      </c>
      <c r="C31" s="436"/>
      <c r="D31" s="287" t="str">
        <f>报表格式!U30</f>
        <v xml:space="preserve">     一年内到期的可转换公司债券</v>
      </c>
      <c r="E31" s="286">
        <v>26</v>
      </c>
      <c r="F31" s="436"/>
    </row>
    <row r="32" spans="1:6" s="9" customFormat="1" ht="12.75">
      <c r="A32" s="283" t="str">
        <f>报表格式!Q33</f>
        <v xml:space="preserve">     现金流出小计</v>
      </c>
      <c r="B32" s="281">
        <v>27</v>
      </c>
      <c r="C32" s="437">
        <f>SUM(C27:C31)-C29</f>
        <v>0</v>
      </c>
      <c r="D32" s="287" t="str">
        <f>报表格式!U31</f>
        <v xml:space="preserve">     融资租入固定资产</v>
      </c>
      <c r="E32" s="286">
        <v>27</v>
      </c>
      <c r="F32" s="436"/>
    </row>
    <row r="33" spans="1:6" s="9" customFormat="1" ht="12.75">
      <c r="A33" s="283" t="str">
        <f>报表格式!Q34</f>
        <v xml:space="preserve">     投资活动产生的现金流量净额</v>
      </c>
      <c r="B33" s="281">
        <v>28</v>
      </c>
      <c r="C33" s="437">
        <f>C26-C32</f>
        <v>0</v>
      </c>
      <c r="D33" s="287" t="str">
        <f>报表格式!U32</f>
        <v xml:space="preserve">     其他</v>
      </c>
      <c r="E33" s="286">
        <v>28</v>
      </c>
      <c r="F33" s="436"/>
    </row>
    <row r="34" spans="1:6" s="9" customFormat="1" ht="12.75">
      <c r="A34" s="283" t="str">
        <f>报表格式!Q35</f>
        <v>三、筹资活动产生的现金流量</v>
      </c>
      <c r="B34" s="281">
        <v>29</v>
      </c>
      <c r="C34" s="438"/>
      <c r="D34" s="647">
        <f>报表格式!U33</f>
        <v>0</v>
      </c>
      <c r="E34" s="286">
        <v>29</v>
      </c>
      <c r="F34" s="436"/>
    </row>
    <row r="35" spans="1:6" s="9" customFormat="1" ht="12.75">
      <c r="A35" s="287" t="str">
        <f>报表格式!Q36</f>
        <v xml:space="preserve">     吸收投资所收到的现金</v>
      </c>
      <c r="B35" s="281">
        <v>30</v>
      </c>
      <c r="C35" s="436"/>
      <c r="D35" s="285" t="str">
        <f>报表格式!U34</f>
        <v>3、现金及现金等价物净增加情况</v>
      </c>
      <c r="E35" s="286">
        <v>30</v>
      </c>
      <c r="F35" s="438"/>
    </row>
    <row r="36" spans="1:6" s="9" customFormat="1" ht="12.75">
      <c r="A36" s="287" t="str">
        <f>报表格式!Q37</f>
        <v xml:space="preserve">     取得借款所收到的现金</v>
      </c>
      <c r="B36" s="281">
        <v>31</v>
      </c>
      <c r="C36" s="436"/>
      <c r="D36" s="287" t="str">
        <f>报表格式!U35</f>
        <v xml:space="preserve">     现金的期末余额</v>
      </c>
      <c r="E36" s="286">
        <v>31</v>
      </c>
      <c r="F36" s="440">
        <f>未审BS!D7</f>
        <v>0</v>
      </c>
    </row>
    <row r="37" spans="1:6" s="9" customFormat="1" ht="12.75">
      <c r="A37" s="287" t="str">
        <f>报表格式!Q38</f>
        <v xml:space="preserve">     收到的其他与筹资活动有关的现金</v>
      </c>
      <c r="B37" s="281">
        <v>32</v>
      </c>
      <c r="C37" s="436"/>
      <c r="D37" s="287" t="str">
        <f>报表格式!U36</f>
        <v xml:space="preserve">     减：现金的期初余额</v>
      </c>
      <c r="E37" s="286">
        <v>32</v>
      </c>
      <c r="F37" s="440">
        <f>未审BS!C7</f>
        <v>0</v>
      </c>
    </row>
    <row r="38" spans="1:6" s="9" customFormat="1" ht="12.75">
      <c r="A38" s="647">
        <f>报表格式!Q39</f>
        <v>0</v>
      </c>
      <c r="B38" s="281">
        <v>33</v>
      </c>
      <c r="C38" s="436"/>
      <c r="D38" s="287" t="str">
        <f>报表格式!U37</f>
        <v xml:space="preserve">     加：现金等价物的期末余额</v>
      </c>
      <c r="E38" s="286">
        <v>33</v>
      </c>
      <c r="F38" s="436"/>
    </row>
    <row r="39" spans="1:6" s="9" customFormat="1" ht="12.75">
      <c r="A39" s="283" t="str">
        <f>报表格式!Q40</f>
        <v xml:space="preserve">     现金流入小计</v>
      </c>
      <c r="B39" s="281">
        <v>34</v>
      </c>
      <c r="C39" s="437">
        <f>SUM(C35:C38)</f>
        <v>0</v>
      </c>
      <c r="D39" s="287" t="str">
        <f>报表格式!U38</f>
        <v xml:space="preserve">     减：现金等价物的期初余额</v>
      </c>
      <c r="E39" s="286">
        <v>34</v>
      </c>
      <c r="F39" s="436"/>
    </row>
    <row r="40" spans="1:6" s="9" customFormat="1" ht="12.75">
      <c r="A40" s="287" t="str">
        <f>报表格式!Q41</f>
        <v xml:space="preserve">    偿还债务所支付的现金</v>
      </c>
      <c r="B40" s="281">
        <v>35</v>
      </c>
      <c r="C40" s="436"/>
      <c r="D40" s="287" t="str">
        <f>IF(报表格式!U39="","",报表格式!U39)</f>
        <v/>
      </c>
      <c r="E40" s="286">
        <v>35</v>
      </c>
      <c r="F40" s="438"/>
    </row>
    <row r="41" spans="1:6" s="9" customFormat="1" ht="12.75">
      <c r="A41" s="287" t="str">
        <f>报表格式!Q42</f>
        <v xml:space="preserve">    分配股利、利润和偿付利息所支付的现金</v>
      </c>
      <c r="B41" s="281">
        <v>36</v>
      </c>
      <c r="C41" s="436"/>
      <c r="D41" s="287" t="str">
        <f>IF(报表格式!U40="","",报表格式!U40)</f>
        <v/>
      </c>
      <c r="E41" s="286">
        <v>36</v>
      </c>
      <c r="F41" s="438"/>
    </row>
    <row r="42" spans="1:6" s="9" customFormat="1" ht="12.75">
      <c r="A42" s="287" t="str">
        <f>报表格式!Q43</f>
        <v xml:space="preserve">    支付的其他与筹资活动有关的现金</v>
      </c>
      <c r="B42" s="281">
        <v>37</v>
      </c>
      <c r="C42" s="436"/>
      <c r="D42" s="287" t="str">
        <f>IF(报表格式!U41="","",报表格式!U41)</f>
        <v/>
      </c>
      <c r="E42" s="286">
        <v>37</v>
      </c>
      <c r="F42" s="438"/>
    </row>
    <row r="43" spans="1:6" s="9" customFormat="1" ht="12.75">
      <c r="A43" s="647">
        <f>报表格式!Q44</f>
        <v>0</v>
      </c>
      <c r="B43" s="281">
        <v>38</v>
      </c>
      <c r="C43" s="436"/>
      <c r="D43" s="287" t="str">
        <f>IF(报表格式!U42="","",报表格式!U42)</f>
        <v/>
      </c>
      <c r="E43" s="286">
        <v>38</v>
      </c>
      <c r="F43" s="438"/>
    </row>
    <row r="44" spans="1:6" s="9" customFormat="1" ht="12.75">
      <c r="A44" s="283" t="str">
        <f>报表格式!Q48</f>
        <v xml:space="preserve">     现金流出小计</v>
      </c>
      <c r="B44" s="281">
        <v>39</v>
      </c>
      <c r="C44" s="437">
        <f>SUM(C40:C43)</f>
        <v>0</v>
      </c>
      <c r="D44" s="287" t="str">
        <f>IF(报表格式!U47="","",报表格式!U47)</f>
        <v/>
      </c>
      <c r="E44" s="286">
        <v>39</v>
      </c>
      <c r="F44" s="438"/>
    </row>
    <row r="45" spans="1:6" s="9" customFormat="1" ht="12.75">
      <c r="A45" s="283" t="str">
        <f>报表格式!Q49</f>
        <v xml:space="preserve">     筹资活动产生的现金流量净额</v>
      </c>
      <c r="B45" s="281">
        <v>40</v>
      </c>
      <c r="C45" s="437">
        <f>C39-C44</f>
        <v>0</v>
      </c>
      <c r="D45" s="287"/>
      <c r="E45" s="286">
        <v>40</v>
      </c>
      <c r="F45" s="438"/>
    </row>
    <row r="46" spans="1:6" s="9" customFormat="1" ht="12.75">
      <c r="A46" s="287" t="str">
        <f>报表格式!Q50</f>
        <v>四、汇率变动对现金的影响额</v>
      </c>
      <c r="B46" s="281">
        <v>41</v>
      </c>
      <c r="C46" s="436"/>
      <c r="D46" s="287" t="str">
        <f>IF(报表格式!U48="","",报表格式!U48)</f>
        <v/>
      </c>
      <c r="E46" s="286">
        <v>41</v>
      </c>
      <c r="F46" s="438"/>
    </row>
    <row r="47" spans="1:6" s="9" customFormat="1" ht="12.75">
      <c r="A47" s="283" t="str">
        <f>报表格式!Q51</f>
        <v>五、现金及现金等价物净增加额</v>
      </c>
      <c r="B47" s="281">
        <v>42</v>
      </c>
      <c r="C47" s="437">
        <f>C18+C33+C45+C46</f>
        <v>0</v>
      </c>
      <c r="D47" s="285" t="str">
        <f>报表格式!U51</f>
        <v xml:space="preserve">     现金及现金等价物净增加额</v>
      </c>
      <c r="E47" s="286">
        <v>42</v>
      </c>
      <c r="F47" s="437">
        <f>F36-F37+F38-F39</f>
        <v>0</v>
      </c>
    </row>
    <row r="48" spans="1:6" s="9" customFormat="1" ht="3.75" customHeight="1">
      <c r="A48" s="918"/>
      <c r="B48" s="918"/>
      <c r="C48" s="288"/>
      <c r="D48" s="918"/>
      <c r="E48" s="918"/>
      <c r="F48" s="441"/>
    </row>
    <row r="49" spans="1:6" s="9" customFormat="1" ht="12.75">
      <c r="A49" s="289" t="str">
        <f>CONCATENATE(参数!C4,参数!D4)</f>
        <v>法定代表人：</v>
      </c>
      <c r="B49" s="289"/>
      <c r="C49" s="289" t="str">
        <f>CONCATENATE(参数!C5,参数!D5)</f>
        <v>财务负责人：</v>
      </c>
      <c r="D49" s="289"/>
      <c r="E49" s="290" t="str">
        <f>CONCATENATE(参数!C6,参数!D6)</f>
        <v>会计主管：</v>
      </c>
      <c r="F49" s="442"/>
    </row>
    <row r="50" spans="1:6" s="34" customFormat="1" ht="12.75">
      <c r="F50" s="763"/>
    </row>
    <row r="51" spans="1:6" s="34" customFormat="1" ht="12.75">
      <c r="A51" s="770" t="s">
        <v>945</v>
      </c>
      <c r="C51" s="145">
        <f>C18-F27</f>
        <v>0</v>
      </c>
      <c r="D51" s="764" t="s">
        <v>949</v>
      </c>
      <c r="F51" s="145">
        <f>F37-未审BS!C7</f>
        <v>0</v>
      </c>
    </row>
    <row r="52" spans="1:6" s="34" customFormat="1" ht="12.75">
      <c r="A52" s="770" t="s">
        <v>946</v>
      </c>
      <c r="C52" s="145">
        <f>C47-F47</f>
        <v>0</v>
      </c>
      <c r="D52" s="764" t="s">
        <v>950</v>
      </c>
      <c r="F52" s="145">
        <f>F36-未审BS!D7</f>
        <v>0</v>
      </c>
    </row>
    <row r="53" spans="1:6" s="9" customFormat="1">
      <c r="A53" s="22"/>
      <c r="B53" s="22"/>
      <c r="C53" s="22"/>
      <c r="D53" s="22"/>
      <c r="E53" s="22"/>
      <c r="F53" s="22"/>
    </row>
  </sheetData>
  <customSheetViews>
    <customSheetView guid="{9A8CA204-20A8-11D5-8CC7-F77182B33125}" scale="120" showPageBreaks="1" zeroValues="0" hiddenRows="1" view="pageBreakPreview" showRuler="0">
      <pane ySplit="4" topLeftCell="A5" activePane="bottomLeft" state="frozenSplit"/>
      <selection pane="bottomLeft" activeCell="G49" sqref="G49"/>
      <pageMargins left="0.55000000000000004" right="0.55000000000000004" top="0.64" bottom="0.28000000000000003" header="0.39" footer="0.24"/>
      <printOptions horizontalCentered="1"/>
      <pageSetup paperSize="9" orientation="landscape" r:id="rId1"/>
      <headerFooter alignWithMargins="0">
        <oddHeader>&amp;L&amp;"Times New Roman,常规"        &amp;"宋体,常规"未审表：</oddHeader>
      </headerFooter>
    </customSheetView>
  </customSheetViews>
  <mergeCells count="7">
    <mergeCell ref="D1:E1"/>
    <mergeCell ref="A2:F2"/>
    <mergeCell ref="E4:F4"/>
    <mergeCell ref="A48:B48"/>
    <mergeCell ref="D48:E48"/>
    <mergeCell ref="A3:B3"/>
    <mergeCell ref="D3:E3"/>
  </mergeCells>
  <phoneticPr fontId="3" type="noConversion"/>
  <conditionalFormatting sqref="A3:E3">
    <cfRule type="cellIs" dxfId="61" priority="1" stopIfTrue="1" operator="equal">
      <formula>0</formula>
    </cfRule>
  </conditionalFormatting>
  <conditionalFormatting sqref="A2:F2">
    <cfRule type="cellIs" dxfId="60" priority="2" stopIfTrue="1" operator="equal">
      <formula>"现  金  流  量  表"</formula>
    </cfRule>
  </conditionalFormatting>
  <conditionalFormatting sqref="A1">
    <cfRule type="cellIs" dxfId="59" priority="3" stopIfTrue="1" operator="equal">
      <formula>"未审现金流量表不平！"</formula>
    </cfRule>
  </conditionalFormatting>
  <conditionalFormatting sqref="F3">
    <cfRule type="cellIs" dxfId="58" priority="4" stopIfTrue="1" operator="equal">
      <formula>0</formula>
    </cfRule>
    <cfRule type="cellIs" dxfId="57" priority="5" stopIfTrue="1" operator="equal">
      <formula>"     财企03表"</formula>
    </cfRule>
  </conditionalFormatting>
  <printOptions horizontalCentered="1"/>
  <pageMargins left="0.55118110236220474" right="0.55118110236220474" top="0.3" bottom="0.27559055118110237" header="0.19" footer="0.23622047244094491"/>
  <pageSetup paperSize="9" scale="80" orientation="landscape" blackAndWhite="1" r:id="rId2"/>
  <headerFooter alignWithMargins="0">
    <oddHeader>&amp;L&amp;"Times New Roman,常规"&amp;8        &amp;"宋体,常规"未审会计报表：</oddHeader>
  </headerFooter>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M66"/>
  <sheetViews>
    <sheetView showZeros="0" zoomScaleNormal="100" workbookViewId="0">
      <pane xSplit="2" ySplit="5" topLeftCell="C6" activePane="bottomRight" state="frozen"/>
      <selection pane="topRight" activeCell="C1" sqref="C1"/>
      <selection pane="bottomLeft" activeCell="A5" sqref="A5"/>
      <selection pane="bottomRight" activeCell="A2" sqref="A2:L2"/>
    </sheetView>
  </sheetViews>
  <sheetFormatPr defaultRowHeight="14.25"/>
  <cols>
    <col min="1" max="1" width="21.625" style="151" customWidth="1"/>
    <col min="2" max="2" width="2.625" style="151" customWidth="1"/>
    <col min="3" max="3" width="11.125" style="152" customWidth="1"/>
    <col min="4" max="4" width="11.75" style="152" customWidth="1"/>
    <col min="5" max="5" width="6.375" style="152" hidden="1" customWidth="1"/>
    <col min="6" max="6" width="7.75" style="152" customWidth="1"/>
    <col min="7" max="7" width="19" style="151" customWidth="1"/>
    <col min="8" max="8" width="3.125" style="151" customWidth="1"/>
    <col min="9" max="9" width="12.375" style="152" customWidth="1"/>
    <col min="10" max="10" width="12.125" style="152" customWidth="1"/>
    <col min="11" max="11" width="7.125" style="152" hidden="1" customWidth="1"/>
    <col min="12" max="12" width="6.75" style="152" customWidth="1"/>
    <col min="13" max="13" width="15" style="152" bestFit="1" customWidth="1"/>
    <col min="14" max="16384" width="9" style="152"/>
  </cols>
  <sheetData>
    <row r="1" spans="1:12" ht="12" customHeight="1">
      <c r="A1" s="765" t="str">
        <f>IF(AND(ABS(F62)&lt;0.005,ABS(L62)&lt;0.005),"期初金额核对一致","期初金额核对不符！")</f>
        <v>期初金额核对一致</v>
      </c>
      <c r="B1" s="755"/>
      <c r="C1" s="755"/>
      <c r="D1" s="755"/>
      <c r="E1" s="755"/>
      <c r="F1" s="755"/>
      <c r="G1" s="755"/>
      <c r="H1" s="903"/>
      <c r="I1" s="903"/>
      <c r="J1" s="755"/>
      <c r="K1" s="755"/>
      <c r="L1" s="755"/>
    </row>
    <row r="2" spans="1:12" ht="18.75">
      <c r="A2" s="919" t="s">
        <v>558</v>
      </c>
      <c r="B2" s="919"/>
      <c r="C2" s="919"/>
      <c r="D2" s="919"/>
      <c r="E2" s="919"/>
      <c r="F2" s="919"/>
      <c r="G2" s="919"/>
      <c r="H2" s="919"/>
      <c r="I2" s="919"/>
      <c r="J2" s="919"/>
      <c r="K2" s="919"/>
      <c r="L2" s="919"/>
    </row>
    <row r="3" spans="1:12">
      <c r="A3" s="765"/>
      <c r="B3" s="766"/>
      <c r="C3" s="767"/>
      <c r="D3" s="768"/>
      <c r="E3" s="768"/>
      <c r="F3" s="768"/>
      <c r="G3" s="769"/>
      <c r="H3" s="766"/>
      <c r="I3" s="767"/>
      <c r="J3" s="768"/>
      <c r="K3" s="768"/>
      <c r="L3" s="755"/>
    </row>
    <row r="4" spans="1:12" s="151" customFormat="1" ht="15.75" customHeight="1" thickBot="1">
      <c r="A4" s="904" t="str">
        <f>IF(报表格式!G41="","            对不起，请到参数表中确定报表类型！",CONCATENATE(" 客户名称：",参数!D3))</f>
        <v xml:space="preserve"> 客户名称：</v>
      </c>
      <c r="B4" s="904"/>
      <c r="C4" s="904"/>
      <c r="D4" s="921">
        <f>参数!$D$12</f>
        <v>39447</v>
      </c>
      <c r="E4" s="921"/>
      <c r="F4" s="921"/>
      <c r="G4" s="921"/>
      <c r="H4" s="457"/>
      <c r="I4" s="455"/>
      <c r="J4" s="920" t="str">
        <f>CONCATENATE("金额单位：",参数!$D$13)</f>
        <v>金额单位：人民币元</v>
      </c>
      <c r="K4" s="920"/>
      <c r="L4" s="920"/>
    </row>
    <row r="5" spans="1:12" ht="24">
      <c r="A5" s="507" t="str">
        <f>IF(E62&lt;=0.005,"资     产","资产明细核对不符！")</f>
        <v>资     产</v>
      </c>
      <c r="B5" s="508" t="s">
        <v>557</v>
      </c>
      <c r="C5" s="509" t="s">
        <v>561</v>
      </c>
      <c r="D5" s="509" t="s">
        <v>562</v>
      </c>
      <c r="E5" s="509" t="s">
        <v>703</v>
      </c>
      <c r="F5" s="509" t="s">
        <v>563</v>
      </c>
      <c r="G5" s="510" t="str">
        <f>IF(K62&lt;=0.005,IF(参数!D8="一般企业（执行统一会计制度）","负债及所有者权益","负债及股东权益"),"负债明细核对不符！")</f>
        <v>负债及所有者权益</v>
      </c>
      <c r="H5" s="509" t="s">
        <v>557</v>
      </c>
      <c r="I5" s="509" t="s">
        <v>561</v>
      </c>
      <c r="J5" s="509" t="s">
        <v>562</v>
      </c>
      <c r="K5" s="509" t="s">
        <v>703</v>
      </c>
      <c r="L5" s="511" t="s">
        <v>563</v>
      </c>
    </row>
    <row r="6" spans="1:12" ht="13.9" customHeight="1">
      <c r="A6" s="512" t="str">
        <f>报表格式!B5</f>
        <v>流动资产：</v>
      </c>
      <c r="B6" s="513">
        <v>1</v>
      </c>
      <c r="C6" s="551"/>
      <c r="D6" s="551"/>
      <c r="E6" s="524"/>
      <c r="F6" s="552"/>
      <c r="G6" s="525" t="str">
        <f>报表格式!G5</f>
        <v>流动负债：</v>
      </c>
      <c r="H6" s="526">
        <f>B62+1</f>
        <v>58</v>
      </c>
      <c r="I6" s="551"/>
      <c r="J6" s="551"/>
      <c r="K6" s="543"/>
      <c r="L6" s="544"/>
    </row>
    <row r="7" spans="1:12" ht="13.9" customHeight="1">
      <c r="A7" s="514" t="str">
        <f>报表格式!B6</f>
        <v>货币资金</v>
      </c>
      <c r="B7" s="515">
        <v>2</v>
      </c>
      <c r="C7" s="853"/>
      <c r="D7" s="527">
        <f>未审BS!C7</f>
        <v>0</v>
      </c>
      <c r="E7" s="528">
        <f>ABS(F7)</f>
        <v>0</v>
      </c>
      <c r="F7" s="527">
        <f>C7-D7</f>
        <v>0</v>
      </c>
      <c r="G7" s="529" t="str">
        <f>报表格式!G6</f>
        <v>短期借款</v>
      </c>
      <c r="H7" s="530">
        <f t="shared" ref="H7:H42" si="0">H6+1</f>
        <v>59</v>
      </c>
      <c r="I7" s="853"/>
      <c r="J7" s="527">
        <f>未审BS!G7</f>
        <v>0</v>
      </c>
      <c r="K7" s="545">
        <f>ABS(L7)</f>
        <v>0</v>
      </c>
      <c r="L7" s="545">
        <f>I7-J7</f>
        <v>0</v>
      </c>
    </row>
    <row r="8" spans="1:12" ht="13.9" customHeight="1">
      <c r="A8" s="514" t="str">
        <f>报表格式!B7</f>
        <v>短期投资</v>
      </c>
      <c r="B8" s="513">
        <v>3</v>
      </c>
      <c r="C8" s="853"/>
      <c r="D8" s="527">
        <f>未审BS!C8</f>
        <v>0</v>
      </c>
      <c r="E8" s="528">
        <f t="shared" ref="E8:E61" si="1">ABS(F8)</f>
        <v>0</v>
      </c>
      <c r="F8" s="527">
        <f t="shared" ref="F8:F34" si="2">C8-D8</f>
        <v>0</v>
      </c>
      <c r="G8" s="529" t="str">
        <f>报表格式!G7</f>
        <v>应付票据</v>
      </c>
      <c r="H8" s="530">
        <f t="shared" si="0"/>
        <v>60</v>
      </c>
      <c r="I8" s="853"/>
      <c r="J8" s="527">
        <f>未审BS!G8</f>
        <v>0</v>
      </c>
      <c r="K8" s="545">
        <f t="shared" ref="K8:K60" si="3">ABS(L8)</f>
        <v>0</v>
      </c>
      <c r="L8" s="545">
        <f t="shared" ref="L8:L26" si="4">I8-J8</f>
        <v>0</v>
      </c>
    </row>
    <row r="9" spans="1:12" ht="13.9" customHeight="1">
      <c r="A9" s="514" t="str">
        <f>报表格式!B8</f>
        <v>应收票据</v>
      </c>
      <c r="B9" s="515">
        <v>4</v>
      </c>
      <c r="C9" s="853"/>
      <c r="D9" s="527">
        <f>未审BS!C9</f>
        <v>0</v>
      </c>
      <c r="E9" s="528">
        <f t="shared" si="1"/>
        <v>0</v>
      </c>
      <c r="F9" s="527">
        <f t="shared" si="2"/>
        <v>0</v>
      </c>
      <c r="G9" s="529" t="str">
        <f>报表格式!G8</f>
        <v>应付账款</v>
      </c>
      <c r="H9" s="530">
        <f t="shared" si="0"/>
        <v>61</v>
      </c>
      <c r="I9" s="853"/>
      <c r="J9" s="527">
        <f>未审BS!G9</f>
        <v>0</v>
      </c>
      <c r="K9" s="545">
        <f t="shared" si="3"/>
        <v>0</v>
      </c>
      <c r="L9" s="545">
        <f t="shared" si="4"/>
        <v>0</v>
      </c>
    </row>
    <row r="10" spans="1:12" ht="13.9" customHeight="1">
      <c r="A10" s="514" t="str">
        <f>报表格式!B9</f>
        <v>应收股利</v>
      </c>
      <c r="B10" s="513">
        <v>5</v>
      </c>
      <c r="C10" s="853"/>
      <c r="D10" s="527">
        <f>未审BS!C10</f>
        <v>0</v>
      </c>
      <c r="E10" s="528">
        <f t="shared" si="1"/>
        <v>0</v>
      </c>
      <c r="F10" s="527">
        <f t="shared" si="2"/>
        <v>0</v>
      </c>
      <c r="G10" s="529" t="str">
        <f>报表格式!G9</f>
        <v>预收账款</v>
      </c>
      <c r="H10" s="530">
        <f t="shared" si="0"/>
        <v>62</v>
      </c>
      <c r="I10" s="853"/>
      <c r="J10" s="527">
        <f>未审BS!G10</f>
        <v>0</v>
      </c>
      <c r="K10" s="545">
        <f t="shared" si="3"/>
        <v>0</v>
      </c>
      <c r="L10" s="545">
        <f t="shared" si="4"/>
        <v>0</v>
      </c>
    </row>
    <row r="11" spans="1:12" ht="13.9" customHeight="1">
      <c r="A11" s="514" t="str">
        <f>报表格式!B10</f>
        <v>应收利息</v>
      </c>
      <c r="B11" s="515">
        <v>6</v>
      </c>
      <c r="C11" s="853"/>
      <c r="D11" s="527">
        <f>未审BS!C11</f>
        <v>0</v>
      </c>
      <c r="E11" s="528">
        <f t="shared" si="1"/>
        <v>0</v>
      </c>
      <c r="F11" s="527">
        <f t="shared" si="2"/>
        <v>0</v>
      </c>
      <c r="G11" s="529" t="str">
        <f>报表格式!G10</f>
        <v>应付工资</v>
      </c>
      <c r="H11" s="530">
        <f t="shared" si="0"/>
        <v>63</v>
      </c>
      <c r="I11" s="853"/>
      <c r="J11" s="527">
        <f>未审BS!G11</f>
        <v>0</v>
      </c>
      <c r="K11" s="545">
        <f t="shared" si="3"/>
        <v>0</v>
      </c>
      <c r="L11" s="545">
        <f t="shared" si="4"/>
        <v>0</v>
      </c>
    </row>
    <row r="12" spans="1:12" ht="13.9" customHeight="1">
      <c r="A12" s="514" t="str">
        <f>报表格式!B11</f>
        <v>应收账款</v>
      </c>
      <c r="B12" s="513">
        <v>7</v>
      </c>
      <c r="C12" s="853"/>
      <c r="D12" s="527">
        <f>未审BS!C12</f>
        <v>0</v>
      </c>
      <c r="E12" s="528">
        <f t="shared" si="1"/>
        <v>0</v>
      </c>
      <c r="F12" s="527">
        <f t="shared" si="2"/>
        <v>0</v>
      </c>
      <c r="G12" s="529" t="str">
        <f>报表格式!G11</f>
        <v>应付福利费</v>
      </c>
      <c r="H12" s="530">
        <f t="shared" si="0"/>
        <v>64</v>
      </c>
      <c r="I12" s="853"/>
      <c r="J12" s="527">
        <f>未审BS!G12</f>
        <v>0</v>
      </c>
      <c r="K12" s="545">
        <f t="shared" si="3"/>
        <v>0</v>
      </c>
      <c r="L12" s="545">
        <f t="shared" si="4"/>
        <v>0</v>
      </c>
    </row>
    <row r="13" spans="1:12" ht="13.9" customHeight="1">
      <c r="A13" s="514" t="str">
        <f>报表格式!B12</f>
        <v>其他应收款</v>
      </c>
      <c r="B13" s="515">
        <v>8</v>
      </c>
      <c r="C13" s="853"/>
      <c r="D13" s="527">
        <f>未审BS!C13</f>
        <v>0</v>
      </c>
      <c r="E13" s="528">
        <f t="shared" si="1"/>
        <v>0</v>
      </c>
      <c r="F13" s="527">
        <f t="shared" si="2"/>
        <v>0</v>
      </c>
      <c r="G13" s="529" t="str">
        <f>报表格式!G12</f>
        <v>应付股利（利润）</v>
      </c>
      <c r="H13" s="530">
        <f t="shared" si="0"/>
        <v>65</v>
      </c>
      <c r="I13" s="853"/>
      <c r="J13" s="527">
        <f>未审BS!G13</f>
        <v>0</v>
      </c>
      <c r="K13" s="545">
        <f t="shared" si="3"/>
        <v>0</v>
      </c>
      <c r="L13" s="545">
        <f t="shared" si="4"/>
        <v>0</v>
      </c>
    </row>
    <row r="14" spans="1:12" ht="13.9" customHeight="1">
      <c r="A14" s="514" t="str">
        <f>报表格式!B13</f>
        <v>预付账款</v>
      </c>
      <c r="B14" s="513">
        <v>9</v>
      </c>
      <c r="C14" s="853"/>
      <c r="D14" s="527">
        <f>未审BS!C14</f>
        <v>0</v>
      </c>
      <c r="E14" s="528">
        <f t="shared" si="1"/>
        <v>0</v>
      </c>
      <c r="F14" s="527">
        <f t="shared" si="2"/>
        <v>0</v>
      </c>
      <c r="G14" s="529" t="str">
        <f>报表格式!G13</f>
        <v>应付利息</v>
      </c>
      <c r="H14" s="530">
        <f t="shared" si="0"/>
        <v>66</v>
      </c>
      <c r="I14" s="853"/>
      <c r="J14" s="527">
        <f>未审BS!G14</f>
        <v>0</v>
      </c>
      <c r="K14" s="545">
        <f t="shared" si="3"/>
        <v>0</v>
      </c>
      <c r="L14" s="545">
        <f t="shared" si="4"/>
        <v>0</v>
      </c>
    </row>
    <row r="15" spans="1:12" ht="13.9" customHeight="1">
      <c r="A15" s="514" t="str">
        <f>报表格式!B14</f>
        <v>期货保证金</v>
      </c>
      <c r="B15" s="515">
        <v>10</v>
      </c>
      <c r="C15" s="853"/>
      <c r="D15" s="527">
        <f>未审BS!C15</f>
        <v>0</v>
      </c>
      <c r="E15" s="528">
        <f t="shared" si="1"/>
        <v>0</v>
      </c>
      <c r="F15" s="527">
        <f t="shared" si="2"/>
        <v>0</v>
      </c>
      <c r="G15" s="529" t="str">
        <f>报表格式!G14</f>
        <v>应交税金</v>
      </c>
      <c r="H15" s="530">
        <f t="shared" si="0"/>
        <v>67</v>
      </c>
      <c r="I15" s="853"/>
      <c r="J15" s="527">
        <f>未审BS!G15</f>
        <v>0</v>
      </c>
      <c r="K15" s="545">
        <f t="shared" si="3"/>
        <v>0</v>
      </c>
      <c r="L15" s="545">
        <f t="shared" si="4"/>
        <v>0</v>
      </c>
    </row>
    <row r="16" spans="1:12" ht="13.9" customHeight="1">
      <c r="A16" s="514" t="str">
        <f>报表格式!B15</f>
        <v>应收补贴款</v>
      </c>
      <c r="B16" s="513">
        <v>11</v>
      </c>
      <c r="C16" s="853"/>
      <c r="D16" s="527">
        <f>未审BS!C16</f>
        <v>0</v>
      </c>
      <c r="E16" s="528">
        <f t="shared" si="1"/>
        <v>0</v>
      </c>
      <c r="F16" s="527">
        <f t="shared" si="2"/>
        <v>0</v>
      </c>
      <c r="G16" s="529" t="str">
        <f>报表格式!G15</f>
        <v>其他应交款</v>
      </c>
      <c r="H16" s="530">
        <f t="shared" si="0"/>
        <v>68</v>
      </c>
      <c r="I16" s="853"/>
      <c r="J16" s="527">
        <f>未审BS!G16</f>
        <v>0</v>
      </c>
      <c r="K16" s="545">
        <f t="shared" si="3"/>
        <v>0</v>
      </c>
      <c r="L16" s="545">
        <f t="shared" si="4"/>
        <v>0</v>
      </c>
    </row>
    <row r="17" spans="1:13" ht="13.9" customHeight="1">
      <c r="A17" s="514" t="str">
        <f>报表格式!B16</f>
        <v>应收出口退税</v>
      </c>
      <c r="B17" s="515">
        <v>12</v>
      </c>
      <c r="C17" s="853"/>
      <c r="D17" s="527">
        <f>未审BS!C17</f>
        <v>0</v>
      </c>
      <c r="E17" s="528">
        <f t="shared" si="1"/>
        <v>0</v>
      </c>
      <c r="F17" s="527">
        <f t="shared" si="2"/>
        <v>0</v>
      </c>
      <c r="G17" s="529" t="str">
        <f>报表格式!G16</f>
        <v>其他应付款</v>
      </c>
      <c r="H17" s="530">
        <f t="shared" si="0"/>
        <v>69</v>
      </c>
      <c r="I17" s="853"/>
      <c r="J17" s="527">
        <f>未审BS!G17</f>
        <v>0</v>
      </c>
      <c r="K17" s="545">
        <f t="shared" si="3"/>
        <v>0</v>
      </c>
      <c r="L17" s="545">
        <f t="shared" si="4"/>
        <v>0</v>
      </c>
      <c r="M17" s="153"/>
    </row>
    <row r="18" spans="1:13" ht="13.9" customHeight="1">
      <c r="A18" s="514" t="str">
        <f>报表格式!B17</f>
        <v>存货</v>
      </c>
      <c r="B18" s="513">
        <v>13</v>
      </c>
      <c r="C18" s="853"/>
      <c r="D18" s="527">
        <f>未审BS!C18</f>
        <v>0</v>
      </c>
      <c r="E18" s="528">
        <f t="shared" si="1"/>
        <v>0</v>
      </c>
      <c r="F18" s="527">
        <f t="shared" si="2"/>
        <v>0</v>
      </c>
      <c r="G18" s="529" t="str">
        <f>报表格式!G17</f>
        <v>预提费用</v>
      </c>
      <c r="H18" s="530">
        <f t="shared" si="0"/>
        <v>70</v>
      </c>
      <c r="I18" s="853"/>
      <c r="J18" s="527">
        <f>未审BS!G18</f>
        <v>0</v>
      </c>
      <c r="K18" s="545">
        <f t="shared" si="3"/>
        <v>0</v>
      </c>
      <c r="L18" s="545">
        <f t="shared" si="4"/>
        <v>0</v>
      </c>
    </row>
    <row r="19" spans="1:13" ht="13.9" customHeight="1">
      <c r="A19" s="514" t="str">
        <f>报表格式!B18</f>
        <v xml:space="preserve">  其中：原材料</v>
      </c>
      <c r="B19" s="515">
        <v>14</v>
      </c>
      <c r="C19" s="853"/>
      <c r="D19" s="527">
        <f>未审BS!C19</f>
        <v>0</v>
      </c>
      <c r="E19" s="528">
        <f t="shared" si="1"/>
        <v>0</v>
      </c>
      <c r="F19" s="527">
        <f t="shared" si="2"/>
        <v>0</v>
      </c>
      <c r="G19" s="529" t="str">
        <f>报表格式!G18</f>
        <v>预计负债</v>
      </c>
      <c r="H19" s="530">
        <f t="shared" si="0"/>
        <v>71</v>
      </c>
      <c r="I19" s="853"/>
      <c r="J19" s="527">
        <f>未审BS!G19</f>
        <v>0</v>
      </c>
      <c r="K19" s="545">
        <f t="shared" si="3"/>
        <v>0</v>
      </c>
      <c r="L19" s="545">
        <f t="shared" si="4"/>
        <v>0</v>
      </c>
    </row>
    <row r="20" spans="1:13" ht="13.9" customHeight="1">
      <c r="A20" s="514" t="str">
        <f>报表格式!B19</f>
        <v xml:space="preserve">        库存商品（产成品）</v>
      </c>
      <c r="B20" s="513">
        <v>15</v>
      </c>
      <c r="C20" s="853"/>
      <c r="D20" s="527">
        <f>未审BS!C20</f>
        <v>0</v>
      </c>
      <c r="E20" s="528">
        <f t="shared" si="1"/>
        <v>0</v>
      </c>
      <c r="F20" s="527">
        <f t="shared" si="2"/>
        <v>0</v>
      </c>
      <c r="G20" s="529" t="str">
        <f>报表格式!G19</f>
        <v>递延收益</v>
      </c>
      <c r="H20" s="530">
        <f t="shared" si="0"/>
        <v>72</v>
      </c>
      <c r="I20" s="853"/>
      <c r="J20" s="527">
        <f>未审BS!G20</f>
        <v>0</v>
      </c>
      <c r="K20" s="545">
        <f t="shared" si="3"/>
        <v>0</v>
      </c>
      <c r="L20" s="545">
        <f t="shared" si="4"/>
        <v>0</v>
      </c>
    </row>
    <row r="21" spans="1:13" ht="13.9" customHeight="1">
      <c r="A21" s="514" t="str">
        <f>报表格式!B20</f>
        <v>待摊费用</v>
      </c>
      <c r="B21" s="515">
        <v>16</v>
      </c>
      <c r="C21" s="853"/>
      <c r="D21" s="527">
        <f>未审BS!C21</f>
        <v>0</v>
      </c>
      <c r="E21" s="528">
        <f t="shared" si="1"/>
        <v>0</v>
      </c>
      <c r="F21" s="527">
        <f t="shared" si="2"/>
        <v>0</v>
      </c>
      <c r="G21" s="529" t="str">
        <f>报表格式!G20</f>
        <v>一年内到期的长期负债</v>
      </c>
      <c r="H21" s="530">
        <f t="shared" si="0"/>
        <v>73</v>
      </c>
      <c r="I21" s="853"/>
      <c r="J21" s="527">
        <f>未审BS!G21</f>
        <v>0</v>
      </c>
      <c r="K21" s="545">
        <f t="shared" si="3"/>
        <v>0</v>
      </c>
      <c r="L21" s="545">
        <f t="shared" si="4"/>
        <v>0</v>
      </c>
    </row>
    <row r="22" spans="1:13" ht="13.9" customHeight="1">
      <c r="A22" s="514" t="str">
        <f>报表格式!B21</f>
        <v>待处理流动资产净损失</v>
      </c>
      <c r="B22" s="513">
        <v>17</v>
      </c>
      <c r="C22" s="853"/>
      <c r="D22" s="527">
        <f>未审BS!C22</f>
        <v>0</v>
      </c>
      <c r="E22" s="528">
        <f t="shared" si="1"/>
        <v>0</v>
      </c>
      <c r="F22" s="527">
        <f t="shared" si="2"/>
        <v>0</v>
      </c>
      <c r="G22" s="529" t="str">
        <f>报表格式!G21</f>
        <v>应付权证</v>
      </c>
      <c r="H22" s="530">
        <f t="shared" si="0"/>
        <v>74</v>
      </c>
      <c r="I22" s="853"/>
      <c r="J22" s="527">
        <f>未审BS!G22</f>
        <v>0</v>
      </c>
      <c r="K22" s="545">
        <f t="shared" si="3"/>
        <v>0</v>
      </c>
      <c r="L22" s="545">
        <f t="shared" si="4"/>
        <v>0</v>
      </c>
    </row>
    <row r="23" spans="1:13" ht="13.9" customHeight="1">
      <c r="A23" s="514" t="str">
        <f>报表格式!B22</f>
        <v>一年内到期的长期债权投资</v>
      </c>
      <c r="B23" s="515">
        <v>18</v>
      </c>
      <c r="C23" s="853"/>
      <c r="D23" s="527">
        <f>未审BS!C23</f>
        <v>0</v>
      </c>
      <c r="E23" s="528">
        <f t="shared" si="1"/>
        <v>0</v>
      </c>
      <c r="F23" s="527">
        <f t="shared" si="2"/>
        <v>0</v>
      </c>
      <c r="G23" s="529" t="str">
        <f>报表格式!G22</f>
        <v>其他流动负债</v>
      </c>
      <c r="H23" s="530">
        <f t="shared" si="0"/>
        <v>75</v>
      </c>
      <c r="I23" s="853"/>
      <c r="J23" s="527">
        <f>未审BS!G23</f>
        <v>0</v>
      </c>
      <c r="K23" s="545">
        <f t="shared" si="3"/>
        <v>0</v>
      </c>
      <c r="L23" s="545">
        <f t="shared" si="4"/>
        <v>0</v>
      </c>
    </row>
    <row r="24" spans="1:13" ht="13.9" customHeight="1">
      <c r="A24" s="514" t="str">
        <f>报表格式!B23</f>
        <v>其他流动资产</v>
      </c>
      <c r="B24" s="513">
        <v>19</v>
      </c>
      <c r="C24" s="853"/>
      <c r="D24" s="527">
        <f>未审BS!C24</f>
        <v>0</v>
      </c>
      <c r="E24" s="528">
        <f t="shared" si="1"/>
        <v>0</v>
      </c>
      <c r="F24" s="527">
        <f t="shared" si="2"/>
        <v>0</v>
      </c>
      <c r="G24" s="529">
        <f>报表格式!G23</f>
        <v>0</v>
      </c>
      <c r="H24" s="530">
        <f t="shared" si="0"/>
        <v>76</v>
      </c>
      <c r="I24" s="853"/>
      <c r="J24" s="527">
        <f>未审BS!G24</f>
        <v>0</v>
      </c>
      <c r="K24" s="545">
        <f t="shared" si="3"/>
        <v>0</v>
      </c>
      <c r="L24" s="545">
        <f t="shared" si="4"/>
        <v>0</v>
      </c>
    </row>
    <row r="25" spans="1:13" ht="13.9" customHeight="1">
      <c r="A25" s="516">
        <f>报表格式!B24</f>
        <v>0</v>
      </c>
      <c r="B25" s="513">
        <v>20</v>
      </c>
      <c r="C25" s="853"/>
      <c r="D25" s="527">
        <f>未审BS!C25</f>
        <v>0</v>
      </c>
      <c r="E25" s="528">
        <f t="shared" si="1"/>
        <v>0</v>
      </c>
      <c r="F25" s="527">
        <f t="shared" si="2"/>
        <v>0</v>
      </c>
      <c r="G25" s="529">
        <f>报表格式!G24</f>
        <v>0</v>
      </c>
      <c r="H25" s="530">
        <f t="shared" si="0"/>
        <v>77</v>
      </c>
      <c r="I25" s="853"/>
      <c r="J25" s="527">
        <f>未审BS!G25</f>
        <v>0</v>
      </c>
      <c r="K25" s="545">
        <f t="shared" si="3"/>
        <v>0</v>
      </c>
      <c r="L25" s="545">
        <f t="shared" si="4"/>
        <v>0</v>
      </c>
    </row>
    <row r="26" spans="1:13" ht="13.9" customHeight="1">
      <c r="A26" s="516">
        <f>报表格式!B25</f>
        <v>0</v>
      </c>
      <c r="B26" s="515">
        <v>21</v>
      </c>
      <c r="C26" s="853"/>
      <c r="D26" s="527">
        <f>未审BS!C26</f>
        <v>0</v>
      </c>
      <c r="E26" s="528">
        <f t="shared" si="1"/>
        <v>0</v>
      </c>
      <c r="F26" s="527">
        <f t="shared" si="2"/>
        <v>0</v>
      </c>
      <c r="G26" s="531" t="str">
        <f>报表格式!G25</f>
        <v>流动负债合计</v>
      </c>
      <c r="H26" s="530">
        <f t="shared" si="0"/>
        <v>78</v>
      </c>
      <c r="I26" s="533">
        <f>SUM(I7:I25)</f>
        <v>0</v>
      </c>
      <c r="J26" s="533">
        <f>SUM(J7:J25)</f>
        <v>0</v>
      </c>
      <c r="K26" s="533">
        <f>SUM(K7:K25)</f>
        <v>0</v>
      </c>
      <c r="L26" s="546">
        <f t="shared" si="4"/>
        <v>0</v>
      </c>
    </row>
    <row r="27" spans="1:13" ht="13.9" customHeight="1">
      <c r="A27" s="517" t="str">
        <f>报表格式!B26</f>
        <v>流动资产合计</v>
      </c>
      <c r="B27" s="513">
        <v>22</v>
      </c>
      <c r="C27" s="533">
        <f>SUM(C7:C26)-C19-C20</f>
        <v>0</v>
      </c>
      <c r="D27" s="533">
        <f>SUM(D7:D26)-D19-D20</f>
        <v>0</v>
      </c>
      <c r="E27" s="534">
        <f>SUM(E7:E26)-E19-E20</f>
        <v>0</v>
      </c>
      <c r="F27" s="535">
        <f t="shared" si="2"/>
        <v>0</v>
      </c>
      <c r="G27" s="532" t="str">
        <f>报表格式!G26</f>
        <v>长期负债：</v>
      </c>
      <c r="H27" s="530">
        <f t="shared" si="0"/>
        <v>79</v>
      </c>
      <c r="I27" s="527"/>
      <c r="J27" s="527"/>
      <c r="K27" s="545">
        <f t="shared" si="3"/>
        <v>0</v>
      </c>
      <c r="L27" s="545"/>
    </row>
    <row r="28" spans="1:13" ht="13.9" customHeight="1">
      <c r="A28" s="514" t="str">
        <f>报表格式!B27</f>
        <v>长期投资</v>
      </c>
      <c r="B28" s="515">
        <v>23</v>
      </c>
      <c r="C28" s="527">
        <f>SUM(C29:C30)</f>
        <v>0</v>
      </c>
      <c r="D28" s="527">
        <f>SUM(D29:D30)</f>
        <v>0</v>
      </c>
      <c r="E28" s="528">
        <f t="shared" si="1"/>
        <v>0</v>
      </c>
      <c r="F28" s="527">
        <f t="shared" si="2"/>
        <v>0</v>
      </c>
      <c r="G28" s="529" t="str">
        <f>报表格式!G27</f>
        <v>长期借款</v>
      </c>
      <c r="H28" s="530">
        <f t="shared" si="0"/>
        <v>80</v>
      </c>
      <c r="I28" s="853"/>
      <c r="J28" s="527">
        <f>未审BS!G28</f>
        <v>0</v>
      </c>
      <c r="K28" s="545">
        <f t="shared" si="3"/>
        <v>0</v>
      </c>
      <c r="L28" s="545">
        <f t="shared" ref="L28:L36" si="5">I28-J28</f>
        <v>0</v>
      </c>
    </row>
    <row r="29" spans="1:13" ht="13.9" customHeight="1">
      <c r="A29" s="514" t="str">
        <f>报表格式!B28</f>
        <v xml:space="preserve">  其中：长期股权投资</v>
      </c>
      <c r="B29" s="513">
        <v>24</v>
      </c>
      <c r="C29" s="853"/>
      <c r="D29" s="527">
        <f>未审BS!C29</f>
        <v>0</v>
      </c>
      <c r="E29" s="528">
        <f t="shared" si="1"/>
        <v>0</v>
      </c>
      <c r="F29" s="527">
        <f t="shared" si="2"/>
        <v>0</v>
      </c>
      <c r="G29" s="529" t="str">
        <f>报表格式!G28</f>
        <v>应付债券</v>
      </c>
      <c r="H29" s="530">
        <f t="shared" si="0"/>
        <v>81</v>
      </c>
      <c r="I29" s="853"/>
      <c r="J29" s="527">
        <f>未审BS!G29</f>
        <v>0</v>
      </c>
      <c r="K29" s="545">
        <f t="shared" si="3"/>
        <v>0</v>
      </c>
      <c r="L29" s="545">
        <f t="shared" si="5"/>
        <v>0</v>
      </c>
    </row>
    <row r="30" spans="1:13" ht="13.9" customHeight="1">
      <c r="A30" s="514" t="str">
        <f>报表格式!B29</f>
        <v xml:space="preserve">       长期债权投资</v>
      </c>
      <c r="B30" s="515">
        <v>25</v>
      </c>
      <c r="C30" s="853"/>
      <c r="D30" s="527">
        <f>未审BS!C30</f>
        <v>0</v>
      </c>
      <c r="E30" s="528">
        <f t="shared" si="1"/>
        <v>0</v>
      </c>
      <c r="F30" s="527">
        <f t="shared" si="2"/>
        <v>0</v>
      </c>
      <c r="G30" s="529" t="str">
        <f>报表格式!G29</f>
        <v>长期应付款</v>
      </c>
      <c r="H30" s="530">
        <f t="shared" si="0"/>
        <v>82</v>
      </c>
      <c r="I30" s="853"/>
      <c r="J30" s="527">
        <f>未审BS!G30</f>
        <v>0</v>
      </c>
      <c r="K30" s="545">
        <f t="shared" si="3"/>
        <v>0</v>
      </c>
      <c r="L30" s="545">
        <f t="shared" si="5"/>
        <v>0</v>
      </c>
    </row>
    <row r="31" spans="1:13" ht="13.9" customHeight="1">
      <c r="A31" s="514" t="str">
        <f>报表格式!B30</f>
        <v>*合并价差</v>
      </c>
      <c r="B31" s="513">
        <v>26</v>
      </c>
      <c r="C31" s="853"/>
      <c r="D31" s="527">
        <f>未审BS!C31</f>
        <v>0</v>
      </c>
      <c r="E31" s="528">
        <f t="shared" si="1"/>
        <v>0</v>
      </c>
      <c r="F31" s="527">
        <f t="shared" si="2"/>
        <v>0</v>
      </c>
      <c r="G31" s="529" t="str">
        <f>报表格式!G30</f>
        <v>专项应付款</v>
      </c>
      <c r="H31" s="530">
        <f t="shared" si="0"/>
        <v>83</v>
      </c>
      <c r="I31" s="853"/>
      <c r="J31" s="527">
        <f>未审BS!G31</f>
        <v>0</v>
      </c>
      <c r="K31" s="545">
        <f t="shared" si="3"/>
        <v>0</v>
      </c>
      <c r="L31" s="545">
        <f t="shared" si="5"/>
        <v>0</v>
      </c>
    </row>
    <row r="32" spans="1:13" ht="13.9" customHeight="1">
      <c r="A32" s="514">
        <f>报表格式!B31</f>
        <v>0</v>
      </c>
      <c r="B32" s="515">
        <v>27</v>
      </c>
      <c r="C32" s="853"/>
      <c r="D32" s="527">
        <f>未审BS!C32</f>
        <v>0</v>
      </c>
      <c r="E32" s="528">
        <f t="shared" si="1"/>
        <v>0</v>
      </c>
      <c r="F32" s="527">
        <f t="shared" si="2"/>
        <v>0</v>
      </c>
      <c r="G32" s="529" t="str">
        <f>报表格式!G31</f>
        <v>其他长期负债</v>
      </c>
      <c r="H32" s="530">
        <f t="shared" si="0"/>
        <v>84</v>
      </c>
      <c r="I32" s="853"/>
      <c r="J32" s="527">
        <f>未审BS!G32</f>
        <v>0</v>
      </c>
      <c r="K32" s="545">
        <f t="shared" si="3"/>
        <v>0</v>
      </c>
      <c r="L32" s="545">
        <f t="shared" si="5"/>
        <v>0</v>
      </c>
    </row>
    <row r="33" spans="1:12" ht="13.9" customHeight="1">
      <c r="A33" s="514">
        <f>报表格式!B32</f>
        <v>0</v>
      </c>
      <c r="B33" s="513">
        <v>28</v>
      </c>
      <c r="C33" s="853"/>
      <c r="D33" s="527">
        <f>未审BS!C33</f>
        <v>0</v>
      </c>
      <c r="E33" s="528">
        <f t="shared" si="1"/>
        <v>0</v>
      </c>
      <c r="F33" s="527">
        <f t="shared" si="2"/>
        <v>0</v>
      </c>
      <c r="G33" s="529" t="str">
        <f>报表格式!G32</f>
        <v xml:space="preserve">  其中：特准储备资金</v>
      </c>
      <c r="H33" s="530">
        <f t="shared" si="0"/>
        <v>85</v>
      </c>
      <c r="I33" s="853"/>
      <c r="J33" s="527">
        <f>未审BS!G33</f>
        <v>0</v>
      </c>
      <c r="K33" s="545">
        <f t="shared" si="3"/>
        <v>0</v>
      </c>
      <c r="L33" s="545">
        <f t="shared" si="5"/>
        <v>0</v>
      </c>
    </row>
    <row r="34" spans="1:12" ht="13.9" customHeight="1">
      <c r="A34" s="519" t="str">
        <f>报表格式!B33</f>
        <v>长期投资合计</v>
      </c>
      <c r="B34" s="515">
        <v>29</v>
      </c>
      <c r="C34" s="533">
        <f>SUM(C28,C31:C33)</f>
        <v>0</v>
      </c>
      <c r="D34" s="533">
        <f>SUM(D28,D31:D33)</f>
        <v>0</v>
      </c>
      <c r="E34" s="534">
        <f>SUM(E29:E33)</f>
        <v>0</v>
      </c>
      <c r="F34" s="535">
        <f t="shared" si="2"/>
        <v>0</v>
      </c>
      <c r="G34" s="529">
        <f>报表格式!G33</f>
        <v>0</v>
      </c>
      <c r="H34" s="530">
        <f t="shared" si="0"/>
        <v>86</v>
      </c>
      <c r="I34" s="853"/>
      <c r="J34" s="527">
        <f>未审BS!G34</f>
        <v>0</v>
      </c>
      <c r="K34" s="545">
        <f t="shared" si="3"/>
        <v>0</v>
      </c>
      <c r="L34" s="545">
        <f t="shared" si="5"/>
        <v>0</v>
      </c>
    </row>
    <row r="35" spans="1:12" ht="13.9" customHeight="1">
      <c r="A35" s="518" t="str">
        <f>报表格式!B34</f>
        <v>固定资产：</v>
      </c>
      <c r="B35" s="513">
        <v>30</v>
      </c>
      <c r="C35" s="536"/>
      <c r="D35" s="536"/>
      <c r="E35" s="528">
        <f t="shared" si="1"/>
        <v>0</v>
      </c>
      <c r="F35" s="536"/>
      <c r="G35" s="529">
        <f>报表格式!G34</f>
        <v>0</v>
      </c>
      <c r="H35" s="530">
        <f t="shared" si="0"/>
        <v>87</v>
      </c>
      <c r="I35" s="853"/>
      <c r="J35" s="527">
        <f>未审BS!G35</f>
        <v>0</v>
      </c>
      <c r="K35" s="545">
        <f t="shared" si="3"/>
        <v>0</v>
      </c>
      <c r="L35" s="545">
        <f t="shared" si="5"/>
        <v>0</v>
      </c>
    </row>
    <row r="36" spans="1:12" ht="13.9" customHeight="1">
      <c r="A36" s="514" t="str">
        <f>报表格式!B35</f>
        <v>固定资产原价</v>
      </c>
      <c r="B36" s="515">
        <v>31</v>
      </c>
      <c r="C36" s="853"/>
      <c r="D36" s="527">
        <f>未审BS!C36</f>
        <v>0</v>
      </c>
      <c r="E36" s="528">
        <f t="shared" si="1"/>
        <v>0</v>
      </c>
      <c r="F36" s="527">
        <f t="shared" ref="F36:F47" si="6">C36-D36</f>
        <v>0</v>
      </c>
      <c r="G36" s="531" t="str">
        <f>报表格式!G35</f>
        <v>长期负债合计</v>
      </c>
      <c r="H36" s="530">
        <f t="shared" si="0"/>
        <v>88</v>
      </c>
      <c r="I36" s="533">
        <f>SUM(I28:I33)-I33+SUM(I34:I35)</f>
        <v>0</v>
      </c>
      <c r="J36" s="533">
        <f>SUM(J28:J33)-J33+SUM(J34:J35)</f>
        <v>0</v>
      </c>
      <c r="K36" s="533">
        <f>SUM(K28:K33)-K33+SUM(K34:K35)</f>
        <v>0</v>
      </c>
      <c r="L36" s="546">
        <f t="shared" si="5"/>
        <v>0</v>
      </c>
    </row>
    <row r="37" spans="1:12" ht="13.9" customHeight="1">
      <c r="A37" s="514" t="str">
        <f>报表格式!B36</f>
        <v xml:space="preserve">  减：累计折旧</v>
      </c>
      <c r="B37" s="513">
        <v>32</v>
      </c>
      <c r="C37" s="853"/>
      <c r="D37" s="527">
        <f>未审BS!C37</f>
        <v>0</v>
      </c>
      <c r="E37" s="528">
        <f>ABS(F37)</f>
        <v>0</v>
      </c>
      <c r="F37" s="527">
        <f t="shared" si="6"/>
        <v>0</v>
      </c>
      <c r="G37" s="532" t="str">
        <f>报表格式!G36</f>
        <v>递延税项：</v>
      </c>
      <c r="H37" s="530">
        <f t="shared" si="0"/>
        <v>89</v>
      </c>
      <c r="I37" s="536"/>
      <c r="J37" s="536"/>
      <c r="K37" s="545">
        <f t="shared" si="3"/>
        <v>0</v>
      </c>
      <c r="L37" s="547"/>
    </row>
    <row r="38" spans="1:12" ht="13.9" customHeight="1">
      <c r="A38" s="514" t="str">
        <f>报表格式!B37</f>
        <v>固定资产净值</v>
      </c>
      <c r="B38" s="515">
        <v>33</v>
      </c>
      <c r="C38" s="536">
        <f>C36-C37</f>
        <v>0</v>
      </c>
      <c r="D38" s="536">
        <f>D36-D37</f>
        <v>0</v>
      </c>
      <c r="E38" s="528">
        <f t="shared" si="1"/>
        <v>0</v>
      </c>
      <c r="F38" s="536">
        <f t="shared" si="6"/>
        <v>0</v>
      </c>
      <c r="G38" s="529" t="str">
        <f>报表格式!G37</f>
        <v>递延税款贷项</v>
      </c>
      <c r="H38" s="530">
        <f t="shared" si="0"/>
        <v>90</v>
      </c>
      <c r="I38" s="853"/>
      <c r="J38" s="527">
        <f>未审BS!G38</f>
        <v>0</v>
      </c>
      <c r="K38" s="545">
        <f t="shared" si="3"/>
        <v>0</v>
      </c>
      <c r="L38" s="547">
        <f>I38-J38</f>
        <v>0</v>
      </c>
    </row>
    <row r="39" spans="1:12" ht="13.9" customHeight="1">
      <c r="A39" s="514" t="str">
        <f>报表格式!B38</f>
        <v xml:space="preserve">  减：固定资产减值准备</v>
      </c>
      <c r="B39" s="513">
        <v>34</v>
      </c>
      <c r="C39" s="853"/>
      <c r="D39" s="527">
        <f>未审BS!C39</f>
        <v>0</v>
      </c>
      <c r="E39" s="528">
        <f t="shared" si="1"/>
        <v>0</v>
      </c>
      <c r="F39" s="527">
        <f t="shared" si="6"/>
        <v>0</v>
      </c>
      <c r="G39" s="531" t="str">
        <f>报表格式!G38</f>
        <v>负 债 合 计</v>
      </c>
      <c r="H39" s="530">
        <f t="shared" si="0"/>
        <v>91</v>
      </c>
      <c r="I39" s="533">
        <f>I26+I36+I38</f>
        <v>0</v>
      </c>
      <c r="J39" s="533">
        <f>J26+J36+J38</f>
        <v>0</v>
      </c>
      <c r="K39" s="533">
        <f>K26+K36+K38</f>
        <v>0</v>
      </c>
      <c r="L39" s="546">
        <f>I39-J39</f>
        <v>0</v>
      </c>
    </row>
    <row r="40" spans="1:12" ht="13.9" customHeight="1">
      <c r="A40" s="514" t="str">
        <f>报表格式!B39</f>
        <v>固定资产净额</v>
      </c>
      <c r="B40" s="515">
        <v>35</v>
      </c>
      <c r="C40" s="536">
        <f>C38-C39</f>
        <v>0</v>
      </c>
      <c r="D40" s="536">
        <f>D38-D39</f>
        <v>0</v>
      </c>
      <c r="E40" s="528">
        <f t="shared" si="1"/>
        <v>0</v>
      </c>
      <c r="F40" s="536">
        <f t="shared" si="6"/>
        <v>0</v>
      </c>
      <c r="G40" s="529" t="str">
        <f>报表格式!G39</f>
        <v>*少数股东权益</v>
      </c>
      <c r="H40" s="530">
        <f t="shared" si="0"/>
        <v>92</v>
      </c>
      <c r="I40" s="853"/>
      <c r="J40" s="527">
        <f>未审BS!G40</f>
        <v>0</v>
      </c>
      <c r="K40" s="545">
        <f t="shared" si="3"/>
        <v>0</v>
      </c>
      <c r="L40" s="547">
        <f>I40-J40</f>
        <v>0</v>
      </c>
    </row>
    <row r="41" spans="1:12" ht="13.9" customHeight="1">
      <c r="A41" s="514" t="str">
        <f>报表格式!B40</f>
        <v>工程物资</v>
      </c>
      <c r="B41" s="513">
        <v>36</v>
      </c>
      <c r="C41" s="853"/>
      <c r="D41" s="527">
        <f>未审BS!C41</f>
        <v>0</v>
      </c>
      <c r="E41" s="528">
        <f t="shared" si="1"/>
        <v>0</v>
      </c>
      <c r="F41" s="527">
        <f t="shared" si="6"/>
        <v>0</v>
      </c>
      <c r="G41" s="529">
        <f>报表格式!G40</f>
        <v>0</v>
      </c>
      <c r="H41" s="530">
        <f t="shared" si="0"/>
        <v>93</v>
      </c>
      <c r="I41" s="854"/>
      <c r="J41" s="536"/>
      <c r="K41" s="545">
        <f t="shared" si="3"/>
        <v>0</v>
      </c>
      <c r="L41" s="547">
        <f>I41-J41</f>
        <v>0</v>
      </c>
    </row>
    <row r="42" spans="1:12" ht="13.9" customHeight="1">
      <c r="A42" s="514" t="str">
        <f>报表格式!B41</f>
        <v>在建工程</v>
      </c>
      <c r="B42" s="515">
        <v>37</v>
      </c>
      <c r="C42" s="853"/>
      <c r="D42" s="527">
        <f>未审BS!C42</f>
        <v>0</v>
      </c>
      <c r="E42" s="528">
        <f t="shared" si="1"/>
        <v>0</v>
      </c>
      <c r="F42" s="527">
        <f t="shared" si="6"/>
        <v>0</v>
      </c>
      <c r="G42" s="532" t="str">
        <f>报表格式!G41</f>
        <v>所有者权益：</v>
      </c>
      <c r="H42" s="530">
        <f t="shared" si="0"/>
        <v>94</v>
      </c>
      <c r="I42" s="536"/>
      <c r="J42" s="536"/>
      <c r="K42" s="545">
        <f t="shared" si="3"/>
        <v>0</v>
      </c>
      <c r="L42" s="547"/>
    </row>
    <row r="43" spans="1:12" ht="13.9" customHeight="1">
      <c r="A43" s="514" t="str">
        <f>报表格式!B42</f>
        <v>固定资产清理</v>
      </c>
      <c r="B43" s="513">
        <v>38</v>
      </c>
      <c r="C43" s="853"/>
      <c r="D43" s="527">
        <f>未审BS!C43</f>
        <v>0</v>
      </c>
      <c r="E43" s="528">
        <f t="shared" si="1"/>
        <v>0</v>
      </c>
      <c r="F43" s="527">
        <f t="shared" si="6"/>
        <v>0</v>
      </c>
      <c r="G43" s="529" t="str">
        <f>报表格式!G42</f>
        <v>实收资本</v>
      </c>
      <c r="H43" s="530">
        <f t="shared" ref="H43:H62" si="7">H42+1</f>
        <v>95</v>
      </c>
      <c r="I43" s="853"/>
      <c r="J43" s="527">
        <f>未审BS!G43</f>
        <v>0</v>
      </c>
      <c r="K43" s="545">
        <f t="shared" si="3"/>
        <v>0</v>
      </c>
      <c r="L43" s="545">
        <f>I43-J43</f>
        <v>0</v>
      </c>
    </row>
    <row r="44" spans="1:12" ht="13.9" customHeight="1">
      <c r="A44" s="514" t="str">
        <f>报表格式!B43</f>
        <v>待处理固定资产净损失</v>
      </c>
      <c r="B44" s="515">
        <v>39</v>
      </c>
      <c r="C44" s="853"/>
      <c r="D44" s="527">
        <f>未审BS!C44</f>
        <v>0</v>
      </c>
      <c r="E44" s="528">
        <f t="shared" si="1"/>
        <v>0</v>
      </c>
      <c r="F44" s="527">
        <f t="shared" si="6"/>
        <v>0</v>
      </c>
      <c r="G44" s="529" t="str">
        <f>报表格式!G43</f>
        <v xml:space="preserve"> 国家资本</v>
      </c>
      <c r="H44" s="530">
        <f t="shared" si="7"/>
        <v>96</v>
      </c>
      <c r="I44" s="853"/>
      <c r="J44" s="527">
        <f>未审BS!G44</f>
        <v>0</v>
      </c>
      <c r="K44" s="545">
        <f t="shared" si="3"/>
        <v>0</v>
      </c>
      <c r="L44" s="545">
        <f t="shared" ref="L44:L56" si="8">I44-J44</f>
        <v>0</v>
      </c>
    </row>
    <row r="45" spans="1:12" ht="13.9" customHeight="1">
      <c r="A45" s="514">
        <f>报表格式!B44</f>
        <v>0</v>
      </c>
      <c r="B45" s="513">
        <v>40</v>
      </c>
      <c r="C45" s="853"/>
      <c r="D45" s="527">
        <f>未审BS!C45</f>
        <v>0</v>
      </c>
      <c r="E45" s="528">
        <f t="shared" si="1"/>
        <v>0</v>
      </c>
      <c r="F45" s="527">
        <f t="shared" si="6"/>
        <v>0</v>
      </c>
      <c r="G45" s="529" t="str">
        <f>报表格式!G44</f>
        <v xml:space="preserve"> 集体资本</v>
      </c>
      <c r="H45" s="530">
        <f t="shared" si="7"/>
        <v>97</v>
      </c>
      <c r="I45" s="853"/>
      <c r="J45" s="527">
        <f>未审BS!G45</f>
        <v>0</v>
      </c>
      <c r="K45" s="545">
        <f t="shared" si="3"/>
        <v>0</v>
      </c>
      <c r="L45" s="545">
        <f t="shared" si="8"/>
        <v>0</v>
      </c>
    </row>
    <row r="46" spans="1:12" ht="13.9" customHeight="1">
      <c r="A46" s="514">
        <f>报表格式!B45</f>
        <v>0</v>
      </c>
      <c r="B46" s="515">
        <v>41</v>
      </c>
      <c r="C46" s="853"/>
      <c r="D46" s="527">
        <f>未审BS!C46</f>
        <v>0</v>
      </c>
      <c r="E46" s="528">
        <f t="shared" si="1"/>
        <v>0</v>
      </c>
      <c r="F46" s="527">
        <f t="shared" si="6"/>
        <v>0</v>
      </c>
      <c r="G46" s="529" t="str">
        <f>报表格式!G45</f>
        <v xml:space="preserve"> 法人资本</v>
      </c>
      <c r="H46" s="530">
        <f t="shared" si="7"/>
        <v>98</v>
      </c>
      <c r="I46" s="853"/>
      <c r="J46" s="527">
        <f>未审BS!G46</f>
        <v>0</v>
      </c>
      <c r="K46" s="545">
        <f t="shared" si="3"/>
        <v>0</v>
      </c>
      <c r="L46" s="545">
        <f t="shared" si="8"/>
        <v>0</v>
      </c>
    </row>
    <row r="47" spans="1:12" ht="13.9" customHeight="1">
      <c r="A47" s="519" t="str">
        <f>报表格式!B46</f>
        <v>固定资产合计</v>
      </c>
      <c r="B47" s="513">
        <v>42</v>
      </c>
      <c r="C47" s="533">
        <f>SUM(C40:C46)</f>
        <v>0</v>
      </c>
      <c r="D47" s="533">
        <f>SUM(D40:D46)</f>
        <v>0</v>
      </c>
      <c r="E47" s="534">
        <f>SUM(E40:E46)</f>
        <v>0</v>
      </c>
      <c r="F47" s="535">
        <f t="shared" si="6"/>
        <v>0</v>
      </c>
      <c r="G47" s="529" t="str">
        <f>报表格式!G46</f>
        <v xml:space="preserve">   其中：国有法人资本</v>
      </c>
      <c r="H47" s="530">
        <f t="shared" si="7"/>
        <v>99</v>
      </c>
      <c r="I47" s="853"/>
      <c r="J47" s="527">
        <f>未审BS!G47</f>
        <v>0</v>
      </c>
      <c r="K47" s="545">
        <f t="shared" si="3"/>
        <v>0</v>
      </c>
      <c r="L47" s="545">
        <f t="shared" si="8"/>
        <v>0</v>
      </c>
    </row>
    <row r="48" spans="1:12" ht="13.9" customHeight="1">
      <c r="A48" s="518" t="str">
        <f>报表格式!B47</f>
        <v>无形资产及其他资产：</v>
      </c>
      <c r="B48" s="515">
        <v>43</v>
      </c>
      <c r="C48" s="536"/>
      <c r="D48" s="536"/>
      <c r="E48" s="528">
        <f t="shared" si="1"/>
        <v>0</v>
      </c>
      <c r="F48" s="527"/>
      <c r="G48" s="529" t="str">
        <f>报表格式!G47</f>
        <v xml:space="preserve">         集体法人资本</v>
      </c>
      <c r="H48" s="530">
        <f t="shared" si="7"/>
        <v>100</v>
      </c>
      <c r="I48" s="853"/>
      <c r="J48" s="527">
        <f>未审BS!G48</f>
        <v>0</v>
      </c>
      <c r="K48" s="545">
        <f t="shared" si="3"/>
        <v>0</v>
      </c>
      <c r="L48" s="545">
        <f t="shared" si="8"/>
        <v>0</v>
      </c>
    </row>
    <row r="49" spans="1:13" ht="13.9" customHeight="1">
      <c r="A49" s="514" t="str">
        <f>报表格式!B48</f>
        <v>无形资产</v>
      </c>
      <c r="B49" s="513">
        <v>44</v>
      </c>
      <c r="C49" s="853"/>
      <c r="D49" s="527">
        <f>未审BS!C49</f>
        <v>0</v>
      </c>
      <c r="E49" s="528">
        <f t="shared" si="1"/>
        <v>0</v>
      </c>
      <c r="F49" s="527">
        <f t="shared" ref="F49:F58" si="9">C49-D49</f>
        <v>0</v>
      </c>
      <c r="G49" s="529" t="str">
        <f>报表格式!G48</f>
        <v xml:space="preserve"> 个人资本</v>
      </c>
      <c r="H49" s="530">
        <f t="shared" si="7"/>
        <v>101</v>
      </c>
      <c r="I49" s="853"/>
      <c r="J49" s="527">
        <f>未审BS!G49</f>
        <v>0</v>
      </c>
      <c r="K49" s="545">
        <f t="shared" si="3"/>
        <v>0</v>
      </c>
      <c r="L49" s="545">
        <f t="shared" si="8"/>
        <v>0</v>
      </c>
    </row>
    <row r="50" spans="1:13" s="151" customFormat="1" ht="13.9" customHeight="1">
      <c r="A50" s="514" t="str">
        <f>报表格式!B49</f>
        <v xml:space="preserve">  其中：土地使用权</v>
      </c>
      <c r="B50" s="515">
        <v>45</v>
      </c>
      <c r="C50" s="853"/>
      <c r="D50" s="527">
        <f>未审BS!C50</f>
        <v>0</v>
      </c>
      <c r="E50" s="528">
        <f>ABS(F50)</f>
        <v>0</v>
      </c>
      <c r="F50" s="527">
        <f t="shared" si="9"/>
        <v>0</v>
      </c>
      <c r="G50" s="529" t="str">
        <f>报表格式!G49</f>
        <v xml:space="preserve"> 外商资本</v>
      </c>
      <c r="H50" s="530">
        <f t="shared" si="7"/>
        <v>102</v>
      </c>
      <c r="I50" s="853"/>
      <c r="J50" s="527">
        <f>未审BS!G50</f>
        <v>0</v>
      </c>
      <c r="K50" s="545">
        <f>ABS(L50)</f>
        <v>0</v>
      </c>
      <c r="L50" s="545">
        <f t="shared" si="8"/>
        <v>0</v>
      </c>
    </row>
    <row r="51" spans="1:13">
      <c r="A51" s="514" t="str">
        <f>报表格式!B50</f>
        <v>长期待摊费用</v>
      </c>
      <c r="B51" s="513">
        <v>46</v>
      </c>
      <c r="C51" s="853"/>
      <c r="D51" s="527">
        <f>未审BS!C51</f>
        <v>0</v>
      </c>
      <c r="E51" s="528">
        <f t="shared" si="1"/>
        <v>0</v>
      </c>
      <c r="F51" s="527">
        <f t="shared" si="9"/>
        <v>0</v>
      </c>
      <c r="G51" s="529" t="str">
        <f>报表格式!G50</f>
        <v>资本公积</v>
      </c>
      <c r="H51" s="530">
        <f t="shared" si="7"/>
        <v>103</v>
      </c>
      <c r="I51" s="853"/>
      <c r="J51" s="527">
        <f>未审BS!G51</f>
        <v>0</v>
      </c>
      <c r="K51" s="545">
        <f t="shared" si="3"/>
        <v>0</v>
      </c>
      <c r="L51" s="545">
        <f t="shared" si="8"/>
        <v>0</v>
      </c>
    </row>
    <row r="52" spans="1:13">
      <c r="A52" s="514" t="str">
        <f>报表格式!B51</f>
        <v xml:space="preserve">  其中：固定资产修理</v>
      </c>
      <c r="B52" s="515">
        <v>47</v>
      </c>
      <c r="C52" s="853"/>
      <c r="D52" s="527">
        <f>未审BS!C52</f>
        <v>0</v>
      </c>
      <c r="E52" s="528">
        <f t="shared" si="1"/>
        <v>0</v>
      </c>
      <c r="F52" s="527">
        <f t="shared" si="9"/>
        <v>0</v>
      </c>
      <c r="G52" s="529" t="str">
        <f>报表格式!G51</f>
        <v>盈余公积</v>
      </c>
      <c r="H52" s="530">
        <f t="shared" si="7"/>
        <v>104</v>
      </c>
      <c r="I52" s="853"/>
      <c r="J52" s="527">
        <f>未审BS!G52</f>
        <v>0</v>
      </c>
      <c r="K52" s="545">
        <f t="shared" si="3"/>
        <v>0</v>
      </c>
      <c r="L52" s="545">
        <f t="shared" si="8"/>
        <v>0</v>
      </c>
    </row>
    <row r="53" spans="1:13">
      <c r="A53" s="514" t="str">
        <f>报表格式!B52</f>
        <v xml:space="preserve">       固定资产改良支出</v>
      </c>
      <c r="B53" s="513">
        <v>48</v>
      </c>
      <c r="C53" s="853"/>
      <c r="D53" s="527">
        <f>未审BS!C53</f>
        <v>0</v>
      </c>
      <c r="E53" s="528">
        <f t="shared" si="1"/>
        <v>0</v>
      </c>
      <c r="F53" s="527">
        <f t="shared" si="9"/>
        <v>0</v>
      </c>
      <c r="G53" s="529" t="str">
        <f>报表格式!G52</f>
        <v xml:space="preserve">  其中：法定公益金</v>
      </c>
      <c r="H53" s="530">
        <f t="shared" si="7"/>
        <v>105</v>
      </c>
      <c r="I53" s="853"/>
      <c r="J53" s="527">
        <f>未审BS!G53</f>
        <v>0</v>
      </c>
      <c r="K53" s="545">
        <f t="shared" si="3"/>
        <v>0</v>
      </c>
      <c r="L53" s="545">
        <f t="shared" si="8"/>
        <v>0</v>
      </c>
    </row>
    <row r="54" spans="1:13">
      <c r="A54" s="514" t="str">
        <f>报表格式!B53</f>
        <v>股权分置流通权</v>
      </c>
      <c r="B54" s="515">
        <v>49</v>
      </c>
      <c r="C54" s="853"/>
      <c r="D54" s="527">
        <f>未审BS!C54</f>
        <v>0</v>
      </c>
      <c r="E54" s="528">
        <f t="shared" si="1"/>
        <v>0</v>
      </c>
      <c r="F54" s="527">
        <f t="shared" si="9"/>
        <v>0</v>
      </c>
      <c r="G54" s="529" t="str">
        <f>报表格式!G53</f>
        <v>*未确认的投资损失（以“-”号填列）</v>
      </c>
      <c r="H54" s="530">
        <f t="shared" si="7"/>
        <v>106</v>
      </c>
      <c r="I54" s="853"/>
      <c r="J54" s="527">
        <f>未审BS!G54</f>
        <v>0</v>
      </c>
      <c r="K54" s="545">
        <f t="shared" si="3"/>
        <v>0</v>
      </c>
      <c r="L54" s="545">
        <f t="shared" si="8"/>
        <v>0</v>
      </c>
    </row>
    <row r="55" spans="1:13">
      <c r="A55" s="514" t="str">
        <f>报表格式!B54</f>
        <v>其他长期资产</v>
      </c>
      <c r="B55" s="513">
        <v>50</v>
      </c>
      <c r="C55" s="853"/>
      <c r="D55" s="527">
        <f>未审BS!C55</f>
        <v>0</v>
      </c>
      <c r="E55" s="528">
        <f t="shared" si="1"/>
        <v>0</v>
      </c>
      <c r="F55" s="527">
        <f t="shared" si="9"/>
        <v>0</v>
      </c>
      <c r="G55" s="529" t="str">
        <f>报表格式!G54</f>
        <v>未分配利润</v>
      </c>
      <c r="H55" s="530">
        <f t="shared" si="7"/>
        <v>107</v>
      </c>
      <c r="I55" s="853"/>
      <c r="J55" s="527">
        <f>未审BS!G55</f>
        <v>0</v>
      </c>
      <c r="K55" s="545">
        <f t="shared" si="3"/>
        <v>0</v>
      </c>
      <c r="L55" s="545">
        <f t="shared" si="8"/>
        <v>0</v>
      </c>
    </row>
    <row r="56" spans="1:13">
      <c r="A56" s="514" t="str">
        <f>报表格式!B55</f>
        <v xml:space="preserve">  其中：特准储备物资</v>
      </c>
      <c r="B56" s="515">
        <v>51</v>
      </c>
      <c r="C56" s="853"/>
      <c r="D56" s="527">
        <f>未审BS!C56</f>
        <v>0</v>
      </c>
      <c r="E56" s="528">
        <f t="shared" si="1"/>
        <v>0</v>
      </c>
      <c r="F56" s="527">
        <f t="shared" si="9"/>
        <v>0</v>
      </c>
      <c r="G56" s="529" t="str">
        <f>报表格式!G55</f>
        <v xml:space="preserve">  其中：现金股利</v>
      </c>
      <c r="H56" s="530">
        <f t="shared" si="7"/>
        <v>108</v>
      </c>
      <c r="I56" s="853"/>
      <c r="J56" s="527">
        <f>未审BS!G56</f>
        <v>0</v>
      </c>
      <c r="K56" s="545">
        <f t="shared" si="3"/>
        <v>0</v>
      </c>
      <c r="L56" s="545">
        <f t="shared" si="8"/>
        <v>0</v>
      </c>
    </row>
    <row r="57" spans="1:13">
      <c r="A57" s="514">
        <f>报表格式!B56</f>
        <v>0</v>
      </c>
      <c r="B57" s="513">
        <v>52</v>
      </c>
      <c r="C57" s="853"/>
      <c r="D57" s="527">
        <f>未审BS!C57</f>
        <v>0</v>
      </c>
      <c r="E57" s="528">
        <f t="shared" si="1"/>
        <v>0</v>
      </c>
      <c r="F57" s="527">
        <f t="shared" si="9"/>
        <v>0</v>
      </c>
      <c r="G57" s="529" t="str">
        <f>报表格式!G56</f>
        <v>外币报表折算差额</v>
      </c>
      <c r="H57" s="530">
        <f t="shared" si="7"/>
        <v>109</v>
      </c>
      <c r="I57" s="853"/>
      <c r="J57" s="527">
        <f>未审BS!G57</f>
        <v>0</v>
      </c>
      <c r="K57" s="545">
        <f t="shared" si="3"/>
        <v>0</v>
      </c>
      <c r="L57" s="545">
        <f t="shared" ref="L57:L62" si="10">I57-J57</f>
        <v>0</v>
      </c>
      <c r="M57" s="153"/>
    </row>
    <row r="58" spans="1:13">
      <c r="A58" s="519" t="str">
        <f>报表格式!B57</f>
        <v>无形资产及其他资产合计</v>
      </c>
      <c r="B58" s="515">
        <v>53</v>
      </c>
      <c r="C58" s="533">
        <f>SUM(C49,C51,C54:C55,C57)</f>
        <v>0</v>
      </c>
      <c r="D58" s="533">
        <f>SUM(D49,D51,D54:D55,D57)</f>
        <v>0</v>
      </c>
      <c r="E58" s="534">
        <f>SUM(E49:E55)-E50-E52-E53-E55+SUM(E56:E57)</f>
        <v>0</v>
      </c>
      <c r="F58" s="535">
        <f t="shared" si="9"/>
        <v>0</v>
      </c>
      <c r="G58" s="529">
        <f>报表格式!G57</f>
        <v>0</v>
      </c>
      <c r="H58" s="530">
        <f t="shared" si="7"/>
        <v>110</v>
      </c>
      <c r="I58" s="853"/>
      <c r="J58" s="527">
        <f>未审BS!G58</f>
        <v>0</v>
      </c>
      <c r="K58" s="545">
        <f t="shared" si="3"/>
        <v>0</v>
      </c>
      <c r="L58" s="545">
        <f t="shared" si="10"/>
        <v>0</v>
      </c>
    </row>
    <row r="59" spans="1:13">
      <c r="A59" s="518" t="str">
        <f>报表格式!B58</f>
        <v>递延税项：</v>
      </c>
      <c r="B59" s="513">
        <v>54</v>
      </c>
      <c r="C59" s="536"/>
      <c r="D59" s="536"/>
      <c r="E59" s="528">
        <f t="shared" si="1"/>
        <v>0</v>
      </c>
      <c r="F59" s="536"/>
      <c r="G59" s="531" t="str">
        <f>报表格式!G58</f>
        <v>所有者权益小计</v>
      </c>
      <c r="H59" s="530">
        <f t="shared" si="7"/>
        <v>111</v>
      </c>
      <c r="I59" s="535">
        <f>SUM(I43,I51,I52,I54,I55,I57,I58)</f>
        <v>0</v>
      </c>
      <c r="J59" s="535">
        <f>SUM(J43,J51,J52,J54,J55,J57,J58)</f>
        <v>0</v>
      </c>
      <c r="K59" s="535">
        <f>SUM(K43,K51,K52,K54,K55,K57,K58)</f>
        <v>0</v>
      </c>
      <c r="L59" s="546">
        <f t="shared" si="10"/>
        <v>0</v>
      </c>
    </row>
    <row r="60" spans="1:13">
      <c r="A60" s="514" t="str">
        <f>报表格式!B59</f>
        <v>递延税款借项</v>
      </c>
      <c r="B60" s="515">
        <v>55</v>
      </c>
      <c r="C60" s="853"/>
      <c r="D60" s="527">
        <f>未审BS!C60</f>
        <v>0</v>
      </c>
      <c r="E60" s="528">
        <f t="shared" si="1"/>
        <v>0</v>
      </c>
      <c r="F60" s="527">
        <f>C60-D60</f>
        <v>0</v>
      </c>
      <c r="G60" s="529" t="str">
        <f>报表格式!G59</f>
        <v>减：未处理资产损失</v>
      </c>
      <c r="H60" s="530">
        <f t="shared" si="7"/>
        <v>112</v>
      </c>
      <c r="I60" s="853"/>
      <c r="J60" s="527">
        <f>未审BS!G60</f>
        <v>0</v>
      </c>
      <c r="K60" s="545">
        <f t="shared" si="3"/>
        <v>0</v>
      </c>
      <c r="L60" s="545">
        <f t="shared" si="10"/>
        <v>0</v>
      </c>
    </row>
    <row r="61" spans="1:13">
      <c r="A61" s="520">
        <f>报表格式!B60</f>
        <v>0</v>
      </c>
      <c r="B61" s="521">
        <v>56</v>
      </c>
      <c r="C61" s="855"/>
      <c r="D61" s="527">
        <f>未审BS!C61</f>
        <v>0</v>
      </c>
      <c r="E61" s="537">
        <f t="shared" si="1"/>
        <v>0</v>
      </c>
      <c r="F61" s="527">
        <f>C61-D61</f>
        <v>0</v>
      </c>
      <c r="G61" s="538" t="str">
        <f>报表格式!G60</f>
        <v>所有者权益合计(剔除未处理资产损失后的金额)</v>
      </c>
      <c r="H61" s="530">
        <f t="shared" si="7"/>
        <v>113</v>
      </c>
      <c r="I61" s="548">
        <f>I59-I60</f>
        <v>0</v>
      </c>
      <c r="J61" s="548">
        <f>J59-J60</f>
        <v>0</v>
      </c>
      <c r="K61" s="548">
        <f>K59-K60</f>
        <v>0</v>
      </c>
      <c r="L61" s="549">
        <f t="shared" si="10"/>
        <v>0</v>
      </c>
    </row>
    <row r="62" spans="1:13" ht="15" thickBot="1">
      <c r="A62" s="522" t="str">
        <f>报表格式!B73</f>
        <v>资 产 总 计</v>
      </c>
      <c r="B62" s="523">
        <v>57</v>
      </c>
      <c r="C62" s="539">
        <f>C27+C34+C47+C58+C60+C61</f>
        <v>0</v>
      </c>
      <c r="D62" s="539">
        <f>D27+D34+D47+D58+D60+D61</f>
        <v>0</v>
      </c>
      <c r="E62" s="540">
        <f>E27+E34+E47+E58+E60</f>
        <v>0</v>
      </c>
      <c r="F62" s="539">
        <f>C62-D62</f>
        <v>0</v>
      </c>
      <c r="G62" s="541" t="str">
        <f>报表格式!G73</f>
        <v>负债及所有者权益合计</v>
      </c>
      <c r="H62" s="542">
        <f t="shared" si="7"/>
        <v>114</v>
      </c>
      <c r="I62" s="539">
        <f>I39+I40+I41+I61</f>
        <v>0</v>
      </c>
      <c r="J62" s="539">
        <f>J39+J40+J41+J61</f>
        <v>0</v>
      </c>
      <c r="K62" s="539">
        <f>K39+K40+K61</f>
        <v>0</v>
      </c>
      <c r="L62" s="550">
        <f t="shared" si="10"/>
        <v>0</v>
      </c>
    </row>
    <row r="63" spans="1:13">
      <c r="A63" s="104"/>
      <c r="B63" s="154"/>
      <c r="C63" s="155"/>
      <c r="D63" s="104"/>
      <c r="E63" s="104"/>
      <c r="F63" s="104"/>
      <c r="G63" s="107"/>
      <c r="H63" s="335"/>
      <c r="I63" s="335"/>
      <c r="J63" s="335"/>
      <c r="K63" s="335"/>
      <c r="L63" s="104"/>
    </row>
    <row r="64" spans="1:13">
      <c r="A64" s="151" t="s">
        <v>943</v>
      </c>
      <c r="C64" s="330">
        <f>C62-I62</f>
        <v>0</v>
      </c>
      <c r="E64" s="151"/>
      <c r="F64" s="151"/>
      <c r="G64" s="151" t="s">
        <v>947</v>
      </c>
      <c r="I64" s="330">
        <f>I55-期初核对PL!C73</f>
        <v>0</v>
      </c>
      <c r="J64" s="330"/>
      <c r="K64" s="151"/>
      <c r="L64" s="151"/>
    </row>
    <row r="65" spans="1:12">
      <c r="A65" s="151" t="s">
        <v>944</v>
      </c>
      <c r="C65" s="330">
        <f>D62-J62</f>
        <v>0</v>
      </c>
      <c r="E65" s="151"/>
      <c r="F65" s="151"/>
      <c r="G65" s="151" t="s">
        <v>948</v>
      </c>
      <c r="I65" s="330">
        <f>J55-期初核对PL!D73</f>
        <v>0</v>
      </c>
      <c r="J65" s="330"/>
      <c r="K65" s="330"/>
      <c r="L65" s="151"/>
    </row>
    <row r="66" spans="1:12">
      <c r="C66" s="151"/>
      <c r="D66" s="151"/>
      <c r="E66" s="151"/>
      <c r="F66" s="151"/>
      <c r="K66" s="330"/>
      <c r="L66" s="151"/>
    </row>
  </sheetData>
  <sheetProtection formatCells="0" insertRows="0" autoFilter="0" pivotTables="0"/>
  <mergeCells count="5">
    <mergeCell ref="A2:L2"/>
    <mergeCell ref="H1:I1"/>
    <mergeCell ref="A4:C4"/>
    <mergeCell ref="J4:L4"/>
    <mergeCell ref="D4:G4"/>
  </mergeCells>
  <phoneticPr fontId="3" type="noConversion"/>
  <conditionalFormatting sqref="C6:L6 A4:C4">
    <cfRule type="cellIs" dxfId="56" priority="1" stopIfTrue="1" operator="equal">
      <formula>"            对不起，请到参数表中确定报表类型！"</formula>
    </cfRule>
    <cfRule type="cellIs" dxfId="55" priority="2" stopIfTrue="1" operator="equal">
      <formula>"对不起，试用期已到，请查看系统信息，并与作者联系。"</formula>
    </cfRule>
  </conditionalFormatting>
  <conditionalFormatting sqref="A3">
    <cfRule type="cellIs" dxfId="54" priority="3" stopIfTrue="1" operator="equal">
      <formula>"期初核对不符！"</formula>
    </cfRule>
    <cfRule type="cellIs" dxfId="53" priority="4" stopIfTrue="1" operator="equal">
      <formula>"期初核对一致"</formula>
    </cfRule>
  </conditionalFormatting>
  <conditionalFormatting sqref="A1">
    <cfRule type="cellIs" dxfId="52" priority="5" stopIfTrue="1" operator="equal">
      <formula>"期初金额核对不符！"</formula>
    </cfRule>
    <cfRule type="cellIs" dxfId="51" priority="6" stopIfTrue="1" operator="equal">
      <formula>"期初金额核对一致"</formula>
    </cfRule>
  </conditionalFormatting>
  <conditionalFormatting sqref="A5">
    <cfRule type="cellIs" dxfId="50" priority="7" stopIfTrue="1" operator="equal">
      <formula>"资产明细核对不符！"</formula>
    </cfRule>
  </conditionalFormatting>
  <conditionalFormatting sqref="G5">
    <cfRule type="cellIs" dxfId="49" priority="8" stopIfTrue="1" operator="equal">
      <formula>"负债明细核对不符！"</formula>
    </cfRule>
  </conditionalFormatting>
  <printOptions horizontalCentered="1"/>
  <pageMargins left="0.38" right="0.23" top="0.47" bottom="0.43" header="0.23" footer="0.2"/>
  <pageSetup paperSize="9" scale="79" orientation="portrait" blackAndWhite="1"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F78"/>
  <sheetViews>
    <sheetView showZeros="0" workbookViewId="0">
      <pane xSplit="2" ySplit="5" topLeftCell="C6" activePane="bottomRight" state="frozen"/>
      <selection pane="topRight" activeCell="C1" sqref="C1"/>
      <selection pane="bottomLeft" activeCell="A6" sqref="A6"/>
      <selection pane="bottomRight" activeCell="A2" sqref="A2:F2"/>
    </sheetView>
  </sheetViews>
  <sheetFormatPr defaultRowHeight="14.25"/>
  <cols>
    <col min="1" max="1" width="42.625" style="152" customWidth="1"/>
    <col min="2" max="2" width="4.375" style="152" customWidth="1"/>
    <col min="3" max="3" width="16.125" style="152" customWidth="1"/>
    <col min="4" max="4" width="15.75" style="152" customWidth="1"/>
    <col min="5" max="5" width="0" style="152" hidden="1" customWidth="1"/>
    <col min="6" max="6" width="10.5" style="152" customWidth="1"/>
    <col min="7" max="16384" width="9" style="152"/>
  </cols>
  <sheetData>
    <row r="1" spans="1:6" ht="12.75" customHeight="1">
      <c r="A1" s="765" t="str">
        <f>IF(AND(ABS(F73)&lt;0.005,ABS(F74)&lt;0.005),"期初金额核对一致","期初金额核对不符！")</f>
        <v>期初金额核对一致</v>
      </c>
      <c r="B1" s="755"/>
      <c r="C1" s="755"/>
      <c r="D1" s="755"/>
      <c r="E1" s="755"/>
      <c r="F1" s="755"/>
    </row>
    <row r="2" spans="1:6" ht="18.75">
      <c r="A2" s="919" t="s">
        <v>713</v>
      </c>
      <c r="B2" s="919"/>
      <c r="C2" s="919"/>
      <c r="D2" s="919"/>
      <c r="E2" s="919"/>
      <c r="F2" s="919"/>
    </row>
    <row r="3" spans="1:6" ht="12" customHeight="1">
      <c r="A3" s="922"/>
      <c r="B3" s="922"/>
      <c r="C3" s="771"/>
      <c r="D3" s="771"/>
      <c r="E3" s="755"/>
      <c r="F3" s="755"/>
    </row>
    <row r="4" spans="1:6" s="151" customFormat="1" ht="13.5" thickBot="1">
      <c r="A4" s="256" t="str">
        <f>IF(报表格式!G41="","  对不起，请到参数表中确定报表类型！",CONCATENATE(" 客户名称：",参数!D3))</f>
        <v xml:space="preserve"> 客户名称：</v>
      </c>
      <c r="B4" s="923" t="str">
        <f>参数!$D$10</f>
        <v>2007年度</v>
      </c>
      <c r="C4" s="923"/>
      <c r="D4" s="267"/>
      <c r="E4" s="267"/>
      <c r="F4" s="553" t="str">
        <f>CONCATENATE("金额单位：",参数!$D$13)</f>
        <v>金额单位：人民币元</v>
      </c>
    </row>
    <row r="5" spans="1:6" s="340" customFormat="1" ht="24">
      <c r="A5" s="554" t="str">
        <f>IF(AND(E73&lt;0.005,E74&lt;0.005),"项          目","明细项目不符！")</f>
        <v>项          目</v>
      </c>
      <c r="B5" s="555" t="s">
        <v>165</v>
      </c>
      <c r="C5" s="509" t="s">
        <v>561</v>
      </c>
      <c r="D5" s="509" t="s">
        <v>714</v>
      </c>
      <c r="E5" s="509" t="s">
        <v>703</v>
      </c>
      <c r="F5" s="511" t="s">
        <v>563</v>
      </c>
    </row>
    <row r="6" spans="1:6" s="340" customFormat="1" ht="12.75">
      <c r="A6" s="556" t="str">
        <f>报表格式!L5</f>
        <v>一、主营业务收入</v>
      </c>
      <c r="B6" s="557">
        <v>1</v>
      </c>
      <c r="C6" s="856"/>
      <c r="D6" s="579">
        <f>未审PL!C6</f>
        <v>0</v>
      </c>
      <c r="E6" s="567">
        <f>ABS(F6)</f>
        <v>0</v>
      </c>
      <c r="F6" s="568">
        <f>C6-D6</f>
        <v>0</v>
      </c>
    </row>
    <row r="7" spans="1:6" s="340" customFormat="1" ht="12.75">
      <c r="A7" s="558" t="str">
        <f>报表格式!L6</f>
        <v xml:space="preserve">    其中：进口产品（商品）销售收入</v>
      </c>
      <c r="B7" s="559">
        <v>2</v>
      </c>
      <c r="C7" s="857"/>
      <c r="D7" s="580">
        <f>未审PL!C7</f>
        <v>0</v>
      </c>
      <c r="E7" s="569">
        <f t="shared" ref="E7:E72" si="0">ABS(F7)</f>
        <v>0</v>
      </c>
      <c r="F7" s="570">
        <f t="shared" ref="F7:F72" si="1">C7-D7</f>
        <v>0</v>
      </c>
    </row>
    <row r="8" spans="1:6" s="340" customFormat="1" ht="12.75">
      <c r="A8" s="558" t="str">
        <f>报表格式!L7</f>
        <v xml:space="preserve">          出口产品（商品）销售收入</v>
      </c>
      <c r="B8" s="559">
        <v>3</v>
      </c>
      <c r="C8" s="857"/>
      <c r="D8" s="580">
        <f>未审PL!C8</f>
        <v>0</v>
      </c>
      <c r="E8" s="569">
        <f t="shared" si="0"/>
        <v>0</v>
      </c>
      <c r="F8" s="570">
        <f t="shared" si="1"/>
        <v>0</v>
      </c>
    </row>
    <row r="9" spans="1:6" s="340" customFormat="1" ht="12.75">
      <c r="A9" s="558" t="str">
        <f>报表格式!L8</f>
        <v xml:space="preserve">    减：折扣与折让</v>
      </c>
      <c r="B9" s="559">
        <v>4</v>
      </c>
      <c r="C9" s="857"/>
      <c r="D9" s="580">
        <f>未审PL!C9</f>
        <v>0</v>
      </c>
      <c r="E9" s="569">
        <f t="shared" si="0"/>
        <v>0</v>
      </c>
      <c r="F9" s="570">
        <f t="shared" si="1"/>
        <v>0</v>
      </c>
    </row>
    <row r="10" spans="1:6" s="340" customFormat="1" ht="12.75">
      <c r="A10" s="560" t="str">
        <f>报表格式!L9</f>
        <v>二、主营业务收入净额</v>
      </c>
      <c r="B10" s="559">
        <v>5</v>
      </c>
      <c r="C10" s="571">
        <f>C6-C9</f>
        <v>0</v>
      </c>
      <c r="D10" s="581">
        <f>D6-D9</f>
        <v>0</v>
      </c>
      <c r="E10" s="569">
        <f t="shared" si="0"/>
        <v>0</v>
      </c>
      <c r="F10" s="570">
        <f t="shared" si="1"/>
        <v>0</v>
      </c>
    </row>
    <row r="11" spans="1:6" s="340" customFormat="1" ht="12.75">
      <c r="A11" s="558" t="str">
        <f>报表格式!L10</f>
        <v xml:space="preserve">    减：（一）主营业务成本</v>
      </c>
      <c r="B11" s="559">
        <v>6</v>
      </c>
      <c r="C11" s="857"/>
      <c r="D11" s="580">
        <f>未审PL!C11</f>
        <v>0</v>
      </c>
      <c r="E11" s="569">
        <f t="shared" si="0"/>
        <v>0</v>
      </c>
      <c r="F11" s="570">
        <f t="shared" si="1"/>
        <v>0</v>
      </c>
    </row>
    <row r="12" spans="1:6" s="340" customFormat="1" ht="12.75">
      <c r="A12" s="558" t="str">
        <f>报表格式!L11</f>
        <v xml:space="preserve">              其中：出口产品（商品）销售成本</v>
      </c>
      <c r="B12" s="559">
        <v>7</v>
      </c>
      <c r="C12" s="857"/>
      <c r="D12" s="580">
        <f>未审PL!C12</f>
        <v>0</v>
      </c>
      <c r="E12" s="569">
        <f t="shared" si="0"/>
        <v>0</v>
      </c>
      <c r="F12" s="570">
        <f t="shared" si="1"/>
        <v>0</v>
      </c>
    </row>
    <row r="13" spans="1:6" s="340" customFormat="1" ht="12.75">
      <c r="A13" s="558" t="str">
        <f>报表格式!L12</f>
        <v xml:space="preserve">        （二）主营业务税金及附加</v>
      </c>
      <c r="B13" s="559">
        <v>8</v>
      </c>
      <c r="C13" s="857"/>
      <c r="D13" s="580">
        <f>未审PL!C13</f>
        <v>0</v>
      </c>
      <c r="E13" s="569">
        <f t="shared" si="0"/>
        <v>0</v>
      </c>
      <c r="F13" s="570">
        <f t="shared" si="1"/>
        <v>0</v>
      </c>
    </row>
    <row r="14" spans="1:6" s="340" customFormat="1" ht="12.75">
      <c r="A14" s="558" t="str">
        <f>报表格式!L13</f>
        <v xml:space="preserve">        （三）经营费用</v>
      </c>
      <c r="B14" s="559">
        <v>9</v>
      </c>
      <c r="C14" s="857"/>
      <c r="D14" s="580">
        <f>未审PL!C14</f>
        <v>0</v>
      </c>
      <c r="E14" s="569">
        <f t="shared" si="0"/>
        <v>0</v>
      </c>
      <c r="F14" s="570">
        <f t="shared" si="1"/>
        <v>0</v>
      </c>
    </row>
    <row r="15" spans="1:6" s="340" customFormat="1" ht="12.75">
      <c r="A15" s="558" t="str">
        <f>报表格式!L14</f>
        <v xml:space="preserve">        （四）其他</v>
      </c>
      <c r="B15" s="559">
        <v>10</v>
      </c>
      <c r="C15" s="857"/>
      <c r="D15" s="580">
        <f>未审PL!C15</f>
        <v>0</v>
      </c>
      <c r="E15" s="569">
        <f t="shared" si="0"/>
        <v>0</v>
      </c>
      <c r="F15" s="570">
        <f t="shared" si="1"/>
        <v>0</v>
      </c>
    </row>
    <row r="16" spans="1:6" s="340" customFormat="1" ht="12.75">
      <c r="A16" s="558" t="str">
        <f>报表格式!L15</f>
        <v xml:space="preserve">    加：（一）递延收益</v>
      </c>
      <c r="B16" s="559">
        <v>11</v>
      </c>
      <c r="C16" s="857"/>
      <c r="D16" s="580">
        <f>未审PL!C16</f>
        <v>0</v>
      </c>
      <c r="E16" s="569">
        <f t="shared" si="0"/>
        <v>0</v>
      </c>
      <c r="F16" s="570">
        <f t="shared" si="1"/>
        <v>0</v>
      </c>
    </row>
    <row r="17" spans="1:6" s="340" customFormat="1" ht="12.75">
      <c r="A17" s="558" t="str">
        <f>报表格式!L16</f>
        <v xml:space="preserve">        （二）代购代销收入</v>
      </c>
      <c r="B17" s="559">
        <v>12</v>
      </c>
      <c r="C17" s="857"/>
      <c r="D17" s="580">
        <f>未审PL!C17</f>
        <v>0</v>
      </c>
      <c r="E17" s="569">
        <f t="shared" si="0"/>
        <v>0</v>
      </c>
      <c r="F17" s="570">
        <f t="shared" si="1"/>
        <v>0</v>
      </c>
    </row>
    <row r="18" spans="1:6" s="340" customFormat="1" ht="12.75">
      <c r="A18" s="558" t="str">
        <f>报表格式!L17</f>
        <v xml:space="preserve">        （三）其他</v>
      </c>
      <c r="B18" s="559">
        <v>13</v>
      </c>
      <c r="C18" s="857"/>
      <c r="D18" s="580">
        <f>未审PL!C18</f>
        <v>0</v>
      </c>
      <c r="E18" s="569">
        <f t="shared" si="0"/>
        <v>0</v>
      </c>
      <c r="F18" s="570">
        <f t="shared" si="1"/>
        <v>0</v>
      </c>
    </row>
    <row r="19" spans="1:6" s="340" customFormat="1" ht="12.75">
      <c r="A19" s="560" t="str">
        <f>报表格式!L18</f>
        <v>三、主营业务利润</v>
      </c>
      <c r="B19" s="559">
        <v>14</v>
      </c>
      <c r="C19" s="571">
        <f>C10-C11-C13-C14-C15+C16+C17+C18</f>
        <v>0</v>
      </c>
      <c r="D19" s="581">
        <f>D10-D11-D13-D14-D15+D16+D17+D18</f>
        <v>0</v>
      </c>
      <c r="E19" s="569">
        <f t="shared" si="0"/>
        <v>0</v>
      </c>
      <c r="F19" s="570">
        <f t="shared" si="1"/>
        <v>0</v>
      </c>
    </row>
    <row r="20" spans="1:6" s="340" customFormat="1" ht="12.75">
      <c r="A20" s="558" t="str">
        <f>报表格式!L19</f>
        <v xml:space="preserve">    加：其他业务利润</v>
      </c>
      <c r="B20" s="559">
        <v>15</v>
      </c>
      <c r="C20" s="857"/>
      <c r="D20" s="580">
        <f>未审PL!C20</f>
        <v>0</v>
      </c>
      <c r="E20" s="569">
        <f t="shared" si="0"/>
        <v>0</v>
      </c>
      <c r="F20" s="570">
        <f t="shared" si="1"/>
        <v>0</v>
      </c>
    </row>
    <row r="21" spans="1:6" s="340" customFormat="1" ht="12.75">
      <c r="A21" s="558" t="str">
        <f>报表格式!L20</f>
        <v xml:space="preserve">    减：（一）营业费用</v>
      </c>
      <c r="B21" s="559">
        <v>16</v>
      </c>
      <c r="C21" s="857"/>
      <c r="D21" s="580">
        <f>未审PL!C21</f>
        <v>0</v>
      </c>
      <c r="E21" s="569">
        <f t="shared" si="0"/>
        <v>0</v>
      </c>
      <c r="F21" s="570">
        <f t="shared" si="1"/>
        <v>0</v>
      </c>
    </row>
    <row r="22" spans="1:6" s="340" customFormat="1" ht="12.75">
      <c r="A22" s="558" t="str">
        <f>报表格式!L21</f>
        <v xml:space="preserve">        （二）管理费用</v>
      </c>
      <c r="B22" s="559">
        <v>17</v>
      </c>
      <c r="C22" s="857"/>
      <c r="D22" s="580">
        <f>未审PL!C22</f>
        <v>0</v>
      </c>
      <c r="E22" s="569">
        <f t="shared" si="0"/>
        <v>0</v>
      </c>
      <c r="F22" s="570">
        <f t="shared" si="1"/>
        <v>0</v>
      </c>
    </row>
    <row r="23" spans="1:6" s="340" customFormat="1" ht="12.75">
      <c r="A23" s="558" t="str">
        <f>报表格式!L22</f>
        <v xml:space="preserve">         其中：业务招待费</v>
      </c>
      <c r="B23" s="559">
        <v>18</v>
      </c>
      <c r="C23" s="857"/>
      <c r="D23" s="580">
        <f>未审PL!C23</f>
        <v>0</v>
      </c>
      <c r="E23" s="569"/>
      <c r="F23" s="570">
        <f t="shared" si="1"/>
        <v>0</v>
      </c>
    </row>
    <row r="24" spans="1:6" s="340" customFormat="1" ht="12.75">
      <c r="A24" s="558" t="str">
        <f>报表格式!L23</f>
        <v xml:space="preserve">               研究与开发费</v>
      </c>
      <c r="B24" s="559">
        <v>19</v>
      </c>
      <c r="C24" s="857"/>
      <c r="D24" s="580">
        <f>未审PL!C24</f>
        <v>0</v>
      </c>
      <c r="E24" s="569"/>
      <c r="F24" s="570">
        <f t="shared" si="1"/>
        <v>0</v>
      </c>
    </row>
    <row r="25" spans="1:6" s="340" customFormat="1" ht="12.75">
      <c r="A25" s="558" t="str">
        <f>报表格式!L24</f>
        <v xml:space="preserve">        （三）财务费用</v>
      </c>
      <c r="B25" s="559">
        <v>20</v>
      </c>
      <c r="C25" s="857"/>
      <c r="D25" s="580">
        <f>未审PL!C25</f>
        <v>0</v>
      </c>
      <c r="E25" s="569">
        <f t="shared" si="0"/>
        <v>0</v>
      </c>
      <c r="F25" s="570">
        <f t="shared" si="1"/>
        <v>0</v>
      </c>
    </row>
    <row r="26" spans="1:6" s="340" customFormat="1" ht="12.75">
      <c r="A26" s="558" t="str">
        <f>报表格式!L25</f>
        <v xml:space="preserve">         其中：利息支出</v>
      </c>
      <c r="B26" s="559">
        <v>21</v>
      </c>
      <c r="C26" s="857"/>
      <c r="D26" s="580">
        <f>未审PL!C26</f>
        <v>0</v>
      </c>
      <c r="E26" s="569">
        <f t="shared" si="0"/>
        <v>0</v>
      </c>
      <c r="F26" s="570">
        <f t="shared" si="1"/>
        <v>0</v>
      </c>
    </row>
    <row r="27" spans="1:6" s="340" customFormat="1" ht="12.75">
      <c r="A27" s="558" t="str">
        <f>报表格式!L26</f>
        <v xml:space="preserve">               利息收入</v>
      </c>
      <c r="B27" s="559">
        <v>22</v>
      </c>
      <c r="C27" s="857"/>
      <c r="D27" s="580">
        <f>未审PL!C27</f>
        <v>0</v>
      </c>
      <c r="E27" s="569">
        <f t="shared" si="0"/>
        <v>0</v>
      </c>
      <c r="F27" s="570">
        <f t="shared" si="1"/>
        <v>0</v>
      </c>
    </row>
    <row r="28" spans="1:6" s="340" customFormat="1" ht="12.75">
      <c r="A28" s="558" t="str">
        <f>报表格式!L27</f>
        <v xml:space="preserve">               汇兑净损失</v>
      </c>
      <c r="B28" s="559">
        <v>23</v>
      </c>
      <c r="C28" s="857"/>
      <c r="D28" s="580">
        <f>未审PL!C28</f>
        <v>0</v>
      </c>
      <c r="E28" s="569">
        <f t="shared" si="0"/>
        <v>0</v>
      </c>
      <c r="F28" s="570">
        <f t="shared" si="1"/>
        <v>0</v>
      </c>
    </row>
    <row r="29" spans="1:6" s="340" customFormat="1" ht="12.75">
      <c r="A29" s="558" t="str">
        <f>报表格式!L28</f>
        <v xml:space="preserve">        （四）其他</v>
      </c>
      <c r="B29" s="559">
        <v>24</v>
      </c>
      <c r="C29" s="857"/>
      <c r="D29" s="580">
        <f>未审PL!C29</f>
        <v>0</v>
      </c>
      <c r="E29" s="569">
        <f t="shared" si="0"/>
        <v>0</v>
      </c>
      <c r="F29" s="570">
        <f>C29-D29</f>
        <v>0</v>
      </c>
    </row>
    <row r="30" spans="1:6" s="340" customFormat="1" ht="12.75">
      <c r="A30" s="560" t="str">
        <f>报表格式!L29</f>
        <v>四、营业利润</v>
      </c>
      <c r="B30" s="559">
        <v>25</v>
      </c>
      <c r="C30" s="571">
        <f>C19+C20-C21-C22-C25-C29</f>
        <v>0</v>
      </c>
      <c r="D30" s="581">
        <f>D19+D20-D21-D22-D25-D29</f>
        <v>0</v>
      </c>
      <c r="E30" s="569">
        <f t="shared" si="0"/>
        <v>0</v>
      </c>
      <c r="F30" s="570">
        <f t="shared" si="1"/>
        <v>0</v>
      </c>
    </row>
    <row r="31" spans="1:6" s="340" customFormat="1" ht="12.75">
      <c r="A31" s="558" t="str">
        <f>报表格式!L30</f>
        <v xml:space="preserve">    加：（一）投资收益</v>
      </c>
      <c r="B31" s="559">
        <v>26</v>
      </c>
      <c r="C31" s="857"/>
      <c r="D31" s="580">
        <f>未审PL!C31</f>
        <v>0</v>
      </c>
      <c r="E31" s="569">
        <f t="shared" si="0"/>
        <v>0</v>
      </c>
      <c r="F31" s="570">
        <f t="shared" si="1"/>
        <v>0</v>
      </c>
    </row>
    <row r="32" spans="1:6" s="340" customFormat="1" ht="12.75">
      <c r="A32" s="558" t="str">
        <f>报表格式!L31</f>
        <v xml:space="preserve">        （二）期货收益</v>
      </c>
      <c r="B32" s="559">
        <v>27</v>
      </c>
      <c r="C32" s="857"/>
      <c r="D32" s="580">
        <f>未审PL!C32</f>
        <v>0</v>
      </c>
      <c r="E32" s="569">
        <f t="shared" si="0"/>
        <v>0</v>
      </c>
      <c r="F32" s="570">
        <f t="shared" si="1"/>
        <v>0</v>
      </c>
    </row>
    <row r="33" spans="1:6" s="340" customFormat="1" ht="12.75">
      <c r="A33" s="558" t="str">
        <f>报表格式!L32</f>
        <v xml:space="preserve">        （三）补贴收入</v>
      </c>
      <c r="B33" s="559">
        <v>28</v>
      </c>
      <c r="C33" s="857"/>
      <c r="D33" s="580">
        <f>未审PL!C33</f>
        <v>0</v>
      </c>
      <c r="E33" s="569">
        <f t="shared" si="0"/>
        <v>0</v>
      </c>
      <c r="F33" s="570">
        <f t="shared" si="1"/>
        <v>0</v>
      </c>
    </row>
    <row r="34" spans="1:6" s="340" customFormat="1" ht="12.75">
      <c r="A34" s="558" t="str">
        <f>报表格式!L33</f>
        <v xml:space="preserve">             其中：补贴前亏损的企业补贴收入</v>
      </c>
      <c r="B34" s="559">
        <v>29</v>
      </c>
      <c r="C34" s="857"/>
      <c r="D34" s="580">
        <f>未审PL!C34</f>
        <v>0</v>
      </c>
      <c r="E34" s="569">
        <f t="shared" si="0"/>
        <v>0</v>
      </c>
      <c r="F34" s="570">
        <f t="shared" si="1"/>
        <v>0</v>
      </c>
    </row>
    <row r="35" spans="1:6" s="340" customFormat="1" ht="12.75">
      <c r="A35" s="558" t="str">
        <f>报表格式!L34</f>
        <v xml:space="preserve">        （四）营业外收入</v>
      </c>
      <c r="B35" s="559">
        <v>30</v>
      </c>
      <c r="C35" s="857"/>
      <c r="D35" s="580">
        <f>未审PL!C35</f>
        <v>0</v>
      </c>
      <c r="E35" s="569">
        <f t="shared" si="0"/>
        <v>0</v>
      </c>
      <c r="F35" s="570">
        <f t="shared" si="1"/>
        <v>0</v>
      </c>
    </row>
    <row r="36" spans="1:6" s="340" customFormat="1" ht="12.75">
      <c r="A36" s="558" t="str">
        <f>报表格式!L35</f>
        <v xml:space="preserve">             其中：处置固定资产净收益</v>
      </c>
      <c r="B36" s="559">
        <v>31</v>
      </c>
      <c r="C36" s="857"/>
      <c r="D36" s="580">
        <f>未审PL!C36</f>
        <v>0</v>
      </c>
      <c r="E36" s="569">
        <f t="shared" si="0"/>
        <v>0</v>
      </c>
      <c r="F36" s="570">
        <f t="shared" si="1"/>
        <v>0</v>
      </c>
    </row>
    <row r="37" spans="1:6" s="340" customFormat="1" ht="12.75">
      <c r="A37" s="558" t="str">
        <f>报表格式!L36</f>
        <v xml:space="preserve">                   非货币性交易收益</v>
      </c>
      <c r="B37" s="559">
        <v>32</v>
      </c>
      <c r="C37" s="857"/>
      <c r="D37" s="580">
        <f>未审PL!C37</f>
        <v>0</v>
      </c>
      <c r="E37" s="569">
        <f t="shared" si="0"/>
        <v>0</v>
      </c>
      <c r="F37" s="570">
        <f t="shared" si="1"/>
        <v>0</v>
      </c>
    </row>
    <row r="38" spans="1:6" s="340" customFormat="1" ht="12.75">
      <c r="A38" s="558" t="str">
        <f>报表格式!L37</f>
        <v xml:space="preserve">                   出售无形资产收益</v>
      </c>
      <c r="B38" s="559">
        <v>33</v>
      </c>
      <c r="C38" s="857"/>
      <c r="D38" s="580">
        <f>未审PL!C38</f>
        <v>0</v>
      </c>
      <c r="E38" s="569">
        <f t="shared" si="0"/>
        <v>0</v>
      </c>
      <c r="F38" s="570">
        <f t="shared" si="1"/>
        <v>0</v>
      </c>
    </row>
    <row r="39" spans="1:6" s="340" customFormat="1" ht="12.75">
      <c r="A39" s="558" t="str">
        <f>报表格式!L38</f>
        <v xml:space="preserve">                   罚款净收入</v>
      </c>
      <c r="B39" s="559">
        <v>34</v>
      </c>
      <c r="C39" s="857"/>
      <c r="D39" s="580">
        <f>未审PL!C39</f>
        <v>0</v>
      </c>
      <c r="E39" s="569">
        <f t="shared" si="0"/>
        <v>0</v>
      </c>
      <c r="F39" s="570">
        <f t="shared" si="1"/>
        <v>0</v>
      </c>
    </row>
    <row r="40" spans="1:6" s="340" customFormat="1" ht="12.75">
      <c r="A40" s="558" t="str">
        <f>报表格式!L39</f>
        <v xml:space="preserve">        （五）其他</v>
      </c>
      <c r="B40" s="559">
        <v>35</v>
      </c>
      <c r="C40" s="857"/>
      <c r="D40" s="580">
        <f>未审PL!C40</f>
        <v>0</v>
      </c>
      <c r="E40" s="569">
        <f t="shared" si="0"/>
        <v>0</v>
      </c>
      <c r="F40" s="570">
        <f t="shared" si="1"/>
        <v>0</v>
      </c>
    </row>
    <row r="41" spans="1:6" s="340" customFormat="1" ht="12.75">
      <c r="A41" s="558" t="str">
        <f>报表格式!L40</f>
        <v xml:space="preserve">             其中：用以前年度含量工资结余弥补利润</v>
      </c>
      <c r="B41" s="559">
        <v>36</v>
      </c>
      <c r="C41" s="857"/>
      <c r="D41" s="580">
        <f>未审PL!C41</f>
        <v>0</v>
      </c>
      <c r="E41" s="569">
        <f t="shared" si="0"/>
        <v>0</v>
      </c>
      <c r="F41" s="570">
        <f t="shared" si="1"/>
        <v>0</v>
      </c>
    </row>
    <row r="42" spans="1:6" s="340" customFormat="1" ht="12.75">
      <c r="A42" s="558" t="str">
        <f>报表格式!L41</f>
        <v xml:space="preserve">    减：（一）营业外支出</v>
      </c>
      <c r="B42" s="559">
        <v>37</v>
      </c>
      <c r="C42" s="857"/>
      <c r="D42" s="580">
        <f>未审PL!C42</f>
        <v>0</v>
      </c>
      <c r="E42" s="569">
        <f t="shared" si="0"/>
        <v>0</v>
      </c>
      <c r="F42" s="570">
        <f t="shared" si="1"/>
        <v>0</v>
      </c>
    </row>
    <row r="43" spans="1:6" s="340" customFormat="1" ht="12.75">
      <c r="A43" s="558" t="str">
        <f>报表格式!L42</f>
        <v xml:space="preserve">             其中：处置固定资产净损失</v>
      </c>
      <c r="B43" s="559">
        <v>38</v>
      </c>
      <c r="C43" s="857"/>
      <c r="D43" s="580">
        <f>未审PL!C43</f>
        <v>0</v>
      </c>
      <c r="E43" s="569">
        <f t="shared" si="0"/>
        <v>0</v>
      </c>
      <c r="F43" s="570">
        <f t="shared" si="1"/>
        <v>0</v>
      </c>
    </row>
    <row r="44" spans="1:6" s="340" customFormat="1" ht="12.75">
      <c r="A44" s="558" t="str">
        <f>报表格式!L43</f>
        <v xml:space="preserve">                   出售无形资产损失</v>
      </c>
      <c r="B44" s="559">
        <v>39</v>
      </c>
      <c r="C44" s="857"/>
      <c r="D44" s="580">
        <f>未审PL!C44</f>
        <v>0</v>
      </c>
      <c r="E44" s="569">
        <f t="shared" si="0"/>
        <v>0</v>
      </c>
      <c r="F44" s="570">
        <f>C44-D44</f>
        <v>0</v>
      </c>
    </row>
    <row r="45" spans="1:6" s="340" customFormat="1" ht="12.75">
      <c r="A45" s="558" t="str">
        <f>报表格式!L44</f>
        <v xml:space="preserve">                   罚款支出</v>
      </c>
      <c r="B45" s="559">
        <v>40</v>
      </c>
      <c r="C45" s="857"/>
      <c r="D45" s="580">
        <f>未审PL!C45</f>
        <v>0</v>
      </c>
      <c r="E45" s="569">
        <f t="shared" si="0"/>
        <v>0</v>
      </c>
      <c r="F45" s="570">
        <f t="shared" si="1"/>
        <v>0</v>
      </c>
    </row>
    <row r="46" spans="1:6" s="340" customFormat="1" ht="12.75">
      <c r="A46" s="558" t="str">
        <f>报表格式!L45</f>
        <v xml:space="preserve">                   捐赠支出</v>
      </c>
      <c r="B46" s="559">
        <v>41</v>
      </c>
      <c r="C46" s="857"/>
      <c r="D46" s="580">
        <f>未审PL!C46</f>
        <v>0</v>
      </c>
      <c r="E46" s="569">
        <f t="shared" si="0"/>
        <v>0</v>
      </c>
      <c r="F46" s="570">
        <f t="shared" si="1"/>
        <v>0</v>
      </c>
    </row>
    <row r="47" spans="1:6" s="340" customFormat="1" ht="12.75">
      <c r="A47" s="558" t="str">
        <f>报表格式!L46</f>
        <v xml:space="preserve">        （二）其他支出</v>
      </c>
      <c r="B47" s="559">
        <v>42</v>
      </c>
      <c r="C47" s="857"/>
      <c r="D47" s="580">
        <f>未审PL!C47</f>
        <v>0</v>
      </c>
      <c r="E47" s="569">
        <f t="shared" si="0"/>
        <v>0</v>
      </c>
      <c r="F47" s="570">
        <f t="shared" si="1"/>
        <v>0</v>
      </c>
    </row>
    <row r="48" spans="1:6" s="340" customFormat="1" ht="12.75">
      <c r="A48" s="558" t="str">
        <f>报表格式!L47</f>
        <v xml:space="preserve">             其中：结转的含量工资包干结余</v>
      </c>
      <c r="B48" s="559">
        <v>43</v>
      </c>
      <c r="C48" s="857"/>
      <c r="D48" s="580">
        <f>未审PL!C48</f>
        <v>0</v>
      </c>
      <c r="E48" s="569">
        <f t="shared" si="0"/>
        <v>0</v>
      </c>
      <c r="F48" s="570">
        <f t="shared" si="1"/>
        <v>0</v>
      </c>
    </row>
    <row r="49" spans="1:6" s="340" customFormat="1" ht="12.75">
      <c r="A49" s="560" t="str">
        <f>报表格式!L48</f>
        <v>五、利润总额</v>
      </c>
      <c r="B49" s="559">
        <v>44</v>
      </c>
      <c r="C49" s="571">
        <f>C30+C31+C32+C33+C35+C40-C42-C47</f>
        <v>0</v>
      </c>
      <c r="D49" s="581">
        <f>D30+D31+D32+D33+D35+D40-D42-D47</f>
        <v>0</v>
      </c>
      <c r="E49" s="569">
        <f t="shared" si="0"/>
        <v>0</v>
      </c>
      <c r="F49" s="570">
        <f t="shared" si="1"/>
        <v>0</v>
      </c>
    </row>
    <row r="50" spans="1:6" s="340" customFormat="1" ht="12.75">
      <c r="A50" s="558" t="str">
        <f>报表格式!L49</f>
        <v xml:space="preserve">    减：所得税</v>
      </c>
      <c r="B50" s="559">
        <v>45</v>
      </c>
      <c r="C50" s="857"/>
      <c r="D50" s="580">
        <f>未审PL!C50</f>
        <v>0</v>
      </c>
      <c r="E50" s="569">
        <f t="shared" si="0"/>
        <v>0</v>
      </c>
      <c r="F50" s="570">
        <f t="shared" si="1"/>
        <v>0</v>
      </c>
    </row>
    <row r="51" spans="1:6" s="340" customFormat="1" ht="12.75">
      <c r="A51" s="558" t="str">
        <f>报表格式!L50</f>
        <v xml:space="preserve">       *少数股东损益</v>
      </c>
      <c r="B51" s="559">
        <v>46</v>
      </c>
      <c r="C51" s="857"/>
      <c r="D51" s="580">
        <f>未审PL!C51</f>
        <v>0</v>
      </c>
      <c r="E51" s="569">
        <f t="shared" si="0"/>
        <v>0</v>
      </c>
      <c r="F51" s="570">
        <f t="shared" si="1"/>
        <v>0</v>
      </c>
    </row>
    <row r="52" spans="1:6" s="340" customFormat="1" ht="12.75">
      <c r="A52" s="558" t="str">
        <f>报表格式!L51</f>
        <v xml:space="preserve">    加：*未确认的投资损失</v>
      </c>
      <c r="B52" s="559">
        <v>47</v>
      </c>
      <c r="C52" s="857"/>
      <c r="D52" s="580">
        <f>未审PL!C52</f>
        <v>0</v>
      </c>
      <c r="E52" s="569">
        <f t="shared" si="0"/>
        <v>0</v>
      </c>
      <c r="F52" s="570">
        <f t="shared" si="1"/>
        <v>0</v>
      </c>
    </row>
    <row r="53" spans="1:6" s="340" customFormat="1" ht="12.75">
      <c r="A53" s="560" t="str">
        <f>报表格式!L52</f>
        <v>六、净利润</v>
      </c>
      <c r="B53" s="559">
        <v>48</v>
      </c>
      <c r="C53" s="571">
        <f>C49-C50-C51+C52</f>
        <v>0</v>
      </c>
      <c r="D53" s="581">
        <f>D49-D50-D51+D52</f>
        <v>0</v>
      </c>
      <c r="E53" s="569">
        <f t="shared" si="0"/>
        <v>0</v>
      </c>
      <c r="F53" s="570">
        <f t="shared" si="1"/>
        <v>0</v>
      </c>
    </row>
    <row r="54" spans="1:6" s="340" customFormat="1" ht="12.75">
      <c r="A54" s="558" t="str">
        <f>报表格式!L53</f>
        <v xml:space="preserve">    加：（一）年初未分配利润</v>
      </c>
      <c r="B54" s="559">
        <v>49</v>
      </c>
      <c r="C54" s="857"/>
      <c r="D54" s="580">
        <f>未审PL!C54</f>
        <v>0</v>
      </c>
      <c r="E54" s="569">
        <f t="shared" si="0"/>
        <v>0</v>
      </c>
      <c r="F54" s="570">
        <f t="shared" si="1"/>
        <v>0</v>
      </c>
    </row>
    <row r="55" spans="1:6" s="340" customFormat="1" ht="12.75">
      <c r="A55" s="558" t="str">
        <f>报表格式!L54</f>
        <v xml:space="preserve">        （二）盈余公积补亏</v>
      </c>
      <c r="B55" s="559">
        <v>50</v>
      </c>
      <c r="C55" s="857"/>
      <c r="D55" s="580">
        <f>未审PL!C55</f>
        <v>0</v>
      </c>
      <c r="E55" s="569">
        <f t="shared" si="0"/>
        <v>0</v>
      </c>
      <c r="F55" s="570">
        <f t="shared" si="1"/>
        <v>0</v>
      </c>
    </row>
    <row r="56" spans="1:6" s="340" customFormat="1" ht="12.75">
      <c r="A56" s="558" t="str">
        <f>报表格式!L55</f>
        <v xml:space="preserve">        （三）其他调整因素</v>
      </c>
      <c r="B56" s="559">
        <v>51</v>
      </c>
      <c r="C56" s="857"/>
      <c r="D56" s="580">
        <f>未审PL!C56</f>
        <v>0</v>
      </c>
      <c r="E56" s="569">
        <f t="shared" si="0"/>
        <v>0</v>
      </c>
      <c r="F56" s="570">
        <f t="shared" si="1"/>
        <v>0</v>
      </c>
    </row>
    <row r="57" spans="1:6" s="340" customFormat="1" ht="12.75">
      <c r="A57" s="560" t="str">
        <f>报表格式!L56</f>
        <v>七、可供分配的利润</v>
      </c>
      <c r="B57" s="559">
        <v>52</v>
      </c>
      <c r="C57" s="571">
        <f>C53+C54+C55+C56</f>
        <v>0</v>
      </c>
      <c r="D57" s="581">
        <f>D53+D54+D55+D56</f>
        <v>0</v>
      </c>
      <c r="E57" s="569">
        <f t="shared" si="0"/>
        <v>0</v>
      </c>
      <c r="F57" s="570">
        <f t="shared" si="1"/>
        <v>0</v>
      </c>
    </row>
    <row r="58" spans="1:6" s="340" customFormat="1" ht="12.75">
      <c r="A58" s="558" t="str">
        <f>报表格式!L57</f>
        <v xml:space="preserve">    减：（一）提取法定盈余公积</v>
      </c>
      <c r="B58" s="559">
        <v>53</v>
      </c>
      <c r="C58" s="857"/>
      <c r="D58" s="580">
        <f>未审PL!C58</f>
        <v>0</v>
      </c>
      <c r="E58" s="569">
        <f t="shared" si="0"/>
        <v>0</v>
      </c>
      <c r="F58" s="570">
        <f t="shared" si="1"/>
        <v>0</v>
      </c>
    </row>
    <row r="59" spans="1:6" s="340" customFormat="1" ht="12.75">
      <c r="A59" s="558" t="str">
        <f>报表格式!L58</f>
        <v xml:space="preserve">        （二）提取法定公益金</v>
      </c>
      <c r="B59" s="559">
        <v>54</v>
      </c>
      <c r="C59" s="857"/>
      <c r="D59" s="580">
        <f>未审PL!C59</f>
        <v>0</v>
      </c>
      <c r="E59" s="569">
        <f t="shared" si="0"/>
        <v>0</v>
      </c>
      <c r="F59" s="570">
        <f t="shared" si="1"/>
        <v>0</v>
      </c>
    </row>
    <row r="60" spans="1:6" s="340" customFormat="1" ht="12.75">
      <c r="A60" s="558" t="str">
        <f>报表格式!L59</f>
        <v xml:space="preserve">        （三）提取职工奖励及福利基金</v>
      </c>
      <c r="B60" s="559">
        <v>55</v>
      </c>
      <c r="C60" s="857"/>
      <c r="D60" s="580">
        <f>未审PL!C60</f>
        <v>0</v>
      </c>
      <c r="E60" s="569">
        <f t="shared" si="0"/>
        <v>0</v>
      </c>
      <c r="F60" s="570">
        <f t="shared" si="1"/>
        <v>0</v>
      </c>
    </row>
    <row r="61" spans="1:6" s="340" customFormat="1" ht="12.75">
      <c r="A61" s="558" t="str">
        <f>报表格式!L60</f>
        <v xml:space="preserve">        （四）提取储备基金</v>
      </c>
      <c r="B61" s="559">
        <v>56</v>
      </c>
      <c r="C61" s="857"/>
      <c r="D61" s="580">
        <f>未审PL!C61</f>
        <v>0</v>
      </c>
      <c r="E61" s="569">
        <f t="shared" si="0"/>
        <v>0</v>
      </c>
      <c r="F61" s="570">
        <f t="shared" si="1"/>
        <v>0</v>
      </c>
    </row>
    <row r="62" spans="1:6" s="340" customFormat="1" ht="12.75">
      <c r="A62" s="558" t="str">
        <f>报表格式!L61</f>
        <v xml:space="preserve">        （五）提取企业发展基金 </v>
      </c>
      <c r="B62" s="559">
        <v>57</v>
      </c>
      <c r="C62" s="857"/>
      <c r="D62" s="580">
        <f>未审PL!C62</f>
        <v>0</v>
      </c>
      <c r="E62" s="569">
        <f t="shared" si="0"/>
        <v>0</v>
      </c>
      <c r="F62" s="570">
        <f>C62-D62</f>
        <v>0</v>
      </c>
    </row>
    <row r="63" spans="1:6" s="340" customFormat="1" ht="12.75">
      <c r="A63" s="558" t="str">
        <f>报表格式!L62</f>
        <v xml:space="preserve">        （六）利润归还投资 </v>
      </c>
      <c r="B63" s="559">
        <v>58</v>
      </c>
      <c r="C63" s="857"/>
      <c r="D63" s="580">
        <f>未审PL!C63</f>
        <v>0</v>
      </c>
      <c r="E63" s="569">
        <f t="shared" si="0"/>
        <v>0</v>
      </c>
      <c r="F63" s="570">
        <f t="shared" si="1"/>
        <v>0</v>
      </c>
    </row>
    <row r="64" spans="1:6" s="340" customFormat="1" ht="12.75">
      <c r="A64" s="558" t="str">
        <f>报表格式!L63</f>
        <v xml:space="preserve">        （七）补充流动资本</v>
      </c>
      <c r="B64" s="559">
        <v>59</v>
      </c>
      <c r="C64" s="857"/>
      <c r="D64" s="580">
        <f>未审PL!C64</f>
        <v>0</v>
      </c>
      <c r="E64" s="569">
        <f t="shared" si="0"/>
        <v>0</v>
      </c>
      <c r="F64" s="570">
        <f t="shared" si="1"/>
        <v>0</v>
      </c>
    </row>
    <row r="65" spans="1:6" s="340" customFormat="1" ht="12.75">
      <c r="A65" s="558" t="str">
        <f>报表格式!L64</f>
        <v xml:space="preserve">        （八）单项留用的利润</v>
      </c>
      <c r="B65" s="559">
        <v>60</v>
      </c>
      <c r="C65" s="857"/>
      <c r="D65" s="580">
        <f>未审PL!C65</f>
        <v>0</v>
      </c>
      <c r="E65" s="569">
        <f t="shared" si="0"/>
        <v>0</v>
      </c>
      <c r="F65" s="570">
        <f t="shared" si="1"/>
        <v>0</v>
      </c>
    </row>
    <row r="66" spans="1:6" s="340" customFormat="1" ht="12.75">
      <c r="A66" s="558" t="str">
        <f>报表格式!L65</f>
        <v xml:space="preserve">        （九）其他</v>
      </c>
      <c r="B66" s="559">
        <v>61</v>
      </c>
      <c r="C66" s="857"/>
      <c r="D66" s="580">
        <f>未审PL!C66</f>
        <v>0</v>
      </c>
      <c r="E66" s="569">
        <f t="shared" si="0"/>
        <v>0</v>
      </c>
      <c r="F66" s="570">
        <f t="shared" si="1"/>
        <v>0</v>
      </c>
    </row>
    <row r="67" spans="1:6" s="340" customFormat="1" ht="12.75">
      <c r="A67" s="560" t="str">
        <f>报表格式!L66</f>
        <v>八、可供投资者分配的利润</v>
      </c>
      <c r="B67" s="559">
        <v>62</v>
      </c>
      <c r="C67" s="571">
        <f>C57-C58-C59-C60-C61-C62-C63-C64-C65-C66</f>
        <v>0</v>
      </c>
      <c r="D67" s="581">
        <f>D57-D58-D59-D60-D61-D62-D63-D64-D65-D66</f>
        <v>0</v>
      </c>
      <c r="E67" s="569">
        <f t="shared" si="0"/>
        <v>0</v>
      </c>
      <c r="F67" s="570">
        <f t="shared" si="1"/>
        <v>0</v>
      </c>
    </row>
    <row r="68" spans="1:6" s="340" customFormat="1" ht="12.75">
      <c r="A68" s="558" t="str">
        <f>报表格式!L67</f>
        <v xml:space="preserve">    减：（一）应付优先股股利</v>
      </c>
      <c r="B68" s="559">
        <v>63</v>
      </c>
      <c r="C68" s="857"/>
      <c r="D68" s="580">
        <f>未审PL!C68</f>
        <v>0</v>
      </c>
      <c r="E68" s="569">
        <f t="shared" si="0"/>
        <v>0</v>
      </c>
      <c r="F68" s="570">
        <f t="shared" si="1"/>
        <v>0</v>
      </c>
    </row>
    <row r="69" spans="1:6" s="340" customFormat="1" ht="12.75">
      <c r="A69" s="558" t="str">
        <f>报表格式!L68</f>
        <v xml:space="preserve">        （二）提取任意盈余公积</v>
      </c>
      <c r="B69" s="559">
        <v>64</v>
      </c>
      <c r="C69" s="857"/>
      <c r="D69" s="580">
        <f>未审PL!C69</f>
        <v>0</v>
      </c>
      <c r="E69" s="569">
        <f t="shared" si="0"/>
        <v>0</v>
      </c>
      <c r="F69" s="570">
        <f t="shared" si="1"/>
        <v>0</v>
      </c>
    </row>
    <row r="70" spans="1:6" s="340" customFormat="1" ht="12.75">
      <c r="A70" s="558" t="str">
        <f>报表格式!L69</f>
        <v xml:space="preserve">        （三）应付普通股股利（应付利润）</v>
      </c>
      <c r="B70" s="559">
        <v>65</v>
      </c>
      <c r="C70" s="857"/>
      <c r="D70" s="580">
        <f>未审PL!C70</f>
        <v>0</v>
      </c>
      <c r="E70" s="569">
        <f t="shared" si="0"/>
        <v>0</v>
      </c>
      <c r="F70" s="570">
        <f t="shared" si="1"/>
        <v>0</v>
      </c>
    </row>
    <row r="71" spans="1:6" s="340" customFormat="1" ht="12.75">
      <c r="A71" s="558" t="str">
        <f>报表格式!L70</f>
        <v xml:space="preserve">        （四）转作资本（股本）的普通股股利</v>
      </c>
      <c r="B71" s="559">
        <v>66</v>
      </c>
      <c r="C71" s="857"/>
      <c r="D71" s="580">
        <f>未审PL!C71</f>
        <v>0</v>
      </c>
      <c r="E71" s="569">
        <f t="shared" si="0"/>
        <v>0</v>
      </c>
      <c r="F71" s="570">
        <f t="shared" si="1"/>
        <v>0</v>
      </c>
    </row>
    <row r="72" spans="1:6" s="506" customFormat="1">
      <c r="A72" s="561" t="str">
        <f>报表格式!L71</f>
        <v xml:space="preserve">        （五）其他</v>
      </c>
      <c r="B72" s="562">
        <v>67</v>
      </c>
      <c r="C72" s="858"/>
      <c r="D72" s="582">
        <f>未审PL!C72</f>
        <v>0</v>
      </c>
      <c r="E72" s="572">
        <f t="shared" si="0"/>
        <v>0</v>
      </c>
      <c r="F72" s="573">
        <f t="shared" si="1"/>
        <v>0</v>
      </c>
    </row>
    <row r="73" spans="1:6" s="506" customFormat="1">
      <c r="A73" s="565" t="str">
        <f>报表格式!L72</f>
        <v>九、未分配利润</v>
      </c>
      <c r="B73" s="566">
        <v>68</v>
      </c>
      <c r="C73" s="574">
        <f>C67-C68-C69-C70-C71-C72</f>
        <v>0</v>
      </c>
      <c r="D73" s="583">
        <f>D67-D68-D69-D70-D71-D72</f>
        <v>0</v>
      </c>
      <c r="E73" s="575">
        <f>ABS(F73)</f>
        <v>0</v>
      </c>
      <c r="F73" s="576">
        <f>C73-D73</f>
        <v>0</v>
      </c>
    </row>
    <row r="74" spans="1:6" s="506" customFormat="1">
      <c r="A74" s="563" t="str">
        <f>报表格式!L73</f>
        <v xml:space="preserve">    其中：应由以后年度税前利润弥补的亏损（以“+”号填列）</v>
      </c>
      <c r="B74" s="564">
        <v>69</v>
      </c>
      <c r="C74" s="859"/>
      <c r="D74" s="584">
        <f>未审PL!C74</f>
        <v>0</v>
      </c>
      <c r="E74" s="577">
        <f>SUM(E6:E73)</f>
        <v>0</v>
      </c>
      <c r="F74" s="578">
        <f>C74-D74</f>
        <v>0</v>
      </c>
    </row>
    <row r="77" spans="1:6">
      <c r="D77" s="341"/>
    </row>
    <row r="78" spans="1:6">
      <c r="D78" s="342"/>
    </row>
  </sheetData>
  <sheetProtection formatCells="0" insertRows="0" autoFilter="0" pivotTables="0"/>
  <mergeCells count="3">
    <mergeCell ref="A2:F2"/>
    <mergeCell ref="A3:B3"/>
    <mergeCell ref="B4:C4"/>
  </mergeCells>
  <phoneticPr fontId="3" type="noConversion"/>
  <conditionalFormatting sqref="A1">
    <cfRule type="cellIs" dxfId="48" priority="1" stopIfTrue="1" operator="equal">
      <formula>"期初金额核对不符！"</formula>
    </cfRule>
    <cfRule type="cellIs" dxfId="47" priority="2" stopIfTrue="1" operator="equal">
      <formula>"期初金额核对一致"</formula>
    </cfRule>
  </conditionalFormatting>
  <conditionalFormatting sqref="A5">
    <cfRule type="cellIs" dxfId="46" priority="3" stopIfTrue="1" operator="equal">
      <formula>"明细项目不符！"</formula>
    </cfRule>
  </conditionalFormatting>
  <printOptions horizontalCentered="1"/>
  <pageMargins left="0.38" right="0.32" top="0.38" bottom="0.31" header="0.23" footer="0.2"/>
  <pageSetup paperSize="9" scale="80" orientation="portrait" blackAndWhite="1"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O207"/>
  <sheetViews>
    <sheetView workbookViewId="0">
      <pane xSplit="3" ySplit="4" topLeftCell="D5" activePane="bottomRight" state="frozen"/>
      <selection pane="topRight" activeCell="D1" sqref="D1"/>
      <selection pane="bottomLeft" activeCell="A5" sqref="A5"/>
      <selection pane="bottomRight" activeCell="A2" sqref="A2"/>
    </sheetView>
  </sheetViews>
  <sheetFormatPr defaultRowHeight="13.5"/>
  <cols>
    <col min="1" max="1" width="3.25" style="42" customWidth="1"/>
    <col min="2" max="2" width="5.5" style="42" customWidth="1"/>
    <col min="3" max="3" width="19.375" style="302" customWidth="1"/>
    <col min="4" max="4" width="3.625" style="57" customWidth="1"/>
    <col min="5" max="5" width="9.25" style="44" customWidth="1"/>
    <col min="6" max="6" width="12.375" style="44" customWidth="1"/>
    <col min="7" max="7" width="3.375" style="57" customWidth="1"/>
    <col min="8" max="8" width="10.125" style="44" customWidth="1"/>
    <col min="9" max="9" width="12.5" style="44" customWidth="1"/>
    <col min="10" max="10" width="11.5" style="298" customWidth="1"/>
    <col min="11" max="11" width="8.25" style="44" customWidth="1"/>
    <col min="12" max="12" width="8.875" style="44" customWidth="1"/>
    <col min="13" max="13" width="0.5" style="44" customWidth="1"/>
    <col min="14" max="14" width="4.125" style="160" customWidth="1"/>
    <col min="15" max="15" width="22.375" style="159" bestFit="1" customWidth="1"/>
    <col min="16" max="16384" width="9" style="44"/>
  </cols>
  <sheetData>
    <row r="1" spans="1:15" s="41" customFormat="1" ht="19.5" customHeight="1">
      <c r="A1" s="241" t="str">
        <f>IF((L2-(TB资产!C63+TB负债!C63+TB损益!C75)-IF(COUNTIF(E5:E666,"未分配利润")&gt;=1,VLOOKUP("未分配利润",E5:J666,6,0),0))&lt;0.005,"账项调整事项汇总表","调整事项未全部链入试算平衡表，请检查调整科目是否为报表项目!")</f>
        <v>账项调整事项汇总表</v>
      </c>
      <c r="B1" s="39"/>
      <c r="C1" s="299"/>
      <c r="D1" s="40"/>
      <c r="E1" s="40"/>
      <c r="F1" s="40"/>
      <c r="G1" s="40"/>
      <c r="H1" s="40"/>
      <c r="I1" s="40"/>
      <c r="J1" s="294"/>
      <c r="K1" s="773">
        <f>SUM(L2:L3)</f>
        <v>0</v>
      </c>
      <c r="N1" s="156" t="s">
        <v>206</v>
      </c>
      <c r="O1" s="157" t="s">
        <v>551</v>
      </c>
    </row>
    <row r="2" spans="1:15" s="42" customFormat="1" ht="15" customHeight="1">
      <c r="A2" s="235" t="str">
        <f>CONCATENATE("客户名称：",参数!D3)</f>
        <v>客户名称：</v>
      </c>
      <c r="C2" s="300"/>
      <c r="D2" s="43"/>
      <c r="E2" s="42" t="str">
        <f>CONCATENATE("编制人：",参数!D17)</f>
        <v>编制人：</v>
      </c>
      <c r="G2" s="43"/>
      <c r="H2" s="42" t="str">
        <f ca="1">CONCATENATE("日期：",TEXT(NOW(),"yyyy.mm.dd"))</f>
        <v>日期：2023.08.14</v>
      </c>
      <c r="J2" s="295" t="s">
        <v>238</v>
      </c>
      <c r="K2" s="772" t="s">
        <v>239</v>
      </c>
      <c r="L2" s="774">
        <f>SUMIF(E5:E65536,"?*",J5:J65536)</f>
        <v>0</v>
      </c>
      <c r="N2" s="158"/>
      <c r="O2" s="159"/>
    </row>
    <row r="3" spans="1:15" s="42" customFormat="1" ht="15" customHeight="1">
      <c r="A3" s="235" t="str">
        <f>CONCATENATE("会计期间：",参数!D10)</f>
        <v>会计期间：2007年度</v>
      </c>
      <c r="C3" s="300"/>
      <c r="D3" s="43"/>
      <c r="E3" s="42" t="str">
        <f>CONCATENATE("复核人：",参数!D18)</f>
        <v>复核人：</v>
      </c>
      <c r="G3" s="43"/>
      <c r="H3" s="42" t="s">
        <v>219</v>
      </c>
      <c r="J3" s="295" t="s">
        <v>240</v>
      </c>
      <c r="K3" s="772" t="s">
        <v>241</v>
      </c>
      <c r="L3" s="774">
        <f>SUMIF(H5:H65536,"?*",J5:J65536)</f>
        <v>0</v>
      </c>
      <c r="N3" s="158"/>
      <c r="O3" s="159"/>
    </row>
    <row r="4" spans="1:15">
      <c r="A4" s="776" t="s">
        <v>242</v>
      </c>
      <c r="B4" s="237" t="s">
        <v>243</v>
      </c>
      <c r="C4" s="301" t="s">
        <v>244</v>
      </c>
      <c r="D4" s="239" t="s">
        <v>265</v>
      </c>
      <c r="E4" s="238" t="s">
        <v>245</v>
      </c>
      <c r="F4" s="240" t="s">
        <v>246</v>
      </c>
      <c r="G4" s="239" t="s">
        <v>265</v>
      </c>
      <c r="H4" s="238" t="s">
        <v>247</v>
      </c>
      <c r="I4" s="240" t="s">
        <v>246</v>
      </c>
      <c r="J4" s="296" t="s">
        <v>248</v>
      </c>
      <c r="K4" s="236"/>
      <c r="L4" s="775">
        <f>L2-L3</f>
        <v>0</v>
      </c>
      <c r="N4" s="158"/>
    </row>
    <row r="5" spans="1:15">
      <c r="A5" s="925">
        <v>1</v>
      </c>
      <c r="B5" s="932"/>
      <c r="C5" s="929"/>
      <c r="D5" s="38"/>
      <c r="E5" s="42" t="str">
        <f>IF(D5=0,"",VLOOKUP(D5,$N:$O,2,0))</f>
        <v/>
      </c>
      <c r="F5" s="592"/>
      <c r="G5" s="46"/>
      <c r="H5" s="42" t="str">
        <f>IF(G5=0,"",VLOOKUP(G5,$N:$O,2,0))</f>
        <v/>
      </c>
      <c r="I5" s="592"/>
      <c r="J5" s="297"/>
      <c r="K5" s="334" t="s">
        <v>584</v>
      </c>
      <c r="N5" s="158">
        <f>报表格式!Z5</f>
        <v>0</v>
      </c>
      <c r="O5" s="135" t="str">
        <f>报表格式!AA5</f>
        <v>流动资产：</v>
      </c>
    </row>
    <row r="6" spans="1:15">
      <c r="A6" s="926"/>
      <c r="B6" s="933"/>
      <c r="C6" s="930"/>
      <c r="D6" s="38"/>
      <c r="E6" s="48" t="str">
        <f>IF(D6=0,"",VLOOKUP(D6,$N:$O,2,0))</f>
        <v/>
      </c>
      <c r="F6" s="592"/>
      <c r="G6" s="49"/>
      <c r="H6" s="48" t="str">
        <f>IF(G6=0,"",VLOOKUP(G6,$N:$O,2,0))</f>
        <v/>
      </c>
      <c r="I6" s="592"/>
      <c r="J6" s="293"/>
      <c r="K6" s="334" t="s">
        <v>585</v>
      </c>
      <c r="N6" s="160" t="str">
        <f>报表格式!Z6</f>
        <v>G123</v>
      </c>
      <c r="O6" s="54" t="str">
        <f>报表格式!AA6</f>
        <v>货币资金</v>
      </c>
    </row>
    <row r="7" spans="1:15">
      <c r="A7" s="926"/>
      <c r="B7" s="933"/>
      <c r="C7" s="930"/>
      <c r="D7" s="38"/>
      <c r="E7" s="48" t="str">
        <f>IF(D7=0,"",VLOOKUP(D7,$N:$O,2,0))</f>
        <v/>
      </c>
      <c r="F7" s="592"/>
      <c r="G7" s="49"/>
      <c r="H7" s="48" t="str">
        <f>IF(G7=0,"",VLOOKUP(G7,$N:$O,2,0))</f>
        <v/>
      </c>
      <c r="I7" s="592"/>
      <c r="J7" s="293"/>
      <c r="N7" s="160" t="str">
        <f>报表格式!Z7</f>
        <v>F1</v>
      </c>
      <c r="O7" s="51" t="str">
        <f>报表格式!AA7</f>
        <v>短期投资</v>
      </c>
    </row>
    <row r="8" spans="1:15">
      <c r="A8" s="927"/>
      <c r="B8" s="934"/>
      <c r="C8" s="931"/>
      <c r="D8" s="38"/>
      <c r="E8" s="48" t="str">
        <f>IF(D8=0,"",VLOOKUP(D8,$N:$O,2,0))</f>
        <v/>
      </c>
      <c r="F8" s="592"/>
      <c r="G8" s="49"/>
      <c r="H8" s="48" t="str">
        <f>IF(G8=0,"",VLOOKUP(G8,$N:$O,2,0))</f>
        <v/>
      </c>
      <c r="I8" s="592"/>
      <c r="J8" s="293"/>
      <c r="N8" s="160" t="str">
        <f>报表格式!Z8</f>
        <v>D3</v>
      </c>
      <c r="O8" s="51" t="str">
        <f>报表格式!AA8</f>
        <v>应收票据</v>
      </c>
    </row>
    <row r="9" spans="1:15">
      <c r="A9" s="587"/>
      <c r="B9" s="587"/>
      <c r="C9" s="588"/>
      <c r="D9" s="589"/>
      <c r="E9" s="590"/>
      <c r="F9" s="590"/>
      <c r="G9" s="589"/>
      <c r="H9" s="590"/>
      <c r="I9" s="590"/>
      <c r="J9" s="591" t="str">
        <f>IF(ABS((SUMIF(E5:E8,"?*",J5:J8)-SUMIF(H5:H8,"?*",J5:J8)))&lt;0.005,"","借贷不等")</f>
        <v/>
      </c>
      <c r="K9" s="45"/>
      <c r="N9" s="160" t="str">
        <f>报表格式!Z9</f>
        <v>F5</v>
      </c>
      <c r="O9" s="51" t="str">
        <f>报表格式!AA9</f>
        <v>应收股利</v>
      </c>
    </row>
    <row r="10" spans="1:15">
      <c r="A10" s="925">
        <v>2</v>
      </c>
      <c r="B10" s="928"/>
      <c r="C10" s="924"/>
      <c r="D10" s="38"/>
      <c r="E10" s="48" t="str">
        <f>IF(D10=0,"",VLOOKUP(D10,$N:$O,2,0))</f>
        <v/>
      </c>
      <c r="F10" s="592"/>
      <c r="G10" s="49"/>
      <c r="H10" s="48" t="str">
        <f>IF(G10=0,"",VLOOKUP(G10,$N:$O,2,0))</f>
        <v/>
      </c>
      <c r="I10" s="592"/>
      <c r="J10" s="293"/>
      <c r="K10" s="45"/>
      <c r="N10" s="160" t="str">
        <f>报表格式!Z10</f>
        <v>F6</v>
      </c>
      <c r="O10" s="51" t="str">
        <f>报表格式!AA10</f>
        <v>应收利息</v>
      </c>
    </row>
    <row r="11" spans="1:15">
      <c r="A11" s="926"/>
      <c r="B11" s="928"/>
      <c r="C11" s="924"/>
      <c r="D11" s="38"/>
      <c r="E11" s="48" t="str">
        <f>IF(D11=0,"",VLOOKUP(D11,$N:$O,2,0))</f>
        <v/>
      </c>
      <c r="F11" s="592"/>
      <c r="G11" s="49"/>
      <c r="H11" s="48" t="str">
        <f>IF(G11=0,"",VLOOKUP(G11,$N:$O,2,0))</f>
        <v/>
      </c>
      <c r="I11" s="592"/>
      <c r="J11" s="293"/>
      <c r="N11" s="160" t="str">
        <f>报表格式!Z11</f>
        <v>D1</v>
      </c>
      <c r="O11" s="51" t="str">
        <f>报表格式!AA11</f>
        <v>应收账款</v>
      </c>
    </row>
    <row r="12" spans="1:15">
      <c r="A12" s="926"/>
      <c r="B12" s="928"/>
      <c r="C12" s="924"/>
      <c r="D12" s="38"/>
      <c r="E12" s="48" t="str">
        <f>IF(D12=0,"",VLOOKUP(D12,$N:$O,2,0))</f>
        <v/>
      </c>
      <c r="F12" s="592"/>
      <c r="G12" s="49"/>
      <c r="H12" s="48" t="str">
        <f>IF(G12=0,"",VLOOKUP(G12,$N:$O,2,0))</f>
        <v/>
      </c>
      <c r="I12" s="592"/>
      <c r="J12" s="293"/>
      <c r="N12" s="160" t="str">
        <f>报表格式!Z12</f>
        <v>G4</v>
      </c>
      <c r="O12" s="51" t="str">
        <f>报表格式!AA12</f>
        <v>其他应收款</v>
      </c>
    </row>
    <row r="13" spans="1:15">
      <c r="A13" s="927"/>
      <c r="B13" s="928"/>
      <c r="C13" s="924"/>
      <c r="D13" s="38"/>
      <c r="E13" s="48" t="str">
        <f>IF(D13=0,"",VLOOKUP(D13,$N:$O,2,0))</f>
        <v/>
      </c>
      <c r="F13" s="592"/>
      <c r="G13" s="49"/>
      <c r="H13" s="48" t="str">
        <f>IF(G13=0,"",VLOOKUP(G13,$N:$O,2,0))</f>
        <v/>
      </c>
      <c r="I13" s="592"/>
      <c r="J13" s="293"/>
      <c r="N13" s="160" t="str">
        <f>报表格式!Z13</f>
        <v>E3</v>
      </c>
      <c r="O13" s="51" t="str">
        <f>报表格式!AA13</f>
        <v>预付账款</v>
      </c>
    </row>
    <row r="14" spans="1:15">
      <c r="A14" s="648"/>
      <c r="B14" s="648"/>
      <c r="C14" s="649"/>
      <c r="D14" s="650"/>
      <c r="E14" s="651"/>
      <c r="F14" s="651"/>
      <c r="G14" s="650"/>
      <c r="H14" s="651"/>
      <c r="I14" s="651"/>
      <c r="J14" s="652" t="str">
        <f>IF(ABS((SUMIF(E10:E13,"?*",J10:J13)-SUMIF(H10:H13,"?*",J10:J13)))&lt;0.005,"","借贷不等")</f>
        <v/>
      </c>
      <c r="N14" s="160">
        <f>报表格式!Z14</f>
        <v>0</v>
      </c>
      <c r="O14" s="51" t="str">
        <f>报表格式!AA14</f>
        <v>期货保证金</v>
      </c>
    </row>
    <row r="15" spans="1:15">
      <c r="A15" s="925">
        <v>3</v>
      </c>
      <c r="B15" s="928"/>
      <c r="C15" s="924"/>
      <c r="D15" s="38"/>
      <c r="E15" s="48" t="str">
        <f>IF(D15=0,"",VLOOKUP(D15,$N:$O,2,0))</f>
        <v/>
      </c>
      <c r="F15" s="592"/>
      <c r="G15" s="49"/>
      <c r="H15" s="48" t="str">
        <f>IF(G15=0,"",VLOOKUP(G15,$N:$O,2,0))</f>
        <v/>
      </c>
      <c r="I15" s="592"/>
      <c r="J15" s="293"/>
      <c r="N15" s="160" t="str">
        <f>报表格式!Z15</f>
        <v>I1</v>
      </c>
      <c r="O15" s="51" t="str">
        <f>报表格式!AA15</f>
        <v>应收补贴款</v>
      </c>
    </row>
    <row r="16" spans="1:15">
      <c r="A16" s="926"/>
      <c r="B16" s="928"/>
      <c r="C16" s="924"/>
      <c r="D16" s="38"/>
      <c r="E16" s="48" t="str">
        <f>IF(D16=0,"",VLOOKUP(D16,$N:$O,2,0))</f>
        <v/>
      </c>
      <c r="F16" s="592"/>
      <c r="G16" s="49"/>
      <c r="H16" s="48" t="str">
        <f>IF(G16=0,"",VLOOKUP(G16,$N:$O,2,0))</f>
        <v/>
      </c>
      <c r="I16" s="592"/>
      <c r="J16" s="293"/>
      <c r="N16" s="160">
        <f>报表格式!Z16</f>
        <v>0</v>
      </c>
      <c r="O16" s="51" t="str">
        <f>报表格式!AA16</f>
        <v>应收出口退税</v>
      </c>
    </row>
    <row r="17" spans="1:15">
      <c r="A17" s="926"/>
      <c r="B17" s="928"/>
      <c r="C17" s="924"/>
      <c r="D17" s="38"/>
      <c r="E17" s="48" t="str">
        <f>IF(D17=0,"",VLOOKUP(D17,$N:$O,2,0))</f>
        <v/>
      </c>
      <c r="F17" s="592"/>
      <c r="G17" s="49"/>
      <c r="H17" s="48" t="str">
        <f>IF(G17=0,"",VLOOKUP(G17,$N:$O,2,0))</f>
        <v/>
      </c>
      <c r="I17" s="592"/>
      <c r="J17" s="293"/>
      <c r="N17" s="160" t="str">
        <f>报表格式!Z17</f>
        <v>E1</v>
      </c>
      <c r="O17" s="51" t="str">
        <f>报表格式!AA17</f>
        <v>存货</v>
      </c>
    </row>
    <row r="18" spans="1:15">
      <c r="A18" s="927"/>
      <c r="B18" s="928"/>
      <c r="C18" s="924"/>
      <c r="D18" s="38"/>
      <c r="E18" s="48" t="str">
        <f>IF(D18=0,"",VLOOKUP(D18,$N:$O,2,0))</f>
        <v/>
      </c>
      <c r="F18" s="592"/>
      <c r="G18" s="49"/>
      <c r="H18" s="48" t="str">
        <f>IF(G18=0,"",VLOOKUP(G18,$N:$O,2,0))</f>
        <v/>
      </c>
      <c r="I18" s="592"/>
      <c r="J18" s="293"/>
      <c r="N18" s="160">
        <f>报表格式!Z18</f>
        <v>0</v>
      </c>
      <c r="O18" s="51">
        <f>报表格式!AA18</f>
        <v>0</v>
      </c>
    </row>
    <row r="19" spans="1:15">
      <c r="A19" s="648"/>
      <c r="B19" s="648"/>
      <c r="C19" s="649"/>
      <c r="D19" s="650"/>
      <c r="E19" s="651"/>
      <c r="F19" s="651"/>
      <c r="G19" s="650"/>
      <c r="H19" s="651"/>
      <c r="I19" s="651"/>
      <c r="J19" s="652" t="str">
        <f>IF(ABS((SUMIF(E15:E18,"?*",J15:J18)-SUMIF(H15:H18,"?*",J15:J18)))&lt;0.005,"","借贷不等")</f>
        <v/>
      </c>
      <c r="N19" s="160">
        <f>报表格式!Z19</f>
        <v>0</v>
      </c>
      <c r="O19" s="139">
        <f>报表格式!AA19</f>
        <v>0</v>
      </c>
    </row>
    <row r="20" spans="1:15">
      <c r="A20" s="925">
        <v>4</v>
      </c>
      <c r="B20" s="928"/>
      <c r="C20" s="924"/>
      <c r="D20" s="38"/>
      <c r="E20" s="48" t="str">
        <f>IF(D20=0,"",VLOOKUP(D20,$N:$O,2,0))</f>
        <v/>
      </c>
      <c r="F20" s="592"/>
      <c r="G20" s="49"/>
      <c r="H20" s="48" t="str">
        <f>IF(G20=0,"",VLOOKUP(G20,$N:$O,2,0))</f>
        <v/>
      </c>
      <c r="I20" s="592"/>
      <c r="J20" s="293"/>
      <c r="N20" s="160" t="str">
        <f>报表格式!Z20</f>
        <v>I4</v>
      </c>
      <c r="O20" s="51" t="str">
        <f>报表格式!AA20</f>
        <v>待摊费用</v>
      </c>
    </row>
    <row r="21" spans="1:15">
      <c r="A21" s="926"/>
      <c r="B21" s="928"/>
      <c r="C21" s="924"/>
      <c r="D21" s="38"/>
      <c r="E21" s="48" t="str">
        <f>IF(D21=0,"",VLOOKUP(D21,$N:$O,2,0))</f>
        <v/>
      </c>
      <c r="F21" s="592"/>
      <c r="G21" s="49"/>
      <c r="H21" s="48" t="str">
        <f>IF(G21=0,"",VLOOKUP(G21,$N:$O,2,0))</f>
        <v/>
      </c>
      <c r="I21" s="592"/>
      <c r="J21" s="293"/>
      <c r="N21" s="160" t="str">
        <f>报表格式!Z21</f>
        <v>I6</v>
      </c>
      <c r="O21" s="51" t="str">
        <f>报表格式!AA21</f>
        <v>待处理流动资产净损失</v>
      </c>
    </row>
    <row r="22" spans="1:15">
      <c r="A22" s="926"/>
      <c r="B22" s="928"/>
      <c r="C22" s="924"/>
      <c r="D22" s="38"/>
      <c r="E22" s="48" t="str">
        <f>IF(D22=0,"",VLOOKUP(D22,$N:$O,2,0))</f>
        <v/>
      </c>
      <c r="F22" s="592"/>
      <c r="G22" s="49"/>
      <c r="H22" s="48" t="str">
        <f>IF(G22=0,"",VLOOKUP(G22,$N:$O,2,0))</f>
        <v/>
      </c>
      <c r="I22" s="592"/>
      <c r="J22" s="293"/>
      <c r="N22" s="160">
        <f>报表格式!Z22</f>
        <v>0</v>
      </c>
      <c r="O22" s="51" t="str">
        <f>报表格式!AA22</f>
        <v>一年内到期的长期债权投资</v>
      </c>
    </row>
    <row r="23" spans="1:15">
      <c r="A23" s="927"/>
      <c r="B23" s="928"/>
      <c r="C23" s="924"/>
      <c r="D23" s="38"/>
      <c r="E23" s="48" t="str">
        <f>IF(D23=0,"",VLOOKUP(D23,$N:$O,2,0))</f>
        <v/>
      </c>
      <c r="F23" s="592"/>
      <c r="G23" s="49"/>
      <c r="H23" s="48" t="str">
        <f>IF(G23=0,"",VLOOKUP(G23,$N:$O,2,0))</f>
        <v/>
      </c>
      <c r="I23" s="592"/>
      <c r="J23" s="293"/>
      <c r="N23" s="160">
        <f>报表格式!Z23</f>
        <v>0</v>
      </c>
      <c r="O23" s="54" t="str">
        <f>报表格式!AA23</f>
        <v>其他流动资产</v>
      </c>
    </row>
    <row r="24" spans="1:15">
      <c r="A24" s="648"/>
      <c r="B24" s="648"/>
      <c r="C24" s="649"/>
      <c r="D24" s="650"/>
      <c r="E24" s="651"/>
      <c r="F24" s="651"/>
      <c r="G24" s="650"/>
      <c r="H24" s="651"/>
      <c r="I24" s="651"/>
      <c r="J24" s="652" t="str">
        <f>IF(ABS((SUMIF(E20:E23,"?*",J20:J23)-SUMIF(H20:H23,"?*",J20:J23)))&lt;0.005,"","借贷不等")</f>
        <v/>
      </c>
      <c r="N24" s="160">
        <f>报表格式!Z24</f>
        <v>0</v>
      </c>
      <c r="O24" s="47">
        <f>报表格式!AA24</f>
        <v>0</v>
      </c>
    </row>
    <row r="25" spans="1:15">
      <c r="A25" s="925">
        <v>5</v>
      </c>
      <c r="B25" s="928"/>
      <c r="C25" s="924"/>
      <c r="D25" s="38"/>
      <c r="E25" s="48" t="str">
        <f>IF(D25=0,"",VLOOKUP(D25,$N:$O,2,0))</f>
        <v/>
      </c>
      <c r="F25" s="592"/>
      <c r="G25" s="49"/>
      <c r="H25" s="48" t="str">
        <f>IF(G25=0,"",VLOOKUP(G25,$N:$O,2,0))</f>
        <v/>
      </c>
      <c r="I25" s="592"/>
      <c r="J25" s="293"/>
      <c r="N25" s="160">
        <f>报表格式!Z25</f>
        <v>0</v>
      </c>
      <c r="O25" s="51">
        <f>报表格式!AA25</f>
        <v>0</v>
      </c>
    </row>
    <row r="26" spans="1:15">
      <c r="A26" s="926"/>
      <c r="B26" s="928"/>
      <c r="C26" s="924"/>
      <c r="D26" s="38"/>
      <c r="E26" s="48" t="str">
        <f>IF(D26=0,"",VLOOKUP(D26,$N:$O,2,0))</f>
        <v/>
      </c>
      <c r="F26" s="592"/>
      <c r="G26" s="49"/>
      <c r="H26" s="48" t="str">
        <f>IF(G26=0,"",VLOOKUP(G26,$N:$O,2,0))</f>
        <v/>
      </c>
      <c r="I26" s="592"/>
      <c r="J26" s="293"/>
      <c r="N26" s="160">
        <f>报表格式!Z26</f>
        <v>0</v>
      </c>
      <c r="O26" s="53" t="str">
        <f>报表格式!AA26</f>
        <v>流动资产合计</v>
      </c>
    </row>
    <row r="27" spans="1:15">
      <c r="A27" s="926"/>
      <c r="B27" s="928"/>
      <c r="C27" s="924"/>
      <c r="D27" s="38"/>
      <c r="E27" s="48" t="str">
        <f>IF(D27=0,"",VLOOKUP(D27,$N:$O,2,0))</f>
        <v/>
      </c>
      <c r="F27" s="592"/>
      <c r="G27" s="49"/>
      <c r="H27" s="48" t="str">
        <f>IF(G27=0,"",VLOOKUP(G27,$N:$O,2,0))</f>
        <v/>
      </c>
      <c r="I27" s="592"/>
      <c r="J27" s="293"/>
      <c r="N27" s="160">
        <f>报表格式!Z27</f>
        <v>0</v>
      </c>
      <c r="O27" s="51">
        <f>报表格式!AA27</f>
        <v>0</v>
      </c>
    </row>
    <row r="28" spans="1:15">
      <c r="A28" s="927"/>
      <c r="B28" s="928"/>
      <c r="C28" s="924"/>
      <c r="D28" s="38"/>
      <c r="E28" s="48" t="str">
        <f>IF(D28=0,"",VLOOKUP(D28,$N:$O,2,0))</f>
        <v/>
      </c>
      <c r="F28" s="592"/>
      <c r="G28" s="49"/>
      <c r="H28" s="48" t="str">
        <f>IF(G28=0,"",VLOOKUP(G28,$N:$O,2,0))</f>
        <v/>
      </c>
      <c r="I28" s="592"/>
      <c r="J28" s="293"/>
      <c r="N28" s="160">
        <f>报表格式!Z28</f>
        <v>0</v>
      </c>
      <c r="O28" s="135" t="str">
        <f>报表格式!AA28</f>
        <v>长期投资：</v>
      </c>
    </row>
    <row r="29" spans="1:15">
      <c r="A29" s="648"/>
      <c r="B29" s="648"/>
      <c r="C29" s="649"/>
      <c r="D29" s="650"/>
      <c r="E29" s="651"/>
      <c r="F29" s="651"/>
      <c r="G29" s="650"/>
      <c r="H29" s="651"/>
      <c r="I29" s="651"/>
      <c r="J29" s="652" t="str">
        <f>IF(ABS((SUMIF(E25:E28,"?*",J25:J28)-SUMIF(H25:H28,"?*",J25:J28)))&lt;0.005,"","借贷不等")</f>
        <v/>
      </c>
      <c r="N29" s="160" t="str">
        <f>报表格式!Z29</f>
        <v>F2</v>
      </c>
      <c r="O29" s="51" t="str">
        <f>报表格式!AA29</f>
        <v>长期股权投资</v>
      </c>
    </row>
    <row r="30" spans="1:15">
      <c r="A30" s="925">
        <v>6</v>
      </c>
      <c r="B30" s="928"/>
      <c r="C30" s="924"/>
      <c r="D30" s="38"/>
      <c r="E30" s="48" t="str">
        <f>IF(D30=0,"",VLOOKUP(D30,$N:$O,2,0))</f>
        <v/>
      </c>
      <c r="F30" s="592"/>
      <c r="G30" s="49"/>
      <c r="H30" s="48" t="str">
        <f>IF(G30=0,"",VLOOKUP(G30,$N:$O,2,0))</f>
        <v/>
      </c>
      <c r="I30" s="592"/>
      <c r="J30" s="293"/>
      <c r="N30" s="160" t="str">
        <f>报表格式!Z30</f>
        <v>F3</v>
      </c>
      <c r="O30" s="51" t="str">
        <f>报表格式!AA30</f>
        <v>长期债权投资</v>
      </c>
    </row>
    <row r="31" spans="1:15">
      <c r="A31" s="926"/>
      <c r="B31" s="928"/>
      <c r="C31" s="924"/>
      <c r="D31" s="38"/>
      <c r="E31" s="48" t="str">
        <f>IF(D31=0,"",VLOOKUP(D31,$N:$O,2,0))</f>
        <v/>
      </c>
      <c r="F31" s="592"/>
      <c r="G31" s="49"/>
      <c r="H31" s="48" t="str">
        <f>IF(G31=0,"",VLOOKUP(G31,$N:$O,2,0))</f>
        <v/>
      </c>
      <c r="I31" s="592"/>
      <c r="J31" s="293"/>
      <c r="N31" s="160">
        <f>报表格式!Z31</f>
        <v>0</v>
      </c>
      <c r="O31" s="51" t="str">
        <f>报表格式!AA31</f>
        <v>合并价差</v>
      </c>
    </row>
    <row r="32" spans="1:15">
      <c r="A32" s="926"/>
      <c r="B32" s="928"/>
      <c r="C32" s="924"/>
      <c r="D32" s="38"/>
      <c r="E32" s="48" t="str">
        <f>IF(D32=0,"",VLOOKUP(D32,$N:$O,2,0))</f>
        <v/>
      </c>
      <c r="F32" s="592"/>
      <c r="G32" s="49"/>
      <c r="H32" s="48" t="str">
        <f>IF(G32=0,"",VLOOKUP(G32,$N:$O,2,0))</f>
        <v/>
      </c>
      <c r="I32" s="592"/>
      <c r="J32" s="293"/>
      <c r="N32" s="160">
        <f>报表格式!Z32</f>
        <v>0</v>
      </c>
      <c r="O32" s="51">
        <f>报表格式!AA32</f>
        <v>0</v>
      </c>
    </row>
    <row r="33" spans="1:15">
      <c r="A33" s="927"/>
      <c r="B33" s="928"/>
      <c r="C33" s="924"/>
      <c r="D33" s="38"/>
      <c r="E33" s="48" t="str">
        <f>IF(D33=0,"",VLOOKUP(D33,$N:$O,2,0))</f>
        <v/>
      </c>
      <c r="F33" s="592"/>
      <c r="G33" s="49"/>
      <c r="H33" s="48" t="str">
        <f>IF(G33=0,"",VLOOKUP(G33,$N:$O,2,0))</f>
        <v/>
      </c>
      <c r="I33" s="592"/>
      <c r="J33" s="293"/>
      <c r="N33" s="160">
        <f>报表格式!Z33</f>
        <v>0</v>
      </c>
      <c r="O33" s="52">
        <f>报表格式!AA33</f>
        <v>0</v>
      </c>
    </row>
    <row r="34" spans="1:15">
      <c r="A34" s="648"/>
      <c r="B34" s="648"/>
      <c r="C34" s="649"/>
      <c r="D34" s="650"/>
      <c r="E34" s="651"/>
      <c r="F34" s="651"/>
      <c r="G34" s="650"/>
      <c r="H34" s="651"/>
      <c r="I34" s="651"/>
      <c r="J34" s="652" t="str">
        <f>IF(ABS((SUMIF(E30:E33,"?*",J30:J33)-SUMIF(H30:H33,"?*",J30:J33)))&lt;0.005,"","借贷不等")</f>
        <v/>
      </c>
      <c r="N34" s="160">
        <f>报表格式!Z34</f>
        <v>0</v>
      </c>
      <c r="O34" s="53" t="str">
        <f>报表格式!AA34</f>
        <v>长期投资合计</v>
      </c>
    </row>
    <row r="35" spans="1:15">
      <c r="A35" s="925">
        <v>7</v>
      </c>
      <c r="B35" s="928"/>
      <c r="C35" s="924"/>
      <c r="D35" s="38"/>
      <c r="E35" s="48" t="str">
        <f>IF(D35=0,"",VLOOKUP(D35,$N:$O,2,0))</f>
        <v/>
      </c>
      <c r="F35" s="592"/>
      <c r="G35" s="49"/>
      <c r="H35" s="48" t="str">
        <f>IF(G35=0,"",VLOOKUP(G35,$N:$O,2,0))</f>
        <v/>
      </c>
      <c r="I35" s="592"/>
      <c r="J35" s="293"/>
      <c r="N35" s="160">
        <f>报表格式!Z35</f>
        <v>0</v>
      </c>
      <c r="O35" s="51">
        <f>报表格式!AA35</f>
        <v>0</v>
      </c>
    </row>
    <row r="36" spans="1:15">
      <c r="A36" s="926"/>
      <c r="B36" s="928"/>
      <c r="C36" s="924"/>
      <c r="D36" s="38"/>
      <c r="E36" s="48" t="str">
        <f>IF(D36=0,"",VLOOKUP(D36,$N:$O,2,0))</f>
        <v/>
      </c>
      <c r="F36" s="592"/>
      <c r="G36" s="49"/>
      <c r="H36" s="48" t="str">
        <f>IF(G36=0,"",VLOOKUP(G36,$N:$O,2,0))</f>
        <v/>
      </c>
      <c r="I36" s="592"/>
      <c r="J36" s="293"/>
      <c r="N36" s="160">
        <f>报表格式!Z36</f>
        <v>0</v>
      </c>
      <c r="O36" s="135" t="str">
        <f>报表格式!AA36</f>
        <v>固定资产：</v>
      </c>
    </row>
    <row r="37" spans="1:15">
      <c r="A37" s="926"/>
      <c r="B37" s="928"/>
      <c r="C37" s="924"/>
      <c r="D37" s="38"/>
      <c r="E37" s="48" t="str">
        <f>IF(D37=0,"",VLOOKUP(D37,$N:$O,2,0))</f>
        <v/>
      </c>
      <c r="F37" s="592"/>
      <c r="G37" s="49"/>
      <c r="H37" s="48" t="str">
        <f>IF(G37=0,"",VLOOKUP(G37,$N:$O,2,0))</f>
        <v/>
      </c>
      <c r="I37" s="592"/>
      <c r="J37" s="293"/>
      <c r="N37" s="160" t="str">
        <f>报表格式!Z37</f>
        <v>H1</v>
      </c>
      <c r="O37" s="51" t="str">
        <f>报表格式!AA37</f>
        <v>固定资产原价</v>
      </c>
    </row>
    <row r="38" spans="1:15">
      <c r="A38" s="927"/>
      <c r="B38" s="928"/>
      <c r="C38" s="924"/>
      <c r="D38" s="38"/>
      <c r="E38" s="48" t="str">
        <f>IF(D38=0,"",VLOOKUP(D38,$N:$O,2,0))</f>
        <v/>
      </c>
      <c r="F38" s="592"/>
      <c r="G38" s="49"/>
      <c r="H38" s="48" t="str">
        <f>IF(G38=0,"",VLOOKUP(G38,$N:$O,2,0))</f>
        <v/>
      </c>
      <c r="I38" s="592"/>
      <c r="J38" s="293"/>
      <c r="N38" s="160" t="str">
        <f>报表格式!Z38</f>
        <v>H2</v>
      </c>
      <c r="O38" s="54" t="str">
        <f>报表格式!AA38</f>
        <v>累计折旧</v>
      </c>
    </row>
    <row r="39" spans="1:15">
      <c r="A39" s="648"/>
      <c r="B39" s="648"/>
      <c r="C39" s="649"/>
      <c r="D39" s="650"/>
      <c r="E39" s="651"/>
      <c r="F39" s="651"/>
      <c r="G39" s="650"/>
      <c r="H39" s="651"/>
      <c r="I39" s="651"/>
      <c r="J39" s="652" t="str">
        <f>IF(ABS((SUMIF(E35:E38,"?*",J35:J38)-SUMIF(H35:H38,"?*",J35:J38)))&lt;0.005,"","借贷不等")</f>
        <v/>
      </c>
      <c r="N39" s="160">
        <f>报表格式!Z39</f>
        <v>0</v>
      </c>
      <c r="O39" s="51">
        <f>报表格式!AA39</f>
        <v>0</v>
      </c>
    </row>
    <row r="40" spans="1:15">
      <c r="A40" s="925">
        <v>8</v>
      </c>
      <c r="B40" s="928"/>
      <c r="C40" s="924"/>
      <c r="D40" s="38"/>
      <c r="E40" s="48" t="str">
        <f>IF(D40=0,"",VLOOKUP(D40,$N:$O,2,0))</f>
        <v/>
      </c>
      <c r="F40" s="592"/>
      <c r="G40" s="49"/>
      <c r="H40" s="48" t="str">
        <f>IF(G40=0,"",VLOOKUP(G40,$N:$O,2,0))</f>
        <v/>
      </c>
      <c r="I40" s="592"/>
      <c r="J40" s="293"/>
      <c r="N40" s="160" t="str">
        <f>报表格式!Z40</f>
        <v>H3</v>
      </c>
      <c r="O40" s="51" t="str">
        <f>报表格式!AA40</f>
        <v>固定资产减值准备</v>
      </c>
    </row>
    <row r="41" spans="1:15">
      <c r="A41" s="926"/>
      <c r="B41" s="928"/>
      <c r="C41" s="924"/>
      <c r="D41" s="38"/>
      <c r="E41" s="48" t="str">
        <f>IF(D41=0,"",VLOOKUP(D41,$N:$O,2,0))</f>
        <v/>
      </c>
      <c r="F41" s="592"/>
      <c r="G41" s="49"/>
      <c r="H41" s="48" t="str">
        <f>IF(G41=0,"",VLOOKUP(G41,$N:$O,2,0))</f>
        <v/>
      </c>
      <c r="I41" s="592"/>
      <c r="J41" s="293"/>
      <c r="N41" s="160">
        <f>报表格式!Z41</f>
        <v>0</v>
      </c>
      <c r="O41" s="54">
        <f>报表格式!AA41</f>
        <v>0</v>
      </c>
    </row>
    <row r="42" spans="1:15">
      <c r="A42" s="926"/>
      <c r="B42" s="928"/>
      <c r="C42" s="924"/>
      <c r="D42" s="38"/>
      <c r="E42" s="48" t="str">
        <f>IF(D42=0,"",VLOOKUP(D42,$N:$O,2,0))</f>
        <v/>
      </c>
      <c r="F42" s="592"/>
      <c r="G42" s="49"/>
      <c r="H42" s="48" t="str">
        <f>IF(G42=0,"",VLOOKUP(G42,$N:$O,2,0))</f>
        <v/>
      </c>
      <c r="I42" s="592"/>
      <c r="J42" s="293"/>
      <c r="N42" s="160" t="str">
        <f>报表格式!Z42</f>
        <v>H4</v>
      </c>
      <c r="O42" s="161" t="str">
        <f>报表格式!AA42</f>
        <v>固定资产清理</v>
      </c>
    </row>
    <row r="43" spans="1:15">
      <c r="A43" s="927"/>
      <c r="B43" s="928"/>
      <c r="C43" s="924"/>
      <c r="D43" s="38"/>
      <c r="E43" s="48" t="str">
        <f>IF(D43=0,"",VLOOKUP(D43,$N:$O,2,0))</f>
        <v/>
      </c>
      <c r="F43" s="592"/>
      <c r="G43" s="49"/>
      <c r="H43" s="48" t="str">
        <f>IF(G43=0,"",VLOOKUP(G43,$N:$O,2,0))</f>
        <v/>
      </c>
      <c r="I43" s="592"/>
      <c r="J43" s="293"/>
      <c r="N43" s="160" t="str">
        <f>报表格式!Z43</f>
        <v>H7</v>
      </c>
      <c r="O43" s="50" t="str">
        <f>报表格式!AA43</f>
        <v>工程物资</v>
      </c>
    </row>
    <row r="44" spans="1:15">
      <c r="A44" s="648"/>
      <c r="B44" s="648"/>
      <c r="C44" s="649"/>
      <c r="D44" s="650"/>
      <c r="E44" s="651"/>
      <c r="F44" s="651"/>
      <c r="G44" s="650"/>
      <c r="H44" s="651"/>
      <c r="I44" s="651"/>
      <c r="J44" s="652" t="str">
        <f>IF(ABS((SUMIF(E40:E43,"?*",J40:J43)-SUMIF(H40:H43,"?*",J40:J43)))&lt;0.005,"","借贷不等")</f>
        <v/>
      </c>
      <c r="N44" s="160" t="str">
        <f>报表格式!Z44</f>
        <v>H6</v>
      </c>
      <c r="O44" s="55" t="str">
        <f>报表格式!AA44</f>
        <v>在建工程</v>
      </c>
    </row>
    <row r="45" spans="1:15">
      <c r="A45" s="925">
        <v>9</v>
      </c>
      <c r="B45" s="928"/>
      <c r="C45" s="924"/>
      <c r="D45" s="38"/>
      <c r="E45" s="48" t="str">
        <f>IF(D45=0,"",VLOOKUP(D45,$N:$O,2,0))</f>
        <v/>
      </c>
      <c r="F45" s="592"/>
      <c r="G45" s="49"/>
      <c r="H45" s="48" t="str">
        <f>IF(G45=0,"",VLOOKUP(G45,$N:$O,2,0))</f>
        <v/>
      </c>
      <c r="I45" s="592"/>
      <c r="J45" s="293"/>
      <c r="N45" s="160" t="str">
        <f>报表格式!Z45</f>
        <v>H5</v>
      </c>
      <c r="O45" s="55" t="str">
        <f>报表格式!AA45</f>
        <v>待处理固定资产净损失</v>
      </c>
    </row>
    <row r="46" spans="1:15">
      <c r="A46" s="926"/>
      <c r="B46" s="928"/>
      <c r="C46" s="924"/>
      <c r="D46" s="38"/>
      <c r="E46" s="48" t="str">
        <f>IF(D46=0,"",VLOOKUP(D46,$N:$O,2,0))</f>
        <v/>
      </c>
      <c r="F46" s="592"/>
      <c r="G46" s="49"/>
      <c r="H46" s="48" t="str">
        <f>IF(G46=0,"",VLOOKUP(G46,$N:$O,2,0))</f>
        <v/>
      </c>
      <c r="I46" s="592"/>
      <c r="J46" s="293"/>
      <c r="N46" s="160">
        <f>报表格式!Z46</f>
        <v>0</v>
      </c>
      <c r="O46" s="55">
        <f>报表格式!AA46</f>
        <v>0</v>
      </c>
    </row>
    <row r="47" spans="1:15">
      <c r="A47" s="926"/>
      <c r="B47" s="928"/>
      <c r="C47" s="924"/>
      <c r="D47" s="38"/>
      <c r="E47" s="48" t="str">
        <f>IF(D47=0,"",VLOOKUP(D47,$N:$O,2,0))</f>
        <v/>
      </c>
      <c r="F47" s="592"/>
      <c r="G47" s="49"/>
      <c r="H47" s="48" t="str">
        <f>IF(G47=0,"",VLOOKUP(G47,$N:$O,2,0))</f>
        <v/>
      </c>
      <c r="I47" s="592"/>
      <c r="J47" s="293"/>
      <c r="N47" s="160">
        <f>报表格式!Z47</f>
        <v>0</v>
      </c>
      <c r="O47" s="55">
        <f>报表格式!AA47</f>
        <v>0</v>
      </c>
    </row>
    <row r="48" spans="1:15">
      <c r="A48" s="927"/>
      <c r="B48" s="928"/>
      <c r="C48" s="924"/>
      <c r="D48" s="38"/>
      <c r="E48" s="48" t="str">
        <f>IF(D48=0,"",VLOOKUP(D48,$N:$O,2,0))</f>
        <v/>
      </c>
      <c r="F48" s="592"/>
      <c r="G48" s="49"/>
      <c r="H48" s="48" t="str">
        <f>IF(G48=0,"",VLOOKUP(G48,$N:$O,2,0))</f>
        <v/>
      </c>
      <c r="I48" s="592"/>
      <c r="J48" s="293"/>
      <c r="N48" s="160">
        <f>报表格式!Z48</f>
        <v>0</v>
      </c>
      <c r="O48" s="53" t="str">
        <f>报表格式!AA48</f>
        <v>固定资产合计</v>
      </c>
    </row>
    <row r="49" spans="1:15">
      <c r="A49" s="648"/>
      <c r="B49" s="648"/>
      <c r="C49" s="649"/>
      <c r="D49" s="650"/>
      <c r="E49" s="651"/>
      <c r="F49" s="651"/>
      <c r="G49" s="650"/>
      <c r="H49" s="651"/>
      <c r="I49" s="651"/>
      <c r="J49" s="652" t="str">
        <f>IF(ABS((SUMIF(E45:E48,"?*",J45:J48)-SUMIF(H45:H48,"?*",J45:J48)))&lt;0.005,"","借贷不等")</f>
        <v/>
      </c>
      <c r="N49" s="160">
        <f>报表格式!Z49</f>
        <v>0</v>
      </c>
      <c r="O49" s="136" t="str">
        <f>报表格式!AA49</f>
        <v>无形资产及其他资产：</v>
      </c>
    </row>
    <row r="50" spans="1:15">
      <c r="A50" s="925">
        <v>10</v>
      </c>
      <c r="B50" s="928"/>
      <c r="C50" s="924"/>
      <c r="D50" s="38"/>
      <c r="E50" s="48" t="str">
        <f>IF(D50=0,"",VLOOKUP(D50,$N:$O,2,0))</f>
        <v/>
      </c>
      <c r="F50" s="592"/>
      <c r="G50" s="49"/>
      <c r="H50" s="48" t="str">
        <f>IF(G50=0,"",VLOOKUP(G50,$N:$O,2,0))</f>
        <v/>
      </c>
      <c r="I50" s="592"/>
      <c r="J50" s="293"/>
      <c r="N50" s="160" t="str">
        <f>报表格式!Z50</f>
        <v>I2</v>
      </c>
      <c r="O50" s="54" t="str">
        <f>报表格式!AA50</f>
        <v>无形资产</v>
      </c>
    </row>
    <row r="51" spans="1:15">
      <c r="A51" s="926"/>
      <c r="B51" s="928"/>
      <c r="C51" s="924"/>
      <c r="D51" s="38"/>
      <c r="E51" s="48" t="str">
        <f>IF(D51=0,"",VLOOKUP(D51,$N:$O,2,0))</f>
        <v/>
      </c>
      <c r="F51" s="592"/>
      <c r="G51" s="49"/>
      <c r="H51" s="48" t="str">
        <f>IF(G51=0,"",VLOOKUP(G51,$N:$O,2,0))</f>
        <v/>
      </c>
      <c r="I51" s="592"/>
      <c r="J51" s="293"/>
      <c r="N51" s="160">
        <f>报表格式!Z51</f>
        <v>0</v>
      </c>
      <c r="O51" s="140">
        <f>报表格式!AA51</f>
        <v>0</v>
      </c>
    </row>
    <row r="52" spans="1:15">
      <c r="A52" s="926"/>
      <c r="B52" s="928"/>
      <c r="C52" s="924"/>
      <c r="D52" s="38"/>
      <c r="E52" s="48" t="str">
        <f>IF(D52=0,"",VLOOKUP(D52,$N:$O,2,0))</f>
        <v/>
      </c>
      <c r="F52" s="592"/>
      <c r="G52" s="49"/>
      <c r="H52" s="48" t="str">
        <f>IF(G52=0,"",VLOOKUP(G52,$N:$O,2,0))</f>
        <v/>
      </c>
      <c r="I52" s="592"/>
      <c r="J52" s="293"/>
      <c r="N52" s="160" t="str">
        <f>报表格式!Z52</f>
        <v>I5</v>
      </c>
      <c r="O52" s="55" t="str">
        <f>报表格式!AA52</f>
        <v>长期待摊费用</v>
      </c>
    </row>
    <row r="53" spans="1:15">
      <c r="A53" s="927"/>
      <c r="B53" s="928"/>
      <c r="C53" s="924"/>
      <c r="D53" s="38"/>
      <c r="E53" s="48" t="str">
        <f>IF(D53=0,"",VLOOKUP(D53,$N:$O,2,0))</f>
        <v/>
      </c>
      <c r="F53" s="592"/>
      <c r="G53" s="49"/>
      <c r="H53" s="48" t="str">
        <f>IF(G53=0,"",VLOOKUP(G53,$N:$O,2,0))</f>
        <v/>
      </c>
      <c r="I53" s="592"/>
      <c r="J53" s="293"/>
      <c r="N53" s="160">
        <f>报表格式!Z53</f>
        <v>0</v>
      </c>
      <c r="O53" s="140">
        <f>报表格式!AA53</f>
        <v>0</v>
      </c>
    </row>
    <row r="54" spans="1:15">
      <c r="A54" s="648"/>
      <c r="B54" s="648"/>
      <c r="C54" s="649"/>
      <c r="D54" s="650"/>
      <c r="E54" s="651"/>
      <c r="F54" s="651"/>
      <c r="G54" s="650"/>
      <c r="H54" s="651"/>
      <c r="I54" s="651"/>
      <c r="J54" s="652" t="str">
        <f>IF(ABS((SUMIF(E50:E53,"?*",J50:J53)-SUMIF(H50:H53,"?*",J50:J53)))&lt;0.005,"","借贷不等")</f>
        <v/>
      </c>
      <c r="N54" s="160">
        <f>报表格式!Z54</f>
        <v>0</v>
      </c>
      <c r="O54" s="140">
        <f>报表格式!AA54</f>
        <v>0</v>
      </c>
    </row>
    <row r="55" spans="1:15">
      <c r="A55" s="925">
        <v>11</v>
      </c>
      <c r="B55" s="928"/>
      <c r="C55" s="924"/>
      <c r="D55" s="38"/>
      <c r="E55" s="48" t="str">
        <f>IF(D55=0,"",VLOOKUP(D55,$N:$O,2,0))</f>
        <v/>
      </c>
      <c r="F55" s="592"/>
      <c r="G55" s="49"/>
      <c r="H55" s="48" t="str">
        <f>IF(G55=0,"",VLOOKUP(G55,$N:$O,2,0))</f>
        <v/>
      </c>
      <c r="I55" s="592"/>
      <c r="J55" s="293"/>
      <c r="N55" s="160">
        <f>报表格式!Z55</f>
        <v>0</v>
      </c>
      <c r="O55" s="55" t="str">
        <f>报表格式!AA55</f>
        <v>股权分置流通权</v>
      </c>
    </row>
    <row r="56" spans="1:15">
      <c r="A56" s="926"/>
      <c r="B56" s="928"/>
      <c r="C56" s="924"/>
      <c r="D56" s="38"/>
      <c r="E56" s="48" t="str">
        <f>IF(D56=0,"",VLOOKUP(D56,$N:$O,2,0))</f>
        <v/>
      </c>
      <c r="F56" s="592"/>
      <c r="G56" s="49"/>
      <c r="H56" s="48" t="str">
        <f>IF(G56=0,"",VLOOKUP(G56,$N:$O,2,0))</f>
        <v/>
      </c>
      <c r="I56" s="592"/>
      <c r="J56" s="293"/>
      <c r="N56" s="160">
        <f>报表格式!Z56</f>
        <v>0</v>
      </c>
      <c r="O56" s="55" t="str">
        <f>报表格式!AA56</f>
        <v>其他长期资产</v>
      </c>
    </row>
    <row r="57" spans="1:15">
      <c r="A57" s="926"/>
      <c r="B57" s="928"/>
      <c r="C57" s="924"/>
      <c r="D57" s="38"/>
      <c r="E57" s="48" t="str">
        <f>IF(D57=0,"",VLOOKUP(D57,$N:$O,2,0))</f>
        <v/>
      </c>
      <c r="F57" s="592"/>
      <c r="G57" s="49"/>
      <c r="H57" s="48" t="str">
        <f>IF(G57=0,"",VLOOKUP(G57,$N:$O,2,0))</f>
        <v/>
      </c>
      <c r="I57" s="592"/>
      <c r="J57" s="293"/>
      <c r="N57" s="160">
        <f>报表格式!Z57</f>
        <v>0</v>
      </c>
      <c r="O57" s="55">
        <f>报表格式!AA57</f>
        <v>0</v>
      </c>
    </row>
    <row r="58" spans="1:15">
      <c r="A58" s="927"/>
      <c r="B58" s="928"/>
      <c r="C58" s="924"/>
      <c r="D58" s="38"/>
      <c r="E58" s="48" t="str">
        <f>IF(D58=0,"",VLOOKUP(D58,$N:$O,2,0))</f>
        <v/>
      </c>
      <c r="F58" s="592"/>
      <c r="G58" s="49"/>
      <c r="H58" s="48" t="str">
        <f>IF(G58=0,"",VLOOKUP(G58,$N:$O,2,0))</f>
        <v/>
      </c>
      <c r="I58" s="592"/>
      <c r="J58" s="293"/>
      <c r="N58" s="160">
        <f>报表格式!Z58</f>
        <v>0</v>
      </c>
      <c r="O58" s="55">
        <f>报表格式!AA58</f>
        <v>0</v>
      </c>
    </row>
    <row r="59" spans="1:15">
      <c r="A59" s="648"/>
      <c r="B59" s="648"/>
      <c r="C59" s="649"/>
      <c r="D59" s="650"/>
      <c r="E59" s="651"/>
      <c r="F59" s="651"/>
      <c r="G59" s="650"/>
      <c r="H59" s="651"/>
      <c r="I59" s="651"/>
      <c r="J59" s="652" t="str">
        <f>IF(ABS((SUMIF(E55:E58,"?*",J55:J58)-SUMIF(H55:H58,"?*",J55:J58)))&lt;0.005,"","借贷不等")</f>
        <v/>
      </c>
      <c r="N59" s="160">
        <f>报表格式!Z59</f>
        <v>0</v>
      </c>
      <c r="O59" s="53" t="str">
        <f>报表格式!AA59</f>
        <v>无形资产及其他资产合计</v>
      </c>
    </row>
    <row r="60" spans="1:15">
      <c r="A60" s="925">
        <v>12</v>
      </c>
      <c r="B60" s="928"/>
      <c r="C60" s="924"/>
      <c r="D60" s="38"/>
      <c r="E60" s="48" t="str">
        <f>IF(D60=0,"",VLOOKUP(D60,$N:$O,2,0))</f>
        <v/>
      </c>
      <c r="F60" s="592"/>
      <c r="G60" s="49"/>
      <c r="H60" s="48" t="str">
        <f>IF(G60=0,"",VLOOKUP(G60,$N:$O,2,0))</f>
        <v/>
      </c>
      <c r="I60" s="592"/>
      <c r="J60" s="293"/>
      <c r="N60" s="160">
        <f>报表格式!Z60</f>
        <v>0</v>
      </c>
      <c r="O60" s="137" t="str">
        <f>报表格式!AA60</f>
        <v>递延税项：</v>
      </c>
    </row>
    <row r="61" spans="1:15">
      <c r="A61" s="926"/>
      <c r="B61" s="928"/>
      <c r="C61" s="924"/>
      <c r="D61" s="38"/>
      <c r="E61" s="48" t="str">
        <f>IF(D61=0,"",VLOOKUP(D61,$N:$O,2,0))</f>
        <v/>
      </c>
      <c r="F61" s="592"/>
      <c r="G61" s="49"/>
      <c r="H61" s="48" t="str">
        <f>IF(G61=0,"",VLOOKUP(G61,$N:$O,2,0))</f>
        <v/>
      </c>
      <c r="I61" s="592"/>
      <c r="J61" s="293"/>
      <c r="N61" s="160" t="str">
        <f>报表格式!Z61</f>
        <v>I18-1</v>
      </c>
      <c r="O61" s="54" t="str">
        <f>报表格式!AA61</f>
        <v>递延税款借项</v>
      </c>
    </row>
    <row r="62" spans="1:15">
      <c r="A62" s="926"/>
      <c r="B62" s="928"/>
      <c r="C62" s="924"/>
      <c r="D62" s="38"/>
      <c r="E62" s="48" t="str">
        <f>IF(D62=0,"",VLOOKUP(D62,$N:$O,2,0))</f>
        <v/>
      </c>
      <c r="F62" s="592"/>
      <c r="G62" s="49"/>
      <c r="H62" s="48" t="str">
        <f>IF(G62=0,"",VLOOKUP(G62,$N:$O,2,0))</f>
        <v/>
      </c>
      <c r="I62" s="592"/>
      <c r="J62" s="293"/>
      <c r="N62" s="160">
        <f>报表格式!Z62</f>
        <v>0</v>
      </c>
      <c r="O62" s="56">
        <f>报表格式!AA62</f>
        <v>0</v>
      </c>
    </row>
    <row r="63" spans="1:15">
      <c r="A63" s="927"/>
      <c r="B63" s="928"/>
      <c r="C63" s="924"/>
      <c r="D63" s="38"/>
      <c r="E63" s="48" t="str">
        <f>IF(D63=0,"",VLOOKUP(D63,$N:$O,2,0))</f>
        <v/>
      </c>
      <c r="F63" s="592"/>
      <c r="G63" s="49"/>
      <c r="H63" s="48" t="str">
        <f>IF(G63=0,"",VLOOKUP(G63,$N:$O,2,0))</f>
        <v/>
      </c>
      <c r="I63" s="592"/>
      <c r="J63" s="293"/>
      <c r="N63" s="160">
        <f>报表格式!Z63</f>
        <v>0</v>
      </c>
      <c r="O63" s="53" t="str">
        <f>报表格式!AA63</f>
        <v>资产总计</v>
      </c>
    </row>
    <row r="64" spans="1:15">
      <c r="A64" s="648"/>
      <c r="B64" s="648"/>
      <c r="C64" s="649"/>
      <c r="D64" s="650"/>
      <c r="E64" s="651"/>
      <c r="F64" s="651"/>
      <c r="G64" s="650"/>
      <c r="H64" s="651"/>
      <c r="I64" s="651"/>
      <c r="J64" s="652" t="str">
        <f>IF(ABS((SUMIF(E60:E63,"?*",J60:J63)-SUMIF(H60:H63,"?*",J60:J63)))&lt;0.005,"","借贷不等")</f>
        <v/>
      </c>
      <c r="N64" s="160">
        <f>报表格式!Z64</f>
        <v>0</v>
      </c>
      <c r="O64" s="54">
        <f>报表格式!AA64</f>
        <v>0</v>
      </c>
    </row>
    <row r="65" spans="1:15">
      <c r="A65" s="925">
        <v>13</v>
      </c>
      <c r="B65" s="928"/>
      <c r="C65" s="924"/>
      <c r="D65" s="38"/>
      <c r="E65" s="48" t="str">
        <f>IF(D65=0,"",VLOOKUP(D65,$N:$O,2,0))</f>
        <v/>
      </c>
      <c r="F65" s="592"/>
      <c r="G65" s="49"/>
      <c r="H65" s="48" t="str">
        <f>IF(G65=0,"",VLOOKUP(G65,$N:$O,2,0))</f>
        <v/>
      </c>
      <c r="I65" s="592"/>
      <c r="J65" s="293"/>
      <c r="N65" s="160">
        <f>报表格式!Z65</f>
        <v>0</v>
      </c>
      <c r="O65" s="138" t="str">
        <f>报表格式!AA65</f>
        <v>流动负债：</v>
      </c>
    </row>
    <row r="66" spans="1:15">
      <c r="A66" s="926"/>
      <c r="B66" s="928"/>
      <c r="C66" s="924"/>
      <c r="D66" s="38"/>
      <c r="E66" s="48" t="str">
        <f>IF(D66=0,"",VLOOKUP(D66,$N:$O,2,0))</f>
        <v/>
      </c>
      <c r="F66" s="592"/>
      <c r="G66" s="49"/>
      <c r="H66" s="48" t="str">
        <f>IF(G66=0,"",VLOOKUP(G66,$N:$O,2,0))</f>
        <v/>
      </c>
      <c r="I66" s="592"/>
      <c r="J66" s="293"/>
      <c r="N66" s="160" t="str">
        <f>报表格式!Z66</f>
        <v>F11</v>
      </c>
      <c r="O66" s="54" t="str">
        <f>报表格式!AA66</f>
        <v>短期借款</v>
      </c>
    </row>
    <row r="67" spans="1:15">
      <c r="A67" s="926"/>
      <c r="B67" s="928"/>
      <c r="C67" s="924"/>
      <c r="D67" s="38"/>
      <c r="E67" s="48" t="str">
        <f>IF(D67=0,"",VLOOKUP(D67,$N:$O,2,0))</f>
        <v/>
      </c>
      <c r="F67" s="592"/>
      <c r="G67" s="49"/>
      <c r="H67" s="48" t="str">
        <f>IF(G67=0,"",VLOOKUP(G67,$N:$O,2,0))</f>
        <v/>
      </c>
      <c r="I67" s="592"/>
      <c r="J67" s="293"/>
      <c r="N67" s="160" t="str">
        <f>报表格式!Z67</f>
        <v>E12</v>
      </c>
      <c r="O67" s="54" t="str">
        <f>报表格式!AA67</f>
        <v>应付票据</v>
      </c>
    </row>
    <row r="68" spans="1:15">
      <c r="A68" s="927"/>
      <c r="B68" s="928"/>
      <c r="C68" s="924"/>
      <c r="D68" s="38"/>
      <c r="E68" s="48" t="str">
        <f>IF(D68=0,"",VLOOKUP(D68,$N:$O,2,0))</f>
        <v/>
      </c>
      <c r="F68" s="592"/>
      <c r="G68" s="49"/>
      <c r="H68" s="48" t="str">
        <f>IF(G68=0,"",VLOOKUP(G68,$N:$O,2,0))</f>
        <v/>
      </c>
      <c r="I68" s="592"/>
      <c r="J68" s="293"/>
      <c r="N68" s="160" t="str">
        <f>报表格式!Z68</f>
        <v>E11</v>
      </c>
      <c r="O68" s="54" t="str">
        <f>报表格式!AA68</f>
        <v>应付账款</v>
      </c>
    </row>
    <row r="69" spans="1:15">
      <c r="A69" s="648"/>
      <c r="B69" s="648"/>
      <c r="C69" s="649"/>
      <c r="D69" s="650"/>
      <c r="E69" s="651"/>
      <c r="F69" s="651"/>
      <c r="G69" s="650"/>
      <c r="H69" s="651"/>
      <c r="I69" s="651"/>
      <c r="J69" s="652" t="str">
        <f>IF(ABS((SUMIF(E65:E68,"?*",J65:J68)-SUMIF(H65:H68,"?*",J65:J68)))&lt;0.005,"","借贷不等")</f>
        <v/>
      </c>
      <c r="N69" s="160" t="str">
        <f>报表格式!Z69</f>
        <v>D11</v>
      </c>
      <c r="O69" s="54" t="str">
        <f>报表格式!AA69</f>
        <v>预收账款</v>
      </c>
    </row>
    <row r="70" spans="1:15">
      <c r="A70" s="925">
        <v>14</v>
      </c>
      <c r="B70" s="928"/>
      <c r="C70" s="924"/>
      <c r="D70" s="38"/>
      <c r="E70" s="48" t="str">
        <f>IF(D70=0,"",VLOOKUP(D70,$N:$O,2,0))</f>
        <v/>
      </c>
      <c r="F70" s="592"/>
      <c r="G70" s="49"/>
      <c r="H70" s="48" t="str">
        <f>IF(G70=0,"",VLOOKUP(G70,$N:$O,2,0))</f>
        <v/>
      </c>
      <c r="I70" s="592"/>
      <c r="J70" s="293"/>
      <c r="N70" s="160" t="str">
        <f>报表格式!Z70</f>
        <v>E16</v>
      </c>
      <c r="O70" s="134" t="str">
        <f>报表格式!AA70</f>
        <v>应付工资</v>
      </c>
    </row>
    <row r="71" spans="1:15">
      <c r="A71" s="926"/>
      <c r="B71" s="928"/>
      <c r="C71" s="924"/>
      <c r="D71" s="38"/>
      <c r="E71" s="48" t="str">
        <f>IF(D71=0,"",VLOOKUP(D71,$N:$O,2,0))</f>
        <v/>
      </c>
      <c r="F71" s="592"/>
      <c r="G71" s="49"/>
      <c r="H71" s="48" t="str">
        <f>IF(G71=0,"",VLOOKUP(G71,$N:$O,2,0))</f>
        <v/>
      </c>
      <c r="I71" s="592"/>
      <c r="J71" s="293"/>
      <c r="N71" s="160" t="str">
        <f>报表格式!Z71</f>
        <v>E17</v>
      </c>
      <c r="O71" s="54" t="str">
        <f>报表格式!AA71</f>
        <v>应付福利费</v>
      </c>
    </row>
    <row r="72" spans="1:15">
      <c r="A72" s="926"/>
      <c r="B72" s="928"/>
      <c r="C72" s="924"/>
      <c r="D72" s="38"/>
      <c r="E72" s="48" t="str">
        <f>IF(D72=0,"",VLOOKUP(D72,$N:$O,2,0))</f>
        <v/>
      </c>
      <c r="F72" s="592"/>
      <c r="G72" s="49"/>
      <c r="H72" s="48" t="str">
        <f>IF(G72=0,"",VLOOKUP(G72,$N:$O,2,0))</f>
        <v/>
      </c>
      <c r="I72" s="592"/>
      <c r="J72" s="293"/>
      <c r="N72" s="160" t="str">
        <f>报表格式!Z72</f>
        <v>F15</v>
      </c>
      <c r="O72" s="134" t="str">
        <f>报表格式!AA72</f>
        <v>应付股利（利润）</v>
      </c>
    </row>
    <row r="73" spans="1:15">
      <c r="A73" s="927"/>
      <c r="B73" s="928"/>
      <c r="C73" s="924"/>
      <c r="D73" s="38"/>
      <c r="E73" s="48" t="str">
        <f>IF(D73=0,"",VLOOKUP(D73,$N:$O,2,0))</f>
        <v/>
      </c>
      <c r="F73" s="592"/>
      <c r="G73" s="49"/>
      <c r="H73" s="48" t="str">
        <f>IF(G73=0,"",VLOOKUP(G73,$N:$O,2,0))</f>
        <v/>
      </c>
      <c r="I73" s="592"/>
      <c r="J73" s="293"/>
      <c r="N73" s="160" t="str">
        <f>报表格式!Z73</f>
        <v>F14</v>
      </c>
      <c r="O73" s="161" t="str">
        <f>报表格式!AA73</f>
        <v>应付利息</v>
      </c>
    </row>
    <row r="74" spans="1:15">
      <c r="A74" s="648"/>
      <c r="B74" s="648"/>
      <c r="C74" s="649"/>
      <c r="D74" s="650"/>
      <c r="E74" s="651"/>
      <c r="F74" s="651"/>
      <c r="G74" s="650"/>
      <c r="H74" s="651"/>
      <c r="I74" s="651"/>
      <c r="J74" s="652" t="str">
        <f>IF(ABS((SUMIF(E70:E73,"?*",J70:J73)-SUMIF(H70:H73,"?*",J70:J73)))&lt;0.005,"","借贷不等")</f>
        <v/>
      </c>
      <c r="N74" s="160" t="str">
        <f>报表格式!Z74</f>
        <v>I16</v>
      </c>
      <c r="O74" s="161" t="str">
        <f>报表格式!AA74</f>
        <v>应交税金</v>
      </c>
    </row>
    <row r="75" spans="1:15">
      <c r="A75" s="925">
        <v>15</v>
      </c>
      <c r="B75" s="928"/>
      <c r="C75" s="924"/>
      <c r="D75" s="38"/>
      <c r="E75" s="48" t="str">
        <f>IF(D75=0,"",VLOOKUP(D75,$N:$O,2,0))</f>
        <v/>
      </c>
      <c r="F75" s="592"/>
      <c r="G75" s="49"/>
      <c r="H75" s="48" t="str">
        <f>IF(G75=0,"",VLOOKUP(G75,$N:$O,2,0))</f>
        <v/>
      </c>
      <c r="I75" s="592"/>
      <c r="J75" s="293"/>
      <c r="N75" s="160" t="str">
        <f>报表格式!Z75</f>
        <v>I17</v>
      </c>
      <c r="O75" s="161" t="str">
        <f>报表格式!AA75</f>
        <v>其他应交款</v>
      </c>
    </row>
    <row r="76" spans="1:15">
      <c r="A76" s="926"/>
      <c r="B76" s="928"/>
      <c r="C76" s="924"/>
      <c r="D76" s="38"/>
      <c r="E76" s="48" t="str">
        <f>IF(D76=0,"",VLOOKUP(D76,$N:$O,2,0))</f>
        <v/>
      </c>
      <c r="F76" s="592"/>
      <c r="G76" s="49"/>
      <c r="H76" s="48" t="str">
        <f>IF(G76=0,"",VLOOKUP(G76,$N:$O,2,0))</f>
        <v/>
      </c>
      <c r="I76" s="592"/>
      <c r="J76" s="293"/>
      <c r="N76" s="160" t="str">
        <f>报表格式!Z76</f>
        <v>G11</v>
      </c>
      <c r="O76" s="161" t="str">
        <f>报表格式!AA76</f>
        <v>其他应付款</v>
      </c>
    </row>
    <row r="77" spans="1:15">
      <c r="A77" s="926"/>
      <c r="B77" s="928"/>
      <c r="C77" s="924"/>
      <c r="D77" s="38"/>
      <c r="E77" s="48" t="str">
        <f>IF(D77=0,"",VLOOKUP(D77,$N:$O,2,0))</f>
        <v/>
      </c>
      <c r="F77" s="592"/>
      <c r="G77" s="49"/>
      <c r="H77" s="48" t="str">
        <f>IF(G77=0,"",VLOOKUP(G77,$N:$O,2,0))</f>
        <v/>
      </c>
      <c r="I77" s="592"/>
      <c r="J77" s="293"/>
      <c r="N77" s="160" t="str">
        <f>报表格式!Z77</f>
        <v>I11</v>
      </c>
      <c r="O77" s="161" t="str">
        <f>报表格式!AA77</f>
        <v>预提费用</v>
      </c>
    </row>
    <row r="78" spans="1:15">
      <c r="A78" s="927"/>
      <c r="B78" s="928"/>
      <c r="C78" s="924"/>
      <c r="D78" s="38"/>
      <c r="E78" s="48" t="str">
        <f>IF(D78=0,"",VLOOKUP(D78,$N:$O,2,0))</f>
        <v/>
      </c>
      <c r="F78" s="592"/>
      <c r="G78" s="49"/>
      <c r="H78" s="48" t="str">
        <f>IF(G78=0,"",VLOOKUP(G78,$N:$O,2,0))</f>
        <v/>
      </c>
      <c r="I78" s="592"/>
      <c r="J78" s="293"/>
      <c r="N78" s="160" t="str">
        <f>报表格式!Z78</f>
        <v>I19</v>
      </c>
      <c r="O78" s="161" t="str">
        <f>报表格式!AA78</f>
        <v>预计负债</v>
      </c>
    </row>
    <row r="79" spans="1:15">
      <c r="A79" s="648"/>
      <c r="B79" s="648"/>
      <c r="C79" s="649"/>
      <c r="D79" s="650"/>
      <c r="E79" s="651"/>
      <c r="F79" s="651"/>
      <c r="G79" s="650"/>
      <c r="H79" s="651"/>
      <c r="I79" s="651"/>
      <c r="J79" s="652" t="str">
        <f>IF(ABS((SUMIF(E75:E78,"?*",J75:J78)-SUMIF(H75:H78,"?*",J75:J78)))&lt;0.005,"","借贷不等")</f>
        <v/>
      </c>
      <c r="N79" s="160" t="str">
        <f>报表格式!Z79</f>
        <v>D12</v>
      </c>
      <c r="O79" s="161" t="str">
        <f>报表格式!AA79</f>
        <v>递延收益</v>
      </c>
    </row>
    <row r="80" spans="1:15">
      <c r="A80" s="925">
        <v>16</v>
      </c>
      <c r="B80" s="928"/>
      <c r="C80" s="924"/>
      <c r="D80" s="38"/>
      <c r="E80" s="48" t="str">
        <f>IF(D80=0,"",VLOOKUP(D80,$N:$O,2,0))</f>
        <v/>
      </c>
      <c r="F80" s="592"/>
      <c r="G80" s="49"/>
      <c r="H80" s="48" t="str">
        <f>IF(G80=0,"",VLOOKUP(G80,$N:$O,2,0))</f>
        <v/>
      </c>
      <c r="I80" s="592"/>
      <c r="J80" s="293"/>
      <c r="N80" s="160">
        <f>报表格式!Z80</f>
        <v>0</v>
      </c>
      <c r="O80" s="161" t="str">
        <f>报表格式!AA80</f>
        <v>一年内到期的长期负债</v>
      </c>
    </row>
    <row r="81" spans="1:15">
      <c r="A81" s="926"/>
      <c r="B81" s="928"/>
      <c r="C81" s="924"/>
      <c r="D81" s="38"/>
      <c r="E81" s="48" t="str">
        <f>IF(D81=0,"",VLOOKUP(D81,$N:$O,2,0))</f>
        <v/>
      </c>
      <c r="F81" s="592"/>
      <c r="G81" s="49"/>
      <c r="H81" s="48" t="str">
        <f>IF(G81=0,"",VLOOKUP(G81,$N:$O,2,0))</f>
        <v/>
      </c>
      <c r="I81" s="592"/>
      <c r="J81" s="293"/>
      <c r="N81" s="160">
        <f>报表格式!Z81</f>
        <v>0</v>
      </c>
      <c r="O81" s="161" t="str">
        <f>报表格式!AA81</f>
        <v>应付权证</v>
      </c>
    </row>
    <row r="82" spans="1:15">
      <c r="A82" s="926"/>
      <c r="B82" s="928"/>
      <c r="C82" s="924"/>
      <c r="D82" s="38"/>
      <c r="E82" s="48" t="str">
        <f>IF(D82=0,"",VLOOKUP(D82,$N:$O,2,0))</f>
        <v/>
      </c>
      <c r="F82" s="592"/>
      <c r="G82" s="49"/>
      <c r="H82" s="48" t="str">
        <f>IF(G82=0,"",VLOOKUP(G82,$N:$O,2,0))</f>
        <v/>
      </c>
      <c r="I82" s="592"/>
      <c r="J82" s="293"/>
      <c r="N82" s="160">
        <f>报表格式!Z82</f>
        <v>0</v>
      </c>
      <c r="O82" s="161" t="str">
        <f>报表格式!AA82</f>
        <v>其他流动负债</v>
      </c>
    </row>
    <row r="83" spans="1:15">
      <c r="A83" s="927"/>
      <c r="B83" s="928"/>
      <c r="C83" s="924"/>
      <c r="D83" s="38"/>
      <c r="E83" s="48" t="str">
        <f>IF(D83=0,"",VLOOKUP(D83,$N:$O,2,0))</f>
        <v/>
      </c>
      <c r="F83" s="592"/>
      <c r="G83" s="49"/>
      <c r="H83" s="48" t="str">
        <f>IF(G83=0,"",VLOOKUP(G83,$N:$O,2,0))</f>
        <v/>
      </c>
      <c r="I83" s="592"/>
      <c r="J83" s="293"/>
      <c r="N83" s="160">
        <f>报表格式!Z83</f>
        <v>0</v>
      </c>
      <c r="O83" s="161">
        <f>报表格式!AA83</f>
        <v>0</v>
      </c>
    </row>
    <row r="84" spans="1:15">
      <c r="A84" s="648"/>
      <c r="B84" s="648"/>
      <c r="C84" s="649"/>
      <c r="D84" s="650"/>
      <c r="E84" s="651"/>
      <c r="F84" s="651"/>
      <c r="G84" s="650"/>
      <c r="H84" s="651"/>
      <c r="I84" s="651"/>
      <c r="J84" s="652" t="str">
        <f>IF(ABS((SUMIF(E80:E83,"?*",J80:J83)-SUMIF(H80:H83,"?*",J80:J83)))&lt;0.005,"","借贷不等")</f>
        <v/>
      </c>
      <c r="N84" s="160">
        <f>报表格式!Z84</f>
        <v>0</v>
      </c>
      <c r="O84" s="161">
        <f>报表格式!AA84</f>
        <v>0</v>
      </c>
    </row>
    <row r="85" spans="1:15">
      <c r="A85" s="925">
        <v>17</v>
      </c>
      <c r="B85" s="928"/>
      <c r="C85" s="924"/>
      <c r="D85" s="38"/>
      <c r="E85" s="48" t="str">
        <f>IF(D85=0,"",VLOOKUP(D85,$N:$O,2,0))</f>
        <v/>
      </c>
      <c r="F85" s="592"/>
      <c r="G85" s="49"/>
      <c r="H85" s="48" t="str">
        <f>IF(G85=0,"",VLOOKUP(G85,$N:$O,2,0))</f>
        <v/>
      </c>
      <c r="I85" s="592"/>
      <c r="J85" s="293"/>
      <c r="N85" s="160">
        <f>报表格式!Z85</f>
        <v>0</v>
      </c>
      <c r="O85" s="163" t="str">
        <f>报表格式!AA85</f>
        <v>流动负债合计</v>
      </c>
    </row>
    <row r="86" spans="1:15">
      <c r="A86" s="926"/>
      <c r="B86" s="928"/>
      <c r="C86" s="924"/>
      <c r="D86" s="38"/>
      <c r="E86" s="48" t="str">
        <f>IF(D86=0,"",VLOOKUP(D86,$N:$O,2,0))</f>
        <v/>
      </c>
      <c r="F86" s="592"/>
      <c r="G86" s="49"/>
      <c r="H86" s="48" t="str">
        <f>IF(G86=0,"",VLOOKUP(G86,$N:$O,2,0))</f>
        <v/>
      </c>
      <c r="I86" s="592"/>
      <c r="J86" s="293"/>
      <c r="N86" s="160">
        <f>报表格式!Z86</f>
        <v>0</v>
      </c>
      <c r="O86" s="164">
        <f>报表格式!AA86</f>
        <v>0</v>
      </c>
    </row>
    <row r="87" spans="1:15">
      <c r="A87" s="926"/>
      <c r="B87" s="928"/>
      <c r="C87" s="924"/>
      <c r="D87" s="38"/>
      <c r="E87" s="48" t="str">
        <f>IF(D87=0,"",VLOOKUP(D87,$N:$O,2,0))</f>
        <v/>
      </c>
      <c r="F87" s="592"/>
      <c r="G87" s="49"/>
      <c r="H87" s="48" t="str">
        <f>IF(G87=0,"",VLOOKUP(G87,$N:$O,2,0))</f>
        <v/>
      </c>
      <c r="I87" s="592"/>
      <c r="J87" s="293"/>
      <c r="N87" s="160">
        <f>报表格式!Z87</f>
        <v>0</v>
      </c>
      <c r="O87" s="165" t="str">
        <f>报表格式!AA87</f>
        <v>长期负债：</v>
      </c>
    </row>
    <row r="88" spans="1:15">
      <c r="A88" s="927"/>
      <c r="B88" s="928"/>
      <c r="C88" s="924"/>
      <c r="D88" s="38"/>
      <c r="E88" s="48" t="str">
        <f>IF(D88=0,"",VLOOKUP(D88,$N:$O,2,0))</f>
        <v/>
      </c>
      <c r="F88" s="592"/>
      <c r="G88" s="49"/>
      <c r="H88" s="48" t="str">
        <f>IF(G88=0,"",VLOOKUP(G88,$N:$O,2,0))</f>
        <v/>
      </c>
      <c r="I88" s="592"/>
      <c r="J88" s="293"/>
      <c r="N88" s="160" t="str">
        <f>报表格式!Z88</f>
        <v>F12</v>
      </c>
      <c r="O88" s="164" t="str">
        <f>报表格式!AA88</f>
        <v>长期借款</v>
      </c>
    </row>
    <row r="89" spans="1:15">
      <c r="A89" s="648"/>
      <c r="B89" s="648"/>
      <c r="C89" s="649"/>
      <c r="D89" s="650"/>
      <c r="E89" s="651"/>
      <c r="F89" s="651"/>
      <c r="G89" s="650"/>
      <c r="H89" s="651"/>
      <c r="I89" s="651"/>
      <c r="J89" s="652" t="str">
        <f>IF(ABS((SUMIF(E85:E88,"?*",J85:J88)-SUMIF(H85:H88,"?*",J85:J88)))&lt;0.005,"","借贷不等")</f>
        <v/>
      </c>
      <c r="N89" s="160" t="str">
        <f>报表格式!Z89</f>
        <v>F13</v>
      </c>
      <c r="O89" s="164" t="str">
        <f>报表格式!AA89</f>
        <v>应付债券</v>
      </c>
    </row>
    <row r="90" spans="1:15">
      <c r="A90" s="925">
        <v>18</v>
      </c>
      <c r="B90" s="928"/>
      <c r="C90" s="924"/>
      <c r="D90" s="38"/>
      <c r="E90" s="48" t="str">
        <f>IF(D90=0,"",VLOOKUP(D90,$N:$O,2,0))</f>
        <v/>
      </c>
      <c r="F90" s="592"/>
      <c r="G90" s="49"/>
      <c r="H90" s="48" t="str">
        <f>IF(G90=0,"",VLOOKUP(G90,$N:$O,2,0))</f>
        <v/>
      </c>
      <c r="I90" s="592"/>
      <c r="J90" s="293"/>
      <c r="N90" s="160" t="str">
        <f>报表格式!Z90</f>
        <v>G12</v>
      </c>
      <c r="O90" s="164" t="str">
        <f>报表格式!AA90</f>
        <v>长期应付款</v>
      </c>
    </row>
    <row r="91" spans="1:15">
      <c r="A91" s="926"/>
      <c r="B91" s="928"/>
      <c r="C91" s="924"/>
      <c r="D91" s="38"/>
      <c r="E91" s="48" t="str">
        <f>IF(D91=0,"",VLOOKUP(D91,$N:$O,2,0))</f>
        <v/>
      </c>
      <c r="F91" s="592"/>
      <c r="G91" s="49"/>
      <c r="H91" s="48" t="str">
        <f>IF(G91=0,"",VLOOKUP(G91,$N:$O,2,0))</f>
        <v/>
      </c>
      <c r="I91" s="592"/>
      <c r="J91" s="293"/>
      <c r="N91" s="160" t="str">
        <f>报表格式!Z91</f>
        <v>G13</v>
      </c>
      <c r="O91" s="164" t="str">
        <f>报表格式!AA91</f>
        <v>专项应付款</v>
      </c>
    </row>
    <row r="92" spans="1:15">
      <c r="A92" s="926"/>
      <c r="B92" s="928"/>
      <c r="C92" s="924"/>
      <c r="D92" s="38"/>
      <c r="E92" s="48" t="str">
        <f>IF(D92=0,"",VLOOKUP(D92,$N:$O,2,0))</f>
        <v/>
      </c>
      <c r="F92" s="592"/>
      <c r="G92" s="49"/>
      <c r="H92" s="48" t="str">
        <f>IF(G92=0,"",VLOOKUP(G92,$N:$O,2,0))</f>
        <v/>
      </c>
      <c r="I92" s="592"/>
      <c r="J92" s="293"/>
      <c r="N92" s="160">
        <f>报表格式!Z92</f>
        <v>0</v>
      </c>
      <c r="O92" s="164" t="str">
        <f>报表格式!AA92</f>
        <v>其他长期负债</v>
      </c>
    </row>
    <row r="93" spans="1:15">
      <c r="A93" s="927"/>
      <c r="B93" s="928"/>
      <c r="C93" s="924"/>
      <c r="D93" s="38"/>
      <c r="E93" s="48" t="str">
        <f>IF(D93=0,"",VLOOKUP(D93,$N:$O,2,0))</f>
        <v/>
      </c>
      <c r="F93" s="592"/>
      <c r="G93" s="49"/>
      <c r="H93" s="48" t="str">
        <f>IF(G93=0,"",VLOOKUP(G93,$N:$O,2,0))</f>
        <v/>
      </c>
      <c r="I93" s="592"/>
      <c r="J93" s="293"/>
      <c r="N93" s="160">
        <f>报表格式!Z93</f>
        <v>0</v>
      </c>
      <c r="O93" s="139">
        <f>报表格式!AA93</f>
        <v>0</v>
      </c>
    </row>
    <row r="94" spans="1:15">
      <c r="A94" s="648"/>
      <c r="B94" s="648"/>
      <c r="C94" s="649"/>
      <c r="D94" s="650"/>
      <c r="E94" s="651"/>
      <c r="F94" s="651"/>
      <c r="G94" s="650"/>
      <c r="H94" s="651"/>
      <c r="I94" s="651"/>
      <c r="J94" s="652" t="str">
        <f>IF(ABS((SUMIF(E90:E93,"?*",J90:J93)-SUMIF(H90:H93,"?*",J90:J93)))&lt;0.005,"","借贷不等")</f>
        <v/>
      </c>
      <c r="N94" s="160">
        <f>报表格式!Z94</f>
        <v>0</v>
      </c>
      <c r="O94" s="164">
        <f>报表格式!AA94</f>
        <v>0</v>
      </c>
    </row>
    <row r="95" spans="1:15">
      <c r="A95" s="925">
        <v>19</v>
      </c>
      <c r="B95" s="928"/>
      <c r="C95" s="924"/>
      <c r="D95" s="38"/>
      <c r="E95" s="48" t="str">
        <f>IF(D95=0,"",VLOOKUP(D95,$N:$O,2,0))</f>
        <v/>
      </c>
      <c r="F95" s="592"/>
      <c r="G95" s="49"/>
      <c r="H95" s="48" t="str">
        <f>IF(G95=0,"",VLOOKUP(G95,$N:$O,2,0))</f>
        <v/>
      </c>
      <c r="I95" s="592"/>
      <c r="J95" s="293"/>
      <c r="N95" s="160">
        <f>报表格式!Z95</f>
        <v>0</v>
      </c>
      <c r="O95" s="164">
        <f>报表格式!AA95</f>
        <v>0</v>
      </c>
    </row>
    <row r="96" spans="1:15">
      <c r="A96" s="926"/>
      <c r="B96" s="928"/>
      <c r="C96" s="924"/>
      <c r="D96" s="38"/>
      <c r="E96" s="48" t="str">
        <f>IF(D96=0,"",VLOOKUP(D96,$N:$O,2,0))</f>
        <v/>
      </c>
      <c r="F96" s="592"/>
      <c r="G96" s="49"/>
      <c r="H96" s="48" t="str">
        <f>IF(G96=0,"",VLOOKUP(G96,$N:$O,2,0))</f>
        <v/>
      </c>
      <c r="I96" s="592"/>
      <c r="J96" s="293"/>
      <c r="N96" s="160">
        <f>报表格式!Z96</f>
        <v>0</v>
      </c>
      <c r="O96" s="163" t="str">
        <f>报表格式!AA96</f>
        <v>长期负债合计</v>
      </c>
    </row>
    <row r="97" spans="1:15">
      <c r="A97" s="926"/>
      <c r="B97" s="928"/>
      <c r="C97" s="924"/>
      <c r="D97" s="38"/>
      <c r="E97" s="48" t="str">
        <f>IF(D97=0,"",VLOOKUP(D97,$N:$O,2,0))</f>
        <v/>
      </c>
      <c r="F97" s="592"/>
      <c r="G97" s="49"/>
      <c r="H97" s="48" t="str">
        <f>IF(G97=0,"",VLOOKUP(G97,$N:$O,2,0))</f>
        <v/>
      </c>
      <c r="I97" s="592"/>
      <c r="J97" s="293"/>
      <c r="N97" s="160">
        <f>报表格式!Z97</f>
        <v>0</v>
      </c>
      <c r="O97" s="164">
        <f>报表格式!AA97</f>
        <v>0</v>
      </c>
    </row>
    <row r="98" spans="1:15">
      <c r="A98" s="927"/>
      <c r="B98" s="928"/>
      <c r="C98" s="924"/>
      <c r="D98" s="38"/>
      <c r="E98" s="48" t="str">
        <f>IF(D98=0,"",VLOOKUP(D98,$N:$O,2,0))</f>
        <v/>
      </c>
      <c r="F98" s="592"/>
      <c r="G98" s="49"/>
      <c r="H98" s="48" t="str">
        <f>IF(G98=0,"",VLOOKUP(G98,$N:$O,2,0))</f>
        <v/>
      </c>
      <c r="I98" s="592"/>
      <c r="J98" s="293"/>
      <c r="N98" s="160">
        <f>报表格式!Z98</f>
        <v>0</v>
      </c>
      <c r="O98" s="165" t="str">
        <f>报表格式!AA98</f>
        <v>递延税项：</v>
      </c>
    </row>
    <row r="99" spans="1:15">
      <c r="A99" s="648"/>
      <c r="B99" s="648"/>
      <c r="C99" s="649"/>
      <c r="D99" s="650"/>
      <c r="E99" s="651"/>
      <c r="F99" s="651"/>
      <c r="G99" s="650"/>
      <c r="H99" s="651"/>
      <c r="I99" s="651"/>
      <c r="J99" s="652" t="str">
        <f>IF(ABS((SUMIF(E95:E98,"?*",J95:J98)-SUMIF(H95:H98,"?*",J95:J98)))&lt;0.005,"","借贷不等")</f>
        <v/>
      </c>
      <c r="N99" s="160" t="str">
        <f>报表格式!Z99</f>
        <v>I18-2</v>
      </c>
      <c r="O99" s="164" t="str">
        <f>报表格式!AA99</f>
        <v>递延税款贷项</v>
      </c>
    </row>
    <row r="100" spans="1:15">
      <c r="A100" s="925">
        <v>20</v>
      </c>
      <c r="B100" s="928"/>
      <c r="C100" s="924"/>
      <c r="D100" s="38"/>
      <c r="E100" s="48" t="str">
        <f>IF(D100=0,"",VLOOKUP(D100,$N:$O,2,0))</f>
        <v/>
      </c>
      <c r="F100" s="592"/>
      <c r="G100" s="49"/>
      <c r="H100" s="48" t="str">
        <f>IF(G100=0,"",VLOOKUP(G100,$N:$O,2,0))</f>
        <v/>
      </c>
      <c r="I100" s="592"/>
      <c r="J100" s="293"/>
      <c r="N100" s="160">
        <f>报表格式!Z100</f>
        <v>0</v>
      </c>
      <c r="O100" s="164">
        <f>报表格式!AA100</f>
        <v>0</v>
      </c>
    </row>
    <row r="101" spans="1:15">
      <c r="A101" s="926"/>
      <c r="B101" s="928"/>
      <c r="C101" s="924"/>
      <c r="D101" s="38"/>
      <c r="E101" s="48" t="str">
        <f>IF(D101=0,"",VLOOKUP(D101,$N:$O,2,0))</f>
        <v/>
      </c>
      <c r="F101" s="592"/>
      <c r="G101" s="49"/>
      <c r="H101" s="48" t="str">
        <f>IF(G101=0,"",VLOOKUP(G101,$N:$O,2,0))</f>
        <v/>
      </c>
      <c r="I101" s="592"/>
      <c r="J101" s="293"/>
      <c r="N101" s="160">
        <f>报表格式!Z101</f>
        <v>0</v>
      </c>
      <c r="O101" s="163" t="str">
        <f>报表格式!AA101</f>
        <v>负债合计</v>
      </c>
    </row>
    <row r="102" spans="1:15">
      <c r="A102" s="926"/>
      <c r="B102" s="928"/>
      <c r="C102" s="924"/>
      <c r="D102" s="38"/>
      <c r="E102" s="48" t="str">
        <f>IF(D102=0,"",VLOOKUP(D102,$N:$O,2,0))</f>
        <v/>
      </c>
      <c r="F102" s="592"/>
      <c r="G102" s="49"/>
      <c r="H102" s="48" t="str">
        <f>IF(G102=0,"",VLOOKUP(G102,$N:$O,2,0))</f>
        <v/>
      </c>
      <c r="I102" s="592"/>
      <c r="J102" s="293"/>
      <c r="N102" s="160">
        <f>报表格式!Z102</f>
        <v>0</v>
      </c>
      <c r="O102" s="164">
        <f>报表格式!AA102</f>
        <v>0</v>
      </c>
    </row>
    <row r="103" spans="1:15">
      <c r="A103" s="927"/>
      <c r="B103" s="928"/>
      <c r="C103" s="924"/>
      <c r="D103" s="38"/>
      <c r="E103" s="48" t="str">
        <f>IF(D103=0,"",VLOOKUP(D103,$N:$O,2,0))</f>
        <v/>
      </c>
      <c r="F103" s="592"/>
      <c r="G103" s="49"/>
      <c r="H103" s="48" t="str">
        <f>IF(G103=0,"",VLOOKUP(G103,$N:$O,2,0))</f>
        <v/>
      </c>
      <c r="I103" s="592"/>
      <c r="J103" s="293"/>
      <c r="N103" s="160">
        <f>报表格式!Z103</f>
        <v>0</v>
      </c>
      <c r="O103" s="164" t="str">
        <f>报表格式!AA103</f>
        <v>少数股东权益</v>
      </c>
    </row>
    <row r="104" spans="1:15">
      <c r="A104" s="648"/>
      <c r="B104" s="648"/>
      <c r="C104" s="649"/>
      <c r="D104" s="650"/>
      <c r="E104" s="651"/>
      <c r="F104" s="651"/>
      <c r="G104" s="650"/>
      <c r="H104" s="651"/>
      <c r="I104" s="651"/>
      <c r="J104" s="652" t="str">
        <f>IF(ABS((SUMIF(E100:E103,"?*",J100:J103)-SUMIF(H100:H103,"?*",J100:J103)))&lt;0.005,"","借贷不等")</f>
        <v/>
      </c>
      <c r="N104" s="160">
        <f>报表格式!Z104</f>
        <v>0</v>
      </c>
      <c r="O104" s="164">
        <f>报表格式!AA104</f>
        <v>0</v>
      </c>
    </row>
    <row r="105" spans="1:15">
      <c r="A105" s="925">
        <v>21</v>
      </c>
      <c r="B105" s="928"/>
      <c r="C105" s="924"/>
      <c r="D105" s="38"/>
      <c r="E105" s="48" t="str">
        <f>IF(D105=0,"",VLOOKUP(D105,$N:$O,2,0))</f>
        <v/>
      </c>
      <c r="F105" s="592"/>
      <c r="G105" s="49"/>
      <c r="H105" s="48" t="str">
        <f>IF(G105=0,"",VLOOKUP(G105,$N:$O,2,0))</f>
        <v/>
      </c>
      <c r="I105" s="592"/>
      <c r="J105" s="293"/>
      <c r="N105" s="160">
        <f>报表格式!Z105</f>
        <v>0</v>
      </c>
      <c r="O105" s="165" t="str">
        <f>报表格式!AA105</f>
        <v>所有者权益：</v>
      </c>
    </row>
    <row r="106" spans="1:15">
      <c r="A106" s="926"/>
      <c r="B106" s="928"/>
      <c r="C106" s="924"/>
      <c r="D106" s="38"/>
      <c r="E106" s="48" t="str">
        <f>IF(D106=0,"",VLOOKUP(D106,$N:$O,2,0))</f>
        <v/>
      </c>
      <c r="F106" s="592"/>
      <c r="G106" s="49"/>
      <c r="H106" s="48" t="str">
        <f>IF(G106=0,"",VLOOKUP(G106,$N:$O,2,0))</f>
        <v/>
      </c>
      <c r="I106" s="592"/>
      <c r="J106" s="293"/>
      <c r="N106" s="160" t="str">
        <f>报表格式!Z106</f>
        <v>F16</v>
      </c>
      <c r="O106" s="164" t="str">
        <f>报表格式!AA106</f>
        <v>实收资本</v>
      </c>
    </row>
    <row r="107" spans="1:15">
      <c r="A107" s="926"/>
      <c r="B107" s="928"/>
      <c r="C107" s="924"/>
      <c r="D107" s="38"/>
      <c r="E107" s="48" t="str">
        <f>IF(D107=0,"",VLOOKUP(D107,$N:$O,2,0))</f>
        <v/>
      </c>
      <c r="F107" s="592"/>
      <c r="G107" s="49"/>
      <c r="H107" s="48" t="str">
        <f>IF(G107=0,"",VLOOKUP(G107,$N:$O,2,0))</f>
        <v/>
      </c>
      <c r="I107" s="592"/>
      <c r="J107" s="293"/>
      <c r="N107" s="160">
        <f>报表格式!Z107</f>
        <v>0</v>
      </c>
      <c r="O107" s="164">
        <f>报表格式!AA107</f>
        <v>0</v>
      </c>
    </row>
    <row r="108" spans="1:15">
      <c r="A108" s="927"/>
      <c r="B108" s="928"/>
      <c r="C108" s="924"/>
      <c r="D108" s="38"/>
      <c r="E108" s="48" t="str">
        <f>IF(D108=0,"",VLOOKUP(D108,$N:$O,2,0))</f>
        <v/>
      </c>
      <c r="F108" s="592"/>
      <c r="G108" s="49"/>
      <c r="H108" s="48" t="str">
        <f>IF(G108=0,"",VLOOKUP(G108,$N:$O,2,0))</f>
        <v/>
      </c>
      <c r="I108" s="592"/>
      <c r="J108" s="293"/>
      <c r="N108" s="160">
        <f>报表格式!Z108</f>
        <v>0</v>
      </c>
      <c r="O108" s="164">
        <f>报表格式!AA108</f>
        <v>0</v>
      </c>
    </row>
    <row r="109" spans="1:15">
      <c r="A109" s="648"/>
      <c r="B109" s="648"/>
      <c r="C109" s="649"/>
      <c r="D109" s="650"/>
      <c r="E109" s="651"/>
      <c r="F109" s="651"/>
      <c r="G109" s="650"/>
      <c r="H109" s="651"/>
      <c r="I109" s="651"/>
      <c r="J109" s="652" t="str">
        <f>IF(ABS((SUMIF(E105:E108,"?*",J105:J108)-SUMIF(H105:H108,"?*",J105:J108)))&lt;0.005,"","借贷不等")</f>
        <v/>
      </c>
      <c r="N109" s="160">
        <f>报表格式!Z109</f>
        <v>0</v>
      </c>
      <c r="O109" s="159">
        <f>报表格式!AA109</f>
        <v>0</v>
      </c>
    </row>
    <row r="110" spans="1:15">
      <c r="A110" s="925">
        <v>22</v>
      </c>
      <c r="B110" s="928"/>
      <c r="C110" s="924"/>
      <c r="D110" s="38"/>
      <c r="E110" s="48" t="str">
        <f>IF(D110=0,"",VLOOKUP(D110,$N:$O,2,0))</f>
        <v/>
      </c>
      <c r="F110" s="592"/>
      <c r="G110" s="49"/>
      <c r="H110" s="48" t="str">
        <f>IF(G110=0,"",VLOOKUP(G110,$N:$O,2,0))</f>
        <v/>
      </c>
      <c r="I110" s="592"/>
      <c r="J110" s="293"/>
      <c r="N110" s="160">
        <f>报表格式!Z110</f>
        <v>0</v>
      </c>
      <c r="O110" s="166">
        <f>报表格式!AA110</f>
        <v>0</v>
      </c>
    </row>
    <row r="111" spans="1:15">
      <c r="A111" s="926"/>
      <c r="B111" s="928"/>
      <c r="C111" s="924"/>
      <c r="D111" s="38"/>
      <c r="E111" s="48" t="str">
        <f>IF(D111=0,"",VLOOKUP(D111,$N:$O,2,0))</f>
        <v/>
      </c>
      <c r="F111" s="592"/>
      <c r="G111" s="49"/>
      <c r="H111" s="48" t="str">
        <f>IF(G111=0,"",VLOOKUP(G111,$N:$O,2,0))</f>
        <v/>
      </c>
      <c r="I111" s="592"/>
      <c r="J111" s="293"/>
      <c r="N111" s="160">
        <f>报表格式!Z111</f>
        <v>0</v>
      </c>
      <c r="O111" s="167">
        <f>报表格式!AA111</f>
        <v>0</v>
      </c>
    </row>
    <row r="112" spans="1:15">
      <c r="A112" s="926"/>
      <c r="B112" s="928"/>
      <c r="C112" s="924"/>
      <c r="D112" s="38"/>
      <c r="E112" s="48" t="str">
        <f>IF(D112=0,"",VLOOKUP(D112,$N:$O,2,0))</f>
        <v/>
      </c>
      <c r="F112" s="592"/>
      <c r="G112" s="49"/>
      <c r="H112" s="48" t="str">
        <f>IF(G112=0,"",VLOOKUP(G112,$N:$O,2,0))</f>
        <v/>
      </c>
      <c r="I112" s="592"/>
      <c r="J112" s="293"/>
      <c r="N112" s="160">
        <f>报表格式!Z112</f>
        <v>0</v>
      </c>
      <c r="O112" s="167">
        <f>报表格式!AA112</f>
        <v>0</v>
      </c>
    </row>
    <row r="113" spans="1:15">
      <c r="A113" s="927"/>
      <c r="B113" s="928"/>
      <c r="C113" s="924"/>
      <c r="D113" s="38"/>
      <c r="E113" s="48" t="str">
        <f>IF(D113=0,"",VLOOKUP(D113,$N:$O,2,0))</f>
        <v/>
      </c>
      <c r="F113" s="592"/>
      <c r="G113" s="49"/>
      <c r="H113" s="48" t="str">
        <f>IF(G113=0,"",VLOOKUP(G113,$N:$O,2,0))</f>
        <v/>
      </c>
      <c r="I113" s="592"/>
      <c r="J113" s="293"/>
      <c r="N113" s="160">
        <f>报表格式!Z113</f>
        <v>0</v>
      </c>
      <c r="O113" s="167">
        <f>报表格式!AA113</f>
        <v>0</v>
      </c>
    </row>
    <row r="114" spans="1:15">
      <c r="A114" s="648"/>
      <c r="B114" s="648"/>
      <c r="C114" s="649"/>
      <c r="D114" s="650"/>
      <c r="E114" s="651"/>
      <c r="F114" s="651"/>
      <c r="G114" s="650"/>
      <c r="H114" s="651"/>
      <c r="I114" s="651"/>
      <c r="J114" s="652" t="str">
        <f>IF(ABS((SUMIF(E110:E113,"?*",J110:J113)-SUMIF(H110:H113,"?*",J110:J113)))&lt;0.005,"","借贷不等")</f>
        <v/>
      </c>
      <c r="N114" s="160" t="str">
        <f>报表格式!Z114</f>
        <v>F17</v>
      </c>
      <c r="O114" s="159" t="str">
        <f>报表格式!AA114</f>
        <v>资本公积</v>
      </c>
    </row>
    <row r="115" spans="1:15">
      <c r="A115" s="925">
        <v>23</v>
      </c>
      <c r="B115" s="928"/>
      <c r="C115" s="924"/>
      <c r="D115" s="38"/>
      <c r="E115" s="48" t="str">
        <f>IF(D115=0,"",VLOOKUP(D115,$N:$O,2,0))</f>
        <v/>
      </c>
      <c r="F115" s="592"/>
      <c r="G115" s="49"/>
      <c r="H115" s="48" t="str">
        <f>IF(G115=0,"",VLOOKUP(G115,$N:$O,2,0))</f>
        <v/>
      </c>
      <c r="I115" s="592"/>
      <c r="J115" s="293"/>
      <c r="N115" s="160" t="str">
        <f>报表格式!Z115</f>
        <v>F18</v>
      </c>
      <c r="O115" s="159" t="str">
        <f>报表格式!AA115</f>
        <v>盈余公积</v>
      </c>
    </row>
    <row r="116" spans="1:15">
      <c r="A116" s="926"/>
      <c r="B116" s="928"/>
      <c r="C116" s="924"/>
      <c r="D116" s="38"/>
      <c r="E116" s="48" t="str">
        <f>IF(D116=0,"",VLOOKUP(D116,$N:$O,2,0))</f>
        <v/>
      </c>
      <c r="F116" s="592"/>
      <c r="G116" s="49"/>
      <c r="H116" s="48" t="str">
        <f>IF(G116=0,"",VLOOKUP(G116,$N:$O,2,0))</f>
        <v/>
      </c>
      <c r="I116" s="592"/>
      <c r="J116" s="293"/>
      <c r="N116" s="160">
        <f>报表格式!Z116</f>
        <v>0</v>
      </c>
      <c r="O116" s="167" t="str">
        <f>报表格式!AA116</f>
        <v>其中：法定公益金</v>
      </c>
    </row>
    <row r="117" spans="1:15">
      <c r="A117" s="926"/>
      <c r="B117" s="928"/>
      <c r="C117" s="924"/>
      <c r="D117" s="38"/>
      <c r="E117" s="48" t="str">
        <f>IF(D117=0,"",VLOOKUP(D117,$N:$O,2,0))</f>
        <v/>
      </c>
      <c r="F117" s="592"/>
      <c r="G117" s="49"/>
      <c r="H117" s="48" t="str">
        <f>IF(G117=0,"",VLOOKUP(G117,$N:$O,2,0))</f>
        <v/>
      </c>
      <c r="I117" s="592"/>
      <c r="J117" s="293"/>
      <c r="N117" s="160">
        <f>报表格式!Z117</f>
        <v>0</v>
      </c>
      <c r="O117" s="166" t="str">
        <f>报表格式!AA117</f>
        <v>未确认的投资损失</v>
      </c>
    </row>
    <row r="118" spans="1:15">
      <c r="A118" s="927"/>
      <c r="B118" s="928"/>
      <c r="C118" s="924"/>
      <c r="D118" s="38"/>
      <c r="E118" s="48" t="str">
        <f>IF(D118=0,"",VLOOKUP(D118,$N:$O,2,0))</f>
        <v/>
      </c>
      <c r="F118" s="592"/>
      <c r="G118" s="49"/>
      <c r="H118" s="48" t="str">
        <f>IF(G118=0,"",VLOOKUP(G118,$N:$O,2,0))</f>
        <v/>
      </c>
      <c r="I118" s="592"/>
      <c r="J118" s="293"/>
      <c r="N118" s="160" t="str">
        <f>报表格式!Z118</f>
        <v>F19</v>
      </c>
      <c r="O118" s="159" t="str">
        <f>报表格式!AA118</f>
        <v>未分配利润</v>
      </c>
    </row>
    <row r="119" spans="1:15">
      <c r="A119" s="648"/>
      <c r="B119" s="648"/>
      <c r="C119" s="649"/>
      <c r="D119" s="650"/>
      <c r="E119" s="651"/>
      <c r="F119" s="651"/>
      <c r="G119" s="650"/>
      <c r="H119" s="651"/>
      <c r="I119" s="651"/>
      <c r="J119" s="652" t="str">
        <f>IF(ABS((SUMIF(E115:E118,"?*",J115:J118)-SUMIF(H115:H118,"?*",J115:J118)))&lt;0.005,"","借贷不等")</f>
        <v/>
      </c>
      <c r="N119" s="160">
        <f>报表格式!Z119</f>
        <v>0</v>
      </c>
      <c r="O119" s="167">
        <f>报表格式!AA119</f>
        <v>0</v>
      </c>
    </row>
    <row r="120" spans="1:15">
      <c r="A120" s="925">
        <v>24</v>
      </c>
      <c r="B120" s="928"/>
      <c r="C120" s="924"/>
      <c r="D120" s="38"/>
      <c r="E120" s="48" t="str">
        <f>IF(D120=0,"",VLOOKUP(D120,$N:$O,2,0))</f>
        <v/>
      </c>
      <c r="F120" s="592"/>
      <c r="G120" s="49"/>
      <c r="H120" s="48" t="str">
        <f>IF(G120=0,"",VLOOKUP(G120,$N:$O,2,0))</f>
        <v/>
      </c>
      <c r="I120" s="592"/>
      <c r="J120" s="293"/>
      <c r="N120" s="160">
        <f>报表格式!Z120</f>
        <v>0</v>
      </c>
      <c r="O120" s="159" t="str">
        <f>报表格式!AA120</f>
        <v>外币报表折算差额</v>
      </c>
    </row>
    <row r="121" spans="1:15">
      <c r="A121" s="926"/>
      <c r="B121" s="928"/>
      <c r="C121" s="924"/>
      <c r="D121" s="38"/>
      <c r="E121" s="48" t="str">
        <f>IF(D121=0,"",VLOOKUP(D121,$N:$O,2,0))</f>
        <v/>
      </c>
      <c r="F121" s="592"/>
      <c r="G121" s="49"/>
      <c r="H121" s="48" t="str">
        <f>IF(G121=0,"",VLOOKUP(G121,$N:$O,2,0))</f>
        <v/>
      </c>
      <c r="I121" s="592"/>
      <c r="J121" s="293"/>
      <c r="N121" s="160">
        <f>报表格式!Z121</f>
        <v>0</v>
      </c>
      <c r="O121" s="159">
        <f>报表格式!AA121</f>
        <v>0</v>
      </c>
    </row>
    <row r="122" spans="1:15">
      <c r="A122" s="926"/>
      <c r="B122" s="928"/>
      <c r="C122" s="924"/>
      <c r="D122" s="38"/>
      <c r="E122" s="48" t="str">
        <f>IF(D122=0,"",VLOOKUP(D122,$N:$O,2,0))</f>
        <v/>
      </c>
      <c r="F122" s="592"/>
      <c r="G122" s="49"/>
      <c r="H122" s="48" t="str">
        <f>IF(G122=0,"",VLOOKUP(G122,$N:$O,2,0))</f>
        <v/>
      </c>
      <c r="I122" s="592"/>
      <c r="J122" s="293"/>
      <c r="N122" s="160">
        <f>报表格式!Z122</f>
        <v>0</v>
      </c>
      <c r="O122" s="168" t="str">
        <f>报表格式!AA122</f>
        <v>所有者权益小计</v>
      </c>
    </row>
    <row r="123" spans="1:15">
      <c r="A123" s="927"/>
      <c r="B123" s="928"/>
      <c r="C123" s="924"/>
      <c r="D123" s="38"/>
      <c r="E123" s="48" t="str">
        <f>IF(D123=0,"",VLOOKUP(D123,$N:$O,2,0))</f>
        <v/>
      </c>
      <c r="F123" s="592"/>
      <c r="G123" s="49"/>
      <c r="H123" s="48" t="str">
        <f>IF(G123=0,"",VLOOKUP(G123,$N:$O,2,0))</f>
        <v/>
      </c>
      <c r="I123" s="592"/>
      <c r="J123" s="293"/>
      <c r="N123" s="160">
        <f>报表格式!Z123</f>
        <v>0</v>
      </c>
      <c r="O123" s="166" t="str">
        <f>报表格式!AA123</f>
        <v>未处理资产损失</v>
      </c>
    </row>
    <row r="124" spans="1:15">
      <c r="A124" s="648"/>
      <c r="B124" s="648"/>
      <c r="C124" s="649"/>
      <c r="D124" s="650"/>
      <c r="E124" s="651"/>
      <c r="F124" s="651"/>
      <c r="G124" s="650"/>
      <c r="H124" s="651"/>
      <c r="I124" s="651"/>
      <c r="J124" s="652" t="str">
        <f>IF(ABS((SUMIF(E120:E123,"?*",J120:J123)-SUMIF(H120:H123,"?*",J120:J123)))&lt;0.005,"","借贷不等")</f>
        <v/>
      </c>
      <c r="N124" s="160">
        <f>报表格式!Z124</f>
        <v>0</v>
      </c>
      <c r="O124" s="159">
        <f>报表格式!AA124</f>
        <v>0</v>
      </c>
    </row>
    <row r="125" spans="1:15">
      <c r="A125" s="925">
        <v>25</v>
      </c>
      <c r="B125" s="928"/>
      <c r="C125" s="924"/>
      <c r="D125" s="38"/>
      <c r="E125" s="48" t="str">
        <f>IF(D125=0,"",VLOOKUP(D125,$N:$O,2,0))</f>
        <v/>
      </c>
      <c r="F125" s="592"/>
      <c r="G125" s="49"/>
      <c r="H125" s="48" t="str">
        <f>IF(G125=0,"",VLOOKUP(G125,$N:$O,2,0))</f>
        <v/>
      </c>
      <c r="I125" s="592"/>
      <c r="J125" s="293"/>
      <c r="N125" s="160">
        <f>报表格式!Z125</f>
        <v>0</v>
      </c>
      <c r="O125" s="168" t="str">
        <f>报表格式!AA125</f>
        <v>所有者权益合计(剔除未处理资产损失后的金额)</v>
      </c>
    </row>
    <row r="126" spans="1:15">
      <c r="A126" s="926"/>
      <c r="B126" s="928"/>
      <c r="C126" s="924"/>
      <c r="D126" s="38"/>
      <c r="E126" s="48" t="str">
        <f>IF(D126=0,"",VLOOKUP(D126,$N:$O,2,0))</f>
        <v/>
      </c>
      <c r="F126" s="592"/>
      <c r="G126" s="49"/>
      <c r="H126" s="48" t="str">
        <f>IF(G126=0,"",VLOOKUP(G126,$N:$O,2,0))</f>
        <v/>
      </c>
      <c r="I126" s="592"/>
      <c r="J126" s="293"/>
      <c r="N126" s="160">
        <f>报表格式!Z126</f>
        <v>0</v>
      </c>
      <c r="O126" s="159">
        <f>报表格式!AA126</f>
        <v>0</v>
      </c>
    </row>
    <row r="127" spans="1:15">
      <c r="A127" s="926"/>
      <c r="B127" s="928"/>
      <c r="C127" s="924"/>
      <c r="D127" s="38"/>
      <c r="E127" s="48" t="str">
        <f>IF(D127=0,"",VLOOKUP(D127,$N:$O,2,0))</f>
        <v/>
      </c>
      <c r="F127" s="592"/>
      <c r="G127" s="49"/>
      <c r="H127" s="48" t="str">
        <f>IF(G127=0,"",VLOOKUP(G127,$N:$O,2,0))</f>
        <v/>
      </c>
      <c r="I127" s="592"/>
      <c r="J127" s="293"/>
      <c r="N127" s="160">
        <f>报表格式!Z127</f>
        <v>0</v>
      </c>
      <c r="O127" s="159">
        <f>报表格式!AA127</f>
        <v>0</v>
      </c>
    </row>
    <row r="128" spans="1:15">
      <c r="A128" s="927"/>
      <c r="B128" s="928"/>
      <c r="C128" s="924"/>
      <c r="D128" s="38"/>
      <c r="E128" s="48" t="str">
        <f>IF(D128=0,"",VLOOKUP(D128,$N:$O,2,0))</f>
        <v/>
      </c>
      <c r="F128" s="592"/>
      <c r="G128" s="49"/>
      <c r="H128" s="48" t="str">
        <f>IF(G128=0,"",VLOOKUP(G128,$N:$O,2,0))</f>
        <v/>
      </c>
      <c r="I128" s="592"/>
      <c r="J128" s="293"/>
      <c r="N128" s="160">
        <f>报表格式!Z128</f>
        <v>0</v>
      </c>
      <c r="O128" s="168" t="str">
        <f>报表格式!AA128</f>
        <v>负债及所有者权益合计</v>
      </c>
    </row>
    <row r="129" spans="1:15">
      <c r="A129" s="648"/>
      <c r="B129" s="648"/>
      <c r="C129" s="649"/>
      <c r="D129" s="650"/>
      <c r="E129" s="651"/>
      <c r="F129" s="651"/>
      <c r="G129" s="650"/>
      <c r="H129" s="651"/>
      <c r="I129" s="651"/>
      <c r="J129" s="652" t="str">
        <f>IF(ABS((SUMIF(E125:E128,"?*",J125:J128)-SUMIF(H125:H128,"?*",J125:J128)))&lt;0.005,"","借贷不等")</f>
        <v/>
      </c>
      <c r="N129" s="160">
        <f>报表格式!Z129</f>
        <v>0</v>
      </c>
      <c r="O129" s="159">
        <f>报表格式!AA129</f>
        <v>0</v>
      </c>
    </row>
    <row r="130" spans="1:15">
      <c r="A130" s="925">
        <v>26</v>
      </c>
      <c r="B130" s="928"/>
      <c r="C130" s="924"/>
      <c r="D130" s="38"/>
      <c r="E130" s="48" t="str">
        <f>IF(D130=0,"",VLOOKUP(D130,$N:$O,2,0))</f>
        <v/>
      </c>
      <c r="F130" s="592"/>
      <c r="G130" s="49"/>
      <c r="H130" s="48" t="str">
        <f>IF(G130=0,"",VLOOKUP(G130,$N:$O,2,0))</f>
        <v/>
      </c>
      <c r="I130" s="592"/>
      <c r="J130" s="293"/>
      <c r="N130" s="160" t="str">
        <f>报表格式!Z130</f>
        <v>D21</v>
      </c>
      <c r="O130" s="169" t="str">
        <f>报表格式!AA130</f>
        <v>主营业务收入</v>
      </c>
    </row>
    <row r="131" spans="1:15">
      <c r="A131" s="926"/>
      <c r="B131" s="928"/>
      <c r="C131" s="924"/>
      <c r="D131" s="38"/>
      <c r="E131" s="48" t="str">
        <f>IF(D131=0,"",VLOOKUP(D131,$N:$O,2,0))</f>
        <v/>
      </c>
      <c r="F131" s="592"/>
      <c r="G131" s="49"/>
      <c r="H131" s="48" t="str">
        <f>IF(G131=0,"",VLOOKUP(G131,$N:$O,2,0))</f>
        <v/>
      </c>
      <c r="I131" s="592"/>
      <c r="J131" s="293"/>
      <c r="N131" s="160">
        <f>报表格式!Z131</f>
        <v>0</v>
      </c>
      <c r="O131" s="166">
        <f>报表格式!AA131</f>
        <v>0</v>
      </c>
    </row>
    <row r="132" spans="1:15">
      <c r="A132" s="926"/>
      <c r="B132" s="928"/>
      <c r="C132" s="924"/>
      <c r="D132" s="38"/>
      <c r="E132" s="48" t="str">
        <f>IF(D132=0,"",VLOOKUP(D132,$N:$O,2,0))</f>
        <v/>
      </c>
      <c r="F132" s="592"/>
      <c r="G132" s="49"/>
      <c r="H132" s="48" t="str">
        <f>IF(G132=0,"",VLOOKUP(G132,$N:$O,2,0))</f>
        <v/>
      </c>
      <c r="I132" s="592"/>
      <c r="J132" s="293"/>
      <c r="N132" s="160">
        <f>报表格式!Z132</f>
        <v>0</v>
      </c>
      <c r="O132" s="167">
        <f>报表格式!AA132</f>
        <v>0</v>
      </c>
    </row>
    <row r="133" spans="1:15">
      <c r="A133" s="927"/>
      <c r="B133" s="928"/>
      <c r="C133" s="924"/>
      <c r="D133" s="38"/>
      <c r="E133" s="48" t="str">
        <f>IF(D133=0,"",VLOOKUP(D133,$N:$O,2,0))</f>
        <v/>
      </c>
      <c r="F133" s="592"/>
      <c r="G133" s="49"/>
      <c r="H133" s="48" t="str">
        <f>IF(G133=0,"",VLOOKUP(G133,$N:$O,2,0))</f>
        <v/>
      </c>
      <c r="I133" s="592"/>
      <c r="J133" s="293"/>
      <c r="N133" s="160">
        <f>报表格式!Z133</f>
        <v>0</v>
      </c>
      <c r="O133" s="166">
        <f>报表格式!AA133</f>
        <v>0</v>
      </c>
    </row>
    <row r="134" spans="1:15">
      <c r="A134" s="648"/>
      <c r="B134" s="648"/>
      <c r="C134" s="649"/>
      <c r="D134" s="650"/>
      <c r="E134" s="651"/>
      <c r="F134" s="651"/>
      <c r="G134" s="650"/>
      <c r="H134" s="651"/>
      <c r="I134" s="651"/>
      <c r="J134" s="652" t="str">
        <f>IF(ABS((SUMIF(E130:E133,"?*",J130:J133)-SUMIF(H130:H133,"?*",J130:J133)))&lt;0.005,"","借贷不等")</f>
        <v/>
      </c>
      <c r="N134" s="160">
        <f>报表格式!Z134</f>
        <v>0</v>
      </c>
      <c r="O134" s="170" t="str">
        <f>报表格式!AA134</f>
        <v>二、主营业务收入净额</v>
      </c>
    </row>
    <row r="135" spans="1:15">
      <c r="A135" s="925">
        <v>27</v>
      </c>
      <c r="B135" s="928"/>
      <c r="C135" s="924"/>
      <c r="D135" s="38"/>
      <c r="E135" s="48" t="str">
        <f>IF(D135=0,"",VLOOKUP(D135,$N:$O,2,0))</f>
        <v/>
      </c>
      <c r="F135" s="592"/>
      <c r="G135" s="49"/>
      <c r="H135" s="48" t="str">
        <f>IF(G135=0,"",VLOOKUP(G135,$N:$O,2,0))</f>
        <v/>
      </c>
      <c r="I135" s="592"/>
      <c r="J135" s="293"/>
      <c r="N135" s="160" t="str">
        <f>报表格式!Z135</f>
        <v>E21</v>
      </c>
      <c r="O135" s="166" t="str">
        <f>报表格式!AA135</f>
        <v>主营业务成本</v>
      </c>
    </row>
    <row r="136" spans="1:15">
      <c r="A136" s="926"/>
      <c r="B136" s="928"/>
      <c r="C136" s="924"/>
      <c r="D136" s="38"/>
      <c r="E136" s="48" t="str">
        <f>IF(D136=0,"",VLOOKUP(D136,$N:$O,2,0))</f>
        <v/>
      </c>
      <c r="F136" s="592"/>
      <c r="G136" s="49"/>
      <c r="H136" s="48" t="str">
        <f>IF(G136=0,"",VLOOKUP(G136,$N:$O,2,0))</f>
        <v/>
      </c>
      <c r="I136" s="592"/>
      <c r="J136" s="293"/>
      <c r="N136" s="160">
        <f>报表格式!Z136</f>
        <v>0</v>
      </c>
      <c r="O136" s="166">
        <f>报表格式!AA136</f>
        <v>0</v>
      </c>
    </row>
    <row r="137" spans="1:15">
      <c r="A137" s="926"/>
      <c r="B137" s="928"/>
      <c r="C137" s="924"/>
      <c r="D137" s="38"/>
      <c r="E137" s="48" t="str">
        <f>IF(D137=0,"",VLOOKUP(D137,$N:$O,2,0))</f>
        <v/>
      </c>
      <c r="F137" s="592"/>
      <c r="G137" s="49"/>
      <c r="H137" s="48" t="str">
        <f>IF(G137=0,"",VLOOKUP(G137,$N:$O,2,0))</f>
        <v/>
      </c>
      <c r="I137" s="592"/>
      <c r="J137" s="293"/>
      <c r="N137" s="160">
        <f>报表格式!Z137</f>
        <v>0</v>
      </c>
      <c r="O137" s="166">
        <f>报表格式!AA137</f>
        <v>0</v>
      </c>
    </row>
    <row r="138" spans="1:15">
      <c r="A138" s="927"/>
      <c r="B138" s="928"/>
      <c r="C138" s="924"/>
      <c r="D138" s="38"/>
      <c r="E138" s="48" t="str">
        <f>IF(D138=0,"",VLOOKUP(D138,$N:$O,2,0))</f>
        <v/>
      </c>
      <c r="F138" s="592"/>
      <c r="G138" s="49"/>
      <c r="H138" s="48" t="str">
        <f>IF(G138=0,"",VLOOKUP(G138,$N:$O,2,0))</f>
        <v/>
      </c>
      <c r="I138" s="592"/>
      <c r="J138" s="293"/>
      <c r="N138" s="160" t="str">
        <f>报表格式!Z138</f>
        <v>I21</v>
      </c>
      <c r="O138" s="166" t="str">
        <f>报表格式!AA138</f>
        <v>主营业务税金及附加</v>
      </c>
    </row>
    <row r="139" spans="1:15">
      <c r="A139" s="648"/>
      <c r="B139" s="648"/>
      <c r="C139" s="649"/>
      <c r="D139" s="650"/>
      <c r="E139" s="651"/>
      <c r="F139" s="651"/>
      <c r="G139" s="650"/>
      <c r="H139" s="651"/>
      <c r="I139" s="651"/>
      <c r="J139" s="652" t="str">
        <f>IF(ABS((SUMIF(E135:E138,"?*",J135:J138)-SUMIF(H135:H138,"?*",J135:J138)))&lt;0.005,"","借贷不等")</f>
        <v/>
      </c>
      <c r="N139" s="160">
        <f>报表格式!Z139</f>
        <v>0</v>
      </c>
      <c r="O139" s="166" t="str">
        <f>报表格式!AA139</f>
        <v>经营费用</v>
      </c>
    </row>
    <row r="140" spans="1:15">
      <c r="A140" s="925">
        <v>28</v>
      </c>
      <c r="B140" s="928"/>
      <c r="C140" s="924"/>
      <c r="D140" s="38"/>
      <c r="E140" s="48" t="str">
        <f>IF(D140=0,"",VLOOKUP(D140,$N:$O,2,0))</f>
        <v/>
      </c>
      <c r="F140" s="592"/>
      <c r="G140" s="49"/>
      <c r="H140" s="48" t="str">
        <f>IF(G140=0,"",VLOOKUP(G140,$N:$O,2,0))</f>
        <v/>
      </c>
      <c r="I140" s="592"/>
      <c r="J140" s="293"/>
      <c r="N140" s="160">
        <f>报表格式!Z140</f>
        <v>0</v>
      </c>
      <c r="O140" s="166">
        <f>报表格式!AA140</f>
        <v>0</v>
      </c>
    </row>
    <row r="141" spans="1:15">
      <c r="A141" s="926"/>
      <c r="B141" s="928"/>
      <c r="C141" s="924"/>
      <c r="D141" s="38"/>
      <c r="E141" s="48" t="str">
        <f>IF(D141=0,"",VLOOKUP(D141,$N:$O,2,0))</f>
        <v/>
      </c>
      <c r="F141" s="592"/>
      <c r="G141" s="49"/>
      <c r="H141" s="48" t="str">
        <f>IF(G141=0,"",VLOOKUP(G141,$N:$O,2,0))</f>
        <v/>
      </c>
      <c r="I141" s="592"/>
      <c r="J141" s="293"/>
      <c r="N141" s="160">
        <f>报表格式!Z141</f>
        <v>0</v>
      </c>
      <c r="O141" s="166">
        <f>报表格式!AA141</f>
        <v>0</v>
      </c>
    </row>
    <row r="142" spans="1:15">
      <c r="A142" s="926"/>
      <c r="B142" s="928"/>
      <c r="C142" s="924"/>
      <c r="D142" s="38"/>
      <c r="E142" s="48" t="str">
        <f>IF(D142=0,"",VLOOKUP(D142,$N:$O,2,0))</f>
        <v/>
      </c>
      <c r="F142" s="592"/>
      <c r="G142" s="49"/>
      <c r="H142" s="48" t="str">
        <f>IF(G142=0,"",VLOOKUP(G142,$N:$O,2,0))</f>
        <v/>
      </c>
      <c r="I142" s="592"/>
      <c r="J142" s="293"/>
      <c r="N142" s="160">
        <f>报表格式!Z142</f>
        <v>0</v>
      </c>
      <c r="O142" s="166" t="str">
        <f>报表格式!AA142</f>
        <v>递延收益</v>
      </c>
    </row>
    <row r="143" spans="1:15">
      <c r="A143" s="927"/>
      <c r="B143" s="928"/>
      <c r="C143" s="924"/>
      <c r="D143" s="38"/>
      <c r="E143" s="48" t="str">
        <f>IF(D143=0,"",VLOOKUP(D143,$N:$O,2,0))</f>
        <v/>
      </c>
      <c r="F143" s="592"/>
      <c r="G143" s="49"/>
      <c r="H143" s="48" t="str">
        <f>IF(G143=0,"",VLOOKUP(G143,$N:$O,2,0))</f>
        <v/>
      </c>
      <c r="I143" s="592"/>
      <c r="J143" s="293"/>
      <c r="N143" s="160">
        <f>报表格式!Z143</f>
        <v>0</v>
      </c>
      <c r="O143" s="166" t="str">
        <f>报表格式!AA143</f>
        <v>代购代销收入</v>
      </c>
    </row>
    <row r="144" spans="1:15">
      <c r="A144" s="648"/>
      <c r="B144" s="648"/>
      <c r="C144" s="649"/>
      <c r="D144" s="650"/>
      <c r="E144" s="651"/>
      <c r="F144" s="651"/>
      <c r="G144" s="650"/>
      <c r="H144" s="651"/>
      <c r="I144" s="651"/>
      <c r="J144" s="652" t="str">
        <f>IF(ABS((SUMIF(E140:E143,"?*",J140:J143)-SUMIF(H140:H143,"?*",J140:J143)))&lt;0.005,"","借贷不等")</f>
        <v/>
      </c>
      <c r="N144" s="160">
        <f>报表格式!Z144</f>
        <v>0</v>
      </c>
      <c r="O144" s="166">
        <f>报表格式!AA144</f>
        <v>0</v>
      </c>
    </row>
    <row r="145" spans="1:15">
      <c r="A145" s="925">
        <v>29</v>
      </c>
      <c r="B145" s="928"/>
      <c r="C145" s="924"/>
      <c r="D145" s="38"/>
      <c r="E145" s="48" t="str">
        <f>IF(D145=0,"",VLOOKUP(D145,$N:$O,2,0))</f>
        <v/>
      </c>
      <c r="F145" s="592"/>
      <c r="G145" s="49"/>
      <c r="H145" s="48" t="str">
        <f>IF(G145=0,"",VLOOKUP(G145,$N:$O,2,0))</f>
        <v/>
      </c>
      <c r="I145" s="592"/>
      <c r="J145" s="293"/>
      <c r="N145" s="160">
        <f>报表格式!Z145</f>
        <v>0</v>
      </c>
      <c r="O145" s="170" t="str">
        <f>报表格式!AA145</f>
        <v>三、主营业务利润</v>
      </c>
    </row>
    <row r="146" spans="1:15">
      <c r="A146" s="926"/>
      <c r="B146" s="928"/>
      <c r="C146" s="924"/>
      <c r="D146" s="38"/>
      <c r="E146" s="48" t="str">
        <f>IF(D146=0,"",VLOOKUP(D146,$N:$O,2,0))</f>
        <v/>
      </c>
      <c r="F146" s="592"/>
      <c r="G146" s="49"/>
      <c r="H146" s="48" t="str">
        <f>IF(G146=0,"",VLOOKUP(G146,$N:$O,2,0))</f>
        <v/>
      </c>
      <c r="I146" s="592"/>
      <c r="J146" s="293"/>
      <c r="N146" s="160" t="str">
        <f>报表格式!Z146</f>
        <v>D22</v>
      </c>
      <c r="O146" s="166" t="str">
        <f>报表格式!AA146</f>
        <v>其他业务利润</v>
      </c>
    </row>
    <row r="147" spans="1:15">
      <c r="A147" s="926"/>
      <c r="B147" s="928"/>
      <c r="C147" s="924"/>
      <c r="D147" s="38"/>
      <c r="E147" s="48" t="str">
        <f>IF(D147=0,"",VLOOKUP(D147,$N:$O,2,0))</f>
        <v/>
      </c>
      <c r="F147" s="592"/>
      <c r="G147" s="49"/>
      <c r="H147" s="48" t="str">
        <f>IF(G147=0,"",VLOOKUP(G147,$N:$O,2,0))</f>
        <v/>
      </c>
      <c r="I147" s="592"/>
      <c r="J147" s="293"/>
      <c r="N147" s="160" t="str">
        <f>报表格式!Z147</f>
        <v>I23</v>
      </c>
      <c r="O147" s="166" t="str">
        <f>报表格式!AA147</f>
        <v>营业费用</v>
      </c>
    </row>
    <row r="148" spans="1:15">
      <c r="A148" s="927"/>
      <c r="B148" s="928"/>
      <c r="C148" s="924"/>
      <c r="D148" s="38"/>
      <c r="E148" s="48" t="str">
        <f>IF(D148=0,"",VLOOKUP(D148,$N:$O,2,0))</f>
        <v/>
      </c>
      <c r="F148" s="592"/>
      <c r="G148" s="49"/>
      <c r="H148" s="48" t="str">
        <f>IF(G148=0,"",VLOOKUP(G148,$N:$O,2,0))</f>
        <v/>
      </c>
      <c r="I148" s="592"/>
      <c r="J148" s="293"/>
      <c r="N148" s="160" t="str">
        <f>报表格式!Z148</f>
        <v>I24</v>
      </c>
      <c r="O148" s="166" t="str">
        <f>报表格式!AA148</f>
        <v>管理费用</v>
      </c>
    </row>
    <row r="149" spans="1:15">
      <c r="A149" s="648"/>
      <c r="B149" s="648"/>
      <c r="C149" s="649"/>
      <c r="D149" s="650"/>
      <c r="E149" s="651"/>
      <c r="F149" s="651"/>
      <c r="G149" s="650"/>
      <c r="H149" s="651"/>
      <c r="I149" s="651"/>
      <c r="J149" s="652" t="str">
        <f>IF(ABS((SUMIF(E145:E148,"?*",J145:J148)-SUMIF(H145:H148,"?*",J145:J148)))&lt;0.005,"","借贷不等")</f>
        <v/>
      </c>
      <c r="N149" s="160">
        <f>报表格式!Z149</f>
        <v>0</v>
      </c>
      <c r="O149" s="166">
        <f>报表格式!AA149</f>
        <v>0</v>
      </c>
    </row>
    <row r="150" spans="1:15">
      <c r="A150" s="925">
        <v>30</v>
      </c>
      <c r="B150" s="928"/>
      <c r="C150" s="924"/>
      <c r="D150" s="38"/>
      <c r="E150" s="48" t="str">
        <f>IF(D150=0,"",VLOOKUP(D150,$N:$O,2,0))</f>
        <v/>
      </c>
      <c r="F150" s="592"/>
      <c r="G150" s="49"/>
      <c r="H150" s="48" t="str">
        <f>IF(G150=0,"",VLOOKUP(G150,$N:$O,2,0))</f>
        <v/>
      </c>
      <c r="I150" s="592"/>
      <c r="J150" s="293"/>
      <c r="N150" s="160" t="str">
        <f>报表格式!Z150</f>
        <v>F22</v>
      </c>
      <c r="O150" s="166" t="str">
        <f>报表格式!AA150</f>
        <v>财务费用</v>
      </c>
    </row>
    <row r="151" spans="1:15">
      <c r="A151" s="926"/>
      <c r="B151" s="928"/>
      <c r="C151" s="924"/>
      <c r="D151" s="38"/>
      <c r="E151" s="48" t="str">
        <f>IF(D151=0,"",VLOOKUP(D151,$N:$O,2,0))</f>
        <v/>
      </c>
      <c r="F151" s="592"/>
      <c r="G151" s="49"/>
      <c r="H151" s="48" t="str">
        <f>IF(G151=0,"",VLOOKUP(G151,$N:$O,2,0))</f>
        <v/>
      </c>
      <c r="I151" s="592"/>
      <c r="J151" s="293"/>
      <c r="N151" s="160">
        <f>报表格式!Z151</f>
        <v>0</v>
      </c>
      <c r="O151" s="166">
        <f>报表格式!AA151</f>
        <v>0</v>
      </c>
    </row>
    <row r="152" spans="1:15">
      <c r="A152" s="926"/>
      <c r="B152" s="928"/>
      <c r="C152" s="924"/>
      <c r="D152" s="38"/>
      <c r="E152" s="48" t="str">
        <f>IF(D152=0,"",VLOOKUP(D152,$N:$O,2,0))</f>
        <v/>
      </c>
      <c r="F152" s="592"/>
      <c r="G152" s="49"/>
      <c r="H152" s="48" t="str">
        <f>IF(G152=0,"",VLOOKUP(G152,$N:$O,2,0))</f>
        <v/>
      </c>
      <c r="I152" s="592"/>
      <c r="J152" s="293"/>
      <c r="N152" s="160">
        <f>报表格式!Z152</f>
        <v>0</v>
      </c>
      <c r="O152" s="167">
        <f>报表格式!AA152</f>
        <v>0</v>
      </c>
    </row>
    <row r="153" spans="1:15">
      <c r="A153" s="927"/>
      <c r="B153" s="928"/>
      <c r="C153" s="924"/>
      <c r="D153" s="38"/>
      <c r="E153" s="48" t="str">
        <f>IF(D153=0,"",VLOOKUP(D153,$N:$O,2,0))</f>
        <v/>
      </c>
      <c r="F153" s="592"/>
      <c r="G153" s="49"/>
      <c r="H153" s="48" t="str">
        <f>IF(G153=0,"",VLOOKUP(G153,$N:$O,2,0))</f>
        <v/>
      </c>
      <c r="I153" s="592"/>
      <c r="J153" s="293"/>
      <c r="N153" s="160">
        <f>报表格式!Z153</f>
        <v>0</v>
      </c>
      <c r="O153" s="167">
        <f>报表格式!AA153</f>
        <v>0</v>
      </c>
    </row>
    <row r="154" spans="1:15">
      <c r="A154" s="648"/>
      <c r="B154" s="648"/>
      <c r="C154" s="649"/>
      <c r="D154" s="650"/>
      <c r="E154" s="651"/>
      <c r="F154" s="651"/>
      <c r="G154" s="650"/>
      <c r="H154" s="651"/>
      <c r="I154" s="651"/>
      <c r="J154" s="652" t="str">
        <f>IF(ABS((SUMIF(E150:E153,"?*",J150:J153)-SUMIF(H150:H153,"?*",J150:J153)))&lt;0.005,"","借贷不等")</f>
        <v/>
      </c>
      <c r="N154" s="160">
        <f>报表格式!Z154</f>
        <v>0</v>
      </c>
      <c r="O154" s="166">
        <f>报表格式!AA154</f>
        <v>0</v>
      </c>
    </row>
    <row r="155" spans="1:15">
      <c r="A155" s="925">
        <v>31</v>
      </c>
      <c r="B155" s="928"/>
      <c r="C155" s="924"/>
      <c r="D155" s="38"/>
      <c r="E155" s="48" t="str">
        <f>IF(D155=0,"",VLOOKUP(D155,$N:$O,2,0))</f>
        <v/>
      </c>
      <c r="F155" s="592"/>
      <c r="G155" s="49"/>
      <c r="H155" s="48" t="str">
        <f>IF(G155=0,"",VLOOKUP(G155,$N:$O,2,0))</f>
        <v/>
      </c>
      <c r="I155" s="592"/>
      <c r="J155" s="293"/>
      <c r="N155" s="160">
        <f>报表格式!Z155</f>
        <v>0</v>
      </c>
      <c r="O155" s="166">
        <f>报表格式!AA155</f>
        <v>0</v>
      </c>
    </row>
    <row r="156" spans="1:15">
      <c r="A156" s="926"/>
      <c r="B156" s="928"/>
      <c r="C156" s="924"/>
      <c r="D156" s="38"/>
      <c r="E156" s="48" t="str">
        <f>IF(D156=0,"",VLOOKUP(D156,$N:$O,2,0))</f>
        <v/>
      </c>
      <c r="F156" s="592"/>
      <c r="G156" s="49"/>
      <c r="H156" s="48" t="str">
        <f>IF(G156=0,"",VLOOKUP(G156,$N:$O,2,0))</f>
        <v/>
      </c>
      <c r="I156" s="592"/>
      <c r="J156" s="293"/>
      <c r="N156" s="160">
        <f>报表格式!Z156</f>
        <v>0</v>
      </c>
      <c r="O156" s="170" t="str">
        <f>报表格式!AA156</f>
        <v>四、营业利润</v>
      </c>
    </row>
    <row r="157" spans="1:15">
      <c r="A157" s="926"/>
      <c r="B157" s="928"/>
      <c r="C157" s="924"/>
      <c r="D157" s="38"/>
      <c r="E157" s="48" t="str">
        <f>IF(D157=0,"",VLOOKUP(D157,$N:$O,2,0))</f>
        <v/>
      </c>
      <c r="F157" s="592"/>
      <c r="G157" s="49"/>
      <c r="H157" s="48" t="str">
        <f>IF(G157=0,"",VLOOKUP(G157,$N:$O,2,0))</f>
        <v/>
      </c>
      <c r="I157" s="592"/>
      <c r="J157" s="293"/>
      <c r="N157" s="160" t="str">
        <f>报表格式!Z157</f>
        <v>F21</v>
      </c>
      <c r="O157" s="166" t="str">
        <f>报表格式!AA157</f>
        <v>投资收益</v>
      </c>
    </row>
    <row r="158" spans="1:15">
      <c r="A158" s="927"/>
      <c r="B158" s="928"/>
      <c r="C158" s="924"/>
      <c r="D158" s="38"/>
      <c r="E158" s="48" t="str">
        <f>IF(D158=0,"",VLOOKUP(D158,$N:$O,2,0))</f>
        <v/>
      </c>
      <c r="F158" s="592"/>
      <c r="G158" s="49"/>
      <c r="H158" s="48" t="str">
        <f>IF(G158=0,"",VLOOKUP(G158,$N:$O,2,0))</f>
        <v/>
      </c>
      <c r="I158" s="592"/>
      <c r="J158" s="293"/>
      <c r="N158" s="160">
        <f>报表格式!Z158</f>
        <v>0</v>
      </c>
      <c r="O158" s="166" t="str">
        <f>报表格式!AA158</f>
        <v>期货收益</v>
      </c>
    </row>
    <row r="159" spans="1:15">
      <c r="A159" s="648"/>
      <c r="B159" s="648"/>
      <c r="C159" s="649"/>
      <c r="D159" s="650"/>
      <c r="E159" s="651"/>
      <c r="F159" s="651"/>
      <c r="G159" s="650"/>
      <c r="H159" s="651"/>
      <c r="I159" s="651"/>
      <c r="J159" s="652" t="str">
        <f>IF(ABS((SUMIF(E155:E158,"?*",J155:J158)-SUMIF(H155:H158,"?*",J155:J158)))&lt;0.005,"","借贷不等")</f>
        <v/>
      </c>
      <c r="N159" s="160">
        <f>报表格式!Z159</f>
        <v>0</v>
      </c>
      <c r="O159" s="166">
        <f>报表格式!AA159</f>
        <v>0</v>
      </c>
    </row>
    <row r="160" spans="1:15">
      <c r="A160" s="925">
        <v>32</v>
      </c>
      <c r="B160" s="928"/>
      <c r="C160" s="924"/>
      <c r="D160" s="38"/>
      <c r="E160" s="48" t="str">
        <f>IF(D160=0,"",VLOOKUP(D160,$N:$O,2,0))</f>
        <v/>
      </c>
      <c r="F160" s="592"/>
      <c r="G160" s="49"/>
      <c r="H160" s="48" t="str">
        <f>IF(G160=0,"",VLOOKUP(G160,$N:$O,2,0))</f>
        <v/>
      </c>
      <c r="I160" s="592"/>
      <c r="J160" s="293"/>
      <c r="N160" s="160" t="str">
        <f>报表格式!Z160</f>
        <v>I22</v>
      </c>
      <c r="O160" s="166" t="str">
        <f>报表格式!AA160</f>
        <v>补贴收入</v>
      </c>
    </row>
    <row r="161" spans="1:15">
      <c r="A161" s="926"/>
      <c r="B161" s="928"/>
      <c r="C161" s="924"/>
      <c r="D161" s="38"/>
      <c r="E161" s="48" t="str">
        <f>IF(D161=0,"",VLOOKUP(D161,$N:$O,2,0))</f>
        <v/>
      </c>
      <c r="F161" s="592"/>
      <c r="G161" s="49"/>
      <c r="H161" s="48" t="str">
        <f>IF(G161=0,"",VLOOKUP(G161,$N:$O,2,0))</f>
        <v/>
      </c>
      <c r="I161" s="592"/>
      <c r="J161" s="293"/>
      <c r="N161" s="160">
        <f>报表格式!Z161</f>
        <v>0</v>
      </c>
      <c r="O161" s="166">
        <f>报表格式!AA161</f>
        <v>0</v>
      </c>
    </row>
    <row r="162" spans="1:15">
      <c r="A162" s="926"/>
      <c r="B162" s="928"/>
      <c r="C162" s="924"/>
      <c r="D162" s="38"/>
      <c r="E162" s="48" t="str">
        <f>IF(D162=0,"",VLOOKUP(D162,$N:$O,2,0))</f>
        <v/>
      </c>
      <c r="F162" s="592"/>
      <c r="G162" s="49"/>
      <c r="H162" s="48" t="str">
        <f>IF(G162=0,"",VLOOKUP(G162,$N:$O,2,0))</f>
        <v/>
      </c>
      <c r="I162" s="592"/>
      <c r="J162" s="293"/>
      <c r="N162" s="160">
        <f>报表格式!Z162</f>
        <v>0</v>
      </c>
      <c r="O162" s="166">
        <f>报表格式!AA162</f>
        <v>0</v>
      </c>
    </row>
    <row r="163" spans="1:15">
      <c r="A163" s="927"/>
      <c r="B163" s="928"/>
      <c r="C163" s="924"/>
      <c r="D163" s="38"/>
      <c r="E163" s="48" t="str">
        <f>IF(D163=0,"",VLOOKUP(D163,$N:$O,2,0))</f>
        <v/>
      </c>
      <c r="F163" s="592"/>
      <c r="G163" s="49"/>
      <c r="H163" s="48" t="str">
        <f>IF(G163=0,"",VLOOKUP(G163,$N:$O,2,0))</f>
        <v/>
      </c>
      <c r="I163" s="592"/>
      <c r="J163" s="293"/>
      <c r="N163" s="160" t="str">
        <f>报表格式!Z163</f>
        <v>I25</v>
      </c>
      <c r="O163" s="166" t="str">
        <f>报表格式!AA163</f>
        <v>营业外收入</v>
      </c>
    </row>
    <row r="164" spans="1:15">
      <c r="A164" s="648"/>
      <c r="B164" s="648"/>
      <c r="C164" s="649"/>
      <c r="D164" s="650"/>
      <c r="E164" s="651"/>
      <c r="F164" s="651"/>
      <c r="G164" s="650"/>
      <c r="H164" s="651"/>
      <c r="I164" s="651"/>
      <c r="J164" s="652" t="str">
        <f>IF(ABS((SUMIF(E160:E163,"?*",J160:J163)-SUMIF(H160:H163,"?*",J160:J163)))&lt;0.005,"","借贷不等")</f>
        <v/>
      </c>
      <c r="N164" s="160">
        <f>报表格式!Z164</f>
        <v>0</v>
      </c>
      <c r="O164" s="166">
        <f>报表格式!AA164</f>
        <v>0</v>
      </c>
    </row>
    <row r="165" spans="1:15">
      <c r="N165" s="160">
        <f>报表格式!Z165</f>
        <v>0</v>
      </c>
      <c r="O165" s="167">
        <f>报表格式!AA165</f>
        <v>0</v>
      </c>
    </row>
    <row r="166" spans="1:15">
      <c r="N166" s="160">
        <f>报表格式!Z166</f>
        <v>0</v>
      </c>
      <c r="O166" s="167">
        <f>报表格式!AA166</f>
        <v>0</v>
      </c>
    </row>
    <row r="167" spans="1:15">
      <c r="N167" s="160">
        <f>报表格式!Z167</f>
        <v>0</v>
      </c>
      <c r="O167" s="167">
        <f>报表格式!AA167</f>
        <v>0</v>
      </c>
    </row>
    <row r="168" spans="1:15">
      <c r="N168" s="160">
        <f>报表格式!Z168</f>
        <v>0</v>
      </c>
      <c r="O168" s="166">
        <f>报表格式!AA168</f>
        <v>0</v>
      </c>
    </row>
    <row r="169" spans="1:15">
      <c r="N169" s="160">
        <f>报表格式!Z169</f>
        <v>0</v>
      </c>
      <c r="O169" s="166">
        <f>报表格式!AA169</f>
        <v>0</v>
      </c>
    </row>
    <row r="170" spans="1:15">
      <c r="N170" s="160">
        <f>报表格式!Z170</f>
        <v>0</v>
      </c>
      <c r="O170" s="166">
        <f>报表格式!AA170</f>
        <v>0</v>
      </c>
    </row>
    <row r="171" spans="1:15">
      <c r="N171" s="160">
        <f>报表格式!Z171</f>
        <v>0</v>
      </c>
      <c r="O171" s="159">
        <f>报表格式!AA171</f>
        <v>0</v>
      </c>
    </row>
    <row r="172" spans="1:15">
      <c r="N172" s="160" t="str">
        <f>报表格式!Z172</f>
        <v>I26</v>
      </c>
      <c r="O172" s="166" t="str">
        <f>报表格式!AA172</f>
        <v>营业外支出</v>
      </c>
    </row>
    <row r="173" spans="1:15">
      <c r="N173" s="160">
        <f>报表格式!Z173</f>
        <v>0</v>
      </c>
      <c r="O173" s="159">
        <f>报表格式!AA173</f>
        <v>0</v>
      </c>
    </row>
    <row r="174" spans="1:15">
      <c r="N174" s="160">
        <f>报表格式!Z174</f>
        <v>0</v>
      </c>
      <c r="O174" s="167">
        <f>报表格式!AA174</f>
        <v>0</v>
      </c>
    </row>
    <row r="175" spans="1:15">
      <c r="N175" s="160">
        <f>报表格式!Z175</f>
        <v>0</v>
      </c>
      <c r="O175" s="167">
        <f>报表格式!AA175</f>
        <v>0</v>
      </c>
    </row>
    <row r="176" spans="1:15">
      <c r="N176" s="160">
        <f>报表格式!Z176</f>
        <v>0</v>
      </c>
      <c r="O176" s="167">
        <f>报表格式!AA176</f>
        <v>0</v>
      </c>
    </row>
    <row r="177" spans="14:15">
      <c r="N177" s="160">
        <f>报表格式!Z177</f>
        <v>0</v>
      </c>
      <c r="O177" s="159">
        <f>报表格式!AA177</f>
        <v>0</v>
      </c>
    </row>
    <row r="178" spans="14:15">
      <c r="N178" s="160">
        <f>报表格式!Z178</f>
        <v>0</v>
      </c>
      <c r="O178" s="166">
        <f>报表格式!AA178</f>
        <v>0</v>
      </c>
    </row>
    <row r="179" spans="14:15">
      <c r="N179" s="160">
        <f>报表格式!Z179</f>
        <v>0</v>
      </c>
      <c r="O179" s="166">
        <f>报表格式!AA179</f>
        <v>0</v>
      </c>
    </row>
    <row r="180" spans="14:15">
      <c r="N180" s="160">
        <f>报表格式!Z180</f>
        <v>0</v>
      </c>
      <c r="O180" s="159">
        <f>报表格式!AA180</f>
        <v>0</v>
      </c>
    </row>
    <row r="181" spans="14:15">
      <c r="N181" s="160">
        <f>报表格式!Z181</f>
        <v>0</v>
      </c>
      <c r="O181" s="166">
        <f>报表格式!AA181</f>
        <v>0</v>
      </c>
    </row>
    <row r="182" spans="14:15">
      <c r="N182" s="160">
        <f>报表格式!Z182</f>
        <v>0</v>
      </c>
      <c r="O182" s="170" t="str">
        <f>报表格式!AA182</f>
        <v>五、利润总额</v>
      </c>
    </row>
    <row r="183" spans="14:15">
      <c r="N183" s="160" t="str">
        <f>报表格式!Z183</f>
        <v>I28</v>
      </c>
      <c r="O183" s="166" t="str">
        <f>报表格式!AA183</f>
        <v>所得税</v>
      </c>
    </row>
    <row r="184" spans="14:15">
      <c r="N184" s="160">
        <f>报表格式!Z184</f>
        <v>0</v>
      </c>
      <c r="O184" s="166" t="str">
        <f>报表格式!AA184</f>
        <v>少数股东损益</v>
      </c>
    </row>
    <row r="185" spans="14:15">
      <c r="N185" s="160">
        <f>报表格式!Z185</f>
        <v>0</v>
      </c>
      <c r="O185" s="166" t="str">
        <f>报表格式!AA185</f>
        <v>未确认的投资损失</v>
      </c>
    </row>
    <row r="186" spans="14:15">
      <c r="N186" s="160">
        <f>报表格式!Z186</f>
        <v>0</v>
      </c>
      <c r="O186" s="170" t="str">
        <f>报表格式!AA186</f>
        <v>六、净利润</v>
      </c>
    </row>
    <row r="187" spans="14:15">
      <c r="N187" s="160">
        <f>报表格式!Z187</f>
        <v>0</v>
      </c>
      <c r="O187" s="166" t="str">
        <f>报表格式!AA187</f>
        <v>年初未分配利润</v>
      </c>
    </row>
    <row r="188" spans="14:15">
      <c r="N188" s="160">
        <f>报表格式!Z188</f>
        <v>0</v>
      </c>
      <c r="O188" s="166" t="str">
        <f>报表格式!AA188</f>
        <v>盈余公积补亏</v>
      </c>
    </row>
    <row r="189" spans="14:15">
      <c r="N189" s="160">
        <f>报表格式!Z189</f>
        <v>0</v>
      </c>
      <c r="O189" s="166" t="str">
        <f>报表格式!AA189</f>
        <v>其他调整因素</v>
      </c>
    </row>
    <row r="190" spans="14:15">
      <c r="N190" s="160">
        <f>报表格式!Z190</f>
        <v>0</v>
      </c>
      <c r="O190" s="170" t="str">
        <f>报表格式!AA190</f>
        <v>七、可供分配的利润</v>
      </c>
    </row>
    <row r="191" spans="14:15">
      <c r="N191" s="160">
        <f>报表格式!Z191</f>
        <v>0</v>
      </c>
      <c r="O191" s="166" t="str">
        <f>报表格式!AA191</f>
        <v>提取法定盈余公积</v>
      </c>
    </row>
    <row r="192" spans="14:15">
      <c r="N192" s="160">
        <f>报表格式!Z192</f>
        <v>0</v>
      </c>
      <c r="O192" s="166" t="str">
        <f>报表格式!AA192</f>
        <v>提取法定公益金</v>
      </c>
    </row>
    <row r="193" spans="14:15">
      <c r="N193" s="160">
        <f>报表格式!Z193</f>
        <v>0</v>
      </c>
      <c r="O193" s="166" t="str">
        <f>报表格式!AA193</f>
        <v>提取职工奖励及福利基金</v>
      </c>
    </row>
    <row r="194" spans="14:15">
      <c r="N194" s="160">
        <f>报表格式!Z194</f>
        <v>0</v>
      </c>
      <c r="O194" s="166" t="str">
        <f>报表格式!AA194</f>
        <v>提取储备基金</v>
      </c>
    </row>
    <row r="195" spans="14:15">
      <c r="N195" s="160">
        <f>报表格式!Z195</f>
        <v>0</v>
      </c>
      <c r="O195" s="166" t="str">
        <f>报表格式!AA195</f>
        <v>提取企业发展基金</v>
      </c>
    </row>
    <row r="196" spans="14:15">
      <c r="N196" s="160">
        <f>报表格式!Z196</f>
        <v>0</v>
      </c>
      <c r="O196" s="166" t="str">
        <f>报表格式!AA196</f>
        <v>利润归还投资</v>
      </c>
    </row>
    <row r="197" spans="14:15">
      <c r="N197" s="160">
        <f>报表格式!Z197</f>
        <v>0</v>
      </c>
      <c r="O197" s="166" t="str">
        <f>报表格式!AA197</f>
        <v>补充流动资本</v>
      </c>
    </row>
    <row r="198" spans="14:15">
      <c r="N198" s="160">
        <f>报表格式!Z198</f>
        <v>0</v>
      </c>
      <c r="O198" s="166" t="str">
        <f>报表格式!AA198</f>
        <v>单项留用的利润</v>
      </c>
    </row>
    <row r="199" spans="14:15">
      <c r="N199" s="160">
        <f>报表格式!Z199</f>
        <v>0</v>
      </c>
      <c r="O199" s="166">
        <f>报表格式!AA199</f>
        <v>0</v>
      </c>
    </row>
    <row r="200" spans="14:15">
      <c r="N200" s="160">
        <f>报表格式!Z200</f>
        <v>0</v>
      </c>
      <c r="O200" s="170" t="str">
        <f>报表格式!AA200</f>
        <v>八、可供投资者分配的利润</v>
      </c>
    </row>
    <row r="201" spans="14:15">
      <c r="N201" s="160">
        <f>报表格式!Z201</f>
        <v>0</v>
      </c>
      <c r="O201" s="166" t="str">
        <f>报表格式!AA201</f>
        <v>应付优先股股利</v>
      </c>
    </row>
    <row r="202" spans="14:15">
      <c r="N202" s="160">
        <f>报表格式!Z202</f>
        <v>0</v>
      </c>
      <c r="O202" s="166" t="str">
        <f>报表格式!AA202</f>
        <v>提取任意盈余公积</v>
      </c>
    </row>
    <row r="203" spans="14:15">
      <c r="N203" s="160">
        <f>报表格式!Z203</f>
        <v>0</v>
      </c>
      <c r="O203" s="166" t="str">
        <f>报表格式!AA203</f>
        <v>应付普通股股利（应付利润）</v>
      </c>
    </row>
    <row r="204" spans="14:15">
      <c r="N204" s="160">
        <f>报表格式!Z204</f>
        <v>0</v>
      </c>
      <c r="O204" s="166" t="str">
        <f>报表格式!AA204</f>
        <v>转作资本（股本）的普通股股利</v>
      </c>
    </row>
    <row r="205" spans="14:15">
      <c r="N205" s="160">
        <f>报表格式!Z205</f>
        <v>0</v>
      </c>
      <c r="O205" s="166">
        <f>报表格式!AA205</f>
        <v>0</v>
      </c>
    </row>
    <row r="206" spans="14:15">
      <c r="N206" s="160">
        <f>报表格式!Z206</f>
        <v>0</v>
      </c>
      <c r="O206" s="169" t="str">
        <f>报表格式!AA206</f>
        <v>九、未分配利润</v>
      </c>
    </row>
    <row r="207" spans="14:15">
      <c r="N207" s="160">
        <f>报表格式!Z207</f>
        <v>0</v>
      </c>
      <c r="O207" s="166">
        <f>报表格式!AA207</f>
        <v>0</v>
      </c>
    </row>
  </sheetData>
  <sheetCalcPr fullCalcOnLoad="1"/>
  <sheetProtection sheet="1" objects="1" scenarios="1" formatCells="0" formatColumns="0" formatRows="0" insertRows="0" autoFilter="0" pivotTables="0"/>
  <mergeCells count="96">
    <mergeCell ref="A95:A98"/>
    <mergeCell ref="A100:A103"/>
    <mergeCell ref="A105:A108"/>
    <mergeCell ref="C145:C148"/>
    <mergeCell ref="C105:C108"/>
    <mergeCell ref="C110:C113"/>
    <mergeCell ref="C115:C118"/>
    <mergeCell ref="C120:C123"/>
    <mergeCell ref="B140:B143"/>
    <mergeCell ref="B145:B148"/>
    <mergeCell ref="C95:C98"/>
    <mergeCell ref="C100:C103"/>
    <mergeCell ref="C150:C153"/>
    <mergeCell ref="C155:C158"/>
    <mergeCell ref="C160:C163"/>
    <mergeCell ref="C125:C128"/>
    <mergeCell ref="C130:C133"/>
    <mergeCell ref="C135:C138"/>
    <mergeCell ref="C140:C143"/>
    <mergeCell ref="C65:C68"/>
    <mergeCell ref="C70:C73"/>
    <mergeCell ref="C75:C78"/>
    <mergeCell ref="C80:C83"/>
    <mergeCell ref="C85:C88"/>
    <mergeCell ref="C90:C93"/>
    <mergeCell ref="C50:C53"/>
    <mergeCell ref="C55:C58"/>
    <mergeCell ref="A60:A63"/>
    <mergeCell ref="C60:C63"/>
    <mergeCell ref="B45:B48"/>
    <mergeCell ref="B50:B53"/>
    <mergeCell ref="B55:B58"/>
    <mergeCell ref="B60:B63"/>
    <mergeCell ref="A55:A58"/>
    <mergeCell ref="B30:B33"/>
    <mergeCell ref="C35:C38"/>
    <mergeCell ref="C40:C43"/>
    <mergeCell ref="B35:B38"/>
    <mergeCell ref="B40:B43"/>
    <mergeCell ref="C45:C48"/>
    <mergeCell ref="B160:B163"/>
    <mergeCell ref="C5:C8"/>
    <mergeCell ref="C10:C13"/>
    <mergeCell ref="B5:B8"/>
    <mergeCell ref="B10:B13"/>
    <mergeCell ref="B20:B23"/>
    <mergeCell ref="C20:C23"/>
    <mergeCell ref="C25:C28"/>
    <mergeCell ref="C30:C33"/>
    <mergeCell ref="B25:B28"/>
    <mergeCell ref="B150:B153"/>
    <mergeCell ref="B155:B158"/>
    <mergeCell ref="B120:B123"/>
    <mergeCell ref="B125:B128"/>
    <mergeCell ref="B130:B133"/>
    <mergeCell ref="B135:B138"/>
    <mergeCell ref="A155:A158"/>
    <mergeCell ref="A160:A163"/>
    <mergeCell ref="B65:B68"/>
    <mergeCell ref="B70:B73"/>
    <mergeCell ref="B75:B78"/>
    <mergeCell ref="B80:B83"/>
    <mergeCell ref="B85:B88"/>
    <mergeCell ref="B90:B93"/>
    <mergeCell ref="B95:B98"/>
    <mergeCell ref="B100:B103"/>
    <mergeCell ref="A5:A8"/>
    <mergeCell ref="A10:A13"/>
    <mergeCell ref="A140:A143"/>
    <mergeCell ref="A145:A148"/>
    <mergeCell ref="A35:A38"/>
    <mergeCell ref="A30:A33"/>
    <mergeCell ref="A40:A43"/>
    <mergeCell ref="A70:A73"/>
    <mergeCell ref="A85:A88"/>
    <mergeCell ref="A90:A93"/>
    <mergeCell ref="A150:A153"/>
    <mergeCell ref="B15:B18"/>
    <mergeCell ref="A75:A78"/>
    <mergeCell ref="A20:A23"/>
    <mergeCell ref="A110:A113"/>
    <mergeCell ref="A135:A138"/>
    <mergeCell ref="A115:A118"/>
    <mergeCell ref="A120:A123"/>
    <mergeCell ref="B110:B113"/>
    <mergeCell ref="B115:B118"/>
    <mergeCell ref="C15:C18"/>
    <mergeCell ref="A125:A128"/>
    <mergeCell ref="A130:A133"/>
    <mergeCell ref="A80:A83"/>
    <mergeCell ref="A15:A18"/>
    <mergeCell ref="A25:A28"/>
    <mergeCell ref="A45:A48"/>
    <mergeCell ref="A50:A53"/>
    <mergeCell ref="A65:A68"/>
    <mergeCell ref="B105:B108"/>
  </mergeCells>
  <phoneticPr fontId="59" type="noConversion"/>
  <conditionalFormatting sqref="A1">
    <cfRule type="cellIs" dxfId="45"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164"/>
    <dataValidation type="list" allowBlank="1" showDropDown="1" showInputMessage="1" showErrorMessage="1" errorTitle="警告" error="   您输入的科目不是报表标准科目_x000a__x000a_请对应“调整事项转换表”核对科目名称" sqref="E14 E9 H9 H14 E19 H19 E24 H24 E29 H29 E34 H34 E39 H39 E44 H44 E49 H49 E54 H54 E59 H59 E64 H64 E69 H69 E74 H74 E79 H79 E84 H84 E89 H89 E94 H94 E99 H99 E104 H104 E109 H109 E114 H114 E119 H119 E124 H124 E129 H129 E134 H134 E139 H139 E144 H144 E149 H149 E154 H154 E159 H159 E164 H164">
      <formula1>$O$6:$O$108</formula1>
    </dataValidation>
    <dataValidation type="list" allowBlank="1" showDropDown="1" showInputMessage="1" showErrorMessage="1" errorTitle="警告" error="   您输入的科目不是报表标准科目_x000a__x000a_请对应“调整事项转换表”核对科目名称" sqref="H10:H13 H15:H18 H20:H23 H25:H28 H30:H33 H35:H38 H40:H43 H45:H48 H50:H53 H55:H58 H60:H63 H65:H68 H70:H73 H75:H78 H80:H83 H85:H88 H90:H93 H95:H98 H100:H103 H105:H108 H110:H113 H115:H118 H120:H123 H125:H128 H130:H133 H135:H138 H140:H143 H145:H148 H150:H153 H155:H158 H160:H163">
      <formula1>$O:$O</formula1>
    </dataValidation>
    <dataValidation type="list" allowBlank="1" showDropDown="1" showInputMessage="1" showErrorMessage="1" errorTitle="警告" error="   您输入的科目不是报表标准科目_x000a__x000a_请对应“报表项目”核对科目名称" sqref="E10:E13 E6:E8 H6:H8 E15:E18 E20:E23 E25:E28 E30:E33 E35:E38 E40:E43 E45:E48 E50:E53 E55:E58 E60:E63 E65:E68 E70:E73 E75:E78 E80:E83 E85:E88 E90:E93 E95:E98 E100:E103 E105:E108 E110:E113 E115:E118 E120:E123 E125:E128 E130:E133 E135:E138 E140:E143 E145:E148 E150:E153 E155:E158 E160:E163">
      <formula1>$O:$O</formula1>
    </dataValidation>
    <dataValidation type="list" allowBlank="1" showDropDown="1" showInputMessage="1" showErrorMessage="1" prompt="可直接输入科目名称；也可以在“code”列输入代码" sqref="E5 H5">
      <formula1>$O:$O</formula1>
    </dataValidation>
  </dataValidations>
  <printOptions horizontalCentered="1"/>
  <pageMargins left="0.28999999999999998" right="0.22" top="0.66" bottom="0.38" header="0.51181102362204722" footer="0.24"/>
  <pageSetup paperSize="9" orientation="portrait" horizontalDpi="360" verticalDpi="360" r:id="rId1"/>
  <headerFooter alignWithMargins="0"/>
  <colBreaks count="1" manualBreakCount="1">
    <brk id="10"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pageSetUpPr fitToPage="1"/>
  </sheetPr>
  <dimension ref="A1:O207"/>
  <sheetViews>
    <sheetView workbookViewId="0">
      <pane xSplit="3" ySplit="4" topLeftCell="D5" activePane="bottomRight" state="frozen"/>
      <selection pane="topRight" activeCell="D1" sqref="D1"/>
      <selection pane="bottomLeft" activeCell="A5" sqref="A5"/>
      <selection pane="bottomRight" activeCell="A2" sqref="A2"/>
    </sheetView>
  </sheetViews>
  <sheetFormatPr defaultRowHeight="13.5"/>
  <cols>
    <col min="1" max="1" width="3.125" style="42" customWidth="1"/>
    <col min="2" max="2" width="5.5" style="42" customWidth="1"/>
    <col min="3" max="3" width="17.75" style="302" customWidth="1"/>
    <col min="4" max="4" width="3.25" style="57" customWidth="1"/>
    <col min="5" max="5" width="9.875" style="44" customWidth="1"/>
    <col min="6" max="6" width="11.75" style="44" customWidth="1"/>
    <col min="7" max="7" width="3.75" style="57" customWidth="1"/>
    <col min="8" max="8" width="9.75" style="44" customWidth="1"/>
    <col min="9" max="9" width="10.5" style="44" customWidth="1"/>
    <col min="10" max="10" width="11.125" style="298" customWidth="1"/>
    <col min="11" max="11" width="8.75" style="44" customWidth="1"/>
    <col min="12" max="12" width="9.875" style="44" customWidth="1"/>
    <col min="13" max="13" width="1" style="44" customWidth="1"/>
    <col min="14" max="14" width="4.125" style="160" customWidth="1"/>
    <col min="15" max="15" width="22.375" style="159" bestFit="1" customWidth="1"/>
    <col min="16" max="16384" width="9" style="44"/>
  </cols>
  <sheetData>
    <row r="1" spans="1:15" s="41" customFormat="1" ht="19.5" customHeight="1">
      <c r="A1" s="241" t="str">
        <f>IF((L2-(TB资产!E63+TB负债!E63+TB损益!E75)-IF(COUNTIF(E5:E666,"未分配利润")&gt;=1,VLOOKUP("未分配利润",E5:J666,6,0),0))&lt;0.005,"报表调整事项汇总表","调整事项未全部链入试算平衡表，请检查调整科目是否为报表项目!")</f>
        <v>报表调整事项汇总表</v>
      </c>
      <c r="B1" s="39"/>
      <c r="C1" s="299"/>
      <c r="D1" s="40"/>
      <c r="E1" s="40"/>
      <c r="F1" s="40"/>
      <c r="G1" s="40"/>
      <c r="H1" s="40"/>
      <c r="I1" s="40"/>
      <c r="J1" s="294"/>
      <c r="K1" s="773">
        <f>SUM(L2:L3)</f>
        <v>0</v>
      </c>
      <c r="L1" s="773"/>
      <c r="N1" s="156" t="s">
        <v>206</v>
      </c>
      <c r="O1" s="157" t="s">
        <v>551</v>
      </c>
    </row>
    <row r="2" spans="1:15" s="42" customFormat="1" ht="15" customHeight="1">
      <c r="A2" s="235" t="str">
        <f>CONCATENATE("客户名称：",参数!D3)</f>
        <v>客户名称：</v>
      </c>
      <c r="C2" s="300"/>
      <c r="D2" s="43"/>
      <c r="E2" s="42" t="str">
        <f>CONCATENATE("编制人：",参数!D17)</f>
        <v>编制人：</v>
      </c>
      <c r="G2" s="43"/>
      <c r="H2" s="42" t="str">
        <f ca="1">CONCATENATE("日期：",TEXT(NOW(),"yyyy.mm.dd"))</f>
        <v>日期：2023.08.14</v>
      </c>
      <c r="J2" s="295" t="s">
        <v>249</v>
      </c>
      <c r="K2" s="772" t="s">
        <v>250</v>
      </c>
      <c r="L2" s="774">
        <f>SUMIF(E5:E65536,"?*",J5:J65536)</f>
        <v>0</v>
      </c>
      <c r="N2" s="158"/>
      <c r="O2" s="159"/>
    </row>
    <row r="3" spans="1:15" s="42" customFormat="1" ht="15" customHeight="1">
      <c r="A3" s="235" t="str">
        <f>CONCATENATE("会计期间：",参数!D10)</f>
        <v>会计期间：2007年度</v>
      </c>
      <c r="C3" s="300"/>
      <c r="D3" s="43"/>
      <c r="E3" s="42" t="str">
        <f>CONCATENATE("复核人：",参数!D18)</f>
        <v>复核人：</v>
      </c>
      <c r="G3" s="43"/>
      <c r="H3" s="42" t="s">
        <v>219</v>
      </c>
      <c r="J3" s="295" t="s">
        <v>251</v>
      </c>
      <c r="K3" s="772" t="s">
        <v>252</v>
      </c>
      <c r="L3" s="774">
        <f>SUMIF(H5:H65536,"?*",J5:J65536)</f>
        <v>0</v>
      </c>
      <c r="N3" s="158"/>
      <c r="O3" s="159"/>
    </row>
    <row r="4" spans="1:15">
      <c r="A4" s="776" t="s">
        <v>368</v>
      </c>
      <c r="B4" s="237" t="s">
        <v>253</v>
      </c>
      <c r="C4" s="301" t="s">
        <v>254</v>
      </c>
      <c r="D4" s="239" t="s">
        <v>206</v>
      </c>
      <c r="E4" s="238" t="s">
        <v>255</v>
      </c>
      <c r="F4" s="240" t="s">
        <v>256</v>
      </c>
      <c r="G4" s="239" t="s">
        <v>206</v>
      </c>
      <c r="H4" s="238" t="s">
        <v>257</v>
      </c>
      <c r="I4" s="240" t="s">
        <v>256</v>
      </c>
      <c r="J4" s="296" t="s">
        <v>214</v>
      </c>
      <c r="K4" s="790"/>
      <c r="L4" s="775">
        <f>L2-L3</f>
        <v>0</v>
      </c>
      <c r="N4" s="158"/>
    </row>
    <row r="5" spans="1:15">
      <c r="A5" s="925">
        <v>1</v>
      </c>
      <c r="B5" s="932"/>
      <c r="C5" s="929"/>
      <c r="D5" s="38"/>
      <c r="E5" s="42" t="str">
        <f>IF(D5=0,"",VLOOKUP(D5,$N:$O,2,0))</f>
        <v/>
      </c>
      <c r="F5" s="592"/>
      <c r="G5" s="46"/>
      <c r="H5" s="42" t="str">
        <f>IF(G5=0,"",VLOOKUP(G5,$N:$O,2,0))</f>
        <v/>
      </c>
      <c r="I5" s="592"/>
      <c r="J5" s="297"/>
      <c r="K5" s="334" t="s">
        <v>584</v>
      </c>
      <c r="N5" s="158">
        <f>报表格式!Z5</f>
        <v>0</v>
      </c>
      <c r="O5" s="135" t="str">
        <f>报表格式!AA5</f>
        <v>流动资产：</v>
      </c>
    </row>
    <row r="6" spans="1:15">
      <c r="A6" s="926"/>
      <c r="B6" s="933"/>
      <c r="C6" s="930"/>
      <c r="D6" s="38"/>
      <c r="E6" s="48" t="str">
        <f>IF(D6=0,"",VLOOKUP(D6,$N:$O,2,0))</f>
        <v/>
      </c>
      <c r="F6" s="592"/>
      <c r="G6" s="49"/>
      <c r="H6" s="48" t="str">
        <f>IF(G6=0,"",VLOOKUP(G6,$N:$O,2,0))</f>
        <v/>
      </c>
      <c r="I6" s="592"/>
      <c r="J6" s="293"/>
      <c r="K6" s="334" t="s">
        <v>585</v>
      </c>
      <c r="N6" s="160" t="str">
        <f>报表格式!Z6</f>
        <v>G123</v>
      </c>
      <c r="O6" s="54" t="str">
        <f>报表格式!AA6</f>
        <v>货币资金</v>
      </c>
    </row>
    <row r="7" spans="1:15">
      <c r="A7" s="926"/>
      <c r="B7" s="933"/>
      <c r="C7" s="930"/>
      <c r="D7" s="38"/>
      <c r="E7" s="48" t="str">
        <f>IF(D7=0,"",VLOOKUP(D7,$N:$O,2,0))</f>
        <v/>
      </c>
      <c r="F7" s="592"/>
      <c r="G7" s="49"/>
      <c r="H7" s="48" t="str">
        <f>IF(G7=0,"",VLOOKUP(G7,$N:$O,2,0))</f>
        <v/>
      </c>
      <c r="I7" s="592"/>
      <c r="J7" s="293"/>
      <c r="N7" s="160" t="str">
        <f>报表格式!Z7</f>
        <v>F1</v>
      </c>
      <c r="O7" s="51" t="str">
        <f>报表格式!AA7</f>
        <v>短期投资</v>
      </c>
    </row>
    <row r="8" spans="1:15">
      <c r="A8" s="927"/>
      <c r="B8" s="934"/>
      <c r="C8" s="931"/>
      <c r="D8" s="38"/>
      <c r="E8" s="48" t="str">
        <f>IF(D8=0,"",VLOOKUP(D8,$N:$O,2,0))</f>
        <v/>
      </c>
      <c r="F8" s="592"/>
      <c r="G8" s="49"/>
      <c r="H8" s="48" t="str">
        <f>IF(G8=0,"",VLOOKUP(G8,$N:$O,2,0))</f>
        <v/>
      </c>
      <c r="I8" s="592"/>
      <c r="J8" s="293"/>
      <c r="N8" s="160" t="str">
        <f>报表格式!Z8</f>
        <v>D3</v>
      </c>
      <c r="O8" s="51" t="str">
        <f>报表格式!AA8</f>
        <v>应收票据</v>
      </c>
    </row>
    <row r="9" spans="1:15">
      <c r="A9" s="587"/>
      <c r="B9" s="587"/>
      <c r="C9" s="588"/>
      <c r="D9" s="589"/>
      <c r="E9" s="590"/>
      <c r="F9" s="590"/>
      <c r="G9" s="589"/>
      <c r="H9" s="590"/>
      <c r="I9" s="590"/>
      <c r="J9" s="591" t="str">
        <f>IF(ABS((SUMIF(E5:E8,"?*",J5:J8)-SUMIF(H5:H8,"?*",J5:J8)))&lt;0.005,"","借贷不等")</f>
        <v/>
      </c>
      <c r="K9" s="45"/>
      <c r="N9" s="160" t="str">
        <f>报表格式!Z9</f>
        <v>F5</v>
      </c>
      <c r="O9" s="51" t="str">
        <f>报表格式!AA9</f>
        <v>应收股利</v>
      </c>
    </row>
    <row r="10" spans="1:15">
      <c r="A10" s="925">
        <v>2</v>
      </c>
      <c r="B10" s="932"/>
      <c r="C10" s="929"/>
      <c r="D10" s="38"/>
      <c r="E10" s="48" t="str">
        <f>IF(D10=0,"",VLOOKUP(D10,$N:$O,2,0))</f>
        <v/>
      </c>
      <c r="F10" s="592"/>
      <c r="G10" s="49"/>
      <c r="H10" s="48" t="str">
        <f>IF(G10=0,"",VLOOKUP(G10,$N:$O,2,0))</f>
        <v/>
      </c>
      <c r="I10" s="592"/>
      <c r="J10" s="293"/>
      <c r="K10" s="45"/>
      <c r="N10" s="160" t="str">
        <f>报表格式!Z10</f>
        <v>F6</v>
      </c>
      <c r="O10" s="51" t="str">
        <f>报表格式!AA10</f>
        <v>应收利息</v>
      </c>
    </row>
    <row r="11" spans="1:15">
      <c r="A11" s="926"/>
      <c r="B11" s="933"/>
      <c r="C11" s="930"/>
      <c r="D11" s="38"/>
      <c r="E11" s="48" t="str">
        <f>IF(D11=0,"",VLOOKUP(D11,$N:$O,2,0))</f>
        <v/>
      </c>
      <c r="F11" s="592"/>
      <c r="G11" s="49"/>
      <c r="H11" s="48" t="str">
        <f>IF(G11=0,"",VLOOKUP(G11,$N:$O,2,0))</f>
        <v/>
      </c>
      <c r="I11" s="592"/>
      <c r="J11" s="293"/>
      <c r="N11" s="160" t="str">
        <f>报表格式!Z11</f>
        <v>D1</v>
      </c>
      <c r="O11" s="51" t="str">
        <f>报表格式!AA11</f>
        <v>应收账款</v>
      </c>
    </row>
    <row r="12" spans="1:15">
      <c r="A12" s="926"/>
      <c r="B12" s="933"/>
      <c r="C12" s="930"/>
      <c r="D12" s="38"/>
      <c r="E12" s="48" t="str">
        <f>IF(D12=0,"",VLOOKUP(D12,$N:$O,2,0))</f>
        <v/>
      </c>
      <c r="F12" s="592"/>
      <c r="G12" s="49"/>
      <c r="H12" s="48" t="str">
        <f>IF(G12=0,"",VLOOKUP(G12,$N:$O,2,0))</f>
        <v/>
      </c>
      <c r="I12" s="592"/>
      <c r="J12" s="293"/>
      <c r="N12" s="160" t="str">
        <f>报表格式!Z12</f>
        <v>G4</v>
      </c>
      <c r="O12" s="51" t="str">
        <f>报表格式!AA12</f>
        <v>其他应收款</v>
      </c>
    </row>
    <row r="13" spans="1:15">
      <c r="A13" s="927"/>
      <c r="B13" s="934"/>
      <c r="C13" s="931"/>
      <c r="D13" s="38"/>
      <c r="E13" s="48" t="str">
        <f>IF(D13=0,"",VLOOKUP(D13,$N:$O,2,0))</f>
        <v/>
      </c>
      <c r="F13" s="592"/>
      <c r="G13" s="49"/>
      <c r="H13" s="48" t="str">
        <f>IF(G13=0,"",VLOOKUP(G13,$N:$O,2,0))</f>
        <v/>
      </c>
      <c r="I13" s="592"/>
      <c r="J13" s="293"/>
      <c r="N13" s="160" t="str">
        <f>报表格式!Z13</f>
        <v>E3</v>
      </c>
      <c r="O13" s="51" t="str">
        <f>报表格式!AA13</f>
        <v>预付账款</v>
      </c>
    </row>
    <row r="14" spans="1:15">
      <c r="A14" s="648"/>
      <c r="B14" s="648"/>
      <c r="C14" s="649"/>
      <c r="D14" s="650"/>
      <c r="E14" s="651"/>
      <c r="F14" s="651"/>
      <c r="G14" s="650"/>
      <c r="H14" s="651"/>
      <c r="I14" s="651"/>
      <c r="J14" s="652" t="str">
        <f>IF(ABS((SUMIF(E10:E13,"?*",J10:J13)-SUMIF(H10:H13,"?*",J10:J13)))&lt;0.005,"","借贷不等")</f>
        <v/>
      </c>
      <c r="N14" s="160">
        <f>报表格式!Z14</f>
        <v>0</v>
      </c>
      <c r="O14" s="51" t="str">
        <f>报表格式!AA14</f>
        <v>期货保证金</v>
      </c>
    </row>
    <row r="15" spans="1:15">
      <c r="A15" s="925">
        <v>3</v>
      </c>
      <c r="B15" s="932"/>
      <c r="C15" s="929"/>
      <c r="D15" s="38"/>
      <c r="E15" s="48" t="str">
        <f>IF(D15=0,"",VLOOKUP(D15,$N:$O,2,0))</f>
        <v/>
      </c>
      <c r="F15" s="592"/>
      <c r="G15" s="49"/>
      <c r="H15" s="48" t="str">
        <f>IF(G15=0,"",VLOOKUP(G15,$N:$O,2,0))</f>
        <v/>
      </c>
      <c r="I15" s="592"/>
      <c r="J15" s="293"/>
      <c r="N15" s="160" t="str">
        <f>报表格式!Z15</f>
        <v>I1</v>
      </c>
      <c r="O15" s="51" t="str">
        <f>报表格式!AA15</f>
        <v>应收补贴款</v>
      </c>
    </row>
    <row r="16" spans="1:15">
      <c r="A16" s="926"/>
      <c r="B16" s="933"/>
      <c r="C16" s="930"/>
      <c r="D16" s="38"/>
      <c r="E16" s="48" t="str">
        <f>IF(D16=0,"",VLOOKUP(D16,$N:$O,2,0))</f>
        <v/>
      </c>
      <c r="F16" s="592"/>
      <c r="G16" s="49"/>
      <c r="H16" s="48" t="str">
        <f>IF(G16=0,"",VLOOKUP(G16,$N:$O,2,0))</f>
        <v/>
      </c>
      <c r="I16" s="592"/>
      <c r="J16" s="293"/>
      <c r="N16" s="160">
        <f>报表格式!Z16</f>
        <v>0</v>
      </c>
      <c r="O16" s="51" t="str">
        <f>报表格式!AA16</f>
        <v>应收出口退税</v>
      </c>
    </row>
    <row r="17" spans="1:15">
      <c r="A17" s="926"/>
      <c r="B17" s="933"/>
      <c r="C17" s="930"/>
      <c r="D17" s="38"/>
      <c r="E17" s="48" t="str">
        <f>IF(D17=0,"",VLOOKUP(D17,$N:$O,2,0))</f>
        <v/>
      </c>
      <c r="F17" s="592"/>
      <c r="G17" s="49"/>
      <c r="H17" s="48" t="str">
        <f>IF(G17=0,"",VLOOKUP(G17,$N:$O,2,0))</f>
        <v/>
      </c>
      <c r="I17" s="592"/>
      <c r="J17" s="293"/>
      <c r="N17" s="160" t="str">
        <f>报表格式!Z17</f>
        <v>E1</v>
      </c>
      <c r="O17" s="51" t="str">
        <f>报表格式!AA17</f>
        <v>存货</v>
      </c>
    </row>
    <row r="18" spans="1:15">
      <c r="A18" s="927"/>
      <c r="B18" s="934"/>
      <c r="C18" s="931"/>
      <c r="D18" s="38"/>
      <c r="E18" s="48" t="str">
        <f>IF(D18=0,"",VLOOKUP(D18,$N:$O,2,0))</f>
        <v/>
      </c>
      <c r="F18" s="592"/>
      <c r="G18" s="49"/>
      <c r="H18" s="48" t="str">
        <f>IF(G18=0,"",VLOOKUP(G18,$N:$O,2,0))</f>
        <v/>
      </c>
      <c r="I18" s="592"/>
      <c r="J18" s="293"/>
      <c r="N18" s="160">
        <f>报表格式!Z18</f>
        <v>0</v>
      </c>
      <c r="O18" s="51">
        <f>报表格式!AA18</f>
        <v>0</v>
      </c>
    </row>
    <row r="19" spans="1:15">
      <c r="A19" s="648"/>
      <c r="B19" s="648"/>
      <c r="C19" s="649"/>
      <c r="D19" s="650"/>
      <c r="E19" s="651"/>
      <c r="F19" s="651"/>
      <c r="G19" s="650"/>
      <c r="H19" s="651"/>
      <c r="I19" s="651"/>
      <c r="J19" s="652" t="str">
        <f>IF(ABS((SUMIF(E15:E18,"?*",J15:J18)-SUMIF(H15:H18,"?*",J15:J18)))&lt;0.005,"","借贷不等")</f>
        <v/>
      </c>
      <c r="N19" s="160">
        <f>报表格式!Z19</f>
        <v>0</v>
      </c>
      <c r="O19" s="139">
        <f>报表格式!AA19</f>
        <v>0</v>
      </c>
    </row>
    <row r="20" spans="1:15">
      <c r="A20" s="925">
        <v>4</v>
      </c>
      <c r="B20" s="932"/>
      <c r="C20" s="929"/>
      <c r="D20" s="38"/>
      <c r="E20" s="48" t="str">
        <f>IF(D20=0,"",VLOOKUP(D20,$N:$O,2,0))</f>
        <v/>
      </c>
      <c r="F20" s="592"/>
      <c r="G20" s="49"/>
      <c r="H20" s="48" t="str">
        <f>IF(G20=0,"",VLOOKUP(G20,$N:$O,2,0))</f>
        <v/>
      </c>
      <c r="I20" s="592"/>
      <c r="J20" s="293"/>
      <c r="N20" s="160" t="str">
        <f>报表格式!Z20</f>
        <v>I4</v>
      </c>
      <c r="O20" s="51" t="str">
        <f>报表格式!AA20</f>
        <v>待摊费用</v>
      </c>
    </row>
    <row r="21" spans="1:15">
      <c r="A21" s="926"/>
      <c r="B21" s="933"/>
      <c r="C21" s="930"/>
      <c r="D21" s="38"/>
      <c r="E21" s="48" t="str">
        <f>IF(D21=0,"",VLOOKUP(D21,$N:$O,2,0))</f>
        <v/>
      </c>
      <c r="F21" s="592"/>
      <c r="G21" s="49"/>
      <c r="H21" s="48" t="str">
        <f>IF(G21=0,"",VLOOKUP(G21,$N:$O,2,0))</f>
        <v/>
      </c>
      <c r="I21" s="592"/>
      <c r="J21" s="293"/>
      <c r="N21" s="160" t="str">
        <f>报表格式!Z21</f>
        <v>I6</v>
      </c>
      <c r="O21" s="51" t="str">
        <f>报表格式!AA21</f>
        <v>待处理流动资产净损失</v>
      </c>
    </row>
    <row r="22" spans="1:15">
      <c r="A22" s="926"/>
      <c r="B22" s="933"/>
      <c r="C22" s="930"/>
      <c r="D22" s="38"/>
      <c r="E22" s="48" t="str">
        <f>IF(D22=0,"",VLOOKUP(D22,$N:$O,2,0))</f>
        <v/>
      </c>
      <c r="F22" s="592"/>
      <c r="G22" s="49"/>
      <c r="H22" s="48" t="str">
        <f>IF(G22=0,"",VLOOKUP(G22,$N:$O,2,0))</f>
        <v/>
      </c>
      <c r="I22" s="592"/>
      <c r="J22" s="293"/>
      <c r="N22" s="160">
        <f>报表格式!Z22</f>
        <v>0</v>
      </c>
      <c r="O22" s="51" t="str">
        <f>报表格式!AA22</f>
        <v>一年内到期的长期债权投资</v>
      </c>
    </row>
    <row r="23" spans="1:15">
      <c r="A23" s="927"/>
      <c r="B23" s="934"/>
      <c r="C23" s="931"/>
      <c r="D23" s="38"/>
      <c r="E23" s="48" t="str">
        <f>IF(D23=0,"",VLOOKUP(D23,$N:$O,2,0))</f>
        <v/>
      </c>
      <c r="F23" s="592"/>
      <c r="G23" s="49"/>
      <c r="H23" s="48" t="str">
        <f>IF(G23=0,"",VLOOKUP(G23,$N:$O,2,0))</f>
        <v/>
      </c>
      <c r="I23" s="592"/>
      <c r="J23" s="293"/>
      <c r="N23" s="160">
        <f>报表格式!Z23</f>
        <v>0</v>
      </c>
      <c r="O23" s="54" t="str">
        <f>报表格式!AA23</f>
        <v>其他流动资产</v>
      </c>
    </row>
    <row r="24" spans="1:15">
      <c r="A24" s="648"/>
      <c r="B24" s="648"/>
      <c r="C24" s="649"/>
      <c r="D24" s="650"/>
      <c r="E24" s="651"/>
      <c r="F24" s="651"/>
      <c r="G24" s="650"/>
      <c r="H24" s="651"/>
      <c r="I24" s="651"/>
      <c r="J24" s="652" t="str">
        <f>IF(ABS((SUMIF(E20:E23,"?*",J20:J23)-SUMIF(H20:H23,"?*",J20:J23)))&lt;0.005,"","借贷不等")</f>
        <v/>
      </c>
      <c r="N24" s="160">
        <f>报表格式!Z24</f>
        <v>0</v>
      </c>
      <c r="O24" s="47">
        <f>报表格式!AA24</f>
        <v>0</v>
      </c>
    </row>
    <row r="25" spans="1:15">
      <c r="A25" s="925">
        <v>5</v>
      </c>
      <c r="B25" s="932"/>
      <c r="C25" s="929"/>
      <c r="D25" s="38"/>
      <c r="E25" s="48" t="str">
        <f>IF(D25=0,"",VLOOKUP(D25,$N:$O,2,0))</f>
        <v/>
      </c>
      <c r="F25" s="592"/>
      <c r="G25" s="49"/>
      <c r="H25" s="48" t="str">
        <f>IF(G25=0,"",VLOOKUP(G25,$N:$O,2,0))</f>
        <v/>
      </c>
      <c r="I25" s="592"/>
      <c r="J25" s="293"/>
      <c r="N25" s="160">
        <f>报表格式!Z25</f>
        <v>0</v>
      </c>
      <c r="O25" s="51">
        <f>报表格式!AA25</f>
        <v>0</v>
      </c>
    </row>
    <row r="26" spans="1:15">
      <c r="A26" s="926"/>
      <c r="B26" s="933"/>
      <c r="C26" s="930"/>
      <c r="D26" s="38"/>
      <c r="E26" s="48" t="str">
        <f>IF(D26=0,"",VLOOKUP(D26,$N:$O,2,0))</f>
        <v/>
      </c>
      <c r="F26" s="592"/>
      <c r="G26" s="49"/>
      <c r="H26" s="48" t="str">
        <f>IF(G26=0,"",VLOOKUP(G26,$N:$O,2,0))</f>
        <v/>
      </c>
      <c r="I26" s="592"/>
      <c r="J26" s="293"/>
      <c r="N26" s="160">
        <f>报表格式!Z26</f>
        <v>0</v>
      </c>
      <c r="O26" s="53" t="str">
        <f>报表格式!AA26</f>
        <v>流动资产合计</v>
      </c>
    </row>
    <row r="27" spans="1:15">
      <c r="A27" s="926"/>
      <c r="B27" s="933"/>
      <c r="C27" s="930"/>
      <c r="D27" s="38"/>
      <c r="E27" s="48" t="str">
        <f>IF(D27=0,"",VLOOKUP(D27,$N:$O,2,0))</f>
        <v/>
      </c>
      <c r="F27" s="592"/>
      <c r="G27" s="49"/>
      <c r="H27" s="48" t="str">
        <f>IF(G27=0,"",VLOOKUP(G27,$N:$O,2,0))</f>
        <v/>
      </c>
      <c r="I27" s="592"/>
      <c r="J27" s="293"/>
      <c r="N27" s="160">
        <f>报表格式!Z27</f>
        <v>0</v>
      </c>
      <c r="O27" s="51">
        <f>报表格式!AA27</f>
        <v>0</v>
      </c>
    </row>
    <row r="28" spans="1:15">
      <c r="A28" s="927"/>
      <c r="B28" s="934"/>
      <c r="C28" s="931"/>
      <c r="D28" s="38"/>
      <c r="E28" s="48" t="str">
        <f>IF(D28=0,"",VLOOKUP(D28,$N:$O,2,0))</f>
        <v/>
      </c>
      <c r="F28" s="592"/>
      <c r="G28" s="49"/>
      <c r="H28" s="48" t="str">
        <f>IF(G28=0,"",VLOOKUP(G28,$N:$O,2,0))</f>
        <v/>
      </c>
      <c r="I28" s="592"/>
      <c r="J28" s="293"/>
      <c r="N28" s="160">
        <f>报表格式!Z28</f>
        <v>0</v>
      </c>
      <c r="O28" s="135" t="str">
        <f>报表格式!AA28</f>
        <v>长期投资：</v>
      </c>
    </row>
    <row r="29" spans="1:15">
      <c r="A29" s="648"/>
      <c r="B29" s="648"/>
      <c r="C29" s="649"/>
      <c r="D29" s="650"/>
      <c r="E29" s="651"/>
      <c r="F29" s="651"/>
      <c r="G29" s="650"/>
      <c r="H29" s="651"/>
      <c r="I29" s="651"/>
      <c r="J29" s="652" t="str">
        <f>IF(ABS((SUMIF(E25:E28,"?*",J25:J28)-SUMIF(H25:H28,"?*",J25:J28)))&lt;0.005,"","借贷不等")</f>
        <v/>
      </c>
      <c r="N29" s="160" t="str">
        <f>报表格式!Z29</f>
        <v>F2</v>
      </c>
      <c r="O29" s="51" t="str">
        <f>报表格式!AA29</f>
        <v>长期股权投资</v>
      </c>
    </row>
    <row r="30" spans="1:15">
      <c r="A30" s="925">
        <v>6</v>
      </c>
      <c r="B30" s="932"/>
      <c r="C30" s="929"/>
      <c r="D30" s="38"/>
      <c r="E30" s="48" t="str">
        <f>IF(D30=0,"",VLOOKUP(D30,$N:$O,2,0))</f>
        <v/>
      </c>
      <c r="F30" s="592"/>
      <c r="G30" s="49"/>
      <c r="H30" s="48" t="str">
        <f>IF(G30=0,"",VLOOKUP(G30,$N:$O,2,0))</f>
        <v/>
      </c>
      <c r="I30" s="592"/>
      <c r="J30" s="293"/>
      <c r="N30" s="160" t="str">
        <f>报表格式!Z30</f>
        <v>F3</v>
      </c>
      <c r="O30" s="51" t="str">
        <f>报表格式!AA30</f>
        <v>长期债权投资</v>
      </c>
    </row>
    <row r="31" spans="1:15">
      <c r="A31" s="926"/>
      <c r="B31" s="933"/>
      <c r="C31" s="930"/>
      <c r="D31" s="38"/>
      <c r="E31" s="48" t="str">
        <f>IF(D31=0,"",VLOOKUP(D31,$N:$O,2,0))</f>
        <v/>
      </c>
      <c r="F31" s="592"/>
      <c r="G31" s="49"/>
      <c r="H31" s="48" t="str">
        <f>IF(G31=0,"",VLOOKUP(G31,$N:$O,2,0))</f>
        <v/>
      </c>
      <c r="I31" s="592"/>
      <c r="J31" s="293"/>
      <c r="N31" s="160">
        <f>报表格式!Z31</f>
        <v>0</v>
      </c>
      <c r="O31" s="51" t="str">
        <f>报表格式!AA31</f>
        <v>合并价差</v>
      </c>
    </row>
    <row r="32" spans="1:15">
      <c r="A32" s="926"/>
      <c r="B32" s="933"/>
      <c r="C32" s="930"/>
      <c r="D32" s="38"/>
      <c r="E32" s="48" t="str">
        <f>IF(D32=0,"",VLOOKUP(D32,$N:$O,2,0))</f>
        <v/>
      </c>
      <c r="F32" s="592"/>
      <c r="G32" s="49"/>
      <c r="H32" s="48" t="str">
        <f>IF(G32=0,"",VLOOKUP(G32,$N:$O,2,0))</f>
        <v/>
      </c>
      <c r="I32" s="592"/>
      <c r="J32" s="293"/>
      <c r="N32" s="160">
        <f>报表格式!Z32</f>
        <v>0</v>
      </c>
      <c r="O32" s="51">
        <f>报表格式!AA32</f>
        <v>0</v>
      </c>
    </row>
    <row r="33" spans="1:15">
      <c r="A33" s="927"/>
      <c r="B33" s="934"/>
      <c r="C33" s="931"/>
      <c r="D33" s="38"/>
      <c r="E33" s="48" t="str">
        <f>IF(D33=0,"",VLOOKUP(D33,$N:$O,2,0))</f>
        <v/>
      </c>
      <c r="F33" s="592"/>
      <c r="G33" s="49"/>
      <c r="H33" s="48" t="str">
        <f>IF(G33=0,"",VLOOKUP(G33,$N:$O,2,0))</f>
        <v/>
      </c>
      <c r="I33" s="592"/>
      <c r="J33" s="293"/>
      <c r="N33" s="160">
        <f>报表格式!Z33</f>
        <v>0</v>
      </c>
      <c r="O33" s="52">
        <f>报表格式!AA33</f>
        <v>0</v>
      </c>
    </row>
    <row r="34" spans="1:15">
      <c r="A34" s="648"/>
      <c r="B34" s="648"/>
      <c r="C34" s="649"/>
      <c r="D34" s="650"/>
      <c r="E34" s="651"/>
      <c r="F34" s="651"/>
      <c r="G34" s="650"/>
      <c r="H34" s="651"/>
      <c r="I34" s="651"/>
      <c r="J34" s="652" t="str">
        <f>IF(ABS((SUMIF(E30:E33,"?*",J30:J33)-SUMIF(H30:H33,"?*",J30:J33)))&lt;0.005,"","借贷不等")</f>
        <v/>
      </c>
      <c r="N34" s="160">
        <f>报表格式!Z34</f>
        <v>0</v>
      </c>
      <c r="O34" s="53" t="str">
        <f>报表格式!AA34</f>
        <v>长期投资合计</v>
      </c>
    </row>
    <row r="35" spans="1:15">
      <c r="A35" s="925">
        <v>7</v>
      </c>
      <c r="B35" s="932"/>
      <c r="C35" s="929"/>
      <c r="D35" s="38"/>
      <c r="E35" s="48" t="str">
        <f>IF(D35=0,"",VLOOKUP(D35,$N:$O,2,0))</f>
        <v/>
      </c>
      <c r="F35" s="592"/>
      <c r="G35" s="49"/>
      <c r="H35" s="48" t="str">
        <f>IF(G35=0,"",VLOOKUP(G35,$N:$O,2,0))</f>
        <v/>
      </c>
      <c r="I35" s="592"/>
      <c r="J35" s="293"/>
      <c r="N35" s="160">
        <f>报表格式!Z35</f>
        <v>0</v>
      </c>
      <c r="O35" s="51">
        <f>报表格式!AA35</f>
        <v>0</v>
      </c>
    </row>
    <row r="36" spans="1:15">
      <c r="A36" s="926"/>
      <c r="B36" s="933"/>
      <c r="C36" s="930"/>
      <c r="D36" s="38"/>
      <c r="E36" s="48" t="str">
        <f>IF(D36=0,"",VLOOKUP(D36,$N:$O,2,0))</f>
        <v/>
      </c>
      <c r="F36" s="592"/>
      <c r="G36" s="49"/>
      <c r="H36" s="48" t="str">
        <f>IF(G36=0,"",VLOOKUP(G36,$N:$O,2,0))</f>
        <v/>
      </c>
      <c r="I36" s="592"/>
      <c r="J36" s="293"/>
      <c r="N36" s="160">
        <f>报表格式!Z36</f>
        <v>0</v>
      </c>
      <c r="O36" s="135" t="str">
        <f>报表格式!AA36</f>
        <v>固定资产：</v>
      </c>
    </row>
    <row r="37" spans="1:15">
      <c r="A37" s="926"/>
      <c r="B37" s="933"/>
      <c r="C37" s="930"/>
      <c r="D37" s="38"/>
      <c r="E37" s="48" t="str">
        <f>IF(D37=0,"",VLOOKUP(D37,$N:$O,2,0))</f>
        <v/>
      </c>
      <c r="F37" s="592"/>
      <c r="G37" s="49"/>
      <c r="H37" s="48" t="str">
        <f>IF(G37=0,"",VLOOKUP(G37,$N:$O,2,0))</f>
        <v/>
      </c>
      <c r="I37" s="592"/>
      <c r="J37" s="293"/>
      <c r="N37" s="160" t="str">
        <f>报表格式!Z37</f>
        <v>H1</v>
      </c>
      <c r="O37" s="51" t="str">
        <f>报表格式!AA37</f>
        <v>固定资产原价</v>
      </c>
    </row>
    <row r="38" spans="1:15">
      <c r="A38" s="927"/>
      <c r="B38" s="934"/>
      <c r="C38" s="931"/>
      <c r="D38" s="38"/>
      <c r="E38" s="48" t="str">
        <f>IF(D38=0,"",VLOOKUP(D38,$N:$O,2,0))</f>
        <v/>
      </c>
      <c r="F38" s="592"/>
      <c r="G38" s="49"/>
      <c r="H38" s="48" t="str">
        <f>IF(G38=0,"",VLOOKUP(G38,$N:$O,2,0))</f>
        <v/>
      </c>
      <c r="I38" s="592"/>
      <c r="J38" s="293"/>
      <c r="N38" s="160" t="str">
        <f>报表格式!Z38</f>
        <v>H2</v>
      </c>
      <c r="O38" s="54" t="str">
        <f>报表格式!AA38</f>
        <v>累计折旧</v>
      </c>
    </row>
    <row r="39" spans="1:15">
      <c r="A39" s="648"/>
      <c r="B39" s="648"/>
      <c r="C39" s="649"/>
      <c r="D39" s="650"/>
      <c r="E39" s="651"/>
      <c r="F39" s="651"/>
      <c r="G39" s="650"/>
      <c r="H39" s="651"/>
      <c r="I39" s="651"/>
      <c r="J39" s="652" t="str">
        <f>IF(ABS((SUMIF(E35:E38,"?*",J35:J38)-SUMIF(H35:H38,"?*",J35:J38)))&lt;0.005,"","借贷不等")</f>
        <v/>
      </c>
      <c r="N39" s="160">
        <f>报表格式!Z39</f>
        <v>0</v>
      </c>
      <c r="O39" s="51">
        <f>报表格式!AA39</f>
        <v>0</v>
      </c>
    </row>
    <row r="40" spans="1:15">
      <c r="A40" s="925">
        <v>8</v>
      </c>
      <c r="B40" s="932"/>
      <c r="C40" s="929"/>
      <c r="D40" s="38"/>
      <c r="E40" s="48" t="str">
        <f>IF(D40=0,"",VLOOKUP(D40,$N:$O,2,0))</f>
        <v/>
      </c>
      <c r="F40" s="592"/>
      <c r="G40" s="49"/>
      <c r="H40" s="48" t="str">
        <f>IF(G40=0,"",VLOOKUP(G40,$N:$O,2,0))</f>
        <v/>
      </c>
      <c r="I40" s="592"/>
      <c r="J40" s="293"/>
      <c r="N40" s="160" t="str">
        <f>报表格式!Z40</f>
        <v>H3</v>
      </c>
      <c r="O40" s="51" t="str">
        <f>报表格式!AA40</f>
        <v>固定资产减值准备</v>
      </c>
    </row>
    <row r="41" spans="1:15">
      <c r="A41" s="926"/>
      <c r="B41" s="933"/>
      <c r="C41" s="930"/>
      <c r="D41" s="38"/>
      <c r="E41" s="48" t="str">
        <f>IF(D41=0,"",VLOOKUP(D41,$N:$O,2,0))</f>
        <v/>
      </c>
      <c r="F41" s="592"/>
      <c r="G41" s="49"/>
      <c r="H41" s="48" t="str">
        <f>IF(G41=0,"",VLOOKUP(G41,$N:$O,2,0))</f>
        <v/>
      </c>
      <c r="I41" s="592"/>
      <c r="J41" s="293"/>
      <c r="N41" s="160">
        <f>报表格式!Z41</f>
        <v>0</v>
      </c>
      <c r="O41" s="54">
        <f>报表格式!AA41</f>
        <v>0</v>
      </c>
    </row>
    <row r="42" spans="1:15">
      <c r="A42" s="926"/>
      <c r="B42" s="933"/>
      <c r="C42" s="930"/>
      <c r="D42" s="38"/>
      <c r="E42" s="48" t="str">
        <f>IF(D42=0,"",VLOOKUP(D42,$N:$O,2,0))</f>
        <v/>
      </c>
      <c r="F42" s="592"/>
      <c r="G42" s="49"/>
      <c r="H42" s="48" t="str">
        <f>IF(G42=0,"",VLOOKUP(G42,$N:$O,2,0))</f>
        <v/>
      </c>
      <c r="I42" s="592"/>
      <c r="J42" s="293"/>
      <c r="N42" s="160" t="str">
        <f>报表格式!Z42</f>
        <v>H4</v>
      </c>
      <c r="O42" s="161" t="str">
        <f>报表格式!AA42</f>
        <v>固定资产清理</v>
      </c>
    </row>
    <row r="43" spans="1:15">
      <c r="A43" s="927"/>
      <c r="B43" s="934"/>
      <c r="C43" s="931"/>
      <c r="D43" s="38"/>
      <c r="E43" s="48" t="str">
        <f>IF(D43=0,"",VLOOKUP(D43,$N:$O,2,0))</f>
        <v/>
      </c>
      <c r="F43" s="592"/>
      <c r="G43" s="49"/>
      <c r="H43" s="48" t="str">
        <f>IF(G43=0,"",VLOOKUP(G43,$N:$O,2,0))</f>
        <v/>
      </c>
      <c r="I43" s="592"/>
      <c r="J43" s="293"/>
      <c r="N43" s="160" t="str">
        <f>报表格式!Z43</f>
        <v>H7</v>
      </c>
      <c r="O43" s="50" t="str">
        <f>报表格式!AA43</f>
        <v>工程物资</v>
      </c>
    </row>
    <row r="44" spans="1:15">
      <c r="A44" s="648"/>
      <c r="B44" s="648"/>
      <c r="C44" s="649"/>
      <c r="D44" s="650"/>
      <c r="E44" s="651"/>
      <c r="F44" s="651"/>
      <c r="G44" s="650"/>
      <c r="H44" s="651"/>
      <c r="I44" s="651"/>
      <c r="J44" s="652" t="str">
        <f>IF(ABS((SUMIF(E40:E43,"?*",J40:J43)-SUMIF(H40:H43,"?*",J40:J43)))&lt;0.005,"","借贷不等")</f>
        <v/>
      </c>
      <c r="N44" s="160" t="str">
        <f>报表格式!Z44</f>
        <v>H6</v>
      </c>
      <c r="O44" s="55" t="str">
        <f>报表格式!AA44</f>
        <v>在建工程</v>
      </c>
    </row>
    <row r="45" spans="1:15">
      <c r="A45" s="925">
        <v>9</v>
      </c>
      <c r="B45" s="932"/>
      <c r="C45" s="929"/>
      <c r="D45" s="38"/>
      <c r="E45" s="48" t="str">
        <f>IF(D45=0,"",VLOOKUP(D45,$N:$O,2,0))</f>
        <v/>
      </c>
      <c r="F45" s="592"/>
      <c r="G45" s="49"/>
      <c r="H45" s="48" t="str">
        <f>IF(G45=0,"",VLOOKUP(G45,$N:$O,2,0))</f>
        <v/>
      </c>
      <c r="I45" s="592"/>
      <c r="J45" s="293"/>
      <c r="N45" s="160" t="str">
        <f>报表格式!Z45</f>
        <v>H5</v>
      </c>
      <c r="O45" s="55" t="str">
        <f>报表格式!AA45</f>
        <v>待处理固定资产净损失</v>
      </c>
    </row>
    <row r="46" spans="1:15">
      <c r="A46" s="926"/>
      <c r="B46" s="933"/>
      <c r="C46" s="930"/>
      <c r="D46" s="38"/>
      <c r="E46" s="48" t="str">
        <f>IF(D46=0,"",VLOOKUP(D46,$N:$O,2,0))</f>
        <v/>
      </c>
      <c r="F46" s="592"/>
      <c r="G46" s="49"/>
      <c r="H46" s="48" t="str">
        <f>IF(G46=0,"",VLOOKUP(G46,$N:$O,2,0))</f>
        <v/>
      </c>
      <c r="I46" s="592"/>
      <c r="J46" s="293"/>
      <c r="N46" s="160">
        <f>报表格式!Z46</f>
        <v>0</v>
      </c>
      <c r="O46" s="55">
        <f>报表格式!AA46</f>
        <v>0</v>
      </c>
    </row>
    <row r="47" spans="1:15">
      <c r="A47" s="926"/>
      <c r="B47" s="933"/>
      <c r="C47" s="930"/>
      <c r="D47" s="38"/>
      <c r="E47" s="48" t="str">
        <f>IF(D47=0,"",VLOOKUP(D47,$N:$O,2,0))</f>
        <v/>
      </c>
      <c r="F47" s="592"/>
      <c r="G47" s="49"/>
      <c r="H47" s="48" t="str">
        <f>IF(G47=0,"",VLOOKUP(G47,$N:$O,2,0))</f>
        <v/>
      </c>
      <c r="I47" s="592"/>
      <c r="J47" s="293"/>
      <c r="N47" s="160">
        <f>报表格式!Z47</f>
        <v>0</v>
      </c>
      <c r="O47" s="55">
        <f>报表格式!AA47</f>
        <v>0</v>
      </c>
    </row>
    <row r="48" spans="1:15">
      <c r="A48" s="927"/>
      <c r="B48" s="934"/>
      <c r="C48" s="931"/>
      <c r="D48" s="38"/>
      <c r="E48" s="48" t="str">
        <f>IF(D48=0,"",VLOOKUP(D48,$N:$O,2,0))</f>
        <v/>
      </c>
      <c r="F48" s="592"/>
      <c r="G48" s="49"/>
      <c r="H48" s="48" t="str">
        <f>IF(G48=0,"",VLOOKUP(G48,$N:$O,2,0))</f>
        <v/>
      </c>
      <c r="I48" s="592"/>
      <c r="J48" s="293"/>
      <c r="N48" s="160">
        <f>报表格式!Z48</f>
        <v>0</v>
      </c>
      <c r="O48" s="53" t="str">
        <f>报表格式!AA48</f>
        <v>固定资产合计</v>
      </c>
    </row>
    <row r="49" spans="1:15">
      <c r="A49" s="648"/>
      <c r="B49" s="648"/>
      <c r="C49" s="649"/>
      <c r="D49" s="650"/>
      <c r="E49" s="651"/>
      <c r="F49" s="651"/>
      <c r="G49" s="650"/>
      <c r="H49" s="651"/>
      <c r="I49" s="651"/>
      <c r="J49" s="652" t="str">
        <f>IF(ABS((SUMIF(E45:E48,"?*",J45:J48)-SUMIF(H45:H48,"?*",J45:J48)))&lt;0.005,"","借贷不等")</f>
        <v/>
      </c>
      <c r="N49" s="160">
        <f>报表格式!Z49</f>
        <v>0</v>
      </c>
      <c r="O49" s="136" t="str">
        <f>报表格式!AA49</f>
        <v>无形资产及其他资产：</v>
      </c>
    </row>
    <row r="50" spans="1:15">
      <c r="A50" s="925">
        <v>10</v>
      </c>
      <c r="B50" s="932"/>
      <c r="C50" s="929"/>
      <c r="D50" s="38"/>
      <c r="E50" s="48" t="str">
        <f>IF(D50=0,"",VLOOKUP(D50,$N:$O,2,0))</f>
        <v/>
      </c>
      <c r="F50" s="592"/>
      <c r="G50" s="49"/>
      <c r="H50" s="48" t="str">
        <f>IF(G50=0,"",VLOOKUP(G50,$N:$O,2,0))</f>
        <v/>
      </c>
      <c r="I50" s="592"/>
      <c r="J50" s="293"/>
      <c r="N50" s="160" t="str">
        <f>报表格式!Z50</f>
        <v>I2</v>
      </c>
      <c r="O50" s="54" t="str">
        <f>报表格式!AA50</f>
        <v>无形资产</v>
      </c>
    </row>
    <row r="51" spans="1:15">
      <c r="A51" s="926"/>
      <c r="B51" s="933"/>
      <c r="C51" s="930"/>
      <c r="D51" s="38"/>
      <c r="E51" s="48" t="str">
        <f>IF(D51=0,"",VLOOKUP(D51,$N:$O,2,0))</f>
        <v/>
      </c>
      <c r="F51" s="592"/>
      <c r="G51" s="49"/>
      <c r="H51" s="48" t="str">
        <f>IF(G51=0,"",VLOOKUP(G51,$N:$O,2,0))</f>
        <v/>
      </c>
      <c r="I51" s="592"/>
      <c r="J51" s="293"/>
      <c r="N51" s="160">
        <f>报表格式!Z51</f>
        <v>0</v>
      </c>
      <c r="O51" s="140">
        <f>报表格式!AA51</f>
        <v>0</v>
      </c>
    </row>
    <row r="52" spans="1:15">
      <c r="A52" s="926"/>
      <c r="B52" s="933"/>
      <c r="C52" s="930"/>
      <c r="D52" s="38"/>
      <c r="E52" s="48" t="str">
        <f>IF(D52=0,"",VLOOKUP(D52,$N:$O,2,0))</f>
        <v/>
      </c>
      <c r="F52" s="592"/>
      <c r="G52" s="49"/>
      <c r="H52" s="48" t="str">
        <f>IF(G52=0,"",VLOOKUP(G52,$N:$O,2,0))</f>
        <v/>
      </c>
      <c r="I52" s="592"/>
      <c r="J52" s="293"/>
      <c r="N52" s="160" t="str">
        <f>报表格式!Z52</f>
        <v>I5</v>
      </c>
      <c r="O52" s="55" t="str">
        <f>报表格式!AA52</f>
        <v>长期待摊费用</v>
      </c>
    </row>
    <row r="53" spans="1:15">
      <c r="A53" s="927"/>
      <c r="B53" s="934"/>
      <c r="C53" s="931"/>
      <c r="D53" s="38"/>
      <c r="E53" s="48" t="str">
        <f>IF(D53=0,"",VLOOKUP(D53,$N:$O,2,0))</f>
        <v/>
      </c>
      <c r="F53" s="592"/>
      <c r="G53" s="49"/>
      <c r="H53" s="48" t="str">
        <f>IF(G53=0,"",VLOOKUP(G53,$N:$O,2,0))</f>
        <v/>
      </c>
      <c r="I53" s="592"/>
      <c r="J53" s="293"/>
      <c r="N53" s="160">
        <f>报表格式!Z53</f>
        <v>0</v>
      </c>
      <c r="O53" s="140">
        <f>报表格式!AA53</f>
        <v>0</v>
      </c>
    </row>
    <row r="54" spans="1:15">
      <c r="A54" s="648"/>
      <c r="B54" s="648"/>
      <c r="C54" s="649"/>
      <c r="D54" s="650"/>
      <c r="E54" s="651"/>
      <c r="F54" s="651"/>
      <c r="G54" s="650"/>
      <c r="H54" s="651"/>
      <c r="I54" s="651"/>
      <c r="J54" s="652" t="str">
        <f>IF(ABS((SUMIF(E50:E53,"?*",J50:J53)-SUMIF(H50:H53,"?*",J50:J53)))&lt;0.005,"","借贷不等")</f>
        <v/>
      </c>
      <c r="N54" s="160">
        <f>报表格式!Z54</f>
        <v>0</v>
      </c>
      <c r="O54" s="140">
        <f>报表格式!AA54</f>
        <v>0</v>
      </c>
    </row>
    <row r="55" spans="1:15">
      <c r="A55" s="925">
        <v>11</v>
      </c>
      <c r="B55" s="932"/>
      <c r="C55" s="929"/>
      <c r="D55" s="38"/>
      <c r="E55" s="48" t="str">
        <f>IF(D55=0,"",VLOOKUP(D55,$N:$O,2,0))</f>
        <v/>
      </c>
      <c r="F55" s="592"/>
      <c r="G55" s="49"/>
      <c r="H55" s="48" t="str">
        <f>IF(G55=0,"",VLOOKUP(G55,$N:$O,2,0))</f>
        <v/>
      </c>
      <c r="I55" s="592"/>
      <c r="J55" s="293"/>
      <c r="N55" s="160">
        <f>报表格式!Z55</f>
        <v>0</v>
      </c>
      <c r="O55" s="55" t="str">
        <f>报表格式!AA55</f>
        <v>股权分置流通权</v>
      </c>
    </row>
    <row r="56" spans="1:15">
      <c r="A56" s="926"/>
      <c r="B56" s="933"/>
      <c r="C56" s="930"/>
      <c r="D56" s="38"/>
      <c r="E56" s="48" t="str">
        <f>IF(D56=0,"",VLOOKUP(D56,$N:$O,2,0))</f>
        <v/>
      </c>
      <c r="F56" s="592"/>
      <c r="G56" s="49"/>
      <c r="H56" s="48" t="str">
        <f>IF(G56=0,"",VLOOKUP(G56,$N:$O,2,0))</f>
        <v/>
      </c>
      <c r="I56" s="592"/>
      <c r="J56" s="293"/>
      <c r="N56" s="160">
        <f>报表格式!Z56</f>
        <v>0</v>
      </c>
      <c r="O56" s="55" t="str">
        <f>报表格式!AA56</f>
        <v>其他长期资产</v>
      </c>
    </row>
    <row r="57" spans="1:15">
      <c r="A57" s="926"/>
      <c r="B57" s="933"/>
      <c r="C57" s="930"/>
      <c r="D57" s="38"/>
      <c r="E57" s="48" t="str">
        <f>IF(D57=0,"",VLOOKUP(D57,$N:$O,2,0))</f>
        <v/>
      </c>
      <c r="F57" s="592"/>
      <c r="G57" s="49"/>
      <c r="H57" s="48" t="str">
        <f>IF(G57=0,"",VLOOKUP(G57,$N:$O,2,0))</f>
        <v/>
      </c>
      <c r="I57" s="592"/>
      <c r="J57" s="293"/>
      <c r="N57" s="160">
        <f>报表格式!Z57</f>
        <v>0</v>
      </c>
      <c r="O57" s="55">
        <f>报表格式!AA57</f>
        <v>0</v>
      </c>
    </row>
    <row r="58" spans="1:15">
      <c r="A58" s="927"/>
      <c r="B58" s="934"/>
      <c r="C58" s="931"/>
      <c r="D58" s="38"/>
      <c r="E58" s="48" t="str">
        <f>IF(D58=0,"",VLOOKUP(D58,$N:$O,2,0))</f>
        <v/>
      </c>
      <c r="F58" s="592"/>
      <c r="G58" s="49"/>
      <c r="H58" s="48" t="str">
        <f>IF(G58=0,"",VLOOKUP(G58,$N:$O,2,0))</f>
        <v/>
      </c>
      <c r="I58" s="592"/>
      <c r="J58" s="293"/>
      <c r="N58" s="160">
        <f>报表格式!Z58</f>
        <v>0</v>
      </c>
      <c r="O58" s="55">
        <f>报表格式!AA58</f>
        <v>0</v>
      </c>
    </row>
    <row r="59" spans="1:15">
      <c r="A59" s="648"/>
      <c r="B59" s="648"/>
      <c r="C59" s="649"/>
      <c r="D59" s="650"/>
      <c r="E59" s="651"/>
      <c r="F59" s="651"/>
      <c r="G59" s="650"/>
      <c r="H59" s="651"/>
      <c r="I59" s="651"/>
      <c r="J59" s="652" t="str">
        <f>IF(ABS((SUMIF(E55:E58,"?*",J55:J58)-SUMIF(H55:H58,"?*",J55:J58)))&lt;0.005,"","借贷不等")</f>
        <v/>
      </c>
      <c r="N59" s="160">
        <f>报表格式!Z59</f>
        <v>0</v>
      </c>
      <c r="O59" s="53" t="str">
        <f>报表格式!AA59</f>
        <v>无形资产及其他资产合计</v>
      </c>
    </row>
    <row r="60" spans="1:15">
      <c r="A60" s="925">
        <v>12</v>
      </c>
      <c r="B60" s="932"/>
      <c r="C60" s="929"/>
      <c r="D60" s="38"/>
      <c r="E60" s="48" t="str">
        <f>IF(D60=0,"",VLOOKUP(D60,$N:$O,2,0))</f>
        <v/>
      </c>
      <c r="F60" s="592"/>
      <c r="G60" s="49"/>
      <c r="H60" s="48" t="str">
        <f>IF(G60=0,"",VLOOKUP(G60,$N:$O,2,0))</f>
        <v/>
      </c>
      <c r="I60" s="592"/>
      <c r="J60" s="293"/>
      <c r="N60" s="160">
        <f>报表格式!Z60</f>
        <v>0</v>
      </c>
      <c r="O60" s="137" t="str">
        <f>报表格式!AA60</f>
        <v>递延税项：</v>
      </c>
    </row>
    <row r="61" spans="1:15">
      <c r="A61" s="926"/>
      <c r="B61" s="933"/>
      <c r="C61" s="930"/>
      <c r="D61" s="38"/>
      <c r="E61" s="48" t="str">
        <f>IF(D61=0,"",VLOOKUP(D61,$N:$O,2,0))</f>
        <v/>
      </c>
      <c r="F61" s="592"/>
      <c r="G61" s="49"/>
      <c r="H61" s="48" t="str">
        <f>IF(G61=0,"",VLOOKUP(G61,$N:$O,2,0))</f>
        <v/>
      </c>
      <c r="I61" s="592"/>
      <c r="J61" s="293"/>
      <c r="N61" s="160" t="str">
        <f>报表格式!Z61</f>
        <v>I18-1</v>
      </c>
      <c r="O61" s="54" t="str">
        <f>报表格式!AA61</f>
        <v>递延税款借项</v>
      </c>
    </row>
    <row r="62" spans="1:15">
      <c r="A62" s="926"/>
      <c r="B62" s="933"/>
      <c r="C62" s="930"/>
      <c r="D62" s="38"/>
      <c r="E62" s="48" t="str">
        <f>IF(D62=0,"",VLOOKUP(D62,$N:$O,2,0))</f>
        <v/>
      </c>
      <c r="F62" s="592"/>
      <c r="G62" s="49"/>
      <c r="H62" s="48" t="str">
        <f>IF(G62=0,"",VLOOKUP(G62,$N:$O,2,0))</f>
        <v/>
      </c>
      <c r="I62" s="592"/>
      <c r="J62" s="293"/>
      <c r="N62" s="160">
        <f>报表格式!Z62</f>
        <v>0</v>
      </c>
      <c r="O62" s="56">
        <f>报表格式!AA62</f>
        <v>0</v>
      </c>
    </row>
    <row r="63" spans="1:15">
      <c r="A63" s="927"/>
      <c r="B63" s="934"/>
      <c r="C63" s="931"/>
      <c r="D63" s="38"/>
      <c r="E63" s="48" t="str">
        <f>IF(D63=0,"",VLOOKUP(D63,$N:$O,2,0))</f>
        <v/>
      </c>
      <c r="F63" s="592"/>
      <c r="G63" s="49"/>
      <c r="H63" s="48" t="str">
        <f>IF(G63=0,"",VLOOKUP(G63,$N:$O,2,0))</f>
        <v/>
      </c>
      <c r="I63" s="592"/>
      <c r="J63" s="293"/>
      <c r="N63" s="160">
        <f>报表格式!Z63</f>
        <v>0</v>
      </c>
      <c r="O63" s="53" t="str">
        <f>报表格式!AA63</f>
        <v>资产总计</v>
      </c>
    </row>
    <row r="64" spans="1:15">
      <c r="A64" s="648"/>
      <c r="B64" s="648"/>
      <c r="C64" s="649"/>
      <c r="D64" s="650"/>
      <c r="E64" s="651"/>
      <c r="F64" s="651"/>
      <c r="G64" s="650"/>
      <c r="H64" s="651"/>
      <c r="I64" s="651"/>
      <c r="J64" s="652" t="str">
        <f>IF(ABS((SUMIF(E60:E63,"?*",J60:J63)-SUMIF(H60:H63,"?*",J60:J63)))&lt;0.005,"","借贷不等")</f>
        <v/>
      </c>
      <c r="N64" s="160">
        <f>报表格式!Z64</f>
        <v>0</v>
      </c>
      <c r="O64" s="54">
        <f>报表格式!AA64</f>
        <v>0</v>
      </c>
    </row>
    <row r="65" spans="1:15">
      <c r="A65" s="925">
        <v>13</v>
      </c>
      <c r="B65" s="932"/>
      <c r="C65" s="929"/>
      <c r="D65" s="38"/>
      <c r="E65" s="48" t="str">
        <f>IF(D65=0,"",VLOOKUP(D65,$N:$O,2,0))</f>
        <v/>
      </c>
      <c r="F65" s="592"/>
      <c r="G65" s="49"/>
      <c r="H65" s="48" t="str">
        <f>IF(G65=0,"",VLOOKUP(G65,$N:$O,2,0))</f>
        <v/>
      </c>
      <c r="I65" s="592"/>
      <c r="J65" s="293"/>
      <c r="N65" s="160">
        <f>报表格式!Z65</f>
        <v>0</v>
      </c>
      <c r="O65" s="138" t="str">
        <f>报表格式!AA65</f>
        <v>流动负债：</v>
      </c>
    </row>
    <row r="66" spans="1:15">
      <c r="A66" s="926"/>
      <c r="B66" s="933"/>
      <c r="C66" s="930"/>
      <c r="D66" s="38"/>
      <c r="E66" s="48" t="str">
        <f>IF(D66=0,"",VLOOKUP(D66,$N:$O,2,0))</f>
        <v/>
      </c>
      <c r="F66" s="592"/>
      <c r="G66" s="49"/>
      <c r="H66" s="48" t="str">
        <f>IF(G66=0,"",VLOOKUP(G66,$N:$O,2,0))</f>
        <v/>
      </c>
      <c r="I66" s="592"/>
      <c r="J66" s="293"/>
      <c r="N66" s="160" t="str">
        <f>报表格式!Z66</f>
        <v>F11</v>
      </c>
      <c r="O66" s="54" t="str">
        <f>报表格式!AA66</f>
        <v>短期借款</v>
      </c>
    </row>
    <row r="67" spans="1:15">
      <c r="A67" s="926"/>
      <c r="B67" s="933"/>
      <c r="C67" s="930"/>
      <c r="D67" s="38"/>
      <c r="E67" s="48" t="str">
        <f>IF(D67=0,"",VLOOKUP(D67,$N:$O,2,0))</f>
        <v/>
      </c>
      <c r="F67" s="592"/>
      <c r="G67" s="49"/>
      <c r="H67" s="48" t="str">
        <f>IF(G67=0,"",VLOOKUP(G67,$N:$O,2,0))</f>
        <v/>
      </c>
      <c r="I67" s="592"/>
      <c r="J67" s="293"/>
      <c r="N67" s="160" t="str">
        <f>报表格式!Z67</f>
        <v>E12</v>
      </c>
      <c r="O67" s="54" t="str">
        <f>报表格式!AA67</f>
        <v>应付票据</v>
      </c>
    </row>
    <row r="68" spans="1:15">
      <c r="A68" s="927"/>
      <c r="B68" s="934"/>
      <c r="C68" s="931"/>
      <c r="D68" s="38"/>
      <c r="E68" s="48" t="str">
        <f>IF(D68=0,"",VLOOKUP(D68,$N:$O,2,0))</f>
        <v/>
      </c>
      <c r="F68" s="592"/>
      <c r="G68" s="49"/>
      <c r="H68" s="48" t="str">
        <f>IF(G68=0,"",VLOOKUP(G68,$N:$O,2,0))</f>
        <v/>
      </c>
      <c r="I68" s="592"/>
      <c r="J68" s="293"/>
      <c r="N68" s="160" t="str">
        <f>报表格式!Z68</f>
        <v>E11</v>
      </c>
      <c r="O68" s="54" t="str">
        <f>报表格式!AA68</f>
        <v>应付账款</v>
      </c>
    </row>
    <row r="69" spans="1:15">
      <c r="A69" s="648"/>
      <c r="B69" s="648"/>
      <c r="C69" s="649"/>
      <c r="D69" s="650"/>
      <c r="E69" s="651"/>
      <c r="F69" s="651"/>
      <c r="G69" s="650"/>
      <c r="H69" s="651"/>
      <c r="I69" s="651"/>
      <c r="J69" s="652" t="str">
        <f>IF(ABS((SUMIF(E65:E68,"?*",J65:J68)-SUMIF(H65:H68,"?*",J65:J68)))&lt;0.005,"","借贷不等")</f>
        <v/>
      </c>
      <c r="N69" s="160" t="str">
        <f>报表格式!Z69</f>
        <v>D11</v>
      </c>
      <c r="O69" s="54" t="str">
        <f>报表格式!AA69</f>
        <v>预收账款</v>
      </c>
    </row>
    <row r="70" spans="1:15">
      <c r="A70" s="925">
        <v>14</v>
      </c>
      <c r="B70" s="932"/>
      <c r="C70" s="929"/>
      <c r="D70" s="38"/>
      <c r="E70" s="48" t="str">
        <f>IF(D70=0,"",VLOOKUP(D70,$N:$O,2,0))</f>
        <v/>
      </c>
      <c r="F70" s="592"/>
      <c r="G70" s="49"/>
      <c r="H70" s="48" t="str">
        <f>IF(G70=0,"",VLOOKUP(G70,$N:$O,2,0))</f>
        <v/>
      </c>
      <c r="I70" s="592"/>
      <c r="J70" s="293"/>
      <c r="N70" s="160" t="str">
        <f>报表格式!Z70</f>
        <v>E16</v>
      </c>
      <c r="O70" s="134" t="str">
        <f>报表格式!AA70</f>
        <v>应付工资</v>
      </c>
    </row>
    <row r="71" spans="1:15">
      <c r="A71" s="926"/>
      <c r="B71" s="933"/>
      <c r="C71" s="930"/>
      <c r="D71" s="38"/>
      <c r="E71" s="48" t="str">
        <f>IF(D71=0,"",VLOOKUP(D71,$N:$O,2,0))</f>
        <v/>
      </c>
      <c r="F71" s="592"/>
      <c r="G71" s="49"/>
      <c r="H71" s="48" t="str">
        <f>IF(G71=0,"",VLOOKUP(G71,$N:$O,2,0))</f>
        <v/>
      </c>
      <c r="I71" s="592"/>
      <c r="J71" s="293"/>
      <c r="N71" s="160" t="str">
        <f>报表格式!Z71</f>
        <v>E17</v>
      </c>
      <c r="O71" s="54" t="str">
        <f>报表格式!AA71</f>
        <v>应付福利费</v>
      </c>
    </row>
    <row r="72" spans="1:15">
      <c r="A72" s="926"/>
      <c r="B72" s="933"/>
      <c r="C72" s="930"/>
      <c r="D72" s="38"/>
      <c r="E72" s="48" t="str">
        <f>IF(D72=0,"",VLOOKUP(D72,$N:$O,2,0))</f>
        <v/>
      </c>
      <c r="F72" s="592"/>
      <c r="G72" s="49"/>
      <c r="H72" s="48" t="str">
        <f>IF(G72=0,"",VLOOKUP(G72,$N:$O,2,0))</f>
        <v/>
      </c>
      <c r="I72" s="592"/>
      <c r="J72" s="293"/>
      <c r="N72" s="160" t="str">
        <f>报表格式!Z72</f>
        <v>F15</v>
      </c>
      <c r="O72" s="134" t="str">
        <f>报表格式!AA72</f>
        <v>应付股利（利润）</v>
      </c>
    </row>
    <row r="73" spans="1:15">
      <c r="A73" s="927"/>
      <c r="B73" s="934"/>
      <c r="C73" s="931"/>
      <c r="D73" s="38"/>
      <c r="E73" s="48" t="str">
        <f>IF(D73=0,"",VLOOKUP(D73,$N:$O,2,0))</f>
        <v/>
      </c>
      <c r="F73" s="592"/>
      <c r="G73" s="49"/>
      <c r="H73" s="48" t="str">
        <f>IF(G73=0,"",VLOOKUP(G73,$N:$O,2,0))</f>
        <v/>
      </c>
      <c r="I73" s="592"/>
      <c r="J73" s="293"/>
      <c r="N73" s="160" t="str">
        <f>报表格式!Z73</f>
        <v>F14</v>
      </c>
      <c r="O73" s="161" t="str">
        <f>报表格式!AA73</f>
        <v>应付利息</v>
      </c>
    </row>
    <row r="74" spans="1:15">
      <c r="A74" s="648"/>
      <c r="B74" s="648"/>
      <c r="C74" s="649"/>
      <c r="D74" s="650"/>
      <c r="E74" s="651"/>
      <c r="F74" s="651"/>
      <c r="G74" s="650"/>
      <c r="H74" s="651"/>
      <c r="I74" s="651"/>
      <c r="J74" s="652" t="str">
        <f>IF(ABS((SUMIF(E70:E73,"?*",J70:J73)-SUMIF(H70:H73,"?*",J70:J73)))&lt;0.005,"","借贷不等")</f>
        <v/>
      </c>
      <c r="N74" s="160" t="str">
        <f>报表格式!Z74</f>
        <v>I16</v>
      </c>
      <c r="O74" s="161" t="str">
        <f>报表格式!AA74</f>
        <v>应交税金</v>
      </c>
    </row>
    <row r="75" spans="1:15">
      <c r="A75" s="925">
        <v>15</v>
      </c>
      <c r="B75" s="932"/>
      <c r="C75" s="929"/>
      <c r="D75" s="38"/>
      <c r="E75" s="48" t="str">
        <f>IF(D75=0,"",VLOOKUP(D75,$N:$O,2,0))</f>
        <v/>
      </c>
      <c r="F75" s="592"/>
      <c r="G75" s="49"/>
      <c r="H75" s="48" t="str">
        <f>IF(G75=0,"",VLOOKUP(G75,$N:$O,2,0))</f>
        <v/>
      </c>
      <c r="I75" s="592"/>
      <c r="J75" s="293"/>
      <c r="N75" s="160" t="str">
        <f>报表格式!Z75</f>
        <v>I17</v>
      </c>
      <c r="O75" s="161" t="str">
        <f>报表格式!AA75</f>
        <v>其他应交款</v>
      </c>
    </row>
    <row r="76" spans="1:15">
      <c r="A76" s="926"/>
      <c r="B76" s="933"/>
      <c r="C76" s="930"/>
      <c r="D76" s="38"/>
      <c r="E76" s="48" t="str">
        <f>IF(D76=0,"",VLOOKUP(D76,$N:$O,2,0))</f>
        <v/>
      </c>
      <c r="F76" s="592"/>
      <c r="G76" s="49"/>
      <c r="H76" s="48" t="str">
        <f>IF(G76=0,"",VLOOKUP(G76,$N:$O,2,0))</f>
        <v/>
      </c>
      <c r="I76" s="592"/>
      <c r="J76" s="293"/>
      <c r="N76" s="160" t="str">
        <f>报表格式!Z76</f>
        <v>G11</v>
      </c>
      <c r="O76" s="161" t="str">
        <f>报表格式!AA76</f>
        <v>其他应付款</v>
      </c>
    </row>
    <row r="77" spans="1:15">
      <c r="A77" s="926"/>
      <c r="B77" s="933"/>
      <c r="C77" s="930"/>
      <c r="D77" s="38"/>
      <c r="E77" s="48" t="str">
        <f>IF(D77=0,"",VLOOKUP(D77,$N:$O,2,0))</f>
        <v/>
      </c>
      <c r="F77" s="592"/>
      <c r="G77" s="49"/>
      <c r="H77" s="48" t="str">
        <f>IF(G77=0,"",VLOOKUP(G77,$N:$O,2,0))</f>
        <v/>
      </c>
      <c r="I77" s="592"/>
      <c r="J77" s="293"/>
      <c r="N77" s="160" t="str">
        <f>报表格式!Z77</f>
        <v>I11</v>
      </c>
      <c r="O77" s="161" t="str">
        <f>报表格式!AA77</f>
        <v>预提费用</v>
      </c>
    </row>
    <row r="78" spans="1:15">
      <c r="A78" s="927"/>
      <c r="B78" s="934"/>
      <c r="C78" s="931"/>
      <c r="D78" s="38"/>
      <c r="E78" s="48" t="str">
        <f>IF(D78=0,"",VLOOKUP(D78,$N:$O,2,0))</f>
        <v/>
      </c>
      <c r="F78" s="592"/>
      <c r="G78" s="49"/>
      <c r="H78" s="48" t="str">
        <f>IF(G78=0,"",VLOOKUP(G78,$N:$O,2,0))</f>
        <v/>
      </c>
      <c r="I78" s="592"/>
      <c r="J78" s="293"/>
      <c r="N78" s="160" t="str">
        <f>报表格式!Z78</f>
        <v>I19</v>
      </c>
      <c r="O78" s="161" t="str">
        <f>报表格式!AA78</f>
        <v>预计负债</v>
      </c>
    </row>
    <row r="79" spans="1:15">
      <c r="A79" s="648"/>
      <c r="B79" s="648"/>
      <c r="C79" s="649"/>
      <c r="D79" s="650"/>
      <c r="E79" s="651"/>
      <c r="F79" s="651"/>
      <c r="G79" s="650"/>
      <c r="H79" s="651"/>
      <c r="I79" s="651"/>
      <c r="J79" s="652" t="str">
        <f>IF(ABS((SUMIF(E75:E78,"?*",J75:J78)-SUMIF(H75:H78,"?*",J75:J78)))&lt;0.005,"","借贷不等")</f>
        <v/>
      </c>
      <c r="N79" s="160" t="str">
        <f>报表格式!Z79</f>
        <v>D12</v>
      </c>
      <c r="O79" s="161" t="str">
        <f>报表格式!AA79</f>
        <v>递延收益</v>
      </c>
    </row>
    <row r="80" spans="1:15">
      <c r="A80" s="925">
        <v>16</v>
      </c>
      <c r="B80" s="932"/>
      <c r="C80" s="929"/>
      <c r="D80" s="38"/>
      <c r="E80" s="48" t="str">
        <f>IF(D80=0,"",VLOOKUP(D80,$N:$O,2,0))</f>
        <v/>
      </c>
      <c r="F80" s="592"/>
      <c r="G80" s="49"/>
      <c r="H80" s="48" t="str">
        <f>IF(G80=0,"",VLOOKUP(G80,$N:$O,2,0))</f>
        <v/>
      </c>
      <c r="I80" s="592"/>
      <c r="J80" s="293"/>
      <c r="N80" s="160">
        <f>报表格式!Z80</f>
        <v>0</v>
      </c>
      <c r="O80" s="161" t="str">
        <f>报表格式!AA80</f>
        <v>一年内到期的长期负债</v>
      </c>
    </row>
    <row r="81" spans="1:15">
      <c r="A81" s="926"/>
      <c r="B81" s="933"/>
      <c r="C81" s="930"/>
      <c r="D81" s="38"/>
      <c r="E81" s="48" t="str">
        <f>IF(D81=0,"",VLOOKUP(D81,$N:$O,2,0))</f>
        <v/>
      </c>
      <c r="F81" s="592"/>
      <c r="G81" s="49"/>
      <c r="H81" s="48" t="str">
        <f>IF(G81=0,"",VLOOKUP(G81,$N:$O,2,0))</f>
        <v/>
      </c>
      <c r="I81" s="592"/>
      <c r="J81" s="293"/>
      <c r="N81" s="160">
        <f>报表格式!Z81</f>
        <v>0</v>
      </c>
      <c r="O81" s="161" t="str">
        <f>报表格式!AA81</f>
        <v>应付权证</v>
      </c>
    </row>
    <row r="82" spans="1:15">
      <c r="A82" s="926"/>
      <c r="B82" s="933"/>
      <c r="C82" s="930"/>
      <c r="D82" s="38"/>
      <c r="E82" s="48" t="str">
        <f>IF(D82=0,"",VLOOKUP(D82,$N:$O,2,0))</f>
        <v/>
      </c>
      <c r="F82" s="592"/>
      <c r="G82" s="49"/>
      <c r="H82" s="48" t="str">
        <f>IF(G82=0,"",VLOOKUP(G82,$N:$O,2,0))</f>
        <v/>
      </c>
      <c r="I82" s="592"/>
      <c r="J82" s="293"/>
      <c r="N82" s="160">
        <f>报表格式!Z82</f>
        <v>0</v>
      </c>
      <c r="O82" s="161" t="str">
        <f>报表格式!AA82</f>
        <v>其他流动负债</v>
      </c>
    </row>
    <row r="83" spans="1:15">
      <c r="A83" s="927"/>
      <c r="B83" s="934"/>
      <c r="C83" s="931"/>
      <c r="D83" s="38"/>
      <c r="E83" s="48" t="str">
        <f>IF(D83=0,"",VLOOKUP(D83,$N:$O,2,0))</f>
        <v/>
      </c>
      <c r="F83" s="592"/>
      <c r="G83" s="49"/>
      <c r="H83" s="48" t="str">
        <f>IF(G83=0,"",VLOOKUP(G83,$N:$O,2,0))</f>
        <v/>
      </c>
      <c r="I83" s="592"/>
      <c r="J83" s="293"/>
      <c r="N83" s="160">
        <f>报表格式!Z83</f>
        <v>0</v>
      </c>
      <c r="O83" s="161">
        <f>报表格式!AA83</f>
        <v>0</v>
      </c>
    </row>
    <row r="84" spans="1:15">
      <c r="A84" s="648"/>
      <c r="B84" s="648"/>
      <c r="C84" s="649"/>
      <c r="D84" s="650"/>
      <c r="E84" s="651"/>
      <c r="F84" s="651"/>
      <c r="G84" s="650"/>
      <c r="H84" s="651"/>
      <c r="I84" s="651"/>
      <c r="J84" s="652" t="str">
        <f>IF(ABS((SUMIF(E80:E83,"?*",J80:J83)-SUMIF(H80:H83,"?*",J80:J83)))&lt;0.005,"","借贷不等")</f>
        <v/>
      </c>
      <c r="N84" s="160">
        <f>报表格式!Z84</f>
        <v>0</v>
      </c>
      <c r="O84" s="161">
        <f>报表格式!AA84</f>
        <v>0</v>
      </c>
    </row>
    <row r="85" spans="1:15">
      <c r="A85" s="925">
        <v>17</v>
      </c>
      <c r="B85" s="932"/>
      <c r="C85" s="929"/>
      <c r="D85" s="38"/>
      <c r="E85" s="48" t="str">
        <f>IF(D85=0,"",VLOOKUP(D85,$N:$O,2,0))</f>
        <v/>
      </c>
      <c r="F85" s="592"/>
      <c r="G85" s="49"/>
      <c r="H85" s="48" t="str">
        <f>IF(G85=0,"",VLOOKUP(G85,$N:$O,2,0))</f>
        <v/>
      </c>
      <c r="I85" s="592"/>
      <c r="J85" s="293"/>
      <c r="N85" s="160">
        <f>报表格式!Z85</f>
        <v>0</v>
      </c>
      <c r="O85" s="163" t="str">
        <f>报表格式!AA85</f>
        <v>流动负债合计</v>
      </c>
    </row>
    <row r="86" spans="1:15">
      <c r="A86" s="926"/>
      <c r="B86" s="933"/>
      <c r="C86" s="930"/>
      <c r="D86" s="38"/>
      <c r="E86" s="48" t="str">
        <f>IF(D86=0,"",VLOOKUP(D86,$N:$O,2,0))</f>
        <v/>
      </c>
      <c r="F86" s="592"/>
      <c r="G86" s="49"/>
      <c r="H86" s="48" t="str">
        <f>IF(G86=0,"",VLOOKUP(G86,$N:$O,2,0))</f>
        <v/>
      </c>
      <c r="I86" s="592"/>
      <c r="J86" s="293"/>
      <c r="N86" s="160">
        <f>报表格式!Z86</f>
        <v>0</v>
      </c>
      <c r="O86" s="164">
        <f>报表格式!AA86</f>
        <v>0</v>
      </c>
    </row>
    <row r="87" spans="1:15">
      <c r="A87" s="926"/>
      <c r="B87" s="933"/>
      <c r="C87" s="930"/>
      <c r="D87" s="38"/>
      <c r="E87" s="48" t="str">
        <f>IF(D87=0,"",VLOOKUP(D87,$N:$O,2,0))</f>
        <v/>
      </c>
      <c r="F87" s="592"/>
      <c r="G87" s="49"/>
      <c r="H87" s="48" t="str">
        <f>IF(G87=0,"",VLOOKUP(G87,$N:$O,2,0))</f>
        <v/>
      </c>
      <c r="I87" s="592"/>
      <c r="J87" s="293"/>
      <c r="N87" s="160">
        <f>报表格式!Z87</f>
        <v>0</v>
      </c>
      <c r="O87" s="165" t="str">
        <f>报表格式!AA87</f>
        <v>长期负债：</v>
      </c>
    </row>
    <row r="88" spans="1:15">
      <c r="A88" s="927"/>
      <c r="B88" s="934"/>
      <c r="C88" s="931"/>
      <c r="D88" s="38"/>
      <c r="E88" s="48" t="str">
        <f>IF(D88=0,"",VLOOKUP(D88,$N:$O,2,0))</f>
        <v/>
      </c>
      <c r="F88" s="592"/>
      <c r="G88" s="49"/>
      <c r="H88" s="48" t="str">
        <f>IF(G88=0,"",VLOOKUP(G88,$N:$O,2,0))</f>
        <v/>
      </c>
      <c r="I88" s="592"/>
      <c r="J88" s="293"/>
      <c r="N88" s="160" t="str">
        <f>报表格式!Z88</f>
        <v>F12</v>
      </c>
      <c r="O88" s="164" t="str">
        <f>报表格式!AA88</f>
        <v>长期借款</v>
      </c>
    </row>
    <row r="89" spans="1:15">
      <c r="A89" s="648"/>
      <c r="B89" s="648"/>
      <c r="C89" s="649"/>
      <c r="D89" s="650"/>
      <c r="E89" s="651"/>
      <c r="F89" s="651"/>
      <c r="G89" s="650"/>
      <c r="H89" s="651"/>
      <c r="I89" s="651"/>
      <c r="J89" s="652" t="str">
        <f>IF(ABS((SUMIF(E85:E88,"?*",J85:J88)-SUMIF(H85:H88,"?*",J85:J88)))&lt;0.005,"","借贷不等")</f>
        <v/>
      </c>
      <c r="N89" s="160" t="str">
        <f>报表格式!Z89</f>
        <v>F13</v>
      </c>
      <c r="O89" s="164" t="str">
        <f>报表格式!AA89</f>
        <v>应付债券</v>
      </c>
    </row>
    <row r="90" spans="1:15">
      <c r="A90" s="925">
        <v>18</v>
      </c>
      <c r="B90" s="932"/>
      <c r="C90" s="929"/>
      <c r="D90" s="38"/>
      <c r="E90" s="48" t="str">
        <f>IF(D90=0,"",VLOOKUP(D90,$N:$O,2,0))</f>
        <v/>
      </c>
      <c r="F90" s="592"/>
      <c r="G90" s="49"/>
      <c r="H90" s="48" t="str">
        <f>IF(G90=0,"",VLOOKUP(G90,$N:$O,2,0))</f>
        <v/>
      </c>
      <c r="I90" s="592"/>
      <c r="J90" s="293"/>
      <c r="N90" s="160" t="str">
        <f>报表格式!Z90</f>
        <v>G12</v>
      </c>
      <c r="O90" s="164" t="str">
        <f>报表格式!AA90</f>
        <v>长期应付款</v>
      </c>
    </row>
    <row r="91" spans="1:15">
      <c r="A91" s="926"/>
      <c r="B91" s="933"/>
      <c r="C91" s="930"/>
      <c r="D91" s="38"/>
      <c r="E91" s="48" t="str">
        <f>IF(D91=0,"",VLOOKUP(D91,$N:$O,2,0))</f>
        <v/>
      </c>
      <c r="F91" s="592"/>
      <c r="G91" s="49"/>
      <c r="H91" s="48" t="str">
        <f>IF(G91=0,"",VLOOKUP(G91,$N:$O,2,0))</f>
        <v/>
      </c>
      <c r="I91" s="592"/>
      <c r="J91" s="293"/>
      <c r="N91" s="160" t="str">
        <f>报表格式!Z91</f>
        <v>G13</v>
      </c>
      <c r="O91" s="164" t="str">
        <f>报表格式!AA91</f>
        <v>专项应付款</v>
      </c>
    </row>
    <row r="92" spans="1:15">
      <c r="A92" s="926"/>
      <c r="B92" s="933"/>
      <c r="C92" s="930"/>
      <c r="D92" s="38"/>
      <c r="E92" s="48" t="str">
        <f>IF(D92=0,"",VLOOKUP(D92,$N:$O,2,0))</f>
        <v/>
      </c>
      <c r="F92" s="592"/>
      <c r="G92" s="49"/>
      <c r="H92" s="48" t="str">
        <f>IF(G92=0,"",VLOOKUP(G92,$N:$O,2,0))</f>
        <v/>
      </c>
      <c r="I92" s="592"/>
      <c r="J92" s="293"/>
      <c r="N92" s="160">
        <f>报表格式!Z92</f>
        <v>0</v>
      </c>
      <c r="O92" s="164" t="str">
        <f>报表格式!AA92</f>
        <v>其他长期负债</v>
      </c>
    </row>
    <row r="93" spans="1:15">
      <c r="A93" s="927"/>
      <c r="B93" s="934"/>
      <c r="C93" s="931"/>
      <c r="D93" s="38"/>
      <c r="E93" s="48" t="str">
        <f>IF(D93=0,"",VLOOKUP(D93,$N:$O,2,0))</f>
        <v/>
      </c>
      <c r="F93" s="592"/>
      <c r="G93" s="49"/>
      <c r="H93" s="48" t="str">
        <f>IF(G93=0,"",VLOOKUP(G93,$N:$O,2,0))</f>
        <v/>
      </c>
      <c r="I93" s="592"/>
      <c r="J93" s="293"/>
      <c r="N93" s="160">
        <f>报表格式!Z93</f>
        <v>0</v>
      </c>
      <c r="O93" s="139">
        <f>报表格式!AA93</f>
        <v>0</v>
      </c>
    </row>
    <row r="94" spans="1:15">
      <c r="A94" s="648"/>
      <c r="B94" s="648"/>
      <c r="C94" s="649"/>
      <c r="D94" s="650"/>
      <c r="E94" s="651"/>
      <c r="F94" s="651"/>
      <c r="G94" s="650"/>
      <c r="H94" s="651"/>
      <c r="I94" s="651"/>
      <c r="J94" s="652" t="str">
        <f>IF(ABS((SUMIF(E90:E93,"?*",J90:J93)-SUMIF(H90:H93,"?*",J90:J93)))&lt;0.005,"","借贷不等")</f>
        <v/>
      </c>
      <c r="N94" s="160">
        <f>报表格式!Z94</f>
        <v>0</v>
      </c>
      <c r="O94" s="164">
        <f>报表格式!AA94</f>
        <v>0</v>
      </c>
    </row>
    <row r="95" spans="1:15">
      <c r="A95" s="925">
        <v>19</v>
      </c>
      <c r="B95" s="932"/>
      <c r="C95" s="929"/>
      <c r="D95" s="38"/>
      <c r="E95" s="48" t="str">
        <f>IF(D95=0,"",VLOOKUP(D95,$N:$O,2,0))</f>
        <v/>
      </c>
      <c r="F95" s="592"/>
      <c r="G95" s="49"/>
      <c r="H95" s="48" t="str">
        <f>IF(G95=0,"",VLOOKUP(G95,$N:$O,2,0))</f>
        <v/>
      </c>
      <c r="I95" s="592"/>
      <c r="J95" s="293"/>
      <c r="N95" s="160">
        <f>报表格式!Z95</f>
        <v>0</v>
      </c>
      <c r="O95" s="164">
        <f>报表格式!AA95</f>
        <v>0</v>
      </c>
    </row>
    <row r="96" spans="1:15">
      <c r="A96" s="926"/>
      <c r="B96" s="933"/>
      <c r="C96" s="930"/>
      <c r="D96" s="38"/>
      <c r="E96" s="48" t="str">
        <f>IF(D96=0,"",VLOOKUP(D96,$N:$O,2,0))</f>
        <v/>
      </c>
      <c r="F96" s="592"/>
      <c r="G96" s="49"/>
      <c r="H96" s="48" t="str">
        <f>IF(G96=0,"",VLOOKUP(G96,$N:$O,2,0))</f>
        <v/>
      </c>
      <c r="I96" s="592"/>
      <c r="J96" s="293"/>
      <c r="N96" s="160">
        <f>报表格式!Z96</f>
        <v>0</v>
      </c>
      <c r="O96" s="163" t="str">
        <f>报表格式!AA96</f>
        <v>长期负债合计</v>
      </c>
    </row>
    <row r="97" spans="1:15">
      <c r="A97" s="926"/>
      <c r="B97" s="933"/>
      <c r="C97" s="930"/>
      <c r="D97" s="38"/>
      <c r="E97" s="48" t="str">
        <f>IF(D97=0,"",VLOOKUP(D97,$N:$O,2,0))</f>
        <v/>
      </c>
      <c r="F97" s="592"/>
      <c r="G97" s="49"/>
      <c r="H97" s="48" t="str">
        <f>IF(G97=0,"",VLOOKUP(G97,$N:$O,2,0))</f>
        <v/>
      </c>
      <c r="I97" s="592"/>
      <c r="J97" s="293"/>
      <c r="N97" s="160">
        <f>报表格式!Z97</f>
        <v>0</v>
      </c>
      <c r="O97" s="164">
        <f>报表格式!AA97</f>
        <v>0</v>
      </c>
    </row>
    <row r="98" spans="1:15">
      <c r="A98" s="927"/>
      <c r="B98" s="934"/>
      <c r="C98" s="931"/>
      <c r="D98" s="38"/>
      <c r="E98" s="48" t="str">
        <f>IF(D98=0,"",VLOOKUP(D98,$N:$O,2,0))</f>
        <v/>
      </c>
      <c r="F98" s="592"/>
      <c r="G98" s="49"/>
      <c r="H98" s="48" t="str">
        <f>IF(G98=0,"",VLOOKUP(G98,$N:$O,2,0))</f>
        <v/>
      </c>
      <c r="I98" s="592"/>
      <c r="J98" s="293"/>
      <c r="N98" s="160">
        <f>报表格式!Z98</f>
        <v>0</v>
      </c>
      <c r="O98" s="165" t="str">
        <f>报表格式!AA98</f>
        <v>递延税项：</v>
      </c>
    </row>
    <row r="99" spans="1:15">
      <c r="A99" s="648"/>
      <c r="B99" s="648"/>
      <c r="C99" s="649"/>
      <c r="D99" s="650"/>
      <c r="E99" s="651"/>
      <c r="F99" s="651"/>
      <c r="G99" s="650"/>
      <c r="H99" s="651"/>
      <c r="I99" s="651"/>
      <c r="J99" s="652" t="str">
        <f>IF(ABS((SUMIF(E95:E98,"?*",J95:J98)-SUMIF(H95:H98,"?*",J95:J98)))&lt;0.005,"","借贷不等")</f>
        <v/>
      </c>
      <c r="N99" s="160" t="str">
        <f>报表格式!Z99</f>
        <v>I18-2</v>
      </c>
      <c r="O99" s="164" t="str">
        <f>报表格式!AA99</f>
        <v>递延税款贷项</v>
      </c>
    </row>
    <row r="100" spans="1:15">
      <c r="A100" s="925">
        <v>20</v>
      </c>
      <c r="B100" s="932"/>
      <c r="C100" s="929"/>
      <c r="D100" s="38"/>
      <c r="E100" s="48" t="str">
        <f>IF(D100=0,"",VLOOKUP(D100,$N:$O,2,0))</f>
        <v/>
      </c>
      <c r="F100" s="592"/>
      <c r="G100" s="49"/>
      <c r="H100" s="48" t="str">
        <f>IF(G100=0,"",VLOOKUP(G100,$N:$O,2,0))</f>
        <v/>
      </c>
      <c r="I100" s="592"/>
      <c r="J100" s="293"/>
      <c r="N100" s="160">
        <f>报表格式!Z100</f>
        <v>0</v>
      </c>
      <c r="O100" s="164">
        <f>报表格式!AA100</f>
        <v>0</v>
      </c>
    </row>
    <row r="101" spans="1:15">
      <c r="A101" s="926"/>
      <c r="B101" s="933"/>
      <c r="C101" s="930"/>
      <c r="D101" s="38"/>
      <c r="E101" s="48" t="str">
        <f>IF(D101=0,"",VLOOKUP(D101,$N:$O,2,0))</f>
        <v/>
      </c>
      <c r="F101" s="592"/>
      <c r="G101" s="49"/>
      <c r="H101" s="48" t="str">
        <f>IF(G101=0,"",VLOOKUP(G101,$N:$O,2,0))</f>
        <v/>
      </c>
      <c r="I101" s="592"/>
      <c r="J101" s="293"/>
      <c r="N101" s="160">
        <f>报表格式!Z101</f>
        <v>0</v>
      </c>
      <c r="O101" s="163" t="str">
        <f>报表格式!AA101</f>
        <v>负债合计</v>
      </c>
    </row>
    <row r="102" spans="1:15">
      <c r="A102" s="926"/>
      <c r="B102" s="933"/>
      <c r="C102" s="930"/>
      <c r="D102" s="38"/>
      <c r="E102" s="48" t="str">
        <f>IF(D102=0,"",VLOOKUP(D102,$N:$O,2,0))</f>
        <v/>
      </c>
      <c r="F102" s="592"/>
      <c r="G102" s="49"/>
      <c r="H102" s="48" t="str">
        <f>IF(G102=0,"",VLOOKUP(G102,$N:$O,2,0))</f>
        <v/>
      </c>
      <c r="I102" s="592"/>
      <c r="J102" s="293"/>
      <c r="N102" s="160">
        <f>报表格式!Z102</f>
        <v>0</v>
      </c>
      <c r="O102" s="164">
        <f>报表格式!AA102</f>
        <v>0</v>
      </c>
    </row>
    <row r="103" spans="1:15">
      <c r="A103" s="927"/>
      <c r="B103" s="934"/>
      <c r="C103" s="931"/>
      <c r="D103" s="38"/>
      <c r="E103" s="48" t="str">
        <f>IF(D103=0,"",VLOOKUP(D103,$N:$O,2,0))</f>
        <v/>
      </c>
      <c r="F103" s="592"/>
      <c r="G103" s="49"/>
      <c r="H103" s="48" t="str">
        <f>IF(G103=0,"",VLOOKUP(G103,$N:$O,2,0))</f>
        <v/>
      </c>
      <c r="I103" s="592"/>
      <c r="J103" s="293"/>
      <c r="N103" s="160">
        <f>报表格式!Z103</f>
        <v>0</v>
      </c>
      <c r="O103" s="164" t="str">
        <f>报表格式!AA103</f>
        <v>少数股东权益</v>
      </c>
    </row>
    <row r="104" spans="1:15">
      <c r="A104" s="648"/>
      <c r="B104" s="648"/>
      <c r="C104" s="649"/>
      <c r="D104" s="650"/>
      <c r="E104" s="651"/>
      <c r="F104" s="651"/>
      <c r="G104" s="650"/>
      <c r="H104" s="651"/>
      <c r="I104" s="651"/>
      <c r="J104" s="652" t="str">
        <f>IF(ABS((SUMIF(E100:E103,"?*",J100:J103)-SUMIF(H100:H103,"?*",J100:J103)))&lt;0.005,"","借贷不等")</f>
        <v/>
      </c>
      <c r="N104" s="160">
        <f>报表格式!Z104</f>
        <v>0</v>
      </c>
      <c r="O104" s="164">
        <f>报表格式!AA104</f>
        <v>0</v>
      </c>
    </row>
    <row r="105" spans="1:15">
      <c r="A105" s="925">
        <v>21</v>
      </c>
      <c r="B105" s="932"/>
      <c r="C105" s="929"/>
      <c r="D105" s="38"/>
      <c r="E105" s="48" t="str">
        <f>IF(D105=0,"",VLOOKUP(D105,$N:$O,2,0))</f>
        <v/>
      </c>
      <c r="F105" s="592"/>
      <c r="G105" s="49"/>
      <c r="H105" s="48" t="str">
        <f>IF(G105=0,"",VLOOKUP(G105,$N:$O,2,0))</f>
        <v/>
      </c>
      <c r="I105" s="592"/>
      <c r="J105" s="293"/>
      <c r="N105" s="160">
        <f>报表格式!Z105</f>
        <v>0</v>
      </c>
      <c r="O105" s="165" t="str">
        <f>报表格式!AA105</f>
        <v>所有者权益：</v>
      </c>
    </row>
    <row r="106" spans="1:15">
      <c r="A106" s="926"/>
      <c r="B106" s="933"/>
      <c r="C106" s="930"/>
      <c r="D106" s="38"/>
      <c r="E106" s="48" t="str">
        <f>IF(D106=0,"",VLOOKUP(D106,$N:$O,2,0))</f>
        <v/>
      </c>
      <c r="F106" s="592"/>
      <c r="G106" s="49"/>
      <c r="H106" s="48" t="str">
        <f>IF(G106=0,"",VLOOKUP(G106,$N:$O,2,0))</f>
        <v/>
      </c>
      <c r="I106" s="592"/>
      <c r="J106" s="293"/>
      <c r="N106" s="160" t="str">
        <f>报表格式!Z106</f>
        <v>F16</v>
      </c>
      <c r="O106" s="164" t="str">
        <f>报表格式!AA106</f>
        <v>实收资本</v>
      </c>
    </row>
    <row r="107" spans="1:15">
      <c r="A107" s="926"/>
      <c r="B107" s="933"/>
      <c r="C107" s="930"/>
      <c r="D107" s="38"/>
      <c r="E107" s="48" t="str">
        <f>IF(D107=0,"",VLOOKUP(D107,$N:$O,2,0))</f>
        <v/>
      </c>
      <c r="F107" s="592"/>
      <c r="G107" s="49"/>
      <c r="H107" s="48" t="str">
        <f>IF(G107=0,"",VLOOKUP(G107,$N:$O,2,0))</f>
        <v/>
      </c>
      <c r="I107" s="592"/>
      <c r="J107" s="293"/>
      <c r="N107" s="160">
        <f>报表格式!Z107</f>
        <v>0</v>
      </c>
      <c r="O107" s="164">
        <f>报表格式!AA107</f>
        <v>0</v>
      </c>
    </row>
    <row r="108" spans="1:15">
      <c r="A108" s="927"/>
      <c r="B108" s="934"/>
      <c r="C108" s="931"/>
      <c r="D108" s="38"/>
      <c r="E108" s="48" t="str">
        <f>IF(D108=0,"",VLOOKUP(D108,$N:$O,2,0))</f>
        <v/>
      </c>
      <c r="F108" s="592"/>
      <c r="G108" s="49"/>
      <c r="H108" s="48" t="str">
        <f>IF(G108=0,"",VLOOKUP(G108,$N:$O,2,0))</f>
        <v/>
      </c>
      <c r="I108" s="592"/>
      <c r="J108" s="293"/>
      <c r="N108" s="160">
        <f>报表格式!Z108</f>
        <v>0</v>
      </c>
      <c r="O108" s="164">
        <f>报表格式!AA108</f>
        <v>0</v>
      </c>
    </row>
    <row r="109" spans="1:15">
      <c r="A109" s="648"/>
      <c r="B109" s="648"/>
      <c r="C109" s="649"/>
      <c r="D109" s="650"/>
      <c r="E109" s="651"/>
      <c r="F109" s="651"/>
      <c r="G109" s="650"/>
      <c r="H109" s="651"/>
      <c r="I109" s="651"/>
      <c r="J109" s="652" t="str">
        <f>IF(ABS((SUMIF(E105:E108,"?*",J105:J108)-SUMIF(H105:H108,"?*",J105:J108)))&lt;0.005,"","借贷不等")</f>
        <v/>
      </c>
      <c r="N109" s="160">
        <f>报表格式!Z109</f>
        <v>0</v>
      </c>
      <c r="O109" s="159">
        <f>报表格式!AA109</f>
        <v>0</v>
      </c>
    </row>
    <row r="110" spans="1:15">
      <c r="A110" s="925">
        <v>22</v>
      </c>
      <c r="B110" s="932"/>
      <c r="C110" s="929"/>
      <c r="D110" s="38"/>
      <c r="E110" s="48" t="str">
        <f>IF(D110=0,"",VLOOKUP(D110,$N:$O,2,0))</f>
        <v/>
      </c>
      <c r="F110" s="592"/>
      <c r="G110" s="49"/>
      <c r="H110" s="48" t="str">
        <f>IF(G110=0,"",VLOOKUP(G110,$N:$O,2,0))</f>
        <v/>
      </c>
      <c r="I110" s="592"/>
      <c r="J110" s="293"/>
      <c r="N110" s="160">
        <f>报表格式!Z110</f>
        <v>0</v>
      </c>
      <c r="O110" s="166">
        <f>报表格式!AA110</f>
        <v>0</v>
      </c>
    </row>
    <row r="111" spans="1:15">
      <c r="A111" s="926"/>
      <c r="B111" s="933"/>
      <c r="C111" s="930"/>
      <c r="D111" s="38"/>
      <c r="E111" s="48" t="str">
        <f>IF(D111=0,"",VLOOKUP(D111,$N:$O,2,0))</f>
        <v/>
      </c>
      <c r="F111" s="592"/>
      <c r="G111" s="49"/>
      <c r="H111" s="48" t="str">
        <f>IF(G111=0,"",VLOOKUP(G111,$N:$O,2,0))</f>
        <v/>
      </c>
      <c r="I111" s="592"/>
      <c r="J111" s="293"/>
      <c r="N111" s="160">
        <f>报表格式!Z111</f>
        <v>0</v>
      </c>
      <c r="O111" s="167">
        <f>报表格式!AA111</f>
        <v>0</v>
      </c>
    </row>
    <row r="112" spans="1:15">
      <c r="A112" s="926"/>
      <c r="B112" s="933"/>
      <c r="C112" s="930"/>
      <c r="D112" s="38"/>
      <c r="E112" s="48" t="str">
        <f>IF(D112=0,"",VLOOKUP(D112,$N:$O,2,0))</f>
        <v/>
      </c>
      <c r="F112" s="592"/>
      <c r="G112" s="49"/>
      <c r="H112" s="48" t="str">
        <f>IF(G112=0,"",VLOOKUP(G112,$N:$O,2,0))</f>
        <v/>
      </c>
      <c r="I112" s="592"/>
      <c r="J112" s="293"/>
      <c r="N112" s="160">
        <f>报表格式!Z112</f>
        <v>0</v>
      </c>
      <c r="O112" s="167">
        <f>报表格式!AA112</f>
        <v>0</v>
      </c>
    </row>
    <row r="113" spans="1:15">
      <c r="A113" s="927"/>
      <c r="B113" s="934"/>
      <c r="C113" s="931"/>
      <c r="D113" s="38"/>
      <c r="E113" s="48" t="str">
        <f>IF(D113=0,"",VLOOKUP(D113,$N:$O,2,0))</f>
        <v/>
      </c>
      <c r="F113" s="592"/>
      <c r="G113" s="49"/>
      <c r="H113" s="48" t="str">
        <f>IF(G113=0,"",VLOOKUP(G113,$N:$O,2,0))</f>
        <v/>
      </c>
      <c r="I113" s="592"/>
      <c r="J113" s="293"/>
      <c r="N113" s="160">
        <f>报表格式!Z113</f>
        <v>0</v>
      </c>
      <c r="O113" s="167">
        <f>报表格式!AA113</f>
        <v>0</v>
      </c>
    </row>
    <row r="114" spans="1:15">
      <c r="A114" s="648"/>
      <c r="B114" s="648"/>
      <c r="C114" s="649"/>
      <c r="D114" s="650"/>
      <c r="E114" s="651"/>
      <c r="F114" s="651"/>
      <c r="G114" s="650"/>
      <c r="H114" s="651"/>
      <c r="I114" s="651"/>
      <c r="J114" s="652" t="str">
        <f>IF(ABS((SUMIF(E110:E113,"?*",J110:J113)-SUMIF(H110:H113,"?*",J110:J113)))&lt;0.005,"","借贷不等")</f>
        <v/>
      </c>
      <c r="N114" s="160" t="str">
        <f>报表格式!Z114</f>
        <v>F17</v>
      </c>
      <c r="O114" s="159" t="str">
        <f>报表格式!AA114</f>
        <v>资本公积</v>
      </c>
    </row>
    <row r="115" spans="1:15">
      <c r="A115" s="925">
        <v>23</v>
      </c>
      <c r="B115" s="932"/>
      <c r="C115" s="929"/>
      <c r="D115" s="38"/>
      <c r="E115" s="48" t="str">
        <f>IF(D115=0,"",VLOOKUP(D115,$N:$O,2,0))</f>
        <v/>
      </c>
      <c r="F115" s="592"/>
      <c r="G115" s="49"/>
      <c r="H115" s="48" t="str">
        <f>IF(G115=0,"",VLOOKUP(G115,$N:$O,2,0))</f>
        <v/>
      </c>
      <c r="I115" s="592"/>
      <c r="J115" s="293"/>
      <c r="N115" s="160" t="str">
        <f>报表格式!Z115</f>
        <v>F18</v>
      </c>
      <c r="O115" s="159" t="str">
        <f>报表格式!AA115</f>
        <v>盈余公积</v>
      </c>
    </row>
    <row r="116" spans="1:15">
      <c r="A116" s="926"/>
      <c r="B116" s="933"/>
      <c r="C116" s="930"/>
      <c r="D116" s="38"/>
      <c r="E116" s="48" t="str">
        <f>IF(D116=0,"",VLOOKUP(D116,$N:$O,2,0))</f>
        <v/>
      </c>
      <c r="F116" s="592"/>
      <c r="G116" s="49"/>
      <c r="H116" s="48" t="str">
        <f>IF(G116=0,"",VLOOKUP(G116,$N:$O,2,0))</f>
        <v/>
      </c>
      <c r="I116" s="592"/>
      <c r="J116" s="293"/>
      <c r="N116" s="160">
        <f>报表格式!Z116</f>
        <v>0</v>
      </c>
      <c r="O116" s="167" t="str">
        <f>报表格式!AA116</f>
        <v>其中：法定公益金</v>
      </c>
    </row>
    <row r="117" spans="1:15">
      <c r="A117" s="926"/>
      <c r="B117" s="933"/>
      <c r="C117" s="930"/>
      <c r="D117" s="38"/>
      <c r="E117" s="48" t="str">
        <f>IF(D117=0,"",VLOOKUP(D117,$N:$O,2,0))</f>
        <v/>
      </c>
      <c r="F117" s="592"/>
      <c r="G117" s="49"/>
      <c r="H117" s="48" t="str">
        <f>IF(G117=0,"",VLOOKUP(G117,$N:$O,2,0))</f>
        <v/>
      </c>
      <c r="I117" s="592"/>
      <c r="J117" s="293"/>
      <c r="N117" s="160">
        <f>报表格式!Z117</f>
        <v>0</v>
      </c>
      <c r="O117" s="166" t="str">
        <f>报表格式!AA117</f>
        <v>未确认的投资损失</v>
      </c>
    </row>
    <row r="118" spans="1:15">
      <c r="A118" s="927"/>
      <c r="B118" s="934"/>
      <c r="C118" s="931"/>
      <c r="D118" s="38"/>
      <c r="E118" s="48" t="str">
        <f>IF(D118=0,"",VLOOKUP(D118,$N:$O,2,0))</f>
        <v/>
      </c>
      <c r="F118" s="592"/>
      <c r="G118" s="49"/>
      <c r="H118" s="48" t="str">
        <f>IF(G118=0,"",VLOOKUP(G118,$N:$O,2,0))</f>
        <v/>
      </c>
      <c r="I118" s="592"/>
      <c r="J118" s="293"/>
      <c r="N118" s="160" t="str">
        <f>报表格式!Z118</f>
        <v>F19</v>
      </c>
      <c r="O118" s="159" t="str">
        <f>报表格式!AA118</f>
        <v>未分配利润</v>
      </c>
    </row>
    <row r="119" spans="1:15">
      <c r="A119" s="648"/>
      <c r="B119" s="648"/>
      <c r="C119" s="649"/>
      <c r="D119" s="650"/>
      <c r="E119" s="651"/>
      <c r="F119" s="651"/>
      <c r="G119" s="650"/>
      <c r="H119" s="651"/>
      <c r="I119" s="651"/>
      <c r="J119" s="652" t="str">
        <f>IF(ABS((SUMIF(E115:E118,"?*",J115:J118)-SUMIF(H115:H118,"?*",J115:J118)))&lt;0.005,"","借贷不等")</f>
        <v/>
      </c>
      <c r="N119" s="160">
        <f>报表格式!Z119</f>
        <v>0</v>
      </c>
      <c r="O119" s="167">
        <f>报表格式!AA119</f>
        <v>0</v>
      </c>
    </row>
    <row r="120" spans="1:15">
      <c r="A120" s="925">
        <v>24</v>
      </c>
      <c r="B120" s="932"/>
      <c r="C120" s="929"/>
      <c r="D120" s="38"/>
      <c r="E120" s="48" t="str">
        <f>IF(D120=0,"",VLOOKUP(D120,$N:$O,2,0))</f>
        <v/>
      </c>
      <c r="F120" s="592"/>
      <c r="G120" s="49"/>
      <c r="H120" s="48" t="str">
        <f>IF(G120=0,"",VLOOKUP(G120,$N:$O,2,0))</f>
        <v/>
      </c>
      <c r="I120" s="592"/>
      <c r="J120" s="293"/>
      <c r="N120" s="160">
        <f>报表格式!Z120</f>
        <v>0</v>
      </c>
      <c r="O120" s="159" t="str">
        <f>报表格式!AA120</f>
        <v>外币报表折算差额</v>
      </c>
    </row>
    <row r="121" spans="1:15">
      <c r="A121" s="926"/>
      <c r="B121" s="933"/>
      <c r="C121" s="930"/>
      <c r="D121" s="38"/>
      <c r="E121" s="48" t="str">
        <f>IF(D121=0,"",VLOOKUP(D121,$N:$O,2,0))</f>
        <v/>
      </c>
      <c r="F121" s="592"/>
      <c r="G121" s="49"/>
      <c r="H121" s="48" t="str">
        <f>IF(G121=0,"",VLOOKUP(G121,$N:$O,2,0))</f>
        <v/>
      </c>
      <c r="I121" s="592"/>
      <c r="J121" s="293"/>
      <c r="N121" s="160">
        <f>报表格式!Z121</f>
        <v>0</v>
      </c>
      <c r="O121" s="159">
        <f>报表格式!AA121</f>
        <v>0</v>
      </c>
    </row>
    <row r="122" spans="1:15">
      <c r="A122" s="926"/>
      <c r="B122" s="933"/>
      <c r="C122" s="930"/>
      <c r="D122" s="38"/>
      <c r="E122" s="48" t="str">
        <f>IF(D122=0,"",VLOOKUP(D122,$N:$O,2,0))</f>
        <v/>
      </c>
      <c r="F122" s="592"/>
      <c r="G122" s="49"/>
      <c r="H122" s="48" t="str">
        <f>IF(G122=0,"",VLOOKUP(G122,$N:$O,2,0))</f>
        <v/>
      </c>
      <c r="I122" s="592"/>
      <c r="J122" s="293"/>
      <c r="N122" s="160">
        <f>报表格式!Z122</f>
        <v>0</v>
      </c>
      <c r="O122" s="168" t="str">
        <f>报表格式!AA122</f>
        <v>所有者权益小计</v>
      </c>
    </row>
    <row r="123" spans="1:15">
      <c r="A123" s="927"/>
      <c r="B123" s="934"/>
      <c r="C123" s="931"/>
      <c r="D123" s="38"/>
      <c r="E123" s="48" t="str">
        <f>IF(D123=0,"",VLOOKUP(D123,$N:$O,2,0))</f>
        <v/>
      </c>
      <c r="F123" s="592"/>
      <c r="G123" s="49"/>
      <c r="H123" s="48" t="str">
        <f>IF(G123=0,"",VLOOKUP(G123,$N:$O,2,0))</f>
        <v/>
      </c>
      <c r="I123" s="592"/>
      <c r="J123" s="293"/>
      <c r="N123" s="160">
        <f>报表格式!Z123</f>
        <v>0</v>
      </c>
      <c r="O123" s="166" t="str">
        <f>报表格式!AA123</f>
        <v>未处理资产损失</v>
      </c>
    </row>
    <row r="124" spans="1:15">
      <c r="A124" s="648"/>
      <c r="B124" s="648"/>
      <c r="C124" s="649"/>
      <c r="D124" s="650"/>
      <c r="E124" s="651"/>
      <c r="F124" s="651"/>
      <c r="G124" s="650"/>
      <c r="H124" s="651"/>
      <c r="I124" s="651"/>
      <c r="J124" s="652" t="str">
        <f>IF(ABS((SUMIF(E120:E123,"?*",J120:J123)-SUMIF(H120:H123,"?*",J120:J123)))&lt;0.005,"","借贷不等")</f>
        <v/>
      </c>
      <c r="N124" s="160">
        <f>报表格式!Z124</f>
        <v>0</v>
      </c>
      <c r="O124" s="159">
        <f>报表格式!AA124</f>
        <v>0</v>
      </c>
    </row>
    <row r="125" spans="1:15">
      <c r="A125" s="925">
        <v>25</v>
      </c>
      <c r="B125" s="932"/>
      <c r="C125" s="929"/>
      <c r="D125" s="38"/>
      <c r="E125" s="48" t="str">
        <f>IF(D125=0,"",VLOOKUP(D125,$N:$O,2,0))</f>
        <v/>
      </c>
      <c r="F125" s="592"/>
      <c r="G125" s="49"/>
      <c r="H125" s="48" t="str">
        <f>IF(G125=0,"",VLOOKUP(G125,$N:$O,2,0))</f>
        <v/>
      </c>
      <c r="I125" s="592"/>
      <c r="J125" s="293"/>
      <c r="N125" s="160">
        <f>报表格式!Z125</f>
        <v>0</v>
      </c>
      <c r="O125" s="168" t="str">
        <f>报表格式!AA125</f>
        <v>所有者权益合计(剔除未处理资产损失后的金额)</v>
      </c>
    </row>
    <row r="126" spans="1:15">
      <c r="A126" s="926"/>
      <c r="B126" s="933"/>
      <c r="C126" s="930"/>
      <c r="D126" s="38"/>
      <c r="E126" s="48" t="str">
        <f>IF(D126=0,"",VLOOKUP(D126,$N:$O,2,0))</f>
        <v/>
      </c>
      <c r="F126" s="592"/>
      <c r="G126" s="49"/>
      <c r="H126" s="48" t="str">
        <f>IF(G126=0,"",VLOOKUP(G126,$N:$O,2,0))</f>
        <v/>
      </c>
      <c r="I126" s="592"/>
      <c r="J126" s="293"/>
      <c r="N126" s="160">
        <f>报表格式!Z126</f>
        <v>0</v>
      </c>
      <c r="O126" s="159">
        <f>报表格式!AA126</f>
        <v>0</v>
      </c>
    </row>
    <row r="127" spans="1:15">
      <c r="A127" s="926"/>
      <c r="B127" s="933"/>
      <c r="C127" s="930"/>
      <c r="D127" s="38"/>
      <c r="E127" s="48" t="str">
        <f>IF(D127=0,"",VLOOKUP(D127,$N:$O,2,0))</f>
        <v/>
      </c>
      <c r="F127" s="592"/>
      <c r="G127" s="49"/>
      <c r="H127" s="48" t="str">
        <f>IF(G127=0,"",VLOOKUP(G127,$N:$O,2,0))</f>
        <v/>
      </c>
      <c r="I127" s="592"/>
      <c r="J127" s="293"/>
      <c r="N127" s="160">
        <f>报表格式!Z127</f>
        <v>0</v>
      </c>
      <c r="O127" s="159">
        <f>报表格式!AA127</f>
        <v>0</v>
      </c>
    </row>
    <row r="128" spans="1:15">
      <c r="A128" s="927"/>
      <c r="B128" s="934"/>
      <c r="C128" s="931"/>
      <c r="D128" s="38"/>
      <c r="E128" s="48" t="str">
        <f>IF(D128=0,"",VLOOKUP(D128,$N:$O,2,0))</f>
        <v/>
      </c>
      <c r="F128" s="592"/>
      <c r="G128" s="49"/>
      <c r="H128" s="48" t="str">
        <f>IF(G128=0,"",VLOOKUP(G128,$N:$O,2,0))</f>
        <v/>
      </c>
      <c r="I128" s="592"/>
      <c r="J128" s="293"/>
      <c r="N128" s="160">
        <f>报表格式!Z128</f>
        <v>0</v>
      </c>
      <c r="O128" s="168" t="str">
        <f>报表格式!AA128</f>
        <v>负债及所有者权益合计</v>
      </c>
    </row>
    <row r="129" spans="1:15">
      <c r="A129" s="648"/>
      <c r="B129" s="648"/>
      <c r="C129" s="649"/>
      <c r="D129" s="650"/>
      <c r="E129" s="651"/>
      <c r="F129" s="651"/>
      <c r="G129" s="650"/>
      <c r="H129" s="651"/>
      <c r="I129" s="651"/>
      <c r="J129" s="652" t="str">
        <f>IF(ABS((SUMIF(E125:E128,"?*",J125:J128)-SUMIF(H125:H128,"?*",J125:J128)))&lt;0.005,"","借贷不等")</f>
        <v/>
      </c>
      <c r="N129" s="160">
        <f>报表格式!Z129</f>
        <v>0</v>
      </c>
      <c r="O129" s="159">
        <f>报表格式!AA129</f>
        <v>0</v>
      </c>
    </row>
    <row r="130" spans="1:15">
      <c r="A130" s="925">
        <v>26</v>
      </c>
      <c r="B130" s="932"/>
      <c r="C130" s="929"/>
      <c r="D130" s="38"/>
      <c r="E130" s="48" t="str">
        <f>IF(D130=0,"",VLOOKUP(D130,$N:$O,2,0))</f>
        <v/>
      </c>
      <c r="F130" s="592"/>
      <c r="G130" s="49"/>
      <c r="H130" s="48" t="str">
        <f>IF(G130=0,"",VLOOKUP(G130,$N:$O,2,0))</f>
        <v/>
      </c>
      <c r="I130" s="592"/>
      <c r="J130" s="293"/>
      <c r="N130" s="160" t="str">
        <f>报表格式!Z130</f>
        <v>D21</v>
      </c>
      <c r="O130" s="169" t="str">
        <f>报表格式!AA130</f>
        <v>主营业务收入</v>
      </c>
    </row>
    <row r="131" spans="1:15">
      <c r="A131" s="926"/>
      <c r="B131" s="933"/>
      <c r="C131" s="930"/>
      <c r="D131" s="38"/>
      <c r="E131" s="48" t="str">
        <f>IF(D131=0,"",VLOOKUP(D131,$N:$O,2,0))</f>
        <v/>
      </c>
      <c r="F131" s="592"/>
      <c r="G131" s="49"/>
      <c r="H131" s="48" t="str">
        <f>IF(G131=0,"",VLOOKUP(G131,$N:$O,2,0))</f>
        <v/>
      </c>
      <c r="I131" s="592"/>
      <c r="J131" s="293"/>
      <c r="N131" s="160">
        <f>报表格式!Z131</f>
        <v>0</v>
      </c>
      <c r="O131" s="166">
        <f>报表格式!AA131</f>
        <v>0</v>
      </c>
    </row>
    <row r="132" spans="1:15">
      <c r="A132" s="926"/>
      <c r="B132" s="933"/>
      <c r="C132" s="930"/>
      <c r="D132" s="38"/>
      <c r="E132" s="48" t="str">
        <f>IF(D132=0,"",VLOOKUP(D132,$N:$O,2,0))</f>
        <v/>
      </c>
      <c r="F132" s="592"/>
      <c r="G132" s="49"/>
      <c r="H132" s="48" t="str">
        <f>IF(G132=0,"",VLOOKUP(G132,$N:$O,2,0))</f>
        <v/>
      </c>
      <c r="I132" s="592"/>
      <c r="J132" s="293"/>
      <c r="N132" s="160">
        <f>报表格式!Z132</f>
        <v>0</v>
      </c>
      <c r="O132" s="167">
        <f>报表格式!AA132</f>
        <v>0</v>
      </c>
    </row>
    <row r="133" spans="1:15">
      <c r="A133" s="927"/>
      <c r="B133" s="934"/>
      <c r="C133" s="931"/>
      <c r="D133" s="38"/>
      <c r="E133" s="48" t="str">
        <f>IF(D133=0,"",VLOOKUP(D133,$N:$O,2,0))</f>
        <v/>
      </c>
      <c r="F133" s="592"/>
      <c r="G133" s="49"/>
      <c r="H133" s="48" t="str">
        <f>IF(G133=0,"",VLOOKUP(G133,$N:$O,2,0))</f>
        <v/>
      </c>
      <c r="I133" s="592"/>
      <c r="J133" s="293"/>
      <c r="N133" s="160">
        <f>报表格式!Z133</f>
        <v>0</v>
      </c>
      <c r="O133" s="166">
        <f>报表格式!AA133</f>
        <v>0</v>
      </c>
    </row>
    <row r="134" spans="1:15">
      <c r="A134" s="648"/>
      <c r="B134" s="648"/>
      <c r="C134" s="649"/>
      <c r="D134" s="650"/>
      <c r="E134" s="651"/>
      <c r="F134" s="651"/>
      <c r="G134" s="650"/>
      <c r="H134" s="651"/>
      <c r="I134" s="651"/>
      <c r="J134" s="652" t="str">
        <f>IF(ABS((SUMIF(E130:E133,"?*",J130:J133)-SUMIF(H130:H133,"?*",J130:J133)))&lt;0.005,"","借贷不等")</f>
        <v/>
      </c>
      <c r="N134" s="160">
        <f>报表格式!Z134</f>
        <v>0</v>
      </c>
      <c r="O134" s="170" t="str">
        <f>报表格式!AA134</f>
        <v>二、主营业务收入净额</v>
      </c>
    </row>
    <row r="135" spans="1:15">
      <c r="A135" s="925">
        <v>27</v>
      </c>
      <c r="B135" s="932"/>
      <c r="C135" s="929"/>
      <c r="D135" s="38"/>
      <c r="E135" s="48" t="str">
        <f>IF(D135=0,"",VLOOKUP(D135,$N:$O,2,0))</f>
        <v/>
      </c>
      <c r="F135" s="592"/>
      <c r="G135" s="49"/>
      <c r="H135" s="48" t="str">
        <f>IF(G135=0,"",VLOOKUP(G135,$N:$O,2,0))</f>
        <v/>
      </c>
      <c r="I135" s="592"/>
      <c r="J135" s="293"/>
      <c r="N135" s="160" t="str">
        <f>报表格式!Z135</f>
        <v>E21</v>
      </c>
      <c r="O135" s="166" t="str">
        <f>报表格式!AA135</f>
        <v>主营业务成本</v>
      </c>
    </row>
    <row r="136" spans="1:15">
      <c r="A136" s="926"/>
      <c r="B136" s="933"/>
      <c r="C136" s="930"/>
      <c r="D136" s="38"/>
      <c r="E136" s="48" t="str">
        <f>IF(D136=0,"",VLOOKUP(D136,$N:$O,2,0))</f>
        <v/>
      </c>
      <c r="F136" s="592"/>
      <c r="G136" s="49"/>
      <c r="H136" s="48" t="str">
        <f>IF(G136=0,"",VLOOKUP(G136,$N:$O,2,0))</f>
        <v/>
      </c>
      <c r="I136" s="592"/>
      <c r="J136" s="293"/>
      <c r="N136" s="160">
        <f>报表格式!Z136</f>
        <v>0</v>
      </c>
      <c r="O136" s="166">
        <f>报表格式!AA136</f>
        <v>0</v>
      </c>
    </row>
    <row r="137" spans="1:15">
      <c r="A137" s="926"/>
      <c r="B137" s="933"/>
      <c r="C137" s="930"/>
      <c r="D137" s="38"/>
      <c r="E137" s="48" t="str">
        <f>IF(D137=0,"",VLOOKUP(D137,$N:$O,2,0))</f>
        <v/>
      </c>
      <c r="F137" s="592"/>
      <c r="G137" s="49"/>
      <c r="H137" s="48" t="str">
        <f>IF(G137=0,"",VLOOKUP(G137,$N:$O,2,0))</f>
        <v/>
      </c>
      <c r="I137" s="592"/>
      <c r="J137" s="293"/>
      <c r="N137" s="160">
        <f>报表格式!Z137</f>
        <v>0</v>
      </c>
      <c r="O137" s="166">
        <f>报表格式!AA137</f>
        <v>0</v>
      </c>
    </row>
    <row r="138" spans="1:15">
      <c r="A138" s="927"/>
      <c r="B138" s="934"/>
      <c r="C138" s="931"/>
      <c r="D138" s="38"/>
      <c r="E138" s="48" t="str">
        <f>IF(D138=0,"",VLOOKUP(D138,$N:$O,2,0))</f>
        <v/>
      </c>
      <c r="F138" s="592"/>
      <c r="G138" s="49"/>
      <c r="H138" s="48" t="str">
        <f>IF(G138=0,"",VLOOKUP(G138,$N:$O,2,0))</f>
        <v/>
      </c>
      <c r="I138" s="592"/>
      <c r="J138" s="293"/>
      <c r="N138" s="160" t="str">
        <f>报表格式!Z138</f>
        <v>I21</v>
      </c>
      <c r="O138" s="166" t="str">
        <f>报表格式!AA138</f>
        <v>主营业务税金及附加</v>
      </c>
    </row>
    <row r="139" spans="1:15">
      <c r="A139" s="648"/>
      <c r="B139" s="648"/>
      <c r="C139" s="649"/>
      <c r="D139" s="650"/>
      <c r="E139" s="651"/>
      <c r="F139" s="651"/>
      <c r="G139" s="650"/>
      <c r="H139" s="651"/>
      <c r="I139" s="651"/>
      <c r="J139" s="652" t="str">
        <f>IF(ABS((SUMIF(E135:E138,"?*",J135:J138)-SUMIF(H135:H138,"?*",J135:J138)))&lt;0.005,"","借贷不等")</f>
        <v/>
      </c>
      <c r="N139" s="160">
        <f>报表格式!Z139</f>
        <v>0</v>
      </c>
      <c r="O139" s="166" t="str">
        <f>报表格式!AA139</f>
        <v>经营费用</v>
      </c>
    </row>
    <row r="140" spans="1:15">
      <c r="A140" s="925">
        <v>28</v>
      </c>
      <c r="B140" s="932"/>
      <c r="C140" s="929"/>
      <c r="D140" s="38"/>
      <c r="E140" s="48" t="str">
        <f>IF(D140=0,"",VLOOKUP(D140,$N:$O,2,0))</f>
        <v/>
      </c>
      <c r="F140" s="592"/>
      <c r="G140" s="49"/>
      <c r="H140" s="48" t="str">
        <f>IF(G140=0,"",VLOOKUP(G140,$N:$O,2,0))</f>
        <v/>
      </c>
      <c r="I140" s="592"/>
      <c r="J140" s="293"/>
      <c r="N140" s="160">
        <f>报表格式!Z140</f>
        <v>0</v>
      </c>
      <c r="O140" s="166">
        <f>报表格式!AA140</f>
        <v>0</v>
      </c>
    </row>
    <row r="141" spans="1:15">
      <c r="A141" s="926"/>
      <c r="B141" s="933"/>
      <c r="C141" s="930"/>
      <c r="D141" s="38"/>
      <c r="E141" s="48" t="str">
        <f>IF(D141=0,"",VLOOKUP(D141,$N:$O,2,0))</f>
        <v/>
      </c>
      <c r="F141" s="592"/>
      <c r="G141" s="49"/>
      <c r="H141" s="48" t="str">
        <f>IF(G141=0,"",VLOOKUP(G141,$N:$O,2,0))</f>
        <v/>
      </c>
      <c r="I141" s="592"/>
      <c r="J141" s="293"/>
      <c r="N141" s="160">
        <f>报表格式!Z141</f>
        <v>0</v>
      </c>
      <c r="O141" s="166">
        <f>报表格式!AA141</f>
        <v>0</v>
      </c>
    </row>
    <row r="142" spans="1:15">
      <c r="A142" s="926"/>
      <c r="B142" s="933"/>
      <c r="C142" s="930"/>
      <c r="D142" s="38"/>
      <c r="E142" s="48" t="str">
        <f>IF(D142=0,"",VLOOKUP(D142,$N:$O,2,0))</f>
        <v/>
      </c>
      <c r="F142" s="592"/>
      <c r="G142" s="49"/>
      <c r="H142" s="48" t="str">
        <f>IF(G142=0,"",VLOOKUP(G142,$N:$O,2,0))</f>
        <v/>
      </c>
      <c r="I142" s="592"/>
      <c r="J142" s="293"/>
      <c r="N142" s="160">
        <f>报表格式!Z142</f>
        <v>0</v>
      </c>
      <c r="O142" s="166" t="str">
        <f>报表格式!AA142</f>
        <v>递延收益</v>
      </c>
    </row>
    <row r="143" spans="1:15">
      <c r="A143" s="927"/>
      <c r="B143" s="934"/>
      <c r="C143" s="931"/>
      <c r="D143" s="38"/>
      <c r="E143" s="48" t="str">
        <f>IF(D143=0,"",VLOOKUP(D143,$N:$O,2,0))</f>
        <v/>
      </c>
      <c r="F143" s="592"/>
      <c r="G143" s="49"/>
      <c r="H143" s="48" t="str">
        <f>IF(G143=0,"",VLOOKUP(G143,$N:$O,2,0))</f>
        <v/>
      </c>
      <c r="I143" s="592"/>
      <c r="J143" s="293"/>
      <c r="N143" s="160">
        <f>报表格式!Z143</f>
        <v>0</v>
      </c>
      <c r="O143" s="166" t="str">
        <f>报表格式!AA143</f>
        <v>代购代销收入</v>
      </c>
    </row>
    <row r="144" spans="1:15">
      <c r="A144" s="648"/>
      <c r="B144" s="648"/>
      <c r="C144" s="649"/>
      <c r="D144" s="650"/>
      <c r="E144" s="651"/>
      <c r="F144" s="651"/>
      <c r="G144" s="650"/>
      <c r="H144" s="651"/>
      <c r="I144" s="651"/>
      <c r="J144" s="652" t="str">
        <f>IF(ABS((SUMIF(E140:E143,"?*",J140:J143)-SUMIF(H140:H143,"?*",J140:J143)))&lt;0.005,"","借贷不等")</f>
        <v/>
      </c>
      <c r="N144" s="160">
        <f>报表格式!Z144</f>
        <v>0</v>
      </c>
      <c r="O144" s="166">
        <f>报表格式!AA144</f>
        <v>0</v>
      </c>
    </row>
    <row r="145" spans="1:15">
      <c r="A145" s="925">
        <v>29</v>
      </c>
      <c r="B145" s="932"/>
      <c r="C145" s="929"/>
      <c r="D145" s="38"/>
      <c r="E145" s="48" t="str">
        <f>IF(D145=0,"",VLOOKUP(D145,$N:$O,2,0))</f>
        <v/>
      </c>
      <c r="F145" s="592"/>
      <c r="G145" s="49"/>
      <c r="H145" s="48" t="str">
        <f>IF(G145=0,"",VLOOKUP(G145,$N:$O,2,0))</f>
        <v/>
      </c>
      <c r="I145" s="592"/>
      <c r="J145" s="293"/>
      <c r="N145" s="160">
        <f>报表格式!Z145</f>
        <v>0</v>
      </c>
      <c r="O145" s="170" t="str">
        <f>报表格式!AA145</f>
        <v>三、主营业务利润</v>
      </c>
    </row>
    <row r="146" spans="1:15">
      <c r="A146" s="926"/>
      <c r="B146" s="933"/>
      <c r="C146" s="930"/>
      <c r="D146" s="38"/>
      <c r="E146" s="48" t="str">
        <f>IF(D146=0,"",VLOOKUP(D146,$N:$O,2,0))</f>
        <v/>
      </c>
      <c r="F146" s="592"/>
      <c r="G146" s="49"/>
      <c r="H146" s="48" t="str">
        <f>IF(G146=0,"",VLOOKUP(G146,$N:$O,2,0))</f>
        <v/>
      </c>
      <c r="I146" s="592"/>
      <c r="J146" s="293"/>
      <c r="N146" s="160" t="str">
        <f>报表格式!Z146</f>
        <v>D22</v>
      </c>
      <c r="O146" s="166" t="str">
        <f>报表格式!AA146</f>
        <v>其他业务利润</v>
      </c>
    </row>
    <row r="147" spans="1:15">
      <c r="A147" s="926"/>
      <c r="B147" s="933"/>
      <c r="C147" s="930"/>
      <c r="D147" s="38"/>
      <c r="E147" s="48" t="str">
        <f>IF(D147=0,"",VLOOKUP(D147,$N:$O,2,0))</f>
        <v/>
      </c>
      <c r="F147" s="592"/>
      <c r="G147" s="49"/>
      <c r="H147" s="48" t="str">
        <f>IF(G147=0,"",VLOOKUP(G147,$N:$O,2,0))</f>
        <v/>
      </c>
      <c r="I147" s="592"/>
      <c r="J147" s="293"/>
      <c r="N147" s="160" t="str">
        <f>报表格式!Z147</f>
        <v>I23</v>
      </c>
      <c r="O147" s="166" t="str">
        <f>报表格式!AA147</f>
        <v>营业费用</v>
      </c>
    </row>
    <row r="148" spans="1:15">
      <c r="A148" s="927"/>
      <c r="B148" s="934"/>
      <c r="C148" s="931"/>
      <c r="D148" s="38"/>
      <c r="E148" s="48" t="str">
        <f>IF(D148=0,"",VLOOKUP(D148,$N:$O,2,0))</f>
        <v/>
      </c>
      <c r="F148" s="592"/>
      <c r="G148" s="49"/>
      <c r="H148" s="48" t="str">
        <f>IF(G148=0,"",VLOOKUP(G148,$N:$O,2,0))</f>
        <v/>
      </c>
      <c r="I148" s="592"/>
      <c r="J148" s="293"/>
      <c r="N148" s="160" t="str">
        <f>报表格式!Z148</f>
        <v>I24</v>
      </c>
      <c r="O148" s="166" t="str">
        <f>报表格式!AA148</f>
        <v>管理费用</v>
      </c>
    </row>
    <row r="149" spans="1:15">
      <c r="A149" s="648"/>
      <c r="B149" s="648"/>
      <c r="C149" s="649"/>
      <c r="D149" s="650"/>
      <c r="E149" s="651"/>
      <c r="F149" s="651"/>
      <c r="G149" s="650"/>
      <c r="H149" s="651"/>
      <c r="I149" s="651"/>
      <c r="J149" s="652" t="str">
        <f>IF(ABS((SUMIF(E145:E148,"?*",J145:J148)-SUMIF(H145:H148,"?*",J145:J148)))&lt;0.005,"","借贷不等")</f>
        <v/>
      </c>
      <c r="N149" s="160">
        <f>报表格式!Z149</f>
        <v>0</v>
      </c>
      <c r="O149" s="166">
        <f>报表格式!AA149</f>
        <v>0</v>
      </c>
    </row>
    <row r="150" spans="1:15">
      <c r="A150" s="925">
        <v>30</v>
      </c>
      <c r="B150" s="932"/>
      <c r="C150" s="929"/>
      <c r="D150" s="38"/>
      <c r="E150" s="48" t="str">
        <f>IF(D150=0,"",VLOOKUP(D150,$N:$O,2,0))</f>
        <v/>
      </c>
      <c r="F150" s="592"/>
      <c r="G150" s="49"/>
      <c r="H150" s="48" t="str">
        <f>IF(G150=0,"",VLOOKUP(G150,$N:$O,2,0))</f>
        <v/>
      </c>
      <c r="I150" s="592"/>
      <c r="J150" s="293"/>
      <c r="N150" s="160" t="str">
        <f>报表格式!Z150</f>
        <v>F22</v>
      </c>
      <c r="O150" s="166" t="str">
        <f>报表格式!AA150</f>
        <v>财务费用</v>
      </c>
    </row>
    <row r="151" spans="1:15">
      <c r="A151" s="926"/>
      <c r="B151" s="933"/>
      <c r="C151" s="930"/>
      <c r="D151" s="38"/>
      <c r="E151" s="48" t="str">
        <f>IF(D151=0,"",VLOOKUP(D151,$N:$O,2,0))</f>
        <v/>
      </c>
      <c r="F151" s="592"/>
      <c r="G151" s="49"/>
      <c r="H151" s="48" t="str">
        <f>IF(G151=0,"",VLOOKUP(G151,$N:$O,2,0))</f>
        <v/>
      </c>
      <c r="I151" s="592"/>
      <c r="J151" s="293"/>
      <c r="N151" s="160">
        <f>报表格式!Z151</f>
        <v>0</v>
      </c>
      <c r="O151" s="166">
        <f>报表格式!AA151</f>
        <v>0</v>
      </c>
    </row>
    <row r="152" spans="1:15">
      <c r="A152" s="926"/>
      <c r="B152" s="933"/>
      <c r="C152" s="930"/>
      <c r="D152" s="38"/>
      <c r="E152" s="48" t="str">
        <f>IF(D152=0,"",VLOOKUP(D152,$N:$O,2,0))</f>
        <v/>
      </c>
      <c r="F152" s="592"/>
      <c r="G152" s="49"/>
      <c r="H152" s="48" t="str">
        <f>IF(G152=0,"",VLOOKUP(G152,$N:$O,2,0))</f>
        <v/>
      </c>
      <c r="I152" s="592"/>
      <c r="J152" s="293"/>
      <c r="N152" s="160">
        <f>报表格式!Z152</f>
        <v>0</v>
      </c>
      <c r="O152" s="167">
        <f>报表格式!AA152</f>
        <v>0</v>
      </c>
    </row>
    <row r="153" spans="1:15">
      <c r="A153" s="927"/>
      <c r="B153" s="934"/>
      <c r="C153" s="931"/>
      <c r="D153" s="38"/>
      <c r="E153" s="48" t="str">
        <f>IF(D153=0,"",VLOOKUP(D153,$N:$O,2,0))</f>
        <v/>
      </c>
      <c r="F153" s="592"/>
      <c r="G153" s="49"/>
      <c r="H153" s="48" t="str">
        <f>IF(G153=0,"",VLOOKUP(G153,$N:$O,2,0))</f>
        <v/>
      </c>
      <c r="I153" s="592"/>
      <c r="J153" s="293"/>
      <c r="N153" s="160">
        <f>报表格式!Z153</f>
        <v>0</v>
      </c>
      <c r="O153" s="167">
        <f>报表格式!AA153</f>
        <v>0</v>
      </c>
    </row>
    <row r="154" spans="1:15">
      <c r="A154" s="648"/>
      <c r="B154" s="648"/>
      <c r="C154" s="649"/>
      <c r="D154" s="650"/>
      <c r="E154" s="651"/>
      <c r="F154" s="651"/>
      <c r="G154" s="650"/>
      <c r="H154" s="651"/>
      <c r="I154" s="651"/>
      <c r="J154" s="652" t="str">
        <f>IF(ABS((SUMIF(E150:E153,"?*",J150:J153)-SUMIF(H150:H153,"?*",J150:J153)))&lt;0.005,"","借贷不等")</f>
        <v/>
      </c>
      <c r="N154" s="160">
        <f>报表格式!Z154</f>
        <v>0</v>
      </c>
      <c r="O154" s="166">
        <f>报表格式!AA154</f>
        <v>0</v>
      </c>
    </row>
    <row r="155" spans="1:15">
      <c r="A155" s="925">
        <v>31</v>
      </c>
      <c r="B155" s="932"/>
      <c r="C155" s="929"/>
      <c r="D155" s="38"/>
      <c r="E155" s="48" t="str">
        <f>IF(D155=0,"",VLOOKUP(D155,$N:$O,2,0))</f>
        <v/>
      </c>
      <c r="F155" s="592"/>
      <c r="G155" s="49"/>
      <c r="H155" s="48" t="str">
        <f>IF(G155=0,"",VLOOKUP(G155,$N:$O,2,0))</f>
        <v/>
      </c>
      <c r="I155" s="592"/>
      <c r="J155" s="293"/>
      <c r="N155" s="160">
        <f>报表格式!Z155</f>
        <v>0</v>
      </c>
      <c r="O155" s="166">
        <f>报表格式!AA155</f>
        <v>0</v>
      </c>
    </row>
    <row r="156" spans="1:15">
      <c r="A156" s="926"/>
      <c r="B156" s="933"/>
      <c r="C156" s="930"/>
      <c r="D156" s="38"/>
      <c r="E156" s="48" t="str">
        <f>IF(D156=0,"",VLOOKUP(D156,$N:$O,2,0))</f>
        <v/>
      </c>
      <c r="F156" s="592"/>
      <c r="G156" s="49"/>
      <c r="H156" s="48" t="str">
        <f>IF(G156=0,"",VLOOKUP(G156,$N:$O,2,0))</f>
        <v/>
      </c>
      <c r="I156" s="592"/>
      <c r="J156" s="293"/>
      <c r="N156" s="160">
        <f>报表格式!Z156</f>
        <v>0</v>
      </c>
      <c r="O156" s="170" t="str">
        <f>报表格式!AA156</f>
        <v>四、营业利润</v>
      </c>
    </row>
    <row r="157" spans="1:15">
      <c r="A157" s="926"/>
      <c r="B157" s="933"/>
      <c r="C157" s="930"/>
      <c r="D157" s="38"/>
      <c r="E157" s="48" t="str">
        <f>IF(D157=0,"",VLOOKUP(D157,$N:$O,2,0))</f>
        <v/>
      </c>
      <c r="F157" s="592"/>
      <c r="G157" s="49"/>
      <c r="H157" s="48" t="str">
        <f>IF(G157=0,"",VLOOKUP(G157,$N:$O,2,0))</f>
        <v/>
      </c>
      <c r="I157" s="592"/>
      <c r="J157" s="293"/>
      <c r="N157" s="160" t="str">
        <f>报表格式!Z157</f>
        <v>F21</v>
      </c>
      <c r="O157" s="166" t="str">
        <f>报表格式!AA157</f>
        <v>投资收益</v>
      </c>
    </row>
    <row r="158" spans="1:15">
      <c r="A158" s="927"/>
      <c r="B158" s="934"/>
      <c r="C158" s="931"/>
      <c r="D158" s="38"/>
      <c r="E158" s="48" t="str">
        <f>IF(D158=0,"",VLOOKUP(D158,$N:$O,2,0))</f>
        <v/>
      </c>
      <c r="F158" s="592"/>
      <c r="G158" s="49"/>
      <c r="H158" s="48" t="str">
        <f>IF(G158=0,"",VLOOKUP(G158,$N:$O,2,0))</f>
        <v/>
      </c>
      <c r="I158" s="592"/>
      <c r="J158" s="293"/>
      <c r="N158" s="160">
        <f>报表格式!Z158</f>
        <v>0</v>
      </c>
      <c r="O158" s="166" t="str">
        <f>报表格式!AA158</f>
        <v>期货收益</v>
      </c>
    </row>
    <row r="159" spans="1:15">
      <c r="A159" s="648"/>
      <c r="B159" s="648"/>
      <c r="C159" s="649"/>
      <c r="D159" s="650"/>
      <c r="E159" s="651"/>
      <c r="F159" s="651"/>
      <c r="G159" s="650"/>
      <c r="H159" s="651"/>
      <c r="I159" s="651"/>
      <c r="J159" s="652" t="str">
        <f>IF(ABS((SUMIF(E155:E158,"?*",J155:J158)-SUMIF(H155:H158,"?*",J155:J158)))&lt;0.005,"","借贷不等")</f>
        <v/>
      </c>
      <c r="N159" s="160">
        <f>报表格式!Z159</f>
        <v>0</v>
      </c>
      <c r="O159" s="166">
        <f>报表格式!AA159</f>
        <v>0</v>
      </c>
    </row>
    <row r="160" spans="1:15">
      <c r="A160" s="925">
        <v>32</v>
      </c>
      <c r="B160" s="932"/>
      <c r="C160" s="929"/>
      <c r="D160" s="38"/>
      <c r="E160" s="48" t="str">
        <f>IF(D160=0,"",VLOOKUP(D160,$N:$O,2,0))</f>
        <v/>
      </c>
      <c r="F160" s="592"/>
      <c r="G160" s="49"/>
      <c r="H160" s="48" t="str">
        <f>IF(G160=0,"",VLOOKUP(G160,$N:$O,2,0))</f>
        <v/>
      </c>
      <c r="I160" s="592"/>
      <c r="J160" s="293"/>
      <c r="N160" s="160" t="str">
        <f>报表格式!Z160</f>
        <v>I22</v>
      </c>
      <c r="O160" s="166" t="str">
        <f>报表格式!AA160</f>
        <v>补贴收入</v>
      </c>
    </row>
    <row r="161" spans="1:15">
      <c r="A161" s="926"/>
      <c r="B161" s="933"/>
      <c r="C161" s="930"/>
      <c r="D161" s="38"/>
      <c r="E161" s="48" t="str">
        <f>IF(D161=0,"",VLOOKUP(D161,$N:$O,2,0))</f>
        <v/>
      </c>
      <c r="F161" s="592"/>
      <c r="G161" s="49"/>
      <c r="H161" s="48" t="str">
        <f>IF(G161=0,"",VLOOKUP(G161,$N:$O,2,0))</f>
        <v/>
      </c>
      <c r="I161" s="592"/>
      <c r="J161" s="293"/>
      <c r="N161" s="160">
        <f>报表格式!Z161</f>
        <v>0</v>
      </c>
      <c r="O161" s="166">
        <f>报表格式!AA161</f>
        <v>0</v>
      </c>
    </row>
    <row r="162" spans="1:15">
      <c r="A162" s="926"/>
      <c r="B162" s="933"/>
      <c r="C162" s="930"/>
      <c r="D162" s="38"/>
      <c r="E162" s="48" t="str">
        <f>IF(D162=0,"",VLOOKUP(D162,$N:$O,2,0))</f>
        <v/>
      </c>
      <c r="F162" s="592"/>
      <c r="G162" s="49"/>
      <c r="H162" s="48" t="str">
        <f>IF(G162=0,"",VLOOKUP(G162,$N:$O,2,0))</f>
        <v/>
      </c>
      <c r="I162" s="592"/>
      <c r="J162" s="293"/>
      <c r="N162" s="160">
        <f>报表格式!Z162</f>
        <v>0</v>
      </c>
      <c r="O162" s="166">
        <f>报表格式!AA162</f>
        <v>0</v>
      </c>
    </row>
    <row r="163" spans="1:15">
      <c r="A163" s="927"/>
      <c r="B163" s="934"/>
      <c r="C163" s="931"/>
      <c r="D163" s="38"/>
      <c r="E163" s="48" t="str">
        <f>IF(D163=0,"",VLOOKUP(D163,$N:$O,2,0))</f>
        <v/>
      </c>
      <c r="F163" s="592"/>
      <c r="G163" s="49"/>
      <c r="H163" s="48" t="str">
        <f>IF(G163=0,"",VLOOKUP(G163,$N:$O,2,0))</f>
        <v/>
      </c>
      <c r="I163" s="592"/>
      <c r="J163" s="293"/>
      <c r="N163" s="160" t="str">
        <f>报表格式!Z163</f>
        <v>I25</v>
      </c>
      <c r="O163" s="166" t="str">
        <f>报表格式!AA163</f>
        <v>营业外收入</v>
      </c>
    </row>
    <row r="164" spans="1:15">
      <c r="A164" s="648"/>
      <c r="B164" s="648"/>
      <c r="C164" s="649"/>
      <c r="D164" s="650"/>
      <c r="E164" s="651"/>
      <c r="F164" s="651"/>
      <c r="G164" s="650"/>
      <c r="H164" s="651"/>
      <c r="I164" s="651"/>
      <c r="J164" s="652" t="str">
        <f>IF(ABS((SUMIF(E160:E163,"?*",J160:J163)-SUMIF(H160:H163,"?*",J160:J163)))&lt;0.005,"","借贷不等")</f>
        <v/>
      </c>
      <c r="N164" s="160">
        <f>报表格式!Z164</f>
        <v>0</v>
      </c>
      <c r="O164" s="166">
        <f>报表格式!AA164</f>
        <v>0</v>
      </c>
    </row>
    <row r="165" spans="1:15">
      <c r="N165" s="160">
        <f>报表格式!Z165</f>
        <v>0</v>
      </c>
      <c r="O165" s="167">
        <f>报表格式!AA165</f>
        <v>0</v>
      </c>
    </row>
    <row r="166" spans="1:15">
      <c r="N166" s="160">
        <f>报表格式!Z166</f>
        <v>0</v>
      </c>
      <c r="O166" s="167">
        <f>报表格式!AA166</f>
        <v>0</v>
      </c>
    </row>
    <row r="167" spans="1:15">
      <c r="N167" s="160">
        <f>报表格式!Z167</f>
        <v>0</v>
      </c>
      <c r="O167" s="167">
        <f>报表格式!AA167</f>
        <v>0</v>
      </c>
    </row>
    <row r="168" spans="1:15">
      <c r="N168" s="160">
        <f>报表格式!Z168</f>
        <v>0</v>
      </c>
      <c r="O168" s="166">
        <f>报表格式!AA168</f>
        <v>0</v>
      </c>
    </row>
    <row r="169" spans="1:15">
      <c r="N169" s="160">
        <f>报表格式!Z169</f>
        <v>0</v>
      </c>
      <c r="O169" s="166">
        <f>报表格式!AA169</f>
        <v>0</v>
      </c>
    </row>
    <row r="170" spans="1:15">
      <c r="N170" s="160">
        <f>报表格式!Z170</f>
        <v>0</v>
      </c>
      <c r="O170" s="166">
        <f>报表格式!AA170</f>
        <v>0</v>
      </c>
    </row>
    <row r="171" spans="1:15">
      <c r="N171" s="160">
        <f>报表格式!Z171</f>
        <v>0</v>
      </c>
      <c r="O171" s="159">
        <f>报表格式!AA171</f>
        <v>0</v>
      </c>
    </row>
    <row r="172" spans="1:15">
      <c r="N172" s="160" t="str">
        <f>报表格式!Z172</f>
        <v>I26</v>
      </c>
      <c r="O172" s="166" t="str">
        <f>报表格式!AA172</f>
        <v>营业外支出</v>
      </c>
    </row>
    <row r="173" spans="1:15">
      <c r="N173" s="160">
        <f>报表格式!Z173</f>
        <v>0</v>
      </c>
      <c r="O173" s="159">
        <f>报表格式!AA173</f>
        <v>0</v>
      </c>
    </row>
    <row r="174" spans="1:15">
      <c r="N174" s="160">
        <f>报表格式!Z174</f>
        <v>0</v>
      </c>
      <c r="O174" s="167">
        <f>报表格式!AA174</f>
        <v>0</v>
      </c>
    </row>
    <row r="175" spans="1:15">
      <c r="N175" s="160">
        <f>报表格式!Z175</f>
        <v>0</v>
      </c>
      <c r="O175" s="167">
        <f>报表格式!AA175</f>
        <v>0</v>
      </c>
    </row>
    <row r="176" spans="1:15">
      <c r="N176" s="160">
        <f>报表格式!Z176</f>
        <v>0</v>
      </c>
      <c r="O176" s="167">
        <f>报表格式!AA176</f>
        <v>0</v>
      </c>
    </row>
    <row r="177" spans="14:15">
      <c r="N177" s="160">
        <f>报表格式!Z177</f>
        <v>0</v>
      </c>
      <c r="O177" s="159">
        <f>报表格式!AA177</f>
        <v>0</v>
      </c>
    </row>
    <row r="178" spans="14:15">
      <c r="N178" s="160">
        <f>报表格式!Z178</f>
        <v>0</v>
      </c>
      <c r="O178" s="166">
        <f>报表格式!AA178</f>
        <v>0</v>
      </c>
    </row>
    <row r="179" spans="14:15">
      <c r="N179" s="160">
        <f>报表格式!Z179</f>
        <v>0</v>
      </c>
      <c r="O179" s="166">
        <f>报表格式!AA179</f>
        <v>0</v>
      </c>
    </row>
    <row r="180" spans="14:15">
      <c r="N180" s="160">
        <f>报表格式!Z180</f>
        <v>0</v>
      </c>
      <c r="O180" s="159">
        <f>报表格式!AA180</f>
        <v>0</v>
      </c>
    </row>
    <row r="181" spans="14:15">
      <c r="N181" s="160">
        <f>报表格式!Z181</f>
        <v>0</v>
      </c>
      <c r="O181" s="166">
        <f>报表格式!AA181</f>
        <v>0</v>
      </c>
    </row>
    <row r="182" spans="14:15">
      <c r="N182" s="160">
        <f>报表格式!Z182</f>
        <v>0</v>
      </c>
      <c r="O182" s="170" t="str">
        <f>报表格式!AA182</f>
        <v>五、利润总额</v>
      </c>
    </row>
    <row r="183" spans="14:15">
      <c r="N183" s="160" t="str">
        <f>报表格式!Z183</f>
        <v>I28</v>
      </c>
      <c r="O183" s="166" t="str">
        <f>报表格式!AA183</f>
        <v>所得税</v>
      </c>
    </row>
    <row r="184" spans="14:15">
      <c r="N184" s="160">
        <f>报表格式!Z184</f>
        <v>0</v>
      </c>
      <c r="O184" s="166" t="str">
        <f>报表格式!AA184</f>
        <v>少数股东损益</v>
      </c>
    </row>
    <row r="185" spans="14:15">
      <c r="N185" s="160">
        <f>报表格式!Z185</f>
        <v>0</v>
      </c>
      <c r="O185" s="166" t="str">
        <f>报表格式!AA185</f>
        <v>未确认的投资损失</v>
      </c>
    </row>
    <row r="186" spans="14:15">
      <c r="N186" s="160">
        <f>报表格式!Z186</f>
        <v>0</v>
      </c>
      <c r="O186" s="170" t="str">
        <f>报表格式!AA186</f>
        <v>六、净利润</v>
      </c>
    </row>
    <row r="187" spans="14:15">
      <c r="N187" s="160">
        <f>报表格式!Z187</f>
        <v>0</v>
      </c>
      <c r="O187" s="166" t="str">
        <f>报表格式!AA187</f>
        <v>年初未分配利润</v>
      </c>
    </row>
    <row r="188" spans="14:15">
      <c r="N188" s="160">
        <f>报表格式!Z188</f>
        <v>0</v>
      </c>
      <c r="O188" s="166" t="str">
        <f>报表格式!AA188</f>
        <v>盈余公积补亏</v>
      </c>
    </row>
    <row r="189" spans="14:15">
      <c r="N189" s="160">
        <f>报表格式!Z189</f>
        <v>0</v>
      </c>
      <c r="O189" s="166" t="str">
        <f>报表格式!AA189</f>
        <v>其他调整因素</v>
      </c>
    </row>
    <row r="190" spans="14:15">
      <c r="N190" s="160">
        <f>报表格式!Z190</f>
        <v>0</v>
      </c>
      <c r="O190" s="170" t="str">
        <f>报表格式!AA190</f>
        <v>七、可供分配的利润</v>
      </c>
    </row>
    <row r="191" spans="14:15">
      <c r="N191" s="160">
        <f>报表格式!Z191</f>
        <v>0</v>
      </c>
      <c r="O191" s="166" t="str">
        <f>报表格式!AA191</f>
        <v>提取法定盈余公积</v>
      </c>
    </row>
    <row r="192" spans="14:15">
      <c r="N192" s="160">
        <f>报表格式!Z192</f>
        <v>0</v>
      </c>
      <c r="O192" s="166" t="str">
        <f>报表格式!AA192</f>
        <v>提取法定公益金</v>
      </c>
    </row>
    <row r="193" spans="14:15">
      <c r="N193" s="160">
        <f>报表格式!Z193</f>
        <v>0</v>
      </c>
      <c r="O193" s="166" t="str">
        <f>报表格式!AA193</f>
        <v>提取职工奖励及福利基金</v>
      </c>
    </row>
    <row r="194" spans="14:15">
      <c r="N194" s="160">
        <f>报表格式!Z194</f>
        <v>0</v>
      </c>
      <c r="O194" s="166" t="str">
        <f>报表格式!AA194</f>
        <v>提取储备基金</v>
      </c>
    </row>
    <row r="195" spans="14:15">
      <c r="N195" s="160">
        <f>报表格式!Z195</f>
        <v>0</v>
      </c>
      <c r="O195" s="166" t="str">
        <f>报表格式!AA195</f>
        <v>提取企业发展基金</v>
      </c>
    </row>
    <row r="196" spans="14:15">
      <c r="N196" s="160">
        <f>报表格式!Z196</f>
        <v>0</v>
      </c>
      <c r="O196" s="166" t="str">
        <f>报表格式!AA196</f>
        <v>利润归还投资</v>
      </c>
    </row>
    <row r="197" spans="14:15">
      <c r="N197" s="160">
        <f>报表格式!Z197</f>
        <v>0</v>
      </c>
      <c r="O197" s="166" t="str">
        <f>报表格式!AA197</f>
        <v>补充流动资本</v>
      </c>
    </row>
    <row r="198" spans="14:15">
      <c r="N198" s="160">
        <f>报表格式!Z198</f>
        <v>0</v>
      </c>
      <c r="O198" s="166" t="str">
        <f>报表格式!AA198</f>
        <v>单项留用的利润</v>
      </c>
    </row>
    <row r="199" spans="14:15">
      <c r="N199" s="160">
        <f>报表格式!Z199</f>
        <v>0</v>
      </c>
      <c r="O199" s="166">
        <f>报表格式!AA199</f>
        <v>0</v>
      </c>
    </row>
    <row r="200" spans="14:15">
      <c r="N200" s="160">
        <f>报表格式!Z200</f>
        <v>0</v>
      </c>
      <c r="O200" s="170" t="str">
        <f>报表格式!AA200</f>
        <v>八、可供投资者分配的利润</v>
      </c>
    </row>
    <row r="201" spans="14:15">
      <c r="N201" s="160">
        <f>报表格式!Z201</f>
        <v>0</v>
      </c>
      <c r="O201" s="166" t="str">
        <f>报表格式!AA201</f>
        <v>应付优先股股利</v>
      </c>
    </row>
    <row r="202" spans="14:15">
      <c r="N202" s="160">
        <f>报表格式!Z202</f>
        <v>0</v>
      </c>
      <c r="O202" s="166" t="str">
        <f>报表格式!AA202</f>
        <v>提取任意盈余公积</v>
      </c>
    </row>
    <row r="203" spans="14:15">
      <c r="N203" s="160">
        <f>报表格式!Z203</f>
        <v>0</v>
      </c>
      <c r="O203" s="166" t="str">
        <f>报表格式!AA203</f>
        <v>应付普通股股利（应付利润）</v>
      </c>
    </row>
    <row r="204" spans="14:15">
      <c r="N204" s="160">
        <f>报表格式!Z204</f>
        <v>0</v>
      </c>
      <c r="O204" s="166" t="str">
        <f>报表格式!AA204</f>
        <v>转作资本（股本）的普通股股利</v>
      </c>
    </row>
    <row r="205" spans="14:15">
      <c r="N205" s="160">
        <f>报表格式!Z205</f>
        <v>0</v>
      </c>
      <c r="O205" s="166">
        <f>报表格式!AA205</f>
        <v>0</v>
      </c>
    </row>
    <row r="206" spans="14:15">
      <c r="N206" s="160">
        <f>报表格式!Z206</f>
        <v>0</v>
      </c>
      <c r="O206" s="169" t="str">
        <f>报表格式!AA206</f>
        <v>九、未分配利润</v>
      </c>
    </row>
    <row r="207" spans="14:15">
      <c r="N207" s="160">
        <f>报表格式!Z207</f>
        <v>0</v>
      </c>
      <c r="O207" s="166">
        <f>报表格式!AA207</f>
        <v>0</v>
      </c>
    </row>
  </sheetData>
  <sheetCalcPr fullCalcOnLoad="1"/>
  <sheetProtection sheet="1" objects="1" scenarios="1" formatCells="0" formatColumns="0" formatRows="0" insertRows="0" autoFilter="0" pivotTables="0"/>
  <mergeCells count="96">
    <mergeCell ref="B155:B158"/>
    <mergeCell ref="C155:C158"/>
    <mergeCell ref="B160:B163"/>
    <mergeCell ref="C160:C163"/>
    <mergeCell ref="B140:B143"/>
    <mergeCell ref="C140:C143"/>
    <mergeCell ref="B145:B148"/>
    <mergeCell ref="C145:C148"/>
    <mergeCell ref="B150:B153"/>
    <mergeCell ref="C150:C153"/>
    <mergeCell ref="B125:B128"/>
    <mergeCell ref="C125:C128"/>
    <mergeCell ref="B130:B133"/>
    <mergeCell ref="C130:C133"/>
    <mergeCell ref="B135:B138"/>
    <mergeCell ref="C135:C138"/>
    <mergeCell ref="B110:B113"/>
    <mergeCell ref="C110:C113"/>
    <mergeCell ref="B115:B118"/>
    <mergeCell ref="C115:C118"/>
    <mergeCell ref="B120:B123"/>
    <mergeCell ref="C120:C123"/>
    <mergeCell ref="B95:B98"/>
    <mergeCell ref="C95:C98"/>
    <mergeCell ref="B100:B103"/>
    <mergeCell ref="C100:C103"/>
    <mergeCell ref="B105:B108"/>
    <mergeCell ref="C105:C108"/>
    <mergeCell ref="B80:B83"/>
    <mergeCell ref="C80:C83"/>
    <mergeCell ref="B85:B88"/>
    <mergeCell ref="C85:C88"/>
    <mergeCell ref="B90:B93"/>
    <mergeCell ref="C90:C93"/>
    <mergeCell ref="B65:B68"/>
    <mergeCell ref="C65:C68"/>
    <mergeCell ref="B70:B73"/>
    <mergeCell ref="C70:C73"/>
    <mergeCell ref="B75:B78"/>
    <mergeCell ref="C75:C78"/>
    <mergeCell ref="B50:B53"/>
    <mergeCell ref="C50:C53"/>
    <mergeCell ref="B55:B58"/>
    <mergeCell ref="C55:C58"/>
    <mergeCell ref="B60:B63"/>
    <mergeCell ref="C60:C63"/>
    <mergeCell ref="B35:B38"/>
    <mergeCell ref="C35:C38"/>
    <mergeCell ref="B40:B43"/>
    <mergeCell ref="C40:C43"/>
    <mergeCell ref="B45:B48"/>
    <mergeCell ref="C45:C48"/>
    <mergeCell ref="B20:B23"/>
    <mergeCell ref="C20:C23"/>
    <mergeCell ref="B25:B28"/>
    <mergeCell ref="C25:C28"/>
    <mergeCell ref="B30:B33"/>
    <mergeCell ref="C30:C33"/>
    <mergeCell ref="A10:A13"/>
    <mergeCell ref="B5:B8"/>
    <mergeCell ref="C5:C8"/>
    <mergeCell ref="B10:B13"/>
    <mergeCell ref="C10:C13"/>
    <mergeCell ref="B15:B18"/>
    <mergeCell ref="C15:C18"/>
    <mergeCell ref="A85:A88"/>
    <mergeCell ref="A90:A93"/>
    <mergeCell ref="A5:A8"/>
    <mergeCell ref="A65:A68"/>
    <mergeCell ref="A70:A73"/>
    <mergeCell ref="A75:A78"/>
    <mergeCell ref="A80:A83"/>
    <mergeCell ref="A45:A48"/>
    <mergeCell ref="A50:A53"/>
    <mergeCell ref="A55:A58"/>
    <mergeCell ref="A115:A118"/>
    <mergeCell ref="A120:A123"/>
    <mergeCell ref="A125:A128"/>
    <mergeCell ref="A130:A133"/>
    <mergeCell ref="A95:A98"/>
    <mergeCell ref="A100:A103"/>
    <mergeCell ref="A105:A108"/>
    <mergeCell ref="A110:A113"/>
    <mergeCell ref="A155:A158"/>
    <mergeCell ref="A160:A163"/>
    <mergeCell ref="A135:A138"/>
    <mergeCell ref="A140:A143"/>
    <mergeCell ref="A145:A148"/>
    <mergeCell ref="A150:A153"/>
    <mergeCell ref="A35:A38"/>
    <mergeCell ref="A40:A43"/>
    <mergeCell ref="A60:A63"/>
    <mergeCell ref="A15:A18"/>
    <mergeCell ref="A20:A23"/>
    <mergeCell ref="A25:A28"/>
    <mergeCell ref="A30:A33"/>
  </mergeCells>
  <phoneticPr fontId="59" type="noConversion"/>
  <conditionalFormatting sqref="A1">
    <cfRule type="cellIs" dxfId="44"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164"/>
    <dataValidation type="list" allowBlank="1" showDropDown="1" showInputMessage="1" showErrorMessage="1" errorTitle="警告" error="   您输入的科目不是报表标准科目_x000a__x000a_请对应“报表项目”核对科目名称" sqref="E10:E13 H6:H8 E6:E8 E15:E18 E20:E23 E25:E28 E30:E33 E35:E38 E40:E43 E45:E48 E50:E53 E55:E58 E60:E63 E65:E68 E70:E73 E75:E78 E80:E83 E85:E88 E90:E93 E95:E98 E100:E103 E105:E108 E110:E113 E115:E118 E120:E123 E125:E128 E130:E133 E135:E138 E140:E143 E145:E148 E150:E153 E155:E158 E160:E163">
      <formula1>$O:$O</formula1>
    </dataValidation>
    <dataValidation type="list" allowBlank="1" showDropDown="1" showInputMessage="1" showErrorMessage="1" errorTitle="警告" error="   您输入的科目不是报表标准科目_x000a__x000a_请对应“调整事项转换表”核对科目名称" sqref="H10:H13 H15:H18 H20:H23 H25:H28 H30:H33 H35:H38 H40:H43 H45:H48 H50:H53 H55:H58 H60:H63 H65:H68 H70:H73 H75:H78 H80:H83 H85:H88 H90:H93 H95:H98 H100:H103 H105:H108 H110:H113 H115:H118 H120:H123 H125:H128 H130:H133 H135:H138 H140:H143 H145:H148 H150:H153 H155:H158 H160:H163">
      <formula1>$O:$O</formula1>
    </dataValidation>
    <dataValidation type="list" allowBlank="1" showDropDown="1" showInputMessage="1" showErrorMessage="1" errorTitle="警告" error="   您输入的科目不是报表标准科目_x000a__x000a_请对应“调整事项转换表”核对科目名称" sqref="E14 H14 H9 E9 E19 H19 E24 H24 E29 H29 E34 H34 E39 H39 E44 H44 E49 H49 E54 H54 E59 H59 E64 H64 E69 H69 E74 H74 E79 H79 E84 H84 E89 H89 E94 H94 E99 H99 E104 H104 E109 H109 E114 H114 E119 H119 E124 H124 E129 H129 E134 H134 E139 H139 E144 H144 E149 H149 E154 H154 E159 H159 E164 H164">
      <formula1>$O$6:$O$117</formula1>
    </dataValidation>
    <dataValidation type="list" allowBlank="1" showDropDown="1" showInputMessage="1" showErrorMessage="1" prompt="可直接输入科目名称；也可以在“code”列输入代码" sqref="E5 H5">
      <formula1>$O:$O</formula1>
    </dataValidation>
  </dataValidations>
  <printOptions horizontalCentered="1"/>
  <pageMargins left="0.51" right="0.23622047244094491" top="0.51181102362204722" bottom="0.43307086614173229" header="0.23622047244094491" footer="0.23622047244094491"/>
  <pageSetup paperSize="9" orientation="portrait" horizontalDpi="360" verticalDpi="360" r:id="rId1"/>
  <headerFooter alignWithMargins="0">
    <oddFooter>&amp;C&amp;9&amp;P/&amp;N</oddFooter>
  </headerFooter>
  <colBreaks count="1" manualBreakCount="1">
    <brk id="8"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U9"/>
  <sheetViews>
    <sheetView workbookViewId="0"/>
  </sheetViews>
  <sheetFormatPr defaultRowHeight="12" customHeight="1" zeroHeight="1"/>
  <cols>
    <col min="1" max="3" width="17" customWidth="1"/>
    <col min="5" max="5" width="13.625" customWidth="1"/>
  </cols>
  <sheetData>
    <row r="1" spans="1:21" s="11" customFormat="1" ht="12" customHeight="1">
      <c r="A1" s="11" t="s">
        <v>548</v>
      </c>
      <c r="B1" s="11" t="s">
        <v>549</v>
      </c>
      <c r="C1" s="11" t="s">
        <v>550</v>
      </c>
      <c r="E1" s="12">
        <f ca="1">NOW()</f>
        <v>45152.700419328707</v>
      </c>
    </row>
    <row r="2" spans="1:21" s="11" customFormat="1" ht="12" hidden="1" customHeight="1"/>
    <row r="3" spans="1:21" s="11" customFormat="1" ht="12" hidden="1" customHeight="1">
      <c r="A3" s="13" t="e">
        <f>SUM(#REF!)+SUM(#REF!)+SUM(#REF!)+SUM(#REF!)+SUM(#REF!)+SUM(#REF!)</f>
        <v>#REF!</v>
      </c>
      <c r="B3" s="11" t="b">
        <f>ISERROR(A3)</f>
        <v>1</v>
      </c>
      <c r="C3" s="11" t="str">
        <f>IF(B3=TRUE,"您误使用了剪切或拖拽功能，请用撤销键撤销此操作!!",0)</f>
        <v>您误使用了剪切或拖拽功能，请用撤销键撤销此操作!!</v>
      </c>
    </row>
    <row r="4" spans="1:21" s="11" customFormat="1" ht="12" hidden="1" customHeight="1"/>
    <row r="5" spans="1:21" s="14" customFormat="1" ht="12" hidden="1" customHeight="1">
      <c r="A5" s="14" t="e">
        <f>IF(ABS(' '!E5)&gt;0.0049,"注意！报表项目栏有空格，试算平衡表将不能统计该栏数据！请填写报表项目名称。",IF(ABS(' '!F5)&lt;0.005,IF(ABS(' '!G5-' '!H5)&lt;0.005,IF(#REF!="调整金额合计",IF(ABS(#REF!)&lt;0.005,IF(ABS(#REF!)&lt;0.005,IF(ABS(#REF!)&lt;0.005,IF(#REF!-#REF!=0,"","                                       审计调整分录使本年净利润净增加："),"客户同意调整的分录不完整,使期初未分配利润与上期报表数不等。请继续调整！差额:"),"调整分录已使本年“年初未分配利润”和上年“末分配利润”不等。请作进一步调整。"),"调整分录错误！上年的报表项目不能与本年的报表项目套在一起出分录，请纠正；或者已输入的会计分录名称在“02报表格式”中已被修改，请手工作相应修改。"),""),"客户同意调整的分录不平，将导致客户报出会计报表不平，请检查!!差额为："),"“以前年度损益调整”应进一步结转入“年初未分配利润”等科目,借贷相抵后差额为："))</f>
        <v>#REF!</v>
      </c>
      <c r="B5" s="14" t="e">
        <f>IF(ABS(' '!E5)&gt;0.0049,"",IF(ABS(' '!F5)&lt;0.005,IF(ABS(' '!G5-' '!H5)&lt;0.005,IF(#REF!="调整金额合计",IF(ABS(#REF!)&lt;0.005,IF(ABS(#REF!)&lt;0.005,IF(ABS(#REF!)&lt;0.005,IF(#REF!-#REF!=0,"",#REF!-#REF!),#REF!),#REF!),#REF!),""),' '!G5-' '!H5),ABS(' '!F5)))</f>
        <v>#REF!</v>
      </c>
      <c r="C5" s="15" t="e">
        <f>SUMIF(#REF!,"",#REF!)</f>
        <v>#REF!</v>
      </c>
      <c r="D5" s="15" t="e">
        <f>SUMIF(#REF!,"",#REF!)</f>
        <v>#REF!</v>
      </c>
      <c r="E5" s="15" t="e">
        <f>ABS(' '!C5)+ABS(' '!D5)</f>
        <v>#REF!</v>
      </c>
      <c r="F5" s="15" t="e">
        <f>SUMIF(#REF!,"以前年度损益调整",#REF!)-SUMIF(#REF!,"以前年度损益调整",#REF!)</f>
        <v>#REF!</v>
      </c>
      <c r="G5" s="16" t="e">
        <f>SUMIF(#REF!,"Y",#REF!)</f>
        <v>#REF!</v>
      </c>
      <c r="H5" s="16" t="e">
        <f>SUMIF(#REF!,"Y",#REF!)</f>
        <v>#REF!</v>
      </c>
      <c r="K5" s="14" t="str">
        <f>CONCATENATE("被审计单位：",参数!D3)</f>
        <v>被审计单位：</v>
      </c>
      <c r="L5" s="14" t="e">
        <f>IF(A8=0,CONCATENATE(A5,B5),"请注意，您在第"&amp;(A7-1)&amp;"行之后输入了数据，本系统无法汇总到这些数据。请撤消此操作，然后在第"&amp;(A7-1)&amp;"行之前插入空白行，并在这些空白行中重新输入或粘贴数据。")</f>
        <v>#REF!</v>
      </c>
      <c r="Q5" s="17" t="e">
        <f>IF(ABS(#REF!-#REF!)&lt;0.005,"调整金额合计","调整金额借贷不等,请检查!差额为:")</f>
        <v>#REF!</v>
      </c>
      <c r="S5" s="14" t="e">
        <f>IF(#REF!=#REF!,"",#REF!-#REF!)</f>
        <v>#REF!</v>
      </c>
      <c r="U5" s="14" t="str">
        <f>CONCATENATE("会计期间：  ",参数!D10)</f>
        <v>会计期间：  2007年度</v>
      </c>
    </row>
    <row r="6" spans="1:21" s="11" customFormat="1" ht="12" hidden="1" customHeight="1">
      <c r="A6" s="935" t="e">
        <f>IF(#REF!=0,IF(#REF!=0,IF(#REF!=0,IF(#REF!=0,"", "客户同意调整的分录不平，导致客户报出报表不平，请检查!!差额为："),"客户同意调整的分录不平，导致客户报出报表不平，请检查!!差额为："),"调整分录使试算平衡表中“现金及现金等价物净增加额”上下不等,差额为："),"调整分录使试算平衡表中“经营活动产生的现金流量”上下不等,差额为：")</f>
        <v>#REF!</v>
      </c>
      <c r="B6" s="935"/>
      <c r="C6" s="935"/>
      <c r="D6" s="935"/>
      <c r="E6" s="935"/>
      <c r="F6" s="935"/>
      <c r="G6" s="935"/>
      <c r="H6" s="18"/>
      <c r="I6" s="19" t="e">
        <f>IF(#REF!=0,IF(#REF!=0,IF(#REF!=0,IF(#REF!=0,"",#REF!),#REF!),#REF!),#REF!)</f>
        <v>#REF!</v>
      </c>
      <c r="J6" s="20" t="e">
        <f>CONCATENATE(A6,I6)</f>
        <v>#REF!</v>
      </c>
      <c r="K6" s="18"/>
      <c r="L6" s="18"/>
      <c r="M6" s="18"/>
      <c r="N6" s="21" t="e">
        <f>CONCATENATE("调整事项使现金净流量增加：",ROUND(#REF!-#REF!,2),"元。其中，","调增",ROUND(#REF!,2),"元，调减",ROUND(#REF!,2),"元。")</f>
        <v>#REF!</v>
      </c>
    </row>
    <row r="7" spans="1:21" s="11" customFormat="1" ht="12" hidden="1" customHeight="1">
      <c r="A7" t="e">
        <f>ROW(#REF!)</f>
        <v>#REF!</v>
      </c>
    </row>
    <row r="8" spans="1:21" s="11" customFormat="1" ht="12" hidden="1" customHeight="1">
      <c r="A8" t="e">
        <f>SUM(#REF!)</f>
        <v>#REF!</v>
      </c>
    </row>
    <row r="9" spans="1:21" s="11" customFormat="1" ht="12" hidden="1" customHeight="1"/>
  </sheetData>
  <mergeCells count="1">
    <mergeCell ref="A6:G6"/>
  </mergeCells>
  <phoneticPr fontId="3" type="noConversion"/>
  <pageMargins left="0.75" right="0.75" top="1" bottom="1" header="0.5" footer="0.5"/>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D78"/>
  <sheetViews>
    <sheetView zoomScaleNormal="100" workbookViewId="0">
      <pane ySplit="4" topLeftCell="A5" activePane="bottomLeft" state="frozen"/>
      <selection pane="bottomLeft" sqref="A1:D1"/>
    </sheetView>
  </sheetViews>
  <sheetFormatPr defaultColWidth="16.375" defaultRowHeight="14.1" customHeight="1"/>
  <cols>
    <col min="1" max="1" width="54.875" style="84" customWidth="1"/>
    <col min="2" max="4" width="15.125" style="84" bestFit="1" customWidth="1"/>
    <col min="5" max="5" width="11" style="84" customWidth="1"/>
    <col min="6" max="6" width="12.875" style="84" customWidth="1"/>
    <col min="7" max="16384" width="16.375" style="84"/>
  </cols>
  <sheetData>
    <row r="1" spans="1:4" ht="18.75">
      <c r="A1" s="940" t="s">
        <v>953</v>
      </c>
      <c r="B1" s="940"/>
      <c r="C1" s="940"/>
      <c r="D1" s="940"/>
    </row>
    <row r="2" spans="1:4" ht="13.5">
      <c r="A2" s="943" t="str">
        <f>参数!D10</f>
        <v>2007年度</v>
      </c>
      <c r="B2" s="943"/>
      <c r="C2" s="943"/>
      <c r="D2" s="943"/>
    </row>
    <row r="3" spans="1:4" s="65" customFormat="1" ht="14.1" customHeight="1">
      <c r="A3" s="936" t="s">
        <v>278</v>
      </c>
      <c r="B3" s="938" t="s">
        <v>954</v>
      </c>
      <c r="C3" s="941" t="s">
        <v>955</v>
      </c>
      <c r="D3" s="941" t="s">
        <v>956</v>
      </c>
    </row>
    <row r="4" spans="1:4" s="65" customFormat="1" ht="14.1" customHeight="1">
      <c r="A4" s="937"/>
      <c r="B4" s="939"/>
      <c r="C4" s="942"/>
      <c r="D4" s="942"/>
    </row>
    <row r="5" spans="1:4" s="65" customFormat="1" ht="18" customHeight="1">
      <c r="A5" s="803" t="s">
        <v>833</v>
      </c>
      <c r="B5" s="801"/>
      <c r="C5" s="801"/>
      <c r="D5" s="801"/>
    </row>
    <row r="6" spans="1:4" s="65" customFormat="1" ht="18" customHeight="1">
      <c r="A6" s="804" t="s">
        <v>298</v>
      </c>
      <c r="B6" s="325">
        <f>未审CF!C7</f>
        <v>0</v>
      </c>
      <c r="C6" s="325"/>
      <c r="D6" s="325">
        <f>SUM(B6:C6)</f>
        <v>0</v>
      </c>
    </row>
    <row r="7" spans="1:4" s="65" customFormat="1" ht="18" customHeight="1">
      <c r="A7" s="805" t="s">
        <v>299</v>
      </c>
      <c r="B7" s="325">
        <f>未审CF!C8</f>
        <v>0</v>
      </c>
      <c r="C7" s="325"/>
      <c r="D7" s="325">
        <f>SUM(B7:C7)</f>
        <v>0</v>
      </c>
    </row>
    <row r="8" spans="1:4" s="65" customFormat="1" ht="18" customHeight="1">
      <c r="A8" s="804" t="s">
        <v>279</v>
      </c>
      <c r="B8" s="325">
        <f>未审CF!C9</f>
        <v>0</v>
      </c>
      <c r="C8" s="325"/>
      <c r="D8" s="325">
        <f>SUM(B8:C8)</f>
        <v>0</v>
      </c>
    </row>
    <row r="9" spans="1:4" s="65" customFormat="1" ht="18" customHeight="1">
      <c r="A9" s="804" t="s">
        <v>280</v>
      </c>
      <c r="B9" s="325">
        <f>SUM(B6:B8)</f>
        <v>0</v>
      </c>
      <c r="C9" s="325">
        <f>SUM(C6:C8)</f>
        <v>0</v>
      </c>
      <c r="D9" s="325">
        <f>SUM(D6:D8)</f>
        <v>0</v>
      </c>
    </row>
    <row r="10" spans="1:4" s="65" customFormat="1" ht="18" customHeight="1">
      <c r="A10" s="804" t="s">
        <v>281</v>
      </c>
      <c r="B10" s="325">
        <f>未审CF!C12</f>
        <v>0</v>
      </c>
      <c r="C10" s="325"/>
      <c r="D10" s="325">
        <f>SUM(B10:C10)</f>
        <v>0</v>
      </c>
    </row>
    <row r="11" spans="1:4" s="65" customFormat="1" ht="18" customHeight="1">
      <c r="A11" s="804" t="s">
        <v>282</v>
      </c>
      <c r="B11" s="325">
        <f>未审CF!C13</f>
        <v>0</v>
      </c>
      <c r="C11" s="325"/>
      <c r="D11" s="325">
        <f>SUM(B11:C11)</f>
        <v>0</v>
      </c>
    </row>
    <row r="12" spans="1:4" s="65" customFormat="1" ht="18" customHeight="1">
      <c r="A12" s="804" t="s">
        <v>300</v>
      </c>
      <c r="B12" s="325">
        <f>未审CF!C14</f>
        <v>0</v>
      </c>
      <c r="C12" s="325"/>
      <c r="D12" s="325">
        <f>SUM(B12:C12)</f>
        <v>0</v>
      </c>
    </row>
    <row r="13" spans="1:4" s="65" customFormat="1" ht="18" customHeight="1">
      <c r="A13" s="804" t="s">
        <v>283</v>
      </c>
      <c r="B13" s="325">
        <f>未审CF!C15</f>
        <v>0</v>
      </c>
      <c r="C13" s="325"/>
      <c r="D13" s="325">
        <f>SUM(B13:C13)</f>
        <v>0</v>
      </c>
    </row>
    <row r="14" spans="1:4" s="65" customFormat="1" ht="18" customHeight="1">
      <c r="A14" s="804" t="s">
        <v>284</v>
      </c>
      <c r="B14" s="325">
        <f>B10+B11+B12+B13</f>
        <v>0</v>
      </c>
      <c r="C14" s="325">
        <f>C10+C11+C12+C13</f>
        <v>0</v>
      </c>
      <c r="D14" s="325">
        <f>D10+D11+D12+D13</f>
        <v>0</v>
      </c>
    </row>
    <row r="15" spans="1:4" s="93" customFormat="1" ht="18" customHeight="1">
      <c r="A15" s="806" t="s">
        <v>301</v>
      </c>
      <c r="B15" s="795">
        <f>B9-B14</f>
        <v>0</v>
      </c>
      <c r="C15" s="795">
        <f>C9-C14</f>
        <v>0</v>
      </c>
      <c r="D15" s="795">
        <f>D9-D14</f>
        <v>0</v>
      </c>
    </row>
    <row r="16" spans="1:4" s="65" customFormat="1" ht="18" customHeight="1">
      <c r="A16" s="807"/>
      <c r="B16" s="796"/>
      <c r="C16" s="796"/>
      <c r="D16" s="796"/>
    </row>
    <row r="17" spans="1:4" s="93" customFormat="1" ht="18" customHeight="1">
      <c r="A17" s="806" t="s">
        <v>302</v>
      </c>
      <c r="B17" s="797"/>
      <c r="C17" s="797"/>
      <c r="D17" s="797"/>
    </row>
    <row r="18" spans="1:4" s="65" customFormat="1" ht="18" customHeight="1">
      <c r="A18" s="804" t="s">
        <v>303</v>
      </c>
      <c r="B18" s="325">
        <f>未审CF!C20</f>
        <v>0</v>
      </c>
      <c r="C18" s="325"/>
      <c r="D18" s="325">
        <f>SUM(B18:C18)</f>
        <v>0</v>
      </c>
    </row>
    <row r="19" spans="1:4" s="65" customFormat="1" ht="18" customHeight="1">
      <c r="A19" s="804" t="s">
        <v>850</v>
      </c>
      <c r="B19" s="325">
        <f>未审CF!C21</f>
        <v>0</v>
      </c>
      <c r="C19" s="325"/>
      <c r="D19" s="325">
        <f>SUM(B19:C19)</f>
        <v>0</v>
      </c>
    </row>
    <row r="20" spans="1:4" s="65" customFormat="1" ht="18" customHeight="1">
      <c r="A20" s="804" t="s">
        <v>304</v>
      </c>
      <c r="B20" s="325">
        <f>未审CF!C22</f>
        <v>0</v>
      </c>
      <c r="C20" s="325"/>
      <c r="D20" s="325">
        <f>SUM(B20:C20)</f>
        <v>0</v>
      </c>
    </row>
    <row r="21" spans="1:4" s="65" customFormat="1" ht="18" customHeight="1">
      <c r="A21" s="804" t="s">
        <v>305</v>
      </c>
      <c r="B21" s="325">
        <f>未审CF!C23</f>
        <v>0</v>
      </c>
      <c r="C21" s="325"/>
      <c r="D21" s="325">
        <f>SUM(B21:C21)</f>
        <v>0</v>
      </c>
    </row>
    <row r="22" spans="1:4" s="65" customFormat="1" ht="18" customHeight="1">
      <c r="A22" s="804" t="s">
        <v>285</v>
      </c>
      <c r="B22" s="325">
        <f>未审CF!C24</f>
        <v>0</v>
      </c>
      <c r="C22" s="325"/>
      <c r="D22" s="325">
        <f>SUM(B22:C22)</f>
        <v>0</v>
      </c>
    </row>
    <row r="23" spans="1:4" s="65" customFormat="1" ht="18" customHeight="1">
      <c r="A23" s="804" t="s">
        <v>280</v>
      </c>
      <c r="B23" s="325">
        <f>SUM(B18:B22)-B19</f>
        <v>0</v>
      </c>
      <c r="C23" s="325">
        <f>SUM(C18:C22)-C19</f>
        <v>0</v>
      </c>
      <c r="D23" s="325">
        <f>SUM(D18:D22)-D19</f>
        <v>0</v>
      </c>
    </row>
    <row r="24" spans="1:4" s="65" customFormat="1" ht="18" customHeight="1">
      <c r="A24" s="804" t="s">
        <v>306</v>
      </c>
      <c r="B24" s="325">
        <f>未审CF!C27</f>
        <v>0</v>
      </c>
      <c r="C24" s="325"/>
      <c r="D24" s="325">
        <f>SUM(B24:C24)</f>
        <v>0</v>
      </c>
    </row>
    <row r="25" spans="1:4" s="65" customFormat="1" ht="18" customHeight="1">
      <c r="A25" s="804" t="s">
        <v>307</v>
      </c>
      <c r="B25" s="325">
        <f>未审CF!C28</f>
        <v>0</v>
      </c>
      <c r="C25" s="325"/>
      <c r="D25" s="325">
        <f>SUM(B25:C25)</f>
        <v>0</v>
      </c>
    </row>
    <row r="26" spans="1:4" s="65" customFormat="1" ht="18" customHeight="1">
      <c r="A26" s="804" t="s">
        <v>851</v>
      </c>
      <c r="B26" s="325">
        <f>未审CF!C29</f>
        <v>0</v>
      </c>
      <c r="C26" s="325"/>
      <c r="D26" s="325">
        <f>SUM(B26:C26)</f>
        <v>0</v>
      </c>
    </row>
    <row r="27" spans="1:4" s="65" customFormat="1" ht="18" customHeight="1">
      <c r="A27" s="804" t="s">
        <v>286</v>
      </c>
      <c r="B27" s="325">
        <f>未审CF!C30</f>
        <v>0</v>
      </c>
      <c r="C27" s="325"/>
      <c r="D27" s="325">
        <f>SUM(B27:C27)</f>
        <v>0</v>
      </c>
    </row>
    <row r="28" spans="1:4" s="65" customFormat="1" ht="18" customHeight="1">
      <c r="A28" s="804" t="s">
        <v>284</v>
      </c>
      <c r="B28" s="325">
        <f>SUM(B24:B27)-B26</f>
        <v>0</v>
      </c>
      <c r="C28" s="325">
        <f>SUM(C24:C27)-C26</f>
        <v>0</v>
      </c>
      <c r="D28" s="325">
        <f>SUM(D24:D27)-D26</f>
        <v>0</v>
      </c>
    </row>
    <row r="29" spans="1:4" s="93" customFormat="1" ht="18" customHeight="1">
      <c r="A29" s="806" t="s">
        <v>287</v>
      </c>
      <c r="B29" s="798">
        <f>B23-B28</f>
        <v>0</v>
      </c>
      <c r="C29" s="798">
        <f>C23-C28</f>
        <v>0</v>
      </c>
      <c r="D29" s="798">
        <f>D23-D28</f>
        <v>0</v>
      </c>
    </row>
    <row r="30" spans="1:4" s="65" customFormat="1" ht="18" customHeight="1">
      <c r="A30" s="807"/>
      <c r="B30" s="796"/>
      <c r="C30" s="796"/>
      <c r="D30" s="796"/>
    </row>
    <row r="31" spans="1:4" s="93" customFormat="1" ht="18" customHeight="1">
      <c r="A31" s="806" t="s">
        <v>308</v>
      </c>
      <c r="B31" s="797"/>
      <c r="C31" s="797"/>
      <c r="D31" s="797"/>
    </row>
    <row r="32" spans="1:4" s="65" customFormat="1" ht="18" customHeight="1">
      <c r="A32" s="804" t="s">
        <v>309</v>
      </c>
      <c r="B32" s="325">
        <f>未审CF!C35</f>
        <v>0</v>
      </c>
      <c r="C32" s="325"/>
      <c r="D32" s="325">
        <f>SUM(B32:C32)</f>
        <v>0</v>
      </c>
    </row>
    <row r="33" spans="1:4" s="65" customFormat="1" ht="18" customHeight="1">
      <c r="A33" s="804" t="s">
        <v>288</v>
      </c>
      <c r="B33" s="325">
        <f>未审CF!C36</f>
        <v>0</v>
      </c>
      <c r="C33" s="325"/>
      <c r="D33" s="325">
        <f>SUM(B33:C33)</f>
        <v>0</v>
      </c>
    </row>
    <row r="34" spans="1:4" s="65" customFormat="1" ht="18" customHeight="1">
      <c r="A34" s="804" t="s">
        <v>289</v>
      </c>
      <c r="B34" s="325">
        <f>未审CF!C37</f>
        <v>0</v>
      </c>
      <c r="C34" s="325"/>
      <c r="D34" s="325">
        <f>SUM(B34:C34)</f>
        <v>0</v>
      </c>
    </row>
    <row r="35" spans="1:4" s="65" customFormat="1" ht="18" customHeight="1">
      <c r="A35" s="804" t="s">
        <v>280</v>
      </c>
      <c r="B35" s="325">
        <f>SUM(B32:B34)</f>
        <v>0</v>
      </c>
      <c r="C35" s="325">
        <f>SUM(C32:C34)</f>
        <v>0</v>
      </c>
      <c r="D35" s="325">
        <f>SUM(D32:D34)</f>
        <v>0</v>
      </c>
    </row>
    <row r="36" spans="1:4" s="65" customFormat="1" ht="18" customHeight="1">
      <c r="A36" s="804" t="s">
        <v>290</v>
      </c>
      <c r="B36" s="325">
        <f>未审CF!C40</f>
        <v>0</v>
      </c>
      <c r="C36" s="325"/>
      <c r="D36" s="325">
        <f>SUM(B36:C36)</f>
        <v>0</v>
      </c>
    </row>
    <row r="37" spans="1:4" s="65" customFormat="1" ht="18" customHeight="1">
      <c r="A37" s="804" t="s">
        <v>310</v>
      </c>
      <c r="B37" s="325">
        <f>未审CF!C41</f>
        <v>0</v>
      </c>
      <c r="C37" s="325"/>
      <c r="D37" s="325">
        <f>SUM(B37:C37)</f>
        <v>0</v>
      </c>
    </row>
    <row r="38" spans="1:4" s="65" customFormat="1" ht="18" customHeight="1">
      <c r="A38" s="804" t="s">
        <v>291</v>
      </c>
      <c r="B38" s="325">
        <f>未审CF!C42</f>
        <v>0</v>
      </c>
      <c r="C38" s="325"/>
      <c r="D38" s="325">
        <f>SUM(B38:C38)</f>
        <v>0</v>
      </c>
    </row>
    <row r="39" spans="1:4" s="65" customFormat="1" ht="18" customHeight="1">
      <c r="A39" s="804" t="s">
        <v>284</v>
      </c>
      <c r="B39" s="325">
        <f>B36+B37+B38</f>
        <v>0</v>
      </c>
      <c r="C39" s="325">
        <f>C36+C37+C38</f>
        <v>0</v>
      </c>
      <c r="D39" s="325">
        <f>D36+D37+D38</f>
        <v>0</v>
      </c>
    </row>
    <row r="40" spans="1:4" s="93" customFormat="1" ht="18" customHeight="1">
      <c r="A40" s="806" t="s">
        <v>292</v>
      </c>
      <c r="B40" s="795">
        <f>B35-B39</f>
        <v>0</v>
      </c>
      <c r="C40" s="795">
        <f>C35-C39</f>
        <v>0</v>
      </c>
      <c r="D40" s="795">
        <f>D35-D39</f>
        <v>0</v>
      </c>
    </row>
    <row r="41" spans="1:4" s="65" customFormat="1" ht="18" customHeight="1">
      <c r="A41" s="807"/>
      <c r="B41" s="796"/>
      <c r="C41" s="796"/>
      <c r="D41" s="796"/>
    </row>
    <row r="42" spans="1:4" s="65" customFormat="1" ht="18" customHeight="1">
      <c r="A42" s="806" t="s">
        <v>293</v>
      </c>
      <c r="B42" s="325">
        <f>未审CF!C46</f>
        <v>0</v>
      </c>
      <c r="C42" s="325"/>
      <c r="D42" s="325">
        <f>SUM(B42:C42)</f>
        <v>0</v>
      </c>
    </row>
    <row r="43" spans="1:4" s="65" customFormat="1" ht="18" customHeight="1">
      <c r="A43" s="804"/>
      <c r="B43" s="796"/>
      <c r="C43" s="796"/>
      <c r="D43" s="796"/>
    </row>
    <row r="44" spans="1:4" s="93" customFormat="1" ht="18" customHeight="1">
      <c r="A44" s="808" t="s">
        <v>25</v>
      </c>
      <c r="B44" s="799">
        <f>B15+B29+B40+B42</f>
        <v>0</v>
      </c>
      <c r="C44" s="799">
        <f>C15+C29+C40+C42</f>
        <v>0</v>
      </c>
      <c r="D44" s="799">
        <f>D15+D29+D40+D42</f>
        <v>0</v>
      </c>
    </row>
    <row r="45" spans="1:4" s="93" customFormat="1" ht="18" customHeight="1">
      <c r="A45" s="97"/>
      <c r="B45" s="99"/>
      <c r="C45" s="99"/>
      <c r="D45" s="99"/>
    </row>
    <row r="46" spans="1:4" ht="21.75" customHeight="1">
      <c r="A46" s="800" t="s">
        <v>313</v>
      </c>
      <c r="B46" s="801"/>
      <c r="C46" s="801"/>
      <c r="D46" s="801"/>
    </row>
    <row r="47" spans="1:4" ht="21.75" customHeight="1">
      <c r="A47" s="86" t="s">
        <v>314</v>
      </c>
      <c r="B47" s="798">
        <f>未审CF!F7</f>
        <v>0</v>
      </c>
      <c r="C47" s="798">
        <f>TB损益!I53-TB损益!B53</f>
        <v>0</v>
      </c>
      <c r="D47" s="798">
        <f>SUM(B47:C47)</f>
        <v>0</v>
      </c>
    </row>
    <row r="48" spans="1:4" ht="21.75" customHeight="1">
      <c r="A48" s="88" t="s">
        <v>315</v>
      </c>
      <c r="B48" s="325">
        <f>未审CF!F8</f>
        <v>0</v>
      </c>
      <c r="C48" s="325">
        <f>TB损益!C51-TB损益!D51+TB损益!E51-TB损益!F51</f>
        <v>0</v>
      </c>
      <c r="D48" s="325">
        <f>SUM(B48:C48)</f>
        <v>0</v>
      </c>
    </row>
    <row r="49" spans="1:4" ht="21.75" customHeight="1">
      <c r="A49" s="88" t="s">
        <v>834</v>
      </c>
      <c r="B49" s="325">
        <f>未审CF!F9</f>
        <v>0</v>
      </c>
      <c r="C49" s="325">
        <f>TB损益!C52-TB损益!D52+TB损益!E52-TB损益!F52</f>
        <v>0</v>
      </c>
      <c r="D49" s="325">
        <f t="shared" ref="D49:D64" si="0">SUM(B49:C49)</f>
        <v>0</v>
      </c>
    </row>
    <row r="50" spans="1:4" ht="21.75" customHeight="1">
      <c r="A50" s="88" t="s">
        <v>835</v>
      </c>
      <c r="B50" s="325">
        <f>未审CF!F10</f>
        <v>0</v>
      </c>
      <c r="C50" s="325"/>
      <c r="D50" s="325">
        <f t="shared" si="0"/>
        <v>0</v>
      </c>
    </row>
    <row r="51" spans="1:4" ht="21.75" customHeight="1">
      <c r="A51" s="88" t="s">
        <v>316</v>
      </c>
      <c r="B51" s="325">
        <f>未审CF!F11</f>
        <v>0</v>
      </c>
      <c r="C51" s="325">
        <f>-TB资产!C37+TB资产!D37-TB资产!E37+TB资产!F37</f>
        <v>0</v>
      </c>
      <c r="D51" s="325">
        <f t="shared" si="0"/>
        <v>0</v>
      </c>
    </row>
    <row r="52" spans="1:4" ht="21.75" customHeight="1">
      <c r="A52" s="88" t="s">
        <v>317</v>
      </c>
      <c r="B52" s="325">
        <f>未审CF!F12</f>
        <v>0</v>
      </c>
      <c r="C52" s="325"/>
      <c r="D52" s="325">
        <f t="shared" si="0"/>
        <v>0</v>
      </c>
    </row>
    <row r="53" spans="1:4" ht="21.75" customHeight="1">
      <c r="A53" s="88" t="s">
        <v>318</v>
      </c>
      <c r="B53" s="325">
        <f>未审CF!F13</f>
        <v>0</v>
      </c>
      <c r="C53" s="325"/>
      <c r="D53" s="325">
        <f t="shared" si="0"/>
        <v>0</v>
      </c>
    </row>
    <row r="54" spans="1:4" ht="21.75" customHeight="1">
      <c r="A54" s="88" t="s">
        <v>319</v>
      </c>
      <c r="B54" s="325">
        <f>未审CF!F14</f>
        <v>0</v>
      </c>
      <c r="C54" s="325">
        <f>-TB资产!C21+TB资产!D21-TB资产!E21+TB资产!F21</f>
        <v>0</v>
      </c>
      <c r="D54" s="325">
        <f t="shared" si="0"/>
        <v>0</v>
      </c>
    </row>
    <row r="55" spans="1:4" ht="21.75" customHeight="1">
      <c r="A55" s="90" t="s">
        <v>320</v>
      </c>
      <c r="B55" s="325">
        <f>未审CF!F15</f>
        <v>0</v>
      </c>
      <c r="C55" s="325">
        <f>-TB负债!C18+TB负债!D18-TB负债!E18+TB负债!F18</f>
        <v>0</v>
      </c>
      <c r="D55" s="325">
        <f t="shared" si="0"/>
        <v>0</v>
      </c>
    </row>
    <row r="56" spans="1:4" ht="21.75" customHeight="1">
      <c r="A56" s="90" t="s">
        <v>321</v>
      </c>
      <c r="B56" s="325">
        <f>未审CF!F16</f>
        <v>0</v>
      </c>
      <c r="C56" s="325"/>
      <c r="D56" s="325">
        <f t="shared" si="0"/>
        <v>0</v>
      </c>
    </row>
    <row r="57" spans="1:4" ht="21.75" customHeight="1">
      <c r="A57" s="90" t="s">
        <v>322</v>
      </c>
      <c r="B57" s="325">
        <f>未审CF!F17</f>
        <v>0</v>
      </c>
      <c r="C57" s="325"/>
      <c r="D57" s="325">
        <f t="shared" si="0"/>
        <v>0</v>
      </c>
    </row>
    <row r="58" spans="1:4" ht="21.75" customHeight="1">
      <c r="A58" s="90" t="s">
        <v>323</v>
      </c>
      <c r="B58" s="325">
        <f>未审CF!F18</f>
        <v>0</v>
      </c>
      <c r="C58" s="325">
        <f>TB损益!C25-TB损益!D25+TB损益!E25-TB损益!F25</f>
        <v>0</v>
      </c>
      <c r="D58" s="325">
        <f>SUM(B58:C58)</f>
        <v>0</v>
      </c>
    </row>
    <row r="59" spans="1:4" ht="21.75" customHeight="1">
      <c r="A59" s="90" t="s">
        <v>324</v>
      </c>
      <c r="B59" s="325">
        <f>未审CF!F19</f>
        <v>0</v>
      </c>
      <c r="C59" s="325">
        <f>-(-TB损益!C31+TB损益!D31-TB损益!E31+TB损益!F31)</f>
        <v>0</v>
      </c>
      <c r="D59" s="325">
        <f t="shared" si="0"/>
        <v>0</v>
      </c>
    </row>
    <row r="60" spans="1:4" ht="21.75" customHeight="1">
      <c r="A60" s="90" t="s">
        <v>325</v>
      </c>
      <c r="B60" s="325">
        <f>未审CF!F20</f>
        <v>0</v>
      </c>
      <c r="C60" s="325">
        <f>-TB负债!C38+TB负债!D38-TB负债!E38+TB负债!F38+TB资产!C60-TB资产!D60+TB资产!E60-TB资产!F60</f>
        <v>0</v>
      </c>
      <c r="D60" s="325">
        <f t="shared" si="0"/>
        <v>0</v>
      </c>
    </row>
    <row r="61" spans="1:4" ht="21.75" customHeight="1">
      <c r="A61" s="90" t="s">
        <v>326</v>
      </c>
      <c r="B61" s="325">
        <f>未审CF!F21</f>
        <v>0</v>
      </c>
      <c r="C61" s="325">
        <f>-TB资产!C18+TB资产!D18-TB资产!E18+TB资产!F18</f>
        <v>0</v>
      </c>
      <c r="D61" s="325">
        <f t="shared" si="0"/>
        <v>0</v>
      </c>
    </row>
    <row r="62" spans="1:4" ht="21.75" customHeight="1">
      <c r="A62" s="90" t="s">
        <v>327</v>
      </c>
      <c r="B62" s="325">
        <f>未审CF!F22</f>
        <v>0</v>
      </c>
      <c r="C62" s="325">
        <f>-TB资产!C9+TB资产!D9-TB资产!E9+TB资产!F9-TB资产!C12+TB资产!D12-TB资产!E12+TB资产!F12-TB资产!C13+TB资产!D13-TB资产!E13+TB资产!F13-TB资产!C24+TB资产!D24-TB资产!E24+TB资产!F24+TB负债!C10-TB负债!D10+TB负债!E10-TB负债!F10</f>
        <v>0</v>
      </c>
      <c r="D62" s="325">
        <f t="shared" si="0"/>
        <v>0</v>
      </c>
    </row>
    <row r="63" spans="1:4" ht="21.75" customHeight="1">
      <c r="A63" s="90" t="s">
        <v>328</v>
      </c>
      <c r="B63" s="325">
        <f>未审CF!F23</f>
        <v>0</v>
      </c>
      <c r="C63" s="325">
        <f>-TB负债!C8+TB负债!D8-TB负债!E8+TB负债!F8-TB负债!C9+TB负债!D9-TB负债!E9+TB负债!F9-TB负债!C11+TB负债!D11-TB负债!E11+TB负债!F11-TB负债!C12+TB负债!D12-TB负债!E12+TB负债!F12-TB负债!C13+TB负债!D13-TB负债!E13+TB负债!F13-TB负债!C15+TB负债!D15-TB负债!E15+TB负债!F15-TB负债!C16+TB负债!D16-TB负债!E16+TB负债!F16-TB负债!C17+TB负债!D17-TB负债!E17+TB负债!F17-TB负债!C23+TB负债!D23-TB负债!E23+TB负债!F23+TB资产!C14-TB资产!D14+TB资产!E14-TB资产!F14</f>
        <v>0</v>
      </c>
      <c r="D63" s="325">
        <f t="shared" si="0"/>
        <v>0</v>
      </c>
    </row>
    <row r="64" spans="1:4" ht="21.75" customHeight="1">
      <c r="A64" s="90" t="s">
        <v>329</v>
      </c>
      <c r="B64" s="325">
        <f>未审CF!F24</f>
        <v>0</v>
      </c>
      <c r="C64" s="325"/>
      <c r="D64" s="325">
        <f t="shared" si="0"/>
        <v>0</v>
      </c>
    </row>
    <row r="65" spans="1:4" ht="21.75" customHeight="1">
      <c r="A65" s="86" t="s">
        <v>330</v>
      </c>
      <c r="B65" s="798">
        <f>SUM(B47:B48,-B49,B50:B64)</f>
        <v>0</v>
      </c>
      <c r="C65" s="798">
        <f>SUM(C47:C48,-C49,C50:C64)</f>
        <v>0</v>
      </c>
      <c r="D65" s="798">
        <f>SUM(D47:D48,-D49,D50:D64)</f>
        <v>0</v>
      </c>
    </row>
    <row r="66" spans="1:4" ht="21.75" customHeight="1">
      <c r="A66" s="102"/>
      <c r="B66" s="794"/>
      <c r="C66" s="794"/>
      <c r="D66" s="794"/>
    </row>
    <row r="67" spans="1:4" ht="21.75" customHeight="1">
      <c r="A67" s="103" t="s">
        <v>331</v>
      </c>
      <c r="B67" s="794"/>
      <c r="C67" s="794"/>
      <c r="D67" s="794"/>
    </row>
    <row r="68" spans="1:4" ht="21.75" customHeight="1">
      <c r="A68" s="102" t="s">
        <v>332</v>
      </c>
      <c r="B68" s="794">
        <f>未审CF!F30</f>
        <v>0</v>
      </c>
      <c r="C68" s="794"/>
      <c r="D68" s="794">
        <f>SUM(B68:C68)</f>
        <v>0</v>
      </c>
    </row>
    <row r="69" spans="1:4" ht="21.75" customHeight="1">
      <c r="A69" s="102" t="s">
        <v>333</v>
      </c>
      <c r="B69" s="794">
        <f>未审CF!F31</f>
        <v>0</v>
      </c>
      <c r="C69" s="794"/>
      <c r="D69" s="794">
        <f>SUM(B69:C69)</f>
        <v>0</v>
      </c>
    </row>
    <row r="70" spans="1:4" ht="21.75" customHeight="1">
      <c r="A70" s="102" t="s">
        <v>334</v>
      </c>
      <c r="B70" s="794">
        <f>未审CF!F32</f>
        <v>0</v>
      </c>
      <c r="C70" s="794"/>
      <c r="D70" s="794">
        <f>SUM(B70:C70)</f>
        <v>0</v>
      </c>
    </row>
    <row r="71" spans="1:4" ht="21.75" customHeight="1">
      <c r="A71" s="103"/>
      <c r="B71" s="794">
        <f>未审CF!F33</f>
        <v>0</v>
      </c>
      <c r="C71" s="798"/>
      <c r="D71" s="794">
        <f>SUM(B71:C71)</f>
        <v>0</v>
      </c>
    </row>
    <row r="72" spans="1:4" ht="21.75" customHeight="1">
      <c r="A72" s="86" t="s">
        <v>335</v>
      </c>
      <c r="B72" s="796"/>
      <c r="C72" s="796"/>
      <c r="D72" s="796"/>
    </row>
    <row r="73" spans="1:4" ht="21.75" customHeight="1">
      <c r="A73" s="88" t="s">
        <v>336</v>
      </c>
      <c r="B73" s="794">
        <f>未审CF!F36</f>
        <v>0</v>
      </c>
      <c r="C73" s="794">
        <f>TB资产!C7-TB资产!D7+TB资产!E7-TB资产!F7</f>
        <v>0</v>
      </c>
      <c r="D73" s="794">
        <f>SUM(B73:C73)</f>
        <v>0</v>
      </c>
    </row>
    <row r="74" spans="1:4" ht="21.75" customHeight="1">
      <c r="A74" s="88" t="s">
        <v>337</v>
      </c>
      <c r="B74" s="794">
        <f>未审CF!F37</f>
        <v>0</v>
      </c>
      <c r="C74" s="794">
        <f>'TB资产(期初)'!C7-'TB资产(期初)'!D7+'TB资产(期初)'!E7-'TB资产(期初)'!F7</f>
        <v>0</v>
      </c>
      <c r="D74" s="794">
        <f>SUM(B74:C74)</f>
        <v>0</v>
      </c>
    </row>
    <row r="75" spans="1:4" ht="21.75" customHeight="1">
      <c r="A75" s="88" t="s">
        <v>338</v>
      </c>
      <c r="B75" s="794">
        <f>未审CF!F38</f>
        <v>0</v>
      </c>
      <c r="C75" s="794"/>
      <c r="D75" s="794">
        <f>SUM(B75:C75)</f>
        <v>0</v>
      </c>
    </row>
    <row r="76" spans="1:4" ht="21.75" customHeight="1">
      <c r="A76" s="88" t="s">
        <v>339</v>
      </c>
      <c r="B76" s="794">
        <f>未审CF!F39</f>
        <v>0</v>
      </c>
      <c r="C76" s="794"/>
      <c r="D76" s="794">
        <f>SUM(B76:C76)</f>
        <v>0</v>
      </c>
    </row>
    <row r="77" spans="1:4" ht="21.75" customHeight="1">
      <c r="A77" s="95" t="s">
        <v>340</v>
      </c>
      <c r="B77" s="802">
        <f>B73-B74+B75-B76</f>
        <v>0</v>
      </c>
      <c r="C77" s="802">
        <f>C73-C74+C75-C76</f>
        <v>0</v>
      </c>
      <c r="D77" s="802">
        <f>D73-D74+D75-D76</f>
        <v>0</v>
      </c>
    </row>
    <row r="78" spans="1:4" ht="13.5">
      <c r="A78" s="97"/>
      <c r="B78" s="37"/>
      <c r="C78" s="37"/>
      <c r="D78" s="37"/>
    </row>
  </sheetData>
  <mergeCells count="6">
    <mergeCell ref="A3:A4"/>
    <mergeCell ref="B3:B4"/>
    <mergeCell ref="A1:D1"/>
    <mergeCell ref="D3:D4"/>
    <mergeCell ref="A2:D2"/>
    <mergeCell ref="C3:C4"/>
  </mergeCells>
  <phoneticPr fontId="77" type="noConversion"/>
  <printOptions horizontalCentered="1" verticalCentered="1"/>
  <pageMargins left="0.47244094488188981" right="0.35433070866141736" top="0" bottom="0" header="0.51181102362204722" footer="0.51181102362204722"/>
  <pageSetup paperSize="9" scale="85" orientation="portrait" horizontalDpi="360" r:id="rId1"/>
  <headerFooter alignWithMargins="0"/>
  <rowBreaks count="1" manualBreakCount="1">
    <brk id="45"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64"/>
  <sheetViews>
    <sheetView showZeros="0" workbookViewId="0">
      <pane xSplit="1" ySplit="5" topLeftCell="B45" activePane="bottomRight" state="frozen"/>
      <selection pane="topRight"/>
      <selection pane="bottomLeft"/>
      <selection pane="bottomRight"/>
    </sheetView>
  </sheetViews>
  <sheetFormatPr defaultColWidth="7" defaultRowHeight="13.5" outlineLevelCol="1"/>
  <cols>
    <col min="1" max="1" width="20.5" style="62" customWidth="1"/>
    <col min="2" max="2" width="11.625" style="62" customWidth="1"/>
    <col min="3" max="4" width="11" style="62" customWidth="1"/>
    <col min="5" max="5" width="10.375" style="62" customWidth="1"/>
    <col min="6" max="6" width="10" style="62" customWidth="1"/>
    <col min="7" max="8" width="11.625" style="62" hidden="1" customWidth="1" outlineLevel="1"/>
    <col min="9" max="9" width="11.625" style="62" customWidth="1" collapsed="1"/>
    <col min="10" max="10" width="9.125" style="62" bestFit="1" customWidth="1"/>
    <col min="11" max="11" width="17.25" style="62" bestFit="1" customWidth="1"/>
    <col min="12" max="12" width="6.75" style="62" bestFit="1" customWidth="1"/>
    <col min="13" max="16384" width="7" style="62"/>
  </cols>
  <sheetData>
    <row r="1" spans="1:13" s="61" customFormat="1" ht="19.5" customHeight="1">
      <c r="A1" s="58" t="s">
        <v>266</v>
      </c>
      <c r="B1" s="59"/>
      <c r="C1" s="59"/>
      <c r="D1" s="59"/>
      <c r="E1" s="59"/>
      <c r="F1" s="59"/>
      <c r="G1" s="59"/>
      <c r="H1" s="59"/>
      <c r="I1" s="59"/>
      <c r="J1" s="62"/>
      <c r="K1" s="188"/>
      <c r="L1" s="42"/>
      <c r="M1" s="62"/>
    </row>
    <row r="2" spans="1:13" s="61" customFormat="1" ht="15" customHeight="1">
      <c r="A2" s="171" t="str">
        <f>CONCATENATE("客户名称：",参数!D3)</f>
        <v>客户名称：</v>
      </c>
      <c r="C2" s="172" t="str">
        <f>CONCATENATE("编制：",参数!D17)</f>
        <v>编制：</v>
      </c>
      <c r="D2" s="173"/>
      <c r="E2" s="171" t="str">
        <f>CONCATENATE("复核：",参数!D18)</f>
        <v>复核：</v>
      </c>
      <c r="G2" s="174"/>
      <c r="H2" s="175"/>
      <c r="I2" s="172" t="s">
        <v>267</v>
      </c>
      <c r="J2" s="62"/>
      <c r="K2" s="188"/>
      <c r="L2" s="42"/>
      <c r="M2" s="62"/>
    </row>
    <row r="3" spans="1:13" s="61" customFormat="1" ht="17.25" customHeight="1">
      <c r="A3" s="174" t="str">
        <f>CONCATENATE("会计时点：",TEXT(参数!D12,"yyyy.mm.dd"))</f>
        <v>会计时点：2007.12.31</v>
      </c>
      <c r="C3" s="176" t="str">
        <f ca="1">CONCATENATE("日期：",TEXT(NOW(),"yyyy.mm.dd"))</f>
        <v>日期：2023.08.14</v>
      </c>
      <c r="D3" s="174"/>
      <c r="E3" s="172" t="s">
        <v>268</v>
      </c>
      <c r="G3" s="174"/>
      <c r="H3" s="174"/>
      <c r="I3" s="172" t="s">
        <v>269</v>
      </c>
      <c r="J3" s="62"/>
      <c r="K3" s="188"/>
      <c r="L3" s="42"/>
      <c r="M3" s="62"/>
    </row>
    <row r="4" spans="1:13" s="61" customFormat="1">
      <c r="A4" s="946" t="str">
        <f>IF((ROUND(I62,2))=(ROUND(TB负债!I62,2)),"资       产","报表未调平!")</f>
        <v>资       产</v>
      </c>
      <c r="B4" s="948" t="s">
        <v>270</v>
      </c>
      <c r="C4" s="948" t="s">
        <v>271</v>
      </c>
      <c r="D4" s="948"/>
      <c r="E4" s="948" t="s">
        <v>272</v>
      </c>
      <c r="F4" s="948"/>
      <c r="G4" s="443" t="s">
        <v>273</v>
      </c>
      <c r="H4" s="443" t="s">
        <v>274</v>
      </c>
      <c r="I4" s="944" t="s">
        <v>275</v>
      </c>
      <c r="J4" s="62"/>
      <c r="K4" s="188"/>
      <c r="L4" s="42"/>
      <c r="M4" s="62"/>
    </row>
    <row r="5" spans="1:13" s="61" customFormat="1">
      <c r="A5" s="947"/>
      <c r="B5" s="949"/>
      <c r="C5" s="444" t="s">
        <v>582</v>
      </c>
      <c r="D5" s="444" t="s">
        <v>583</v>
      </c>
      <c r="E5" s="444" t="s">
        <v>582</v>
      </c>
      <c r="F5" s="444" t="s">
        <v>583</v>
      </c>
      <c r="G5" s="444"/>
      <c r="H5" s="444"/>
      <c r="I5" s="945"/>
      <c r="J5" s="62"/>
      <c r="K5" s="188"/>
      <c r="L5" s="42"/>
      <c r="M5" s="62"/>
    </row>
    <row r="6" spans="1:13" ht="14.45" customHeight="1">
      <c r="A6" s="177" t="str">
        <f>报表格式!B5</f>
        <v>流动资产：</v>
      </c>
      <c r="B6" s="178"/>
      <c r="C6" s="178"/>
      <c r="D6" s="178"/>
      <c r="E6" s="178"/>
      <c r="F6" s="178"/>
      <c r="G6" s="178"/>
      <c r="H6" s="178"/>
      <c r="I6" s="179"/>
      <c r="K6" s="188"/>
      <c r="L6" s="42"/>
    </row>
    <row r="7" spans="1:13" ht="14.45" customHeight="1">
      <c r="A7" s="180" t="str">
        <f>报表格式!B6</f>
        <v>货币资金</v>
      </c>
      <c r="B7" s="413">
        <f>未审BS!D7</f>
        <v>0</v>
      </c>
      <c r="C7" s="413">
        <f>SUMIF(账项调整!$E$5:$E$65536,IF(OR(MID(TRIM($A7),2,1)="：",MID(TRIM($A7),2,1)="、"),REPLACEB(TRIM($A7),1,4,""),TRIM($A7)),账项调整!$J$5:$J$65536)</f>
        <v>0</v>
      </c>
      <c r="D7" s="413">
        <f>SUMIF(账项调整!$H$5:$H$65536,IF(OR(MID(TRIM($A7),2,1)="：",MID(TRIM($A7),2,1)="、"),REPLACEB(TRIM($A7),1,4,""),TRIM($A7)),账项调整!$J$5:$J$65536)</f>
        <v>0</v>
      </c>
      <c r="E7" s="413">
        <f>SUMIF(报表调整!$E$5:$E$65536,IF(OR(MID(TRIM($A7),2,1)="：",MID(TRIM($A7),2,1)="、"),REPLACEB(TRIM($A7),1,4,""),TRIM($A7)),报表调整!$J$5:$J$65536)</f>
        <v>0</v>
      </c>
      <c r="F7" s="413">
        <f>SUMIF(报表调整!$H$5:$H$65536,IF(OR(MID(TRIM($A7),2,1)="：",MID(TRIM($A7),2,1)="、"),REPLACEB(TRIM($A7),1,4,""),TRIM($A7)),报表调整!$J$5:$J$65536)</f>
        <v>0</v>
      </c>
      <c r="G7" s="413">
        <f>B7+C7+E7-D7-F7</f>
        <v>0</v>
      </c>
      <c r="H7" s="413"/>
      <c r="I7" s="414">
        <f t="shared" ref="I7:I62" si="0">SUM(G7:H7)</f>
        <v>0</v>
      </c>
      <c r="K7" s="188"/>
      <c r="L7" s="42"/>
    </row>
    <row r="8" spans="1:13" ht="14.45" customHeight="1">
      <c r="A8" s="180" t="str">
        <f>报表格式!B7</f>
        <v>短期投资</v>
      </c>
      <c r="B8" s="413">
        <f>未审BS!D8</f>
        <v>0</v>
      </c>
      <c r="C8" s="413">
        <f>SUMIF(账项调整!$E$5:$E$65536,IF(OR(MID(TRIM($A8),2,1)="：",MID(TRIM($A8),2,1)="、"),REPLACEB(TRIM($A8),1,4,""),TRIM($A8)),账项调整!$J$5:$J$65536)</f>
        <v>0</v>
      </c>
      <c r="D8" s="413">
        <f>SUMIF(账项调整!$H$5:$H$65536,IF(OR(MID(TRIM($A8),2,1)="：",MID(TRIM($A8),2,1)="、"),REPLACEB(TRIM($A8),1,4,""),TRIM($A8)),账项调整!$J$5:$J$65536)</f>
        <v>0</v>
      </c>
      <c r="E8" s="413">
        <f>SUMIF(报表调整!$E$5:$E$65536,IF(OR(MID(TRIM($A8),2,1)="：",MID(TRIM($A8),2,1)="、"),REPLACEB(TRIM($A8),1,4,""),TRIM($A8)),报表调整!$J$5:$J$65536)</f>
        <v>0</v>
      </c>
      <c r="F8" s="413">
        <f>SUMIF(报表调整!$H$5:$H$65536,IF(OR(MID(TRIM($A8),2,1)="：",MID(TRIM($A8),2,1)="、"),REPLACEB(TRIM($A8),1,4,""),TRIM($A8)),报表调整!$J$5:$J$65536)</f>
        <v>0</v>
      </c>
      <c r="G8" s="413">
        <f t="shared" ref="G8:G24" si="1">B8+C8+E8-D8-F8</f>
        <v>0</v>
      </c>
      <c r="H8" s="413"/>
      <c r="I8" s="414">
        <f t="shared" si="0"/>
        <v>0</v>
      </c>
      <c r="K8" s="188"/>
      <c r="L8" s="42"/>
    </row>
    <row r="9" spans="1:13" ht="14.45" customHeight="1">
      <c r="A9" s="180" t="str">
        <f>报表格式!B8</f>
        <v>应收票据</v>
      </c>
      <c r="B9" s="413">
        <f>未审BS!D9</f>
        <v>0</v>
      </c>
      <c r="C9" s="413">
        <f>SUMIF(账项调整!$E$5:$E$65536,IF(OR(MID(TRIM($A9),2,1)="：",MID(TRIM($A9),2,1)="、"),REPLACEB(TRIM($A9),1,4,""),TRIM($A9)),账项调整!$J$5:$J$65536)</f>
        <v>0</v>
      </c>
      <c r="D9" s="413">
        <f>SUMIF(账项调整!$H$5:$H$65536,IF(OR(MID(TRIM($A9),2,1)="：",MID(TRIM($A9),2,1)="、"),REPLACEB(TRIM($A9),1,4,""),TRIM($A9)),账项调整!$J$5:$J$65536)</f>
        <v>0</v>
      </c>
      <c r="E9" s="413">
        <f>SUMIF(报表调整!$E$5:$E$65536,IF(OR(MID(TRIM($A9),2,1)="：",MID(TRIM($A9),2,1)="、"),REPLACEB(TRIM($A9),1,4,""),TRIM($A9)),报表调整!$J$5:$J$65536)</f>
        <v>0</v>
      </c>
      <c r="F9" s="413">
        <f>SUMIF(报表调整!$H$5:$H$65536,IF(OR(MID(TRIM($A9),2,1)="：",MID(TRIM($A9),2,1)="、"),REPLACEB(TRIM($A9),1,4,""),TRIM($A9)),报表调整!$J$5:$J$65536)</f>
        <v>0</v>
      </c>
      <c r="G9" s="413">
        <f t="shared" si="1"/>
        <v>0</v>
      </c>
      <c r="H9" s="413"/>
      <c r="I9" s="414">
        <f t="shared" si="0"/>
        <v>0</v>
      </c>
    </row>
    <row r="10" spans="1:13" ht="14.45" customHeight="1">
      <c r="A10" s="180" t="str">
        <f>报表格式!B9</f>
        <v>应收股利</v>
      </c>
      <c r="B10" s="413">
        <f>未审BS!D10</f>
        <v>0</v>
      </c>
      <c r="C10" s="413">
        <f>SUMIF(账项调整!$E$5:$E$65536,IF(OR(MID(TRIM($A10),2,1)="：",MID(TRIM($A10),2,1)="、"),REPLACEB(TRIM($A10),1,4,""),TRIM($A10)),账项调整!$J$5:$J$65536)</f>
        <v>0</v>
      </c>
      <c r="D10" s="413">
        <f>SUMIF(账项调整!$H$5:$H$65536,IF(OR(MID(TRIM($A10),2,1)="：",MID(TRIM($A10),2,1)="、"),REPLACEB(TRIM($A10),1,4,""),TRIM($A10)),账项调整!$J$5:$J$65536)</f>
        <v>0</v>
      </c>
      <c r="E10" s="413">
        <f>SUMIF(报表调整!$E$5:$E$65536,IF(OR(MID(TRIM($A10),2,1)="：",MID(TRIM($A10),2,1)="、"),REPLACEB(TRIM($A10),1,4,""),TRIM($A10)),报表调整!$J$5:$J$65536)</f>
        <v>0</v>
      </c>
      <c r="F10" s="413">
        <f>SUMIF(报表调整!$H$5:$H$65536,IF(OR(MID(TRIM($A10),2,1)="：",MID(TRIM($A10),2,1)="、"),REPLACEB(TRIM($A10),1,4,""),TRIM($A10)),报表调整!$J$5:$J$65536)</f>
        <v>0</v>
      </c>
      <c r="G10" s="413">
        <f t="shared" si="1"/>
        <v>0</v>
      </c>
      <c r="H10" s="413"/>
      <c r="I10" s="414">
        <f t="shared" si="0"/>
        <v>0</v>
      </c>
    </row>
    <row r="11" spans="1:13" ht="14.45" customHeight="1">
      <c r="A11" s="180" t="str">
        <f>报表格式!B10</f>
        <v>应收利息</v>
      </c>
      <c r="B11" s="413">
        <f>未审BS!D11</f>
        <v>0</v>
      </c>
      <c r="C11" s="413">
        <f>SUMIF(账项调整!$E$5:$E$65536,IF(OR(MID(TRIM($A11),2,1)="：",MID(TRIM($A11),2,1)="、"),REPLACEB(TRIM($A11),1,4,""),TRIM($A11)),账项调整!$J$5:$J$65536)</f>
        <v>0</v>
      </c>
      <c r="D11" s="413">
        <f>SUMIF(账项调整!$H$5:$H$65536,IF(OR(MID(TRIM($A11),2,1)="：",MID(TRIM($A11),2,1)="、"),REPLACEB(TRIM($A11),1,4,""),TRIM($A11)),账项调整!$J$5:$J$65536)</f>
        <v>0</v>
      </c>
      <c r="E11" s="413">
        <f>SUMIF(报表调整!$E$5:$E$65536,IF(OR(MID(TRIM($A11),2,1)="：",MID(TRIM($A11),2,1)="、"),REPLACEB(TRIM($A11),1,4,""),TRIM($A11)),报表调整!$J$5:$J$65536)</f>
        <v>0</v>
      </c>
      <c r="F11" s="413">
        <f>SUMIF(报表调整!$H$5:$H$65536,IF(OR(MID(TRIM($A11),2,1)="：",MID(TRIM($A11),2,1)="、"),REPLACEB(TRIM($A11),1,4,""),TRIM($A11)),报表调整!$J$5:$J$65536)</f>
        <v>0</v>
      </c>
      <c r="G11" s="413">
        <f t="shared" si="1"/>
        <v>0</v>
      </c>
      <c r="H11" s="413"/>
      <c r="I11" s="414">
        <f t="shared" si="0"/>
        <v>0</v>
      </c>
    </row>
    <row r="12" spans="1:13" ht="14.45" customHeight="1">
      <c r="A12" s="180" t="str">
        <f>报表格式!B11</f>
        <v>应收账款</v>
      </c>
      <c r="B12" s="413">
        <f>未审BS!D12</f>
        <v>0</v>
      </c>
      <c r="C12" s="413">
        <f>SUMIF(账项调整!$E$5:$E$65536,IF(OR(MID(TRIM($A12),2,1)="：",MID(TRIM($A12),2,1)="、"),REPLACEB(TRIM($A12),1,4,""),TRIM($A12)),账项调整!$J$5:$J$65536)</f>
        <v>0</v>
      </c>
      <c r="D12" s="413">
        <f>SUMIF(账项调整!$H$5:$H$65536,IF(OR(MID(TRIM($A12),2,1)="：",MID(TRIM($A12),2,1)="、"),REPLACEB(TRIM($A12),1,4,""),TRIM($A12)),账项调整!$J$5:$J$65536)</f>
        <v>0</v>
      </c>
      <c r="E12" s="413">
        <f>SUMIF(报表调整!$E$5:$E$65536,IF(OR(MID(TRIM($A12),2,1)="：",MID(TRIM($A12),2,1)="、"),REPLACEB(TRIM($A12),1,4,""),TRIM($A12)),报表调整!$J$5:$J$65536)</f>
        <v>0</v>
      </c>
      <c r="F12" s="413">
        <f>SUMIF(报表调整!$H$5:$H$65536,IF(OR(MID(TRIM($A12),2,1)="：",MID(TRIM($A12),2,1)="、"),REPLACEB(TRIM($A12),1,4,""),TRIM($A12)),报表调整!$J$5:$J$65536)</f>
        <v>0</v>
      </c>
      <c r="G12" s="413">
        <f t="shared" si="1"/>
        <v>0</v>
      </c>
      <c r="H12" s="413"/>
      <c r="I12" s="414">
        <f t="shared" si="0"/>
        <v>0</v>
      </c>
    </row>
    <row r="13" spans="1:13" ht="14.45" customHeight="1">
      <c r="A13" s="180" t="str">
        <f>报表格式!B12</f>
        <v>其他应收款</v>
      </c>
      <c r="B13" s="413">
        <f>未审BS!D13</f>
        <v>0</v>
      </c>
      <c r="C13" s="413">
        <f>SUMIF(账项调整!$E$5:$E$65536,IF(OR(MID(TRIM($A13),2,1)="：",MID(TRIM($A13),2,1)="、"),REPLACEB(TRIM($A13),1,4,""),TRIM($A13)),账项调整!$J$5:$J$65536)</f>
        <v>0</v>
      </c>
      <c r="D13" s="413">
        <f>SUMIF(账项调整!$H$5:$H$65536,IF(OR(MID(TRIM($A13),2,1)="：",MID(TRIM($A13),2,1)="、"),REPLACEB(TRIM($A13),1,4,""),TRIM($A13)),账项调整!$J$5:$J$65536)</f>
        <v>0</v>
      </c>
      <c r="E13" s="413">
        <f>SUMIF(报表调整!$E$5:$E$65536,IF(OR(MID(TRIM($A13),2,1)="：",MID(TRIM($A13),2,1)="、"),REPLACEB(TRIM($A13),1,4,""),TRIM($A13)),报表调整!$J$5:$J$65536)</f>
        <v>0</v>
      </c>
      <c r="F13" s="413">
        <f>SUMIF(报表调整!$H$5:$H$65536,IF(OR(MID(TRIM($A13),2,1)="：",MID(TRIM($A13),2,1)="、"),REPLACEB(TRIM($A13),1,4,""),TRIM($A13)),报表调整!$J$5:$J$65536)</f>
        <v>0</v>
      </c>
      <c r="G13" s="413">
        <f t="shared" si="1"/>
        <v>0</v>
      </c>
      <c r="H13" s="413"/>
      <c r="I13" s="414">
        <f t="shared" si="0"/>
        <v>0</v>
      </c>
    </row>
    <row r="14" spans="1:13" ht="14.45" customHeight="1">
      <c r="A14" s="180" t="str">
        <f>报表格式!B13</f>
        <v>预付账款</v>
      </c>
      <c r="B14" s="413">
        <f>未审BS!D14</f>
        <v>0</v>
      </c>
      <c r="C14" s="413">
        <f>SUMIF(账项调整!$E$5:$E$65536,IF(OR(MID(TRIM($A14),2,1)="：",MID(TRIM($A14),2,1)="、"),REPLACEB(TRIM($A14),1,4,""),TRIM($A14)),账项调整!$J$5:$J$65536)</f>
        <v>0</v>
      </c>
      <c r="D14" s="413">
        <f>SUMIF(账项调整!$H$5:$H$65536,IF(OR(MID(TRIM($A14),2,1)="：",MID(TRIM($A14),2,1)="、"),REPLACEB(TRIM($A14),1,4,""),TRIM($A14)),账项调整!$J$5:$J$65536)</f>
        <v>0</v>
      </c>
      <c r="E14" s="413">
        <f>SUMIF(报表调整!$E$5:$E$65536,IF(OR(MID(TRIM($A14),2,1)="：",MID(TRIM($A14),2,1)="、"),REPLACEB(TRIM($A14),1,4,""),TRIM($A14)),报表调整!$J$5:$J$65536)</f>
        <v>0</v>
      </c>
      <c r="F14" s="413">
        <f>SUMIF(报表调整!$H$5:$H$65536,IF(OR(MID(TRIM($A14),2,1)="：",MID(TRIM($A14),2,1)="、"),REPLACEB(TRIM($A14),1,4,""),TRIM($A14)),报表调整!$J$5:$J$65536)</f>
        <v>0</v>
      </c>
      <c r="G14" s="413">
        <f t="shared" si="1"/>
        <v>0</v>
      </c>
      <c r="H14" s="413"/>
      <c r="I14" s="414">
        <f t="shared" si="0"/>
        <v>0</v>
      </c>
    </row>
    <row r="15" spans="1:13" ht="14.45" customHeight="1">
      <c r="A15" s="180" t="str">
        <f>报表格式!B14</f>
        <v>期货保证金</v>
      </c>
      <c r="B15" s="413">
        <f>未审BS!D15</f>
        <v>0</v>
      </c>
      <c r="C15" s="413">
        <f>SUMIF(账项调整!$E$5:$E$65536,IF(OR(MID(TRIM($A15),2,1)="：",MID(TRIM($A15),2,1)="、"),REPLACEB(TRIM($A15),1,4,""),TRIM($A15)),账项调整!$J$5:$J$65536)</f>
        <v>0</v>
      </c>
      <c r="D15" s="413">
        <f>SUMIF(账项调整!$H$5:$H$65536,IF(OR(MID(TRIM($A15),2,1)="：",MID(TRIM($A15),2,1)="、"),REPLACEB(TRIM($A15),1,4,""),TRIM($A15)),账项调整!$J$5:$J$65536)</f>
        <v>0</v>
      </c>
      <c r="E15" s="413">
        <f>SUMIF(报表调整!$E$5:$E$65536,IF(OR(MID(TRIM($A15),2,1)="：",MID(TRIM($A15),2,1)="、"),REPLACEB(TRIM($A15),1,4,""),TRIM($A15)),报表调整!$J$5:$J$65536)</f>
        <v>0</v>
      </c>
      <c r="F15" s="413">
        <f>SUMIF(报表调整!$H$5:$H$65536,IF(OR(MID(TRIM($A15),2,1)="：",MID(TRIM($A15),2,1)="、"),REPLACEB(TRIM($A15),1,4,""),TRIM($A15)),报表调整!$J$5:$J$65536)</f>
        <v>0</v>
      </c>
      <c r="G15" s="413">
        <f t="shared" si="1"/>
        <v>0</v>
      </c>
      <c r="H15" s="413"/>
      <c r="I15" s="414">
        <f t="shared" si="0"/>
        <v>0</v>
      </c>
    </row>
    <row r="16" spans="1:13" ht="14.45" customHeight="1">
      <c r="A16" s="180" t="str">
        <f>报表格式!B15</f>
        <v>应收补贴款</v>
      </c>
      <c r="B16" s="413">
        <f>未审BS!D16</f>
        <v>0</v>
      </c>
      <c r="C16" s="413">
        <f>SUMIF(账项调整!$E$5:$E$65536,IF(OR(MID(TRIM($A16),2,1)="：",MID(TRIM($A16),2,1)="、"),REPLACEB(TRIM($A16),1,4,""),TRIM($A16)),账项调整!$J$5:$J$65536)</f>
        <v>0</v>
      </c>
      <c r="D16" s="413">
        <f>SUMIF(账项调整!$H$5:$H$65536,IF(OR(MID(TRIM($A16),2,1)="：",MID(TRIM($A16),2,1)="、"),REPLACEB(TRIM($A16),1,4,""),TRIM($A16)),账项调整!$J$5:$J$65536)</f>
        <v>0</v>
      </c>
      <c r="E16" s="413">
        <f>SUMIF(报表调整!$E$5:$E$65536,IF(OR(MID(TRIM($A16),2,1)="：",MID(TRIM($A16),2,1)="、"),REPLACEB(TRIM($A16),1,4,""),TRIM($A16)),报表调整!$J$5:$J$65536)</f>
        <v>0</v>
      </c>
      <c r="F16" s="413">
        <f>SUMIF(报表调整!$H$5:$H$65536,IF(OR(MID(TRIM($A16),2,1)="：",MID(TRIM($A16),2,1)="、"),REPLACEB(TRIM($A16),1,4,""),TRIM($A16)),报表调整!$J$5:$J$65536)</f>
        <v>0</v>
      </c>
      <c r="G16" s="413">
        <f t="shared" si="1"/>
        <v>0</v>
      </c>
      <c r="H16" s="413"/>
      <c r="I16" s="414">
        <f t="shared" si="0"/>
        <v>0</v>
      </c>
    </row>
    <row r="17" spans="1:9" ht="14.45" customHeight="1">
      <c r="A17" s="180" t="str">
        <f>报表格式!B16</f>
        <v>应收出口退税</v>
      </c>
      <c r="B17" s="413">
        <f>未审BS!D17</f>
        <v>0</v>
      </c>
      <c r="C17" s="413">
        <f>SUMIF(账项调整!$E$5:$E$65536,IF(OR(MID(TRIM($A17),2,1)="：",MID(TRIM($A17),2,1)="、"),REPLACEB(TRIM($A17),1,4,""),TRIM($A17)),账项调整!$J$5:$J$65536)</f>
        <v>0</v>
      </c>
      <c r="D17" s="413">
        <f>SUMIF(账项调整!$H$5:$H$65536,IF(OR(MID(TRIM($A17),2,1)="：",MID(TRIM($A17),2,1)="、"),REPLACEB(TRIM($A17),1,4,""),TRIM($A17)),账项调整!$J$5:$J$65536)</f>
        <v>0</v>
      </c>
      <c r="E17" s="413">
        <f>SUMIF(报表调整!$E$5:$E$65536,IF(OR(MID(TRIM($A17),2,1)="：",MID(TRIM($A17),2,1)="、"),REPLACEB(TRIM($A17),1,4,""),TRIM($A17)),报表调整!$J$5:$J$65536)</f>
        <v>0</v>
      </c>
      <c r="F17" s="413">
        <f>SUMIF(报表调整!$H$5:$H$65536,IF(OR(MID(TRIM($A17),2,1)="：",MID(TRIM($A17),2,1)="、"),REPLACEB(TRIM($A17),1,4,""),TRIM($A17)),报表调整!$J$5:$J$65536)</f>
        <v>0</v>
      </c>
      <c r="G17" s="413">
        <f t="shared" si="1"/>
        <v>0</v>
      </c>
      <c r="H17" s="413"/>
      <c r="I17" s="414">
        <f t="shared" si="0"/>
        <v>0</v>
      </c>
    </row>
    <row r="18" spans="1:9" ht="14.45" customHeight="1">
      <c r="A18" s="180" t="str">
        <f>报表格式!B17</f>
        <v>存货</v>
      </c>
      <c r="B18" s="413">
        <f>未审BS!D18</f>
        <v>0</v>
      </c>
      <c r="C18" s="413">
        <f>SUMIF(账项调整!$E$5:$E$65536,IF(OR(MID(TRIM($A18),2,1)="：",MID(TRIM($A18),2,1)="、"),REPLACEB(TRIM($A18),1,4,""),TRIM($A18)),账项调整!$J$5:$J$65536)</f>
        <v>0</v>
      </c>
      <c r="D18" s="413">
        <f>SUMIF(账项调整!$H$5:$H$65536,IF(OR(MID(TRIM($A18),2,1)="：",MID(TRIM($A18),2,1)="、"),REPLACEB(TRIM($A18),1,4,""),TRIM($A18)),账项调整!$J$5:$J$65536)</f>
        <v>0</v>
      </c>
      <c r="E18" s="413">
        <f>SUMIF(报表调整!$E$5:$E$65536,IF(OR(MID(TRIM($A18),2,1)="：",MID(TRIM($A18),2,1)="、"),REPLACEB(TRIM($A18),1,4,""),TRIM($A18)),报表调整!$J$5:$J$65536)</f>
        <v>0</v>
      </c>
      <c r="F18" s="413">
        <f>SUMIF(报表调整!$H$5:$H$65536,IF(OR(MID(TRIM($A18),2,1)="：",MID(TRIM($A18),2,1)="、"),REPLACEB(TRIM($A18),1,4,""),TRIM($A18)),报表调整!$J$5:$J$65536)</f>
        <v>0</v>
      </c>
      <c r="G18" s="413">
        <f t="shared" si="1"/>
        <v>0</v>
      </c>
      <c r="H18" s="413"/>
      <c r="I18" s="414">
        <f t="shared" si="0"/>
        <v>0</v>
      </c>
    </row>
    <row r="19" spans="1:9" ht="14.45" customHeight="1">
      <c r="A19" s="180" t="str">
        <f>报表格式!B18</f>
        <v xml:space="preserve">  其中：原材料</v>
      </c>
      <c r="B19" s="413">
        <f>未审BS!D19</f>
        <v>0</v>
      </c>
      <c r="C19" s="413">
        <f>SUMIF(账项调整!$F$5:$F$65536,IF(OR(MID(TRIM($A19),2,1)="：",MID(TRIM($A19),2,1)="、"),REPLACEB(TRIM($A19),1,4,""),TRIM($A19)),账项调整!$J$5:$J$65536)</f>
        <v>0</v>
      </c>
      <c r="D19" s="413">
        <f>SUMIF(账项调整!$I$5:$I$65536,IF(OR(MID(TRIM($A19),2,1)="：",MID(TRIM($A19),2,1)="、"),REPLACEB(TRIM($A19),1,4,""),TRIM($A19)),账项调整!$J$5:$J$65536)</f>
        <v>0</v>
      </c>
      <c r="E19" s="413">
        <f>SUMIF(报表调整!$F$5:$F$65536,IF(OR(MID(TRIM($A19),2,1)="：",MID(TRIM($A19),2,1)="、"),REPLACEB(TRIM($A19),1,4,""),TRIM($A19)),报表调整!$J$5:$J$65536)</f>
        <v>0</v>
      </c>
      <c r="F19" s="413">
        <f>SUMIF(报表调整!$I$5:$I$65536,IF(OR(MID(TRIM($A19),2,1)="：",MID(TRIM($A19),2,1)="、"),REPLACEB(TRIM($A19),1,4,""),TRIM($A19)),报表调整!$J$5:$J$65536)</f>
        <v>0</v>
      </c>
      <c r="G19" s="413">
        <f t="shared" si="1"/>
        <v>0</v>
      </c>
      <c r="H19" s="413"/>
      <c r="I19" s="414">
        <f t="shared" si="0"/>
        <v>0</v>
      </c>
    </row>
    <row r="20" spans="1:9" ht="14.45" customHeight="1">
      <c r="A20" s="180" t="str">
        <f>报表格式!B19</f>
        <v xml:space="preserve">        库存商品（产成品）</v>
      </c>
      <c r="B20" s="413">
        <f>未审BS!D20</f>
        <v>0</v>
      </c>
      <c r="C20" s="413">
        <f>SUMIF(账项调整!$F$5:$F$65536,IF(OR(MID(TRIM($A20),2,1)="：",MID(TRIM($A20),2,1)="、"),REPLACEB(TRIM($A20),1,4,""),TRIM($A20)),账项调整!$J$5:$J$65536)</f>
        <v>0</v>
      </c>
      <c r="D20" s="413">
        <f>SUMIF(账项调整!$I$5:$I$65536,IF(OR(MID(TRIM($A20),2,1)="：",MID(TRIM($A20),2,1)="、"),REPLACEB(TRIM($A20),1,4,""),TRIM($A20)),账项调整!$J$5:$J$65536)</f>
        <v>0</v>
      </c>
      <c r="E20" s="413">
        <f>SUMIF(报表调整!$F$5:$F$65536,IF(OR(MID(TRIM($A20),2,1)="：",MID(TRIM($A20),2,1)="、"),REPLACEB(TRIM($A20),1,4,""),TRIM($A20)),报表调整!$J$5:$J$65536)</f>
        <v>0</v>
      </c>
      <c r="F20" s="413">
        <f>SUMIF(报表调整!$I$5:$I$65536,IF(OR(MID(TRIM($A20),2,1)="：",MID(TRIM($A20),2,1)="、"),REPLACEB(TRIM($A20),1,4,""),TRIM($A20)),报表调整!$J$5:$J$65536)</f>
        <v>0</v>
      </c>
      <c r="G20" s="413">
        <f t="shared" si="1"/>
        <v>0</v>
      </c>
      <c r="H20" s="413"/>
      <c r="I20" s="414">
        <f t="shared" si="0"/>
        <v>0</v>
      </c>
    </row>
    <row r="21" spans="1:9" ht="14.45" customHeight="1">
      <c r="A21" s="180" t="str">
        <f>报表格式!B20</f>
        <v>待摊费用</v>
      </c>
      <c r="B21" s="413">
        <f>未审BS!D21</f>
        <v>0</v>
      </c>
      <c r="C21" s="413">
        <f>SUMIF(账项调整!$E$5:$E$65536,IF(OR(MID(TRIM($A21),2,1)="：",MID(TRIM($A21),2,1)="、"),REPLACEB(TRIM($A21),1,4,""),TRIM($A21)),账项调整!$J$5:$J$65536)</f>
        <v>0</v>
      </c>
      <c r="D21" s="413">
        <f>SUMIF(账项调整!$H$5:$H$65536,IF(OR(MID(TRIM($A21),2,1)="：",MID(TRIM($A21),2,1)="、"),REPLACEB(TRIM($A21),1,4,""),TRIM($A21)),账项调整!$J$5:$J$65536)</f>
        <v>0</v>
      </c>
      <c r="E21" s="413">
        <f>SUMIF(报表调整!$E$5:$E$65536,IF(OR(MID(TRIM($A21),2,1)="：",MID(TRIM($A21),2,1)="、"),REPLACEB(TRIM($A21),1,4,""),TRIM($A21)),报表调整!$J$5:$J$65536)</f>
        <v>0</v>
      </c>
      <c r="F21" s="413">
        <f>SUMIF(报表调整!$H$5:$H$65536,IF(OR(MID(TRIM($A21),2,1)="：",MID(TRIM($A21),2,1)="、"),REPLACEB(TRIM($A21),1,4,""),TRIM($A21)),报表调整!$J$5:$J$65536)</f>
        <v>0</v>
      </c>
      <c r="G21" s="413">
        <f t="shared" si="1"/>
        <v>0</v>
      </c>
      <c r="H21" s="413"/>
      <c r="I21" s="414">
        <f t="shared" si="0"/>
        <v>0</v>
      </c>
    </row>
    <row r="22" spans="1:9" ht="14.45" customHeight="1">
      <c r="A22" s="180" t="str">
        <f>报表格式!B21</f>
        <v>待处理流动资产净损失</v>
      </c>
      <c r="B22" s="413">
        <f>未审BS!D22</f>
        <v>0</v>
      </c>
      <c r="C22" s="413">
        <f>SUMIF(账项调整!$E$5:$E$65536,IF(OR(MID(TRIM($A22),2,1)="：",MID(TRIM($A22),2,1)="、"),REPLACEB(TRIM($A22),1,4,""),TRIM($A22)),账项调整!$J$5:$J$65536)</f>
        <v>0</v>
      </c>
      <c r="D22" s="413">
        <f>SUMIF(账项调整!$H$5:$H$65536,IF(OR(MID(TRIM($A22),2,1)="：",MID(TRIM($A22),2,1)="、"),REPLACEB(TRIM($A22),1,4,""),TRIM($A22)),账项调整!$J$5:$J$65536)</f>
        <v>0</v>
      </c>
      <c r="E22" s="413">
        <f>SUMIF(报表调整!$E$5:$E$65536,IF(OR(MID(TRIM($A22),2,1)="：",MID(TRIM($A22),2,1)="、"),REPLACEB(TRIM($A22),1,4,""),TRIM($A22)),报表调整!$J$5:$J$65536)</f>
        <v>0</v>
      </c>
      <c r="F22" s="413">
        <f>SUMIF(报表调整!$H$5:$H$65536,IF(OR(MID(TRIM($A22),2,1)="：",MID(TRIM($A22),2,1)="、"),REPLACEB(TRIM($A22),1,4,""),TRIM($A22)),报表调整!$J$5:$J$65536)</f>
        <v>0</v>
      </c>
      <c r="G22" s="413">
        <f>B22+C22+E22-D22-F22</f>
        <v>0</v>
      </c>
      <c r="H22" s="413"/>
      <c r="I22" s="414">
        <f t="shared" si="0"/>
        <v>0</v>
      </c>
    </row>
    <row r="23" spans="1:9" ht="14.45" customHeight="1">
      <c r="A23" s="180" t="str">
        <f>报表格式!B22</f>
        <v>一年内到期的长期债权投资</v>
      </c>
      <c r="B23" s="413">
        <f>未审BS!D23</f>
        <v>0</v>
      </c>
      <c r="C23" s="413">
        <f>SUMIF(账项调整!$E$5:$E$65536,IF(OR(MID(TRIM($A23),2,1)="：",MID(TRIM($A23),2,1)="、"),REPLACEB(TRIM($A23),1,4,""),TRIM($A23)),账项调整!$J$5:$J$65536)</f>
        <v>0</v>
      </c>
      <c r="D23" s="413">
        <f>SUMIF(账项调整!$H$5:$H$65536,IF(OR(MID(TRIM($A23),2,1)="：",MID(TRIM($A23),2,1)="、"),REPLACEB(TRIM($A23),1,4,""),TRIM($A23)),账项调整!$J$5:$J$65536)</f>
        <v>0</v>
      </c>
      <c r="E23" s="413">
        <f>SUMIF(报表调整!$E$5:$E$65536,IF(OR(MID(TRIM($A23),2,1)="：",MID(TRIM($A23),2,1)="、"),REPLACEB(TRIM($A23),1,4,""),TRIM($A23)),报表调整!$J$5:$J$65536)</f>
        <v>0</v>
      </c>
      <c r="F23" s="413">
        <f>SUMIF(报表调整!$H$5:$H$65536,IF(OR(MID(TRIM($A23),2,1)="：",MID(TRIM($A23),2,1)="、"),REPLACEB(TRIM($A23),1,4,""),TRIM($A23)),报表调整!$J$5:$J$65536)</f>
        <v>0</v>
      </c>
      <c r="G23" s="413">
        <f t="shared" si="1"/>
        <v>0</v>
      </c>
      <c r="H23" s="413"/>
      <c r="I23" s="414">
        <f t="shared" si="0"/>
        <v>0</v>
      </c>
    </row>
    <row r="24" spans="1:9" ht="14.45" customHeight="1">
      <c r="A24" s="180" t="str">
        <f>报表格式!B23</f>
        <v>其他流动资产</v>
      </c>
      <c r="B24" s="413">
        <f>未审BS!D24</f>
        <v>0</v>
      </c>
      <c r="C24" s="413">
        <f>SUMIF(账项调整!$E$5:$E$65536,IF(OR(MID(TRIM($A24),2,1)="：",MID(TRIM($A24),2,1)="、"),REPLACEB(TRIM($A24),1,4,""),TRIM($A24)),账项调整!$J$5:$J$65536)</f>
        <v>0</v>
      </c>
      <c r="D24" s="413">
        <f>SUMIF(账项调整!$H$5:$H$65536,IF(OR(MID(TRIM($A24),2,1)="：",MID(TRIM($A24),2,1)="、"),REPLACEB(TRIM($A24),1,4,""),TRIM($A24)),账项调整!$J$5:$J$65536)</f>
        <v>0</v>
      </c>
      <c r="E24" s="413">
        <f>SUMIF(报表调整!$E$5:$E$65536,IF(OR(MID(TRIM($A24),2,1)="：",MID(TRIM($A24),2,1)="、"),REPLACEB(TRIM($A24),1,4,""),TRIM($A24)),报表调整!$J$5:$J$65536)</f>
        <v>0</v>
      </c>
      <c r="F24" s="413">
        <f>SUMIF(报表调整!$H$5:$H$65536,IF(OR(MID(TRIM($A24),2,1)="：",MID(TRIM($A24),2,1)="、"),REPLACEB(TRIM($A24),1,4,""),TRIM($A24)),报表调整!$J$5:$J$65536)</f>
        <v>0</v>
      </c>
      <c r="G24" s="413">
        <f t="shared" si="1"/>
        <v>0</v>
      </c>
      <c r="H24" s="413"/>
      <c r="I24" s="414">
        <f t="shared" si="0"/>
        <v>0</v>
      </c>
    </row>
    <row r="25" spans="1:9" ht="14.45" customHeight="1">
      <c r="A25" s="180">
        <f>报表格式!B24</f>
        <v>0</v>
      </c>
      <c r="B25" s="413">
        <f>未审BS!D25</f>
        <v>0</v>
      </c>
      <c r="C25" s="413">
        <f>SUMIF(账项调整!$E$5:$E$65536,IF(OR(MID(TRIM($A25),2,1)="：",MID(TRIM($A25),2,1)="、"),REPLACEB(TRIM($A25),1,4,""),TRIM($A25)),账项调整!$J$5:$J$65536)</f>
        <v>0</v>
      </c>
      <c r="D25" s="413">
        <f>SUMIF(账项调整!$H$5:$H$65536,IF(OR(MID(TRIM($A25),2,1)="：",MID(TRIM($A25),2,1)="、"),REPLACEB(TRIM($A25),1,4,""),TRIM($A25)),账项调整!$J$5:$J$65536)</f>
        <v>0</v>
      </c>
      <c r="E25" s="413">
        <f>SUMIF(报表调整!$E$5:$E$65536,IF(OR(MID(TRIM($A25),2,1)="：",MID(TRIM($A25),2,1)="、"),REPLACEB(TRIM($A25),1,4,""),TRIM($A25)),报表调整!$J$5:$J$65536)</f>
        <v>0</v>
      </c>
      <c r="F25" s="413">
        <f>SUMIF(报表调整!$H$5:$H$65536,IF(OR(MID(TRIM($A25),2,1)="：",MID(TRIM($A25),2,1)="、"),REPLACEB(TRIM($A25),1,4,""),TRIM($A25)),报表调整!$J$5:$J$65536)</f>
        <v>0</v>
      </c>
      <c r="G25" s="413">
        <f>B25+C25+E25-D25-F25</f>
        <v>0</v>
      </c>
      <c r="H25" s="413"/>
      <c r="I25" s="414">
        <f t="shared" si="0"/>
        <v>0</v>
      </c>
    </row>
    <row r="26" spans="1:9" ht="14.45" customHeight="1">
      <c r="A26" s="180">
        <f>报表格式!B25</f>
        <v>0</v>
      </c>
      <c r="B26" s="413">
        <f>未审BS!D26</f>
        <v>0</v>
      </c>
      <c r="C26" s="413">
        <f>SUMIF(账项调整!$E$5:$E$65536,IF(OR(MID(TRIM($A26),2,1)="：",MID(TRIM($A26),2,1)="、"),REPLACEB(TRIM($A26),1,4,""),TRIM($A26)),账项调整!$J$5:$J$65536)</f>
        <v>0</v>
      </c>
      <c r="D26" s="413">
        <f>SUMIF(账项调整!$H$5:$H$65536,IF(OR(MID(TRIM($A26),2,1)="：",MID(TRIM($A26),2,1)="、"),REPLACEB(TRIM($A26),1,4,""),TRIM($A26)),账项调整!$J$5:$J$65536)</f>
        <v>0</v>
      </c>
      <c r="E26" s="413">
        <f>SUMIF(报表调整!$E$5:$E$65536,IF(OR(MID(TRIM($A26),2,1)="：",MID(TRIM($A26),2,1)="、"),REPLACEB(TRIM($A26),1,4,""),TRIM($A26)),报表调整!$J$5:$J$65536)</f>
        <v>0</v>
      </c>
      <c r="F26" s="413">
        <f>SUMIF(报表调整!$H$5:$H$65536,IF(OR(MID(TRIM($A26),2,1)="：",MID(TRIM($A26),2,1)="、"),REPLACEB(TRIM($A26),1,4,""),TRIM($A26)),报表调整!$J$5:$J$65536)</f>
        <v>0</v>
      </c>
      <c r="G26" s="413">
        <f>B26+C26+E26-D26-F26</f>
        <v>0</v>
      </c>
      <c r="H26" s="413"/>
      <c r="I26" s="414">
        <f t="shared" si="0"/>
        <v>0</v>
      </c>
    </row>
    <row r="27" spans="1:9" ht="14.45" customHeight="1">
      <c r="A27" s="181" t="str">
        <f>报表格式!B26</f>
        <v>流动资产合计</v>
      </c>
      <c r="B27" s="415">
        <f t="shared" ref="B27:H27" si="2">SUM(B7:B26)-B19-B20</f>
        <v>0</v>
      </c>
      <c r="C27" s="415">
        <f t="shared" si="2"/>
        <v>0</v>
      </c>
      <c r="D27" s="415">
        <f t="shared" si="2"/>
        <v>0</v>
      </c>
      <c r="E27" s="415">
        <f t="shared" si="2"/>
        <v>0</v>
      </c>
      <c r="F27" s="415">
        <f t="shared" si="2"/>
        <v>0</v>
      </c>
      <c r="G27" s="415">
        <f t="shared" si="2"/>
        <v>0</v>
      </c>
      <c r="H27" s="415">
        <f t="shared" si="2"/>
        <v>0</v>
      </c>
      <c r="I27" s="416">
        <f t="shared" si="0"/>
        <v>0</v>
      </c>
    </row>
    <row r="28" spans="1:9" ht="14.45" customHeight="1">
      <c r="A28" s="182" t="str">
        <f>报表格式!B27</f>
        <v>长期投资</v>
      </c>
      <c r="B28" s="413">
        <f t="shared" ref="B28:H28" si="3">SUM(B29:B30)</f>
        <v>0</v>
      </c>
      <c r="C28" s="413">
        <f t="shared" si="3"/>
        <v>0</v>
      </c>
      <c r="D28" s="413">
        <f t="shared" si="3"/>
        <v>0</v>
      </c>
      <c r="E28" s="413">
        <f t="shared" si="3"/>
        <v>0</v>
      </c>
      <c r="F28" s="413">
        <f t="shared" si="3"/>
        <v>0</v>
      </c>
      <c r="G28" s="413">
        <f t="shared" si="3"/>
        <v>0</v>
      </c>
      <c r="H28" s="413">
        <f t="shared" si="3"/>
        <v>0</v>
      </c>
      <c r="I28" s="416">
        <f t="shared" si="0"/>
        <v>0</v>
      </c>
    </row>
    <row r="29" spans="1:9" ht="14.45" customHeight="1">
      <c r="A29" s="183" t="str">
        <f>报表格式!B28</f>
        <v xml:space="preserve">  其中：长期股权投资</v>
      </c>
      <c r="B29" s="413">
        <f>未审BS!D29</f>
        <v>0</v>
      </c>
      <c r="C29" s="413">
        <f>SUMIF(账项调整!$E$5:$E$65536,IF(OR(MID(TRIM($A29),3,1)="：",MID(TRIM($A29),3,1)="、"),TRIM(REPLACEB(TRIM($A29),1,5,"")),TRIM($A29)),账项调整!$J$5:$J$65536)-C31</f>
        <v>0</v>
      </c>
      <c r="D29" s="413">
        <f>SUMIF(账项调整!$H$5:$H$65536,IF(OR(MID(TRIM($A29),3,1)="：",MID(TRIM($A29),3,1)="、"),TRIM(REPLACEB(TRIM($A29),1,5,"")),TRIM($A29)),账项调整!$J$5:$J$65536)-D31</f>
        <v>0</v>
      </c>
      <c r="E29" s="413">
        <f>SUMIF(报表调整!$E$5:$E$65536,IF(OR(MID(TRIM($A29),3,1)="：",MID(TRIM($A29),3,1)="、"),TRIM(REPLACEB(TRIM($A29),1,5,"")),TRIM($A29)),报表调整!$J$5:$J$65536)-E31</f>
        <v>0</v>
      </c>
      <c r="F29" s="413">
        <f>SUMIF(报表调整!$H$5:$H$65536,IF(OR(MID(TRIM($A29),3,1)="：",MID(TRIM($A29),3,1)="、"),TRIM(REPLACEB(TRIM($A29),1,5,"")),TRIM($A29)),报表调整!$J$5:$J$65536)-F31</f>
        <v>0</v>
      </c>
      <c r="G29" s="413">
        <f>B29+C29+E29-D29-F29</f>
        <v>0</v>
      </c>
      <c r="H29" s="413"/>
      <c r="I29" s="414">
        <f t="shared" si="0"/>
        <v>0</v>
      </c>
    </row>
    <row r="30" spans="1:9" ht="14.45" customHeight="1">
      <c r="A30" s="183" t="str">
        <f>报表格式!B29</f>
        <v xml:space="preserve">       长期债权投资</v>
      </c>
      <c r="B30" s="413">
        <f>未审BS!D30</f>
        <v>0</v>
      </c>
      <c r="C30" s="413">
        <f>SUMIF(账项调整!$E$5:$E$65536,IF(OR(MID(TRIM($A30),2,1)="：",MID(TRIM($A30),2,1)="、"),REPLACEB(TRIM($A30),1,4,""),TRIM($A30)),账项调整!$J$5:$J$65536)</f>
        <v>0</v>
      </c>
      <c r="D30" s="413">
        <f>SUMIF(账项调整!$H$5:$H$65536,IF(OR(MID(TRIM($A30),2,1)="：",MID(TRIM($A30),2,1)="、"),REPLACEB(TRIM($A30),1,4,""),TRIM($A30)),账项调整!$J$5:$J$65536)</f>
        <v>0</v>
      </c>
      <c r="E30" s="413">
        <f>SUMIF(报表调整!$E$5:$E$65536,IF(OR(MID(TRIM($A30),2,1)="：",MID(TRIM($A30),2,1)="、"),REPLACEB(TRIM($A30),1,4,""),TRIM($A30)),报表调整!$J$5:$J$65536)</f>
        <v>0</v>
      </c>
      <c r="F30" s="413">
        <f>SUMIF(报表调整!$H$5:$H$65536,IF(OR(MID(TRIM($A30),2,1)="：",MID(TRIM($A30),2,1)="、"),REPLACEB(TRIM($A30),1,4,""),TRIM($A30)),报表调整!$J$5:$J$65536)</f>
        <v>0</v>
      </c>
      <c r="G30" s="413">
        <f>B30+C30+E30-D30-F30</f>
        <v>0</v>
      </c>
      <c r="H30" s="413"/>
      <c r="I30" s="414">
        <f t="shared" si="0"/>
        <v>0</v>
      </c>
    </row>
    <row r="31" spans="1:9" ht="14.45" customHeight="1">
      <c r="A31" s="183" t="str">
        <f>报表格式!B30</f>
        <v>*合并价差</v>
      </c>
      <c r="B31" s="413">
        <f>未审BS!D31</f>
        <v>0</v>
      </c>
      <c r="C31" s="413">
        <f>SUMIF(账项调整!$F$5:$F$65536,REPLACEB(IF(OR(MID(TRIM($A31),2,1)="：",MID(TRIM($A31),2,1)="、"),REPLACEB(TRIM($A31),1,4,""),TRIM($A31)),1,1,""),账项调整!$J$5:$J$65536)</f>
        <v>0</v>
      </c>
      <c r="D31" s="413">
        <f>SUMIF(账项调整!$I$5:$I$65536,REPLACEB(IF(OR(MID(TRIM($A31),2,1)="：",MID(TRIM($A31),2,1)="、"),REPLACEB(TRIM($A31),1,4,""),TRIM($A31)),1,1,""),账项调整!$J$5:$J$65536)</f>
        <v>0</v>
      </c>
      <c r="E31" s="413">
        <f>SUMIF(报表调整!$F$5:$F$65536,REPLACEB(IF(OR(MID(TRIM($A31),2,1)="：",MID(TRIM($A31),2,1)="、"),REPLACEB(TRIM($A31),1,4,""),TRIM($A31)),1,1,""),报表调整!$J$5:$J$65536)</f>
        <v>0</v>
      </c>
      <c r="F31" s="413">
        <f>SUMIF(报表调整!$I$5:$I$65536,REPLACEB(IF(OR(MID(TRIM($A31),2,1)="：",MID(TRIM($A31),2,1)="、"),REPLACEB(TRIM($A31),1,4,""),TRIM($A31)),1,1,""),报表调整!$J$5:$J$65536)</f>
        <v>0</v>
      </c>
      <c r="G31" s="413">
        <f>B31+C31+E31-D31-F31</f>
        <v>0</v>
      </c>
      <c r="H31" s="413"/>
      <c r="I31" s="414">
        <f t="shared" si="0"/>
        <v>0</v>
      </c>
    </row>
    <row r="32" spans="1:9" ht="14.45" customHeight="1">
      <c r="A32" s="183">
        <f>报表格式!B31</f>
        <v>0</v>
      </c>
      <c r="B32" s="413">
        <f>未审BS!D32</f>
        <v>0</v>
      </c>
      <c r="C32" s="413">
        <f>SUMIF(账项调整!$E$5:$E$65536,IF(OR(MID(TRIM($A32),2,1)="：",MID(TRIM($A32),2,1)="、"),REPLACEB(TRIM($A32),1,4,""),TRIM($A32)),账项调整!$J$5:$J$65536)</f>
        <v>0</v>
      </c>
      <c r="D32" s="413">
        <f>SUMIF(账项调整!$H$5:$H$65536,IF(OR(MID(TRIM($A32),2,1)="：",MID(TRIM($A32),2,1)="、"),REPLACEB(TRIM($A32),1,4,""),TRIM($A32)),账项调整!$J$5:$J$65536)</f>
        <v>0</v>
      </c>
      <c r="E32" s="413">
        <f>SUMIF(报表调整!$E$5:$E$65536,IF(OR(MID(TRIM($A32),2,1)="：",MID(TRIM($A32),2,1)="、"),REPLACEB(TRIM($A32),1,4,""),TRIM($A32)),报表调整!$J$5:$J$65536)</f>
        <v>0</v>
      </c>
      <c r="F32" s="413">
        <f>SUMIF(报表调整!$H$5:$H$65536,IF(OR(MID(TRIM($A32),2,1)="：",MID(TRIM($A32),2,1)="、"),REPLACEB(TRIM($A32),1,4,""),TRIM($A32)),报表调整!$J$5:$J$65536)</f>
        <v>0</v>
      </c>
      <c r="G32" s="413">
        <f>B32+C32+E32-D32-F32</f>
        <v>0</v>
      </c>
      <c r="H32" s="413"/>
      <c r="I32" s="414">
        <f t="shared" si="0"/>
        <v>0</v>
      </c>
    </row>
    <row r="33" spans="1:9" ht="14.45" customHeight="1">
      <c r="A33" s="183">
        <f>报表格式!B32</f>
        <v>0</v>
      </c>
      <c r="B33" s="413">
        <f>未审BS!D33</f>
        <v>0</v>
      </c>
      <c r="C33" s="413">
        <f>SUMIF(账项调整!$E$5:$E$65536,IF(OR(MID(TRIM($A33),2,1)="：",MID(TRIM($A33),2,1)="、"),REPLACEB(TRIM($A33),1,4,""),TRIM($A33)),账项调整!$J$5:$J$65536)</f>
        <v>0</v>
      </c>
      <c r="D33" s="413">
        <f>SUMIF(账项调整!$H$5:$H$65536,IF(OR(MID(TRIM($A33),2,1)="：",MID(TRIM($A33),2,1)="、"),REPLACEB(TRIM($A33),1,4,""),TRIM($A33)),账项调整!$J$5:$J$65536)</f>
        <v>0</v>
      </c>
      <c r="E33" s="413">
        <f>SUMIF(报表调整!$E$5:$E$65536,IF(OR(MID(TRIM($A33),2,1)="：",MID(TRIM($A33),2,1)="、"),REPLACEB(TRIM($A33),1,4,""),TRIM($A33)),报表调整!$J$5:$J$65536)</f>
        <v>0</v>
      </c>
      <c r="F33" s="413">
        <f>SUMIF(报表调整!$H$5:$H$65536,IF(OR(MID(TRIM($A33),2,1)="：",MID(TRIM($A33),2,1)="、"),REPLACEB(TRIM($A33),1,4,""),TRIM($A33)),报表调整!$J$5:$J$65536)</f>
        <v>0</v>
      </c>
      <c r="G33" s="413">
        <f>B33+C33+E33-D33-F33</f>
        <v>0</v>
      </c>
      <c r="H33" s="413"/>
      <c r="I33" s="414">
        <f t="shared" si="0"/>
        <v>0</v>
      </c>
    </row>
    <row r="34" spans="1:9" ht="14.45" customHeight="1">
      <c r="A34" s="184" t="str">
        <f>报表格式!B33</f>
        <v>长期投资合计</v>
      </c>
      <c r="B34" s="415">
        <f t="shared" ref="B34:H34" si="4">SUM(B28,B31:B33)</f>
        <v>0</v>
      </c>
      <c r="C34" s="415">
        <f t="shared" si="4"/>
        <v>0</v>
      </c>
      <c r="D34" s="415">
        <f t="shared" si="4"/>
        <v>0</v>
      </c>
      <c r="E34" s="415">
        <f t="shared" si="4"/>
        <v>0</v>
      </c>
      <c r="F34" s="415">
        <f t="shared" si="4"/>
        <v>0</v>
      </c>
      <c r="G34" s="415">
        <f t="shared" si="4"/>
        <v>0</v>
      </c>
      <c r="H34" s="415">
        <f t="shared" si="4"/>
        <v>0</v>
      </c>
      <c r="I34" s="416">
        <f t="shared" si="0"/>
        <v>0</v>
      </c>
    </row>
    <row r="35" spans="1:9" ht="14.45" customHeight="1">
      <c r="A35" s="182" t="str">
        <f>报表格式!B34</f>
        <v>固定资产：</v>
      </c>
      <c r="B35" s="413"/>
      <c r="C35" s="413"/>
      <c r="D35" s="413"/>
      <c r="E35" s="413"/>
      <c r="F35" s="413"/>
      <c r="G35" s="413"/>
      <c r="H35" s="413"/>
      <c r="I35" s="414"/>
    </row>
    <row r="36" spans="1:9" ht="14.45" customHeight="1">
      <c r="A36" s="185" t="str">
        <f>报表格式!B35</f>
        <v>固定资产原价</v>
      </c>
      <c r="B36" s="413">
        <f>未审BS!D36</f>
        <v>0</v>
      </c>
      <c r="C36" s="413">
        <f>SUMIF(账项调整!$E$5:$E$65536,IF(OR(MID(TRIM($A36),2,1)="：",MID(TRIM($A36),2,1)="、"),REPLACEB(TRIM($A36),1,4,""),TRIM($A36)),账项调整!$J$5:$J$65536)</f>
        <v>0</v>
      </c>
      <c r="D36" s="413">
        <f>SUMIF(账项调整!$H$5:$H$65536,IF(OR(MID(TRIM($A36),2,1)="：",MID(TRIM($A36),2,1)="、"),REPLACEB(TRIM($A36),1,4,""),TRIM($A36)),账项调整!$J$5:$J$65536)</f>
        <v>0</v>
      </c>
      <c r="E36" s="413">
        <f>SUMIF(报表调整!$E$5:$E$65536,IF(OR(MID(TRIM($A36),2,1)="：",MID(TRIM($A36),2,1)="、"),REPLACEB(TRIM($A36),1,4,""),TRIM($A36)),报表调整!$J$5:$J$65536)</f>
        <v>0</v>
      </c>
      <c r="F36" s="413">
        <f>SUMIF(报表调整!$H$5:$H$65536,IF(OR(MID(TRIM($A36),2,1)="：",MID(TRIM($A36),2,1)="、"),REPLACEB(TRIM($A36),1,4,""),TRIM($A36)),报表调整!$J$5:$J$65536)</f>
        <v>0</v>
      </c>
      <c r="G36" s="413">
        <f>B36+C36+E36-D36-F36</f>
        <v>0</v>
      </c>
      <c r="H36" s="413"/>
      <c r="I36" s="414">
        <f t="shared" si="0"/>
        <v>0</v>
      </c>
    </row>
    <row r="37" spans="1:9" ht="14.45" customHeight="1">
      <c r="A37" s="185" t="str">
        <f>报表格式!B36</f>
        <v xml:space="preserve">  减：累计折旧</v>
      </c>
      <c r="B37" s="413">
        <f>未审BS!D37</f>
        <v>0</v>
      </c>
      <c r="C37" s="413">
        <f>SUMIF(账项调整!$E$5:$E$65536,IF(OR(MID(TRIM($A37),2,1)="：",MID(TRIM($A37),2,1)="、"),REPLACEB(TRIM($A37),1,4,""),TRIM($A37)),账项调整!$J$5:$J$65536)</f>
        <v>0</v>
      </c>
      <c r="D37" s="413">
        <f>SUMIF(账项调整!$H$5:$H$65536,IF(OR(MID(TRIM($A37),2,1)="：",MID(TRIM($A37),2,1)="、"),REPLACEB(TRIM($A37),1,4,""),TRIM($A37)),账项调整!$J$5:$J$65536)</f>
        <v>0</v>
      </c>
      <c r="E37" s="413">
        <f>SUMIF(报表调整!$E$5:$E$65536,IF(OR(MID(TRIM($A37),2,1)="：",MID(TRIM($A37),2,1)="、"),REPLACEB(TRIM($A37),1,4,""),TRIM($A37)),报表调整!$J$5:$J$65536)</f>
        <v>0</v>
      </c>
      <c r="F37" s="413">
        <f>SUMIF(报表调整!$H$5:$H$65536,IF(OR(MID(TRIM($A37),2,1)="：",MID(TRIM($A37),2,1)="、"),REPLACEB(TRIM($A37),1,4,""),TRIM($A37)),报表调整!$J$5:$J$65536)</f>
        <v>0</v>
      </c>
      <c r="G37" s="413">
        <f>B37-C37-E37+D37+F37</f>
        <v>0</v>
      </c>
      <c r="H37" s="413"/>
      <c r="I37" s="414">
        <f t="shared" si="0"/>
        <v>0</v>
      </c>
    </row>
    <row r="38" spans="1:9" ht="14.45" customHeight="1">
      <c r="A38" s="185" t="str">
        <f>报表格式!B37</f>
        <v>固定资产净值</v>
      </c>
      <c r="B38" s="413">
        <f>未审BS!D38</f>
        <v>0</v>
      </c>
      <c r="C38" s="413">
        <f t="shared" ref="C38:H38" si="5">C36-C37</f>
        <v>0</v>
      </c>
      <c r="D38" s="413">
        <f t="shared" si="5"/>
        <v>0</v>
      </c>
      <c r="E38" s="413">
        <f t="shared" si="5"/>
        <v>0</v>
      </c>
      <c r="F38" s="413">
        <f t="shared" si="5"/>
        <v>0</v>
      </c>
      <c r="G38" s="413">
        <f t="shared" si="5"/>
        <v>0</v>
      </c>
      <c r="H38" s="413">
        <f t="shared" si="5"/>
        <v>0</v>
      </c>
      <c r="I38" s="414">
        <f t="shared" si="0"/>
        <v>0</v>
      </c>
    </row>
    <row r="39" spans="1:9" ht="14.45" customHeight="1">
      <c r="A39" s="185" t="str">
        <f>报表格式!B38</f>
        <v xml:space="preserve">  减：固定资产减值准备</v>
      </c>
      <c r="B39" s="413">
        <f>未审BS!D39</f>
        <v>0</v>
      </c>
      <c r="C39" s="413">
        <f>SUMIF(账项调整!$E$5:$E$65536,IF(OR(MID(TRIM($A39),2,1)="：",MID(TRIM($A39),2,1)="、"),REPLACEB(TRIM($A39),1,4,""),TRIM($A39)),账项调整!$J$5:$J$65536)</f>
        <v>0</v>
      </c>
      <c r="D39" s="413">
        <f>SUMIF(账项调整!$H$5:$H$65536,IF(OR(MID(TRIM($A39),2,1)="：",MID(TRIM($A39),2,1)="、"),REPLACEB(TRIM($A39),1,4,""),TRIM($A39)),账项调整!$J$5:$J$65536)</f>
        <v>0</v>
      </c>
      <c r="E39" s="413">
        <f>SUMIF(报表调整!$E$5:$E$65536,IF(OR(MID(TRIM($A39),2,1)="：",MID(TRIM($A39),2,1)="、"),REPLACEB(TRIM($A39),1,4,""),TRIM($A39)),报表调整!$J$5:$J$65536)</f>
        <v>0</v>
      </c>
      <c r="F39" s="413">
        <f>SUMIF(报表调整!$H$5:$H$65536,IF(OR(MID(TRIM($A39),2,1)="：",MID(TRIM($A39),2,1)="、"),REPLACEB(TRIM($A39),1,4,""),TRIM($A39)),报表调整!$J$5:$J$65536)</f>
        <v>0</v>
      </c>
      <c r="G39" s="413">
        <f>B39-C39-E39+D39+F39</f>
        <v>0</v>
      </c>
      <c r="H39" s="413"/>
      <c r="I39" s="414">
        <f t="shared" si="0"/>
        <v>0</v>
      </c>
    </row>
    <row r="40" spans="1:9" ht="14.45" customHeight="1">
      <c r="A40" s="185" t="str">
        <f>报表格式!B39</f>
        <v>固定资产净额</v>
      </c>
      <c r="B40" s="413">
        <f>未审BS!D40</f>
        <v>0</v>
      </c>
      <c r="C40" s="413">
        <f t="shared" ref="C40:H40" si="6">C38-C39</f>
        <v>0</v>
      </c>
      <c r="D40" s="413">
        <f t="shared" si="6"/>
        <v>0</v>
      </c>
      <c r="E40" s="413">
        <f t="shared" si="6"/>
        <v>0</v>
      </c>
      <c r="F40" s="413">
        <f t="shared" si="6"/>
        <v>0</v>
      </c>
      <c r="G40" s="413">
        <f t="shared" si="6"/>
        <v>0</v>
      </c>
      <c r="H40" s="413">
        <f t="shared" si="6"/>
        <v>0</v>
      </c>
      <c r="I40" s="414">
        <f t="shared" si="0"/>
        <v>0</v>
      </c>
    </row>
    <row r="41" spans="1:9" ht="14.45" customHeight="1">
      <c r="A41" s="185" t="str">
        <f>报表格式!B40</f>
        <v>工程物资</v>
      </c>
      <c r="B41" s="413">
        <f>未审BS!D41</f>
        <v>0</v>
      </c>
      <c r="C41" s="413">
        <f>SUMIF(账项调整!$E$5:$E$65536,IF(OR(MID(TRIM($A41),2,1)="：",MID(TRIM($A41),2,1)="、"),REPLACEB(TRIM($A41),1,4,""),TRIM($A41)),账项调整!$J$5:$J$65536)</f>
        <v>0</v>
      </c>
      <c r="D41" s="413">
        <f>SUMIF(账项调整!$H$5:$H$65536,IF(OR(MID(TRIM($A41),2,1)="：",MID(TRIM($A41),2,1)="、"),REPLACEB(TRIM($A41),1,4,""),TRIM($A41)),账项调整!$J$5:$J$65536)</f>
        <v>0</v>
      </c>
      <c r="E41" s="413">
        <f>SUMIF(报表调整!$E$5:$E$65536,IF(OR(MID(TRIM($A41),2,1)="：",MID(TRIM($A41),2,1)="、"),REPLACEB(TRIM($A41),1,4,""),TRIM($A41)),报表调整!$J$5:$J$65536)</f>
        <v>0</v>
      </c>
      <c r="F41" s="413">
        <f>SUMIF(报表调整!$H$5:$H$65536,IF(OR(MID(TRIM($A41),2,1)="：",MID(TRIM($A41),2,1)="、"),REPLACEB(TRIM($A41),1,4,""),TRIM($A41)),报表调整!$J$5:$J$65536)</f>
        <v>0</v>
      </c>
      <c r="G41" s="413">
        <f t="shared" ref="G41:G46" si="7">B41+C41+E41-D41-F41</f>
        <v>0</v>
      </c>
      <c r="H41" s="413"/>
      <c r="I41" s="414">
        <f t="shared" si="0"/>
        <v>0</v>
      </c>
    </row>
    <row r="42" spans="1:9" ht="14.45" customHeight="1">
      <c r="A42" s="185" t="str">
        <f>报表格式!B41</f>
        <v>在建工程</v>
      </c>
      <c r="B42" s="413">
        <f>未审BS!D42</f>
        <v>0</v>
      </c>
      <c r="C42" s="413">
        <f>SUMIF(账项调整!$E$5:$E$65536,IF(OR(MID(TRIM($A42),2,1)="：",MID(TRIM($A42),2,1)="、"),REPLACEB(TRIM($A42),1,4,""),TRIM($A42)),账项调整!$J$5:$J$65536)</f>
        <v>0</v>
      </c>
      <c r="D42" s="413">
        <f>SUMIF(账项调整!$H$5:$H$65536,IF(OR(MID(TRIM($A42),2,1)="：",MID(TRIM($A42),2,1)="、"),REPLACEB(TRIM($A42),1,4,""),TRIM($A42)),账项调整!$J$5:$J$65536)</f>
        <v>0</v>
      </c>
      <c r="E42" s="413">
        <f>SUMIF(报表调整!$E$5:$E$65536,IF(OR(MID(TRIM($A42),2,1)="：",MID(TRIM($A42),2,1)="、"),REPLACEB(TRIM($A42),1,4,""),TRIM($A42)),报表调整!$J$5:$J$65536)</f>
        <v>0</v>
      </c>
      <c r="F42" s="413">
        <f>SUMIF(报表调整!$H$5:$H$65536,IF(OR(MID(TRIM($A42),2,1)="：",MID(TRIM($A42),2,1)="、"),REPLACEB(TRIM($A42),1,4,""),TRIM($A42)),报表调整!$J$5:$J$65536)</f>
        <v>0</v>
      </c>
      <c r="G42" s="413">
        <f t="shared" si="7"/>
        <v>0</v>
      </c>
      <c r="H42" s="413"/>
      <c r="I42" s="414">
        <f t="shared" si="0"/>
        <v>0</v>
      </c>
    </row>
    <row r="43" spans="1:9" ht="14.45" customHeight="1">
      <c r="A43" s="185" t="str">
        <f>报表格式!B42</f>
        <v>固定资产清理</v>
      </c>
      <c r="B43" s="413">
        <f>未审BS!D43</f>
        <v>0</v>
      </c>
      <c r="C43" s="413">
        <f>SUMIF(账项调整!$E$5:$E$65536,IF(OR(MID(TRIM($A43),2,1)="：",MID(TRIM($A43),2,1)="、"),REPLACEB(TRIM($A43),1,4,""),TRIM($A43)),账项调整!$J$5:$J$65536)</f>
        <v>0</v>
      </c>
      <c r="D43" s="413">
        <f>SUMIF(账项调整!$H$5:$H$65536,IF(OR(MID(TRIM($A43),2,1)="：",MID(TRIM($A43),2,1)="、"),REPLACEB(TRIM($A43),1,4,""),TRIM($A43)),账项调整!$J$5:$J$65536)</f>
        <v>0</v>
      </c>
      <c r="E43" s="413">
        <f>SUMIF(报表调整!$E$5:$E$65536,IF(OR(MID(TRIM($A43),2,1)="：",MID(TRIM($A43),2,1)="、"),REPLACEB(TRIM($A43),1,4,""),TRIM($A43)),报表调整!$J$5:$J$65536)</f>
        <v>0</v>
      </c>
      <c r="F43" s="413">
        <f>SUMIF(报表调整!$H$5:$H$65536,IF(OR(MID(TRIM($A43),2,1)="：",MID(TRIM($A43),2,1)="、"),REPLACEB(TRIM($A43),1,4,""),TRIM($A43)),报表调整!$J$5:$J$65536)</f>
        <v>0</v>
      </c>
      <c r="G43" s="413">
        <f t="shared" si="7"/>
        <v>0</v>
      </c>
      <c r="H43" s="413"/>
      <c r="I43" s="414">
        <f t="shared" si="0"/>
        <v>0</v>
      </c>
    </row>
    <row r="44" spans="1:9" ht="14.45" customHeight="1">
      <c r="A44" s="185" t="str">
        <f>报表格式!B43</f>
        <v>待处理固定资产净损失</v>
      </c>
      <c r="B44" s="413">
        <f>未审BS!D44</f>
        <v>0</v>
      </c>
      <c r="C44" s="413">
        <f>SUMIF(账项调整!$E$5:$E$65536,IF(OR(MID(TRIM($A44),2,1)="：",MID(TRIM($A44),2,1)="、"),REPLACEB(TRIM($A44),1,4,""),TRIM($A44)),账项调整!$J$5:$J$65536)</f>
        <v>0</v>
      </c>
      <c r="D44" s="413">
        <f>SUMIF(账项调整!$H$5:$H$65536,IF(OR(MID(TRIM($A44),2,1)="：",MID(TRIM($A44),2,1)="、"),REPLACEB(TRIM($A44),1,4,""),TRIM($A44)),账项调整!$J$5:$J$65536)</f>
        <v>0</v>
      </c>
      <c r="E44" s="413">
        <f>SUMIF(报表调整!$E$5:$E$65536,IF(OR(MID(TRIM($A44),2,1)="：",MID(TRIM($A44),2,1)="、"),REPLACEB(TRIM($A44),1,4,""),TRIM($A44)),报表调整!$J$5:$J$65536)</f>
        <v>0</v>
      </c>
      <c r="F44" s="413">
        <f>SUMIF(报表调整!$H$5:$H$65536,IF(OR(MID(TRIM($A44),2,1)="：",MID(TRIM($A44),2,1)="、"),REPLACEB(TRIM($A44),1,4,""),TRIM($A44)),报表调整!$J$5:$J$65536)</f>
        <v>0</v>
      </c>
      <c r="G44" s="413">
        <f t="shared" si="7"/>
        <v>0</v>
      </c>
      <c r="H44" s="413"/>
      <c r="I44" s="414">
        <f t="shared" si="0"/>
        <v>0</v>
      </c>
    </row>
    <row r="45" spans="1:9" ht="14.45" customHeight="1">
      <c r="A45" s="185">
        <f>报表格式!B44</f>
        <v>0</v>
      </c>
      <c r="B45" s="413">
        <f>未审BS!D45</f>
        <v>0</v>
      </c>
      <c r="C45" s="413">
        <f>SUMIF(账项调整!$E$5:$E$65536,IF(OR(MID(TRIM($A45),2,1)="：",MID(TRIM($A45),2,1)="、"),REPLACEB(TRIM($A45),1,4,""),TRIM($A45)),账项调整!$J$5:$J$65536)</f>
        <v>0</v>
      </c>
      <c r="D45" s="413">
        <f>SUMIF(账项调整!$H$5:$H$65536,IF(OR(MID(TRIM($A45),2,1)="：",MID(TRIM($A45),2,1)="、"),REPLACEB(TRIM($A45),1,4,""),TRIM($A45)),账项调整!$J$5:$J$65536)</f>
        <v>0</v>
      </c>
      <c r="E45" s="413">
        <f>SUMIF(报表调整!$E$5:$E$65536,IF(OR(MID(TRIM($A45),2,1)="：",MID(TRIM($A45),2,1)="、"),REPLACEB(TRIM($A45),1,4,""),TRIM($A45)),报表调整!$J$5:$J$65536)</f>
        <v>0</v>
      </c>
      <c r="F45" s="413">
        <f>SUMIF(报表调整!$H$5:$H$65536,IF(OR(MID(TRIM($A45),2,1)="：",MID(TRIM($A45),2,1)="、"),REPLACEB(TRIM($A45),1,4,""),TRIM($A45)),报表调整!$J$5:$J$65536)</f>
        <v>0</v>
      </c>
      <c r="G45" s="413">
        <f t="shared" si="7"/>
        <v>0</v>
      </c>
      <c r="H45" s="413"/>
      <c r="I45" s="414">
        <f t="shared" si="0"/>
        <v>0</v>
      </c>
    </row>
    <row r="46" spans="1:9" ht="14.45" customHeight="1">
      <c r="A46" s="185">
        <f>报表格式!B45</f>
        <v>0</v>
      </c>
      <c r="B46" s="413">
        <f>未审BS!D46</f>
        <v>0</v>
      </c>
      <c r="C46" s="413">
        <f>SUMIF(账项调整!$E$5:$E$65536,IF(OR(MID(TRIM($A46),2,1)="：",MID(TRIM($A46),2,1)="、"),REPLACEB(TRIM($A46),1,4,""),TRIM($A46)),账项调整!$J$5:$J$65536)</f>
        <v>0</v>
      </c>
      <c r="D46" s="413">
        <f>SUMIF(账项调整!$H$5:$H$65536,IF(OR(MID(TRIM($A46),2,1)="：",MID(TRIM($A46),2,1)="、"),REPLACEB(TRIM($A46),1,4,""),TRIM($A46)),账项调整!$J$5:$J$65536)</f>
        <v>0</v>
      </c>
      <c r="E46" s="413">
        <f>SUMIF(报表调整!$E$5:$E$65536,IF(OR(MID(TRIM($A46),2,1)="：",MID(TRIM($A46),2,1)="、"),REPLACEB(TRIM($A46),1,4,""),TRIM($A46)),报表调整!$J$5:$J$65536)</f>
        <v>0</v>
      </c>
      <c r="F46" s="413">
        <f>SUMIF(报表调整!$H$5:$H$65536,IF(OR(MID(TRIM($A46),2,1)="：",MID(TRIM($A46),2,1)="、"),REPLACEB(TRIM($A46),1,4,""),TRIM($A46)),报表调整!$J$5:$J$65536)</f>
        <v>0</v>
      </c>
      <c r="G46" s="413">
        <f t="shared" si="7"/>
        <v>0</v>
      </c>
      <c r="H46" s="413"/>
      <c r="I46" s="414">
        <f t="shared" si="0"/>
        <v>0</v>
      </c>
    </row>
    <row r="47" spans="1:9" ht="14.45" customHeight="1">
      <c r="A47" s="181" t="str">
        <f>报表格式!B46</f>
        <v>固定资产合计</v>
      </c>
      <c r="B47" s="415">
        <f t="shared" ref="B47:H47" si="8">SUM(B40:B46)</f>
        <v>0</v>
      </c>
      <c r="C47" s="415">
        <f t="shared" si="8"/>
        <v>0</v>
      </c>
      <c r="D47" s="415">
        <f t="shared" si="8"/>
        <v>0</v>
      </c>
      <c r="E47" s="415">
        <f t="shared" si="8"/>
        <v>0</v>
      </c>
      <c r="F47" s="415">
        <f t="shared" si="8"/>
        <v>0</v>
      </c>
      <c r="G47" s="415">
        <f t="shared" si="8"/>
        <v>0</v>
      </c>
      <c r="H47" s="415">
        <f t="shared" si="8"/>
        <v>0</v>
      </c>
      <c r="I47" s="416">
        <f t="shared" si="0"/>
        <v>0</v>
      </c>
    </row>
    <row r="48" spans="1:9" ht="14.45" customHeight="1">
      <c r="A48" s="182" t="str">
        <f>报表格式!B47</f>
        <v>无形资产及其他资产：</v>
      </c>
      <c r="B48" s="413"/>
      <c r="C48" s="413"/>
      <c r="D48" s="413"/>
      <c r="E48" s="413"/>
      <c r="F48" s="413"/>
      <c r="G48" s="413"/>
      <c r="H48" s="413"/>
      <c r="I48" s="414"/>
    </row>
    <row r="49" spans="1:9" ht="14.45" customHeight="1">
      <c r="A49" s="183" t="str">
        <f>报表格式!B48</f>
        <v>无形资产</v>
      </c>
      <c r="B49" s="413">
        <f>未审BS!D49</f>
        <v>0</v>
      </c>
      <c r="C49" s="413">
        <f>SUMIF(账项调整!$E$5:$E$65536,IF(OR(MID(TRIM($A49),2,1)="：",MID(TRIM($A49),2,1)="、"),REPLACEB(TRIM($A49),1,4,""),TRIM($A49)),账项调整!$J$5:$J$65536)</f>
        <v>0</v>
      </c>
      <c r="D49" s="413">
        <f>SUMIF(账项调整!$H$5:$H$65536,IF(OR(MID(TRIM($A49),2,1)="：",MID(TRIM($A49),2,1)="、"),REPLACEB(TRIM($A49),1,4,""),TRIM($A49)),账项调整!$J$5:$J$65536)</f>
        <v>0</v>
      </c>
      <c r="E49" s="413">
        <f>SUMIF(报表调整!$E$5:$E$65536,IF(OR(MID(TRIM($A49),2,1)="：",MID(TRIM($A49),2,1)="、"),REPLACEB(TRIM($A49),1,4,""),TRIM($A49)),报表调整!$J$5:$J$65536)</f>
        <v>0</v>
      </c>
      <c r="F49" s="413">
        <f>SUMIF(报表调整!$H$5:$H$65536,IF(OR(MID(TRIM($A49),2,1)="：",MID(TRIM($A49),2,1)="、"),REPLACEB(TRIM($A49),1,4,""),TRIM($A49)),报表调整!$J$5:$J$65536)</f>
        <v>0</v>
      </c>
      <c r="G49" s="413">
        <f t="shared" ref="G49:G57" si="9">B49+C49+E49-D49-F49</f>
        <v>0</v>
      </c>
      <c r="H49" s="413"/>
      <c r="I49" s="414">
        <f t="shared" si="0"/>
        <v>0</v>
      </c>
    </row>
    <row r="50" spans="1:9" ht="14.45" customHeight="1">
      <c r="A50" s="183" t="str">
        <f>报表格式!B49</f>
        <v xml:space="preserve">  其中：土地使用权</v>
      </c>
      <c r="B50" s="413">
        <f>未审BS!D50</f>
        <v>0</v>
      </c>
      <c r="C50" s="413">
        <f>SUMIF(账项调整!$F$5:$F$65536,IF(OR(MID(TRIM($A50),2,1)="：",MID(TRIM($A50),2,1)="、"),REPLACEB(TRIM($A50),1,4,""),TRIM($A50)),账项调整!$J$5:$J$65536)</f>
        <v>0</v>
      </c>
      <c r="D50" s="413">
        <f>SUMIF(账项调整!$I$5:$I$65536,IF(OR(MID(TRIM($A50),2,1)="：",MID(TRIM($A50),2,1)="、"),REPLACEB(TRIM($A50),1,4,""),TRIM($A50)),账项调整!$J$5:$J$65536)</f>
        <v>0</v>
      </c>
      <c r="E50" s="413">
        <f>SUMIF(报表调整!$F$5:$F$65536,IF(OR(MID(TRIM($A50),2,1)="：",MID(TRIM($A50),2,1)="、"),REPLACEB(TRIM($A50),1,4,""),TRIM($A50)),报表调整!$J$5:$J$65536)</f>
        <v>0</v>
      </c>
      <c r="F50" s="413">
        <f>SUMIF(报表调整!$I$5:$I$65536,IF(OR(MID(TRIM($A50),2,1)="：",MID(TRIM($A50),2,1)="、"),REPLACEB(TRIM($A50),1,4,""),TRIM($A50)),报表调整!$J$5:$J$65536)</f>
        <v>0</v>
      </c>
      <c r="G50" s="413">
        <f t="shared" si="9"/>
        <v>0</v>
      </c>
      <c r="H50" s="413"/>
      <c r="I50" s="414">
        <f t="shared" si="0"/>
        <v>0</v>
      </c>
    </row>
    <row r="51" spans="1:9" ht="14.45" customHeight="1">
      <c r="A51" s="183" t="str">
        <f>报表格式!B50</f>
        <v>长期待摊费用</v>
      </c>
      <c r="B51" s="413">
        <f>未审BS!D51</f>
        <v>0</v>
      </c>
      <c r="C51" s="413">
        <f>SUMIF(账项调整!$E$5:$E$65536,IF(OR(MID(TRIM($A51),2,1)="：",MID(TRIM($A51),2,1)="、"),REPLACEB(TRIM($A51),1,4,""),TRIM($A51)),账项调整!$J$5:$J$65536)</f>
        <v>0</v>
      </c>
      <c r="D51" s="413">
        <f>SUMIF(账项调整!$H$5:$H$65536,IF(OR(MID(TRIM($A51),2,1)="：",MID(TRIM($A51),2,1)="、"),REPLACEB(TRIM($A51),1,4,""),TRIM($A51)),账项调整!$J$5:$J$65536)</f>
        <v>0</v>
      </c>
      <c r="E51" s="413">
        <f>SUMIF(报表调整!$E$5:$E$65536,IF(OR(MID(TRIM($A51),2,1)="：",MID(TRIM($A51),2,1)="、"),REPLACEB(TRIM($A51),1,4,""),TRIM($A51)),报表调整!$J$5:$J$65536)</f>
        <v>0</v>
      </c>
      <c r="F51" s="413">
        <f>SUMIF(报表调整!$H$5:$H$65536,IF(OR(MID(TRIM($A51),2,1)="：",MID(TRIM($A51),2,1)="、"),REPLACEB(TRIM($A51),1,4,""),TRIM($A51)),报表调整!$J$5:$J$65536)</f>
        <v>0</v>
      </c>
      <c r="G51" s="413">
        <f t="shared" si="9"/>
        <v>0</v>
      </c>
      <c r="H51" s="413"/>
      <c r="I51" s="414">
        <f t="shared" si="0"/>
        <v>0</v>
      </c>
    </row>
    <row r="52" spans="1:9" ht="14.45" customHeight="1">
      <c r="A52" s="183" t="str">
        <f>报表格式!B51</f>
        <v xml:space="preserve">  其中：固定资产修理</v>
      </c>
      <c r="B52" s="413">
        <f>未审BS!D52</f>
        <v>0</v>
      </c>
      <c r="C52" s="413">
        <f>SUMIF(账项调整!$F$5:$F$65536,IF(OR(MID(TRIM($A52),2,1)="：",MID(TRIM($A52),2,1)="、"),REPLACEB(TRIM($A52),1,4,""),TRIM($A52)),账项调整!$J$5:$J$65536)</f>
        <v>0</v>
      </c>
      <c r="D52" s="413">
        <f>SUMIF(账项调整!$I$5:$I$65536,IF(OR(MID(TRIM($A52),2,1)="：",MID(TRIM($A52),2,1)="、"),REPLACEB(TRIM($A52),1,4,""),TRIM($A52)),账项调整!$J$5:$J$65536)</f>
        <v>0</v>
      </c>
      <c r="E52" s="413">
        <f>SUMIF(报表调整!$F$5:$F$65536,IF(OR(MID(TRIM($A52),2,1)="：",MID(TRIM($A52),2,1)="、"),REPLACEB(TRIM($A52),1,4,""),TRIM($A52)),报表调整!$J$5:$J$65536)</f>
        <v>0</v>
      </c>
      <c r="F52" s="413">
        <f>SUMIF(报表调整!$I$5:$I$65536,IF(OR(MID(TRIM($A52),2,1)="：",MID(TRIM($A52),2,1)="、"),REPLACEB(TRIM($A52),1,4,""),TRIM($A52)),报表调整!$J$5:$J$65536)</f>
        <v>0</v>
      </c>
      <c r="G52" s="413">
        <f t="shared" si="9"/>
        <v>0</v>
      </c>
      <c r="H52" s="413"/>
      <c r="I52" s="414">
        <f t="shared" si="0"/>
        <v>0</v>
      </c>
    </row>
    <row r="53" spans="1:9" ht="14.45" customHeight="1">
      <c r="A53" s="183" t="str">
        <f>报表格式!B52</f>
        <v xml:space="preserve">       固定资产改良支出</v>
      </c>
      <c r="B53" s="413">
        <f>未审BS!D53</f>
        <v>0</v>
      </c>
      <c r="C53" s="413">
        <f>SUMIF(账项调整!$F$5:$F$65536,IF(OR(MID(TRIM($A53),2,1)="：",MID(TRIM($A53),2,1)="、"),REPLACEB(TRIM($A53),1,4,""),TRIM($A53)),账项调整!$J$5:$J$65536)</f>
        <v>0</v>
      </c>
      <c r="D53" s="413">
        <f>SUMIF(账项调整!$I$5:$I$65536,IF(OR(MID(TRIM($A53),2,1)="：",MID(TRIM($A53),2,1)="、"),REPLACEB(TRIM($A53),1,4,""),TRIM($A53)),账项调整!$J$5:$J$65536)</f>
        <v>0</v>
      </c>
      <c r="E53" s="413">
        <f>SUMIF(报表调整!$F$5:$F$65536,IF(OR(MID(TRIM($A53),2,1)="：",MID(TRIM($A53),2,1)="、"),REPLACEB(TRIM($A53),1,4,""),TRIM($A53)),报表调整!$J$5:$J$65536)</f>
        <v>0</v>
      </c>
      <c r="F53" s="413">
        <f>SUMIF(报表调整!$I$5:$I$65536,IF(OR(MID(TRIM($A53),2,1)="：",MID(TRIM($A53),2,1)="、"),REPLACEB(TRIM($A53),1,4,""),TRIM($A53)),报表调整!$J$5:$J$65536)</f>
        <v>0</v>
      </c>
      <c r="G53" s="413">
        <f t="shared" si="9"/>
        <v>0</v>
      </c>
      <c r="H53" s="413"/>
      <c r="I53" s="414">
        <f t="shared" si="0"/>
        <v>0</v>
      </c>
    </row>
    <row r="54" spans="1:9" ht="14.45" customHeight="1">
      <c r="A54" s="183" t="str">
        <f>报表格式!B53</f>
        <v>股权分置流通权</v>
      </c>
      <c r="B54" s="413">
        <f>未审BS!D54</f>
        <v>0</v>
      </c>
      <c r="C54" s="413">
        <f>SUMIF(账项调整!$E$5:$E$65536,IF(OR(MID(TRIM($A54),2,1)="：",MID(TRIM($A54),2,1)="、"),REPLACEB(TRIM($A54),1,4,""),TRIM($A54)),账项调整!$J$5:$J$65536)</f>
        <v>0</v>
      </c>
      <c r="D54" s="413">
        <f>SUMIF(账项调整!$H$5:$H$65536,IF(OR(MID(TRIM($A54),2,1)="：",MID(TRIM($A54),2,1)="、"),REPLACEB(TRIM($A54),1,4,""),TRIM($A54)),账项调整!$J$5:$J$65536)</f>
        <v>0</v>
      </c>
      <c r="E54" s="413">
        <f>SUMIF(报表调整!$E$5:$E$65536,IF(OR(MID(TRIM($A54),2,1)="：",MID(TRIM($A54),2,1)="、"),REPLACEB(TRIM($A54),1,4,""),TRIM($A54)),报表调整!$J$5:$J$65536)</f>
        <v>0</v>
      </c>
      <c r="F54" s="413">
        <f>SUMIF(报表调整!$H$5:$H$65536,IF(OR(MID(TRIM($A54),2,1)="：",MID(TRIM($A54),2,1)="、"),REPLACEB(TRIM($A54),1,4,""),TRIM($A54)),报表调整!$J$5:$J$65536)</f>
        <v>0</v>
      </c>
      <c r="G54" s="413">
        <f t="shared" si="9"/>
        <v>0</v>
      </c>
      <c r="H54" s="413"/>
      <c r="I54" s="414">
        <f t="shared" si="0"/>
        <v>0</v>
      </c>
    </row>
    <row r="55" spans="1:9" ht="14.45" customHeight="1">
      <c r="A55" s="183" t="str">
        <f>报表格式!B54</f>
        <v>其他长期资产</v>
      </c>
      <c r="B55" s="413">
        <f>未审BS!D55</f>
        <v>0</v>
      </c>
      <c r="C55" s="413">
        <f>SUMIF(账项调整!$E$5:$E$65536,IF(OR(MID(TRIM($A55),2,1)="：",MID(TRIM($A55),2,1)="、"),REPLACEB(TRIM($A55),1,4,""),TRIM($A55)),账项调整!$J$5:$J$65536)</f>
        <v>0</v>
      </c>
      <c r="D55" s="413">
        <f>SUMIF(账项调整!$H$5:$H$65536,IF(OR(MID(TRIM($A55),2,1)="：",MID(TRIM($A55),2,1)="、"),REPLACEB(TRIM($A55),1,4,""),TRIM($A55)),账项调整!$J$5:$J$65536)</f>
        <v>0</v>
      </c>
      <c r="E55" s="413">
        <f>SUMIF(报表调整!$E$5:$E$65536,IF(OR(MID(TRIM($A55),2,1)="：",MID(TRIM($A55),2,1)="、"),REPLACEB(TRIM($A55),1,4,""),TRIM($A55)),报表调整!$J$5:$J$65536)</f>
        <v>0</v>
      </c>
      <c r="F55" s="413">
        <f>SUMIF(报表调整!$H$5:$H$65536,IF(OR(MID(TRIM($A55),2,1)="：",MID(TRIM($A55),2,1)="、"),REPLACEB(TRIM($A55),1,4,""),TRIM($A55)),报表调整!$J$5:$J$65536)</f>
        <v>0</v>
      </c>
      <c r="G55" s="413">
        <f t="shared" si="9"/>
        <v>0</v>
      </c>
      <c r="H55" s="413"/>
      <c r="I55" s="414">
        <f t="shared" si="0"/>
        <v>0</v>
      </c>
    </row>
    <row r="56" spans="1:9" ht="14.45" customHeight="1">
      <c r="A56" s="183" t="str">
        <f>报表格式!B55</f>
        <v xml:space="preserve">  其中：特准储备物资</v>
      </c>
      <c r="B56" s="413">
        <f>未审BS!D56</f>
        <v>0</v>
      </c>
      <c r="C56" s="413">
        <f>SUMIF(账项调整!$F$5:$F$65536,IF(OR(MID(TRIM($A56),2,1)="：",MID(TRIM($A56),2,1)="、"),REPLACEB(TRIM($A56),1,4,""),TRIM($A56)),账项调整!$J$5:$J$65536)</f>
        <v>0</v>
      </c>
      <c r="D56" s="413">
        <f>SUMIF(账项调整!$I$5:$I$65536,IF(OR(MID(TRIM($A56),2,1)="：",MID(TRIM($A56),2,1)="、"),REPLACEB(TRIM($A56),1,4,""),TRIM($A56)),账项调整!$J$5:$J$65536)</f>
        <v>0</v>
      </c>
      <c r="E56" s="413">
        <f>SUMIF(报表调整!$F$5:$F$65536,IF(OR(MID(TRIM($A56),2,1)="：",MID(TRIM($A56),2,1)="、"),REPLACEB(TRIM($A56),1,4,""),TRIM($A56)),报表调整!$J$5:$J$65536)</f>
        <v>0</v>
      </c>
      <c r="F56" s="413">
        <f>SUMIF(报表调整!$I$5:$I$65536,IF(OR(MID(TRIM($A56),2,1)="：",MID(TRIM($A56),2,1)="、"),REPLACEB(TRIM($A56),1,4,""),TRIM($A56)),报表调整!$J$5:$J$65536)</f>
        <v>0</v>
      </c>
      <c r="G56" s="413">
        <f t="shared" si="9"/>
        <v>0</v>
      </c>
      <c r="H56" s="413"/>
      <c r="I56" s="414">
        <f t="shared" si="0"/>
        <v>0</v>
      </c>
    </row>
    <row r="57" spans="1:9" ht="14.45" customHeight="1">
      <c r="A57" s="183">
        <f>报表格式!B56</f>
        <v>0</v>
      </c>
      <c r="B57" s="413">
        <f>未审BS!D57</f>
        <v>0</v>
      </c>
      <c r="C57" s="413">
        <f>SUMIF(账项调整!$E$5:$E$65536,IF(OR(MID(TRIM($A57),2,1)="：",MID(TRIM($A57),2,1)="、"),REPLACEB(TRIM($A57),1,4,""),TRIM($A57)),账项调整!$J$5:$J$65536)</f>
        <v>0</v>
      </c>
      <c r="D57" s="413">
        <f>SUMIF(账项调整!$H$5:$H$65536,IF(OR(MID(TRIM($A57),2,1)="：",MID(TRIM($A57),2,1)="、"),REPLACEB(TRIM($A57),1,4,""),TRIM($A57)),账项调整!$J$5:$J$65536)</f>
        <v>0</v>
      </c>
      <c r="E57" s="413">
        <f>SUMIF(报表调整!$E$5:$E$65536,IF(OR(MID(TRIM($A57),2,1)="：",MID(TRIM($A57),2,1)="、"),REPLACEB(TRIM($A57),1,4,""),TRIM($A57)),报表调整!$J$5:$J$65536)</f>
        <v>0</v>
      </c>
      <c r="F57" s="413">
        <f>SUMIF(报表调整!$H$5:$H$65536,IF(OR(MID(TRIM($A57),2,1)="：",MID(TRIM($A57),2,1)="、"),REPLACEB(TRIM($A57),1,4,""),TRIM($A57)),报表调整!$J$5:$J$65536)</f>
        <v>0</v>
      </c>
      <c r="G57" s="413">
        <f t="shared" si="9"/>
        <v>0</v>
      </c>
      <c r="H57" s="413"/>
      <c r="I57" s="414">
        <f t="shared" si="0"/>
        <v>0</v>
      </c>
    </row>
    <row r="58" spans="1:9" ht="14.45" customHeight="1">
      <c r="A58" s="181" t="str">
        <f>报表格式!B57</f>
        <v>无形资产及其他资产合计</v>
      </c>
      <c r="B58" s="415">
        <f t="shared" ref="B58:H58" si="10">SUM(B49,B51,B54:B55,B57)</f>
        <v>0</v>
      </c>
      <c r="C58" s="415">
        <f t="shared" si="10"/>
        <v>0</v>
      </c>
      <c r="D58" s="415">
        <f t="shared" si="10"/>
        <v>0</v>
      </c>
      <c r="E58" s="415">
        <f t="shared" si="10"/>
        <v>0</v>
      </c>
      <c r="F58" s="415">
        <f t="shared" si="10"/>
        <v>0</v>
      </c>
      <c r="G58" s="415">
        <f t="shared" si="10"/>
        <v>0</v>
      </c>
      <c r="H58" s="415">
        <f t="shared" si="10"/>
        <v>0</v>
      </c>
      <c r="I58" s="416">
        <f t="shared" si="0"/>
        <v>0</v>
      </c>
    </row>
    <row r="59" spans="1:9" ht="14.45" customHeight="1">
      <c r="A59" s="182" t="str">
        <f>报表格式!B58</f>
        <v>递延税项：</v>
      </c>
      <c r="B59" s="413"/>
      <c r="C59" s="413"/>
      <c r="D59" s="413"/>
      <c r="E59" s="413"/>
      <c r="F59" s="413"/>
      <c r="G59" s="413"/>
      <c r="H59" s="413"/>
      <c r="I59" s="414"/>
    </row>
    <row r="60" spans="1:9" ht="14.45" customHeight="1">
      <c r="A60" s="186" t="str">
        <f>报表格式!B59</f>
        <v>递延税款借项</v>
      </c>
      <c r="B60" s="417">
        <f>未审BS!D60</f>
        <v>0</v>
      </c>
      <c r="C60" s="417">
        <f>SUMIF(账项调整!$E$5:$E$65536,IF(OR(MID(TRIM($A60),2,1)="：",MID(TRIM($A60),2,1)="、"),REPLACEB(TRIM($A60),1,4,""),TRIM($A60)),账项调整!$J$5:$J$65536)</f>
        <v>0</v>
      </c>
      <c r="D60" s="417">
        <f>SUMIF(账项调整!$H$5:$H$65536,IF(OR(MID(TRIM($A60),2,1)="：",MID(TRIM($A60),2,1)="、"),REPLACEB(TRIM($A60),1,4,""),TRIM($A60)),账项调整!$J$5:$J$65536)</f>
        <v>0</v>
      </c>
      <c r="E60" s="417">
        <f>SUMIF(报表调整!$E$5:$E$65536,IF(OR(MID(TRIM($A60),2,1)="：",MID(TRIM($A60),2,1)="、"),REPLACEB(TRIM($A60),1,4,""),TRIM($A60)),报表调整!$J$5:$J$65536)</f>
        <v>0</v>
      </c>
      <c r="F60" s="417">
        <f>SUMIF(报表调整!$H$5:$H$65536,IF(OR(MID(TRIM($A60),2,1)="：",MID(TRIM($A60),2,1)="、"),REPLACEB(TRIM($A60),1,4,""),TRIM($A60)),报表调整!$J$5:$J$65536)</f>
        <v>0</v>
      </c>
      <c r="G60" s="417">
        <f>B60+C60+E60-D60-F60</f>
        <v>0</v>
      </c>
      <c r="H60" s="417"/>
      <c r="I60" s="418">
        <f t="shared" si="0"/>
        <v>0</v>
      </c>
    </row>
    <row r="61" spans="1:9" ht="14.45" customHeight="1">
      <c r="A61" s="186">
        <f>报表格式!B60</f>
        <v>0</v>
      </c>
      <c r="B61" s="425">
        <f>期初核对BS!C61</f>
        <v>0</v>
      </c>
      <c r="C61" s="417">
        <f>SUMIF(账项调整!$E$5:$E$65536,IF(OR(MID(TRIM($A61),2,1)="：",MID(TRIM($A61),2,1)="、"),REPLACEB(TRIM($A61),1,4,""),TRIM($A61)),账项调整!$J$5:$J$65536)</f>
        <v>0</v>
      </c>
      <c r="D61" s="417">
        <f>SUMIF(账项调整!$H$5:$H$65536,IF(OR(MID(TRIM($A61),2,1)="：",MID(TRIM($A61),2,1)="、"),REPLACEB(TRIM($A61),1,4,""),TRIM($A61)),账项调整!$J$5:$J$65536)</f>
        <v>0</v>
      </c>
      <c r="E61" s="417">
        <f>SUMIF(报表调整!$E$5:$E$65536,IF(OR(MID(TRIM($A61),2,1)="：",MID(TRIM($A61),2,1)="、"),REPLACEB(TRIM($A61),1,4,""),TRIM($A61)),报表调整!$J$5:$J$65536)</f>
        <v>0</v>
      </c>
      <c r="F61" s="417">
        <f>SUMIF(报表调整!$H$5:$H$65536,IF(OR(MID(TRIM($A61),2,1)="：",MID(TRIM($A61),2,1)="、"),REPLACEB(TRIM($A61),1,4,""),TRIM($A61)),报表调整!$J$5:$J$65536)</f>
        <v>0</v>
      </c>
      <c r="G61" s="417">
        <f>B61+C61+E61-D61-F61</f>
        <v>0</v>
      </c>
      <c r="H61" s="425"/>
      <c r="I61" s="418">
        <f t="shared" si="0"/>
        <v>0</v>
      </c>
    </row>
    <row r="62" spans="1:9" ht="14.45" customHeight="1">
      <c r="A62" s="187" t="str">
        <f>报表格式!B73</f>
        <v>资 产 总 计</v>
      </c>
      <c r="B62" s="419">
        <f t="shared" ref="B62:H62" si="11">SUM(B60:B61,B58,B47,B34,B27)</f>
        <v>0</v>
      </c>
      <c r="C62" s="419">
        <f t="shared" si="11"/>
        <v>0</v>
      </c>
      <c r="D62" s="419">
        <f t="shared" si="11"/>
        <v>0</v>
      </c>
      <c r="E62" s="419">
        <f t="shared" si="11"/>
        <v>0</v>
      </c>
      <c r="F62" s="419">
        <f t="shared" si="11"/>
        <v>0</v>
      </c>
      <c r="G62" s="419">
        <f t="shared" si="11"/>
        <v>0</v>
      </c>
      <c r="H62" s="419">
        <f t="shared" si="11"/>
        <v>0</v>
      </c>
      <c r="I62" s="420">
        <f t="shared" si="0"/>
        <v>0</v>
      </c>
    </row>
    <row r="63" spans="1:9">
      <c r="A63" s="727"/>
      <c r="B63" s="728">
        <f>B62-TB负债!B62</f>
        <v>0</v>
      </c>
      <c r="C63" s="725">
        <f>SUM(C7:C18,C21:C26,C29:C33,C36:C37,C39,C41:C46,C49,C51,C54:C55,C57,C60:C61)</f>
        <v>0</v>
      </c>
      <c r="D63" s="725">
        <f>SUM(D7:D18,D21:D26,D29:D33,D36:D37,D39,D41:D46,D49,D51,D54:D55,D57,D60:D61)</f>
        <v>0</v>
      </c>
      <c r="E63" s="725">
        <f>SUM(E7:E18,E21:E26,E29:E33,E36:E37,E39,E41:E46,E49,E51,E54:E55,E57,E60:E61)</f>
        <v>0</v>
      </c>
      <c r="F63" s="725">
        <f>SUM(F7:F18,F21:F26,F29:F33,F36:F37,F39,F41:F46,F49,F51,F54:F55,F57,F60:F61)</f>
        <v>0</v>
      </c>
      <c r="G63" s="728">
        <f>G62-TB负债!G62</f>
        <v>0</v>
      </c>
      <c r="H63" s="728">
        <f>H62-TB负债!H62</f>
        <v>0</v>
      </c>
      <c r="I63" s="728">
        <f>I62-TB负债!I62</f>
        <v>0</v>
      </c>
    </row>
    <row r="64" spans="1:9">
      <c r="A64" s="623"/>
      <c r="B64" s="623"/>
      <c r="C64" s="623"/>
      <c r="D64" s="623"/>
      <c r="E64" s="623"/>
      <c r="F64" s="623"/>
      <c r="G64" s="623"/>
      <c r="H64" s="623"/>
      <c r="I64" s="623"/>
    </row>
  </sheetData>
  <sheetProtection sheet="1" objects="1" scenarios="1"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43" priority="1" stopIfTrue="1" operator="equal">
      <formula>"报表未调平!"</formula>
    </cfRule>
  </conditionalFormatting>
  <printOptions horizontalCentered="1" verticalCentered="1"/>
  <pageMargins left="0.55118110236220474" right="0.35433070866141736" top="0.43307086614173229" bottom="0.23622047244094491" header="0.23622047244094491" footer="0.19685039370078741"/>
  <pageSetup paperSize="9" scale="78"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64"/>
  <sheetViews>
    <sheetView showZeros="0" workbookViewId="0">
      <pane xSplit="1" ySplit="5" topLeftCell="B48" activePane="bottomRight" state="frozen"/>
      <selection pane="topRight"/>
      <selection pane="bottomLeft"/>
      <selection pane="bottomRight" activeCell="I55" sqref="I55"/>
    </sheetView>
  </sheetViews>
  <sheetFormatPr defaultColWidth="7" defaultRowHeight="13.5" outlineLevelCol="1"/>
  <cols>
    <col min="1" max="1" width="25.625" style="62" customWidth="1"/>
    <col min="2" max="2" width="10.875" style="62" customWidth="1"/>
    <col min="3" max="6" width="11.625" style="62" customWidth="1"/>
    <col min="7" max="7" width="11.25" style="62" hidden="1" customWidth="1" outlineLevel="1"/>
    <col min="8" max="8" width="8.625" style="62" hidden="1" customWidth="1" outlineLevel="1"/>
    <col min="9" max="9" width="12.375" style="62" customWidth="1" collapsed="1"/>
    <col min="10" max="10" width="7" style="62" customWidth="1"/>
    <col min="11" max="11" width="12.25" style="62" bestFit="1" customWidth="1"/>
    <col min="12" max="12" width="13.125" style="62" customWidth="1"/>
    <col min="13" max="16384" width="7" style="62"/>
  </cols>
  <sheetData>
    <row r="1" spans="1:13" s="61" customFormat="1" ht="19.5" customHeight="1">
      <c r="A1" s="190" t="s">
        <v>276</v>
      </c>
      <c r="B1" s="191"/>
      <c r="C1" s="191"/>
      <c r="D1" s="191"/>
      <c r="E1" s="191"/>
      <c r="F1" s="191"/>
      <c r="G1" s="191"/>
      <c r="H1" s="191"/>
      <c r="I1" s="191"/>
      <c r="J1" s="60"/>
      <c r="K1" s="62"/>
      <c r="L1" s="62"/>
      <c r="M1" s="62"/>
    </row>
    <row r="2" spans="1:13" s="61" customFormat="1" ht="17.25" customHeight="1">
      <c r="A2" s="174" t="str">
        <f>CONCATENATE("客户名称：",参数!D3)</f>
        <v>客户名称：</v>
      </c>
      <c r="C2" s="172" t="str">
        <f>CONCATENATE("编制：",参数!D17)</f>
        <v>编制：</v>
      </c>
      <c r="D2" s="173"/>
      <c r="E2" s="174" t="str">
        <f>CONCATENATE("复核：",参数!D18)</f>
        <v>复核：</v>
      </c>
      <c r="G2" s="174"/>
      <c r="H2" s="175"/>
      <c r="I2" s="176" t="str">
        <f>TB资产!I2</f>
        <v xml:space="preserve">索引：            </v>
      </c>
      <c r="K2" s="62"/>
      <c r="L2" s="62"/>
      <c r="M2" s="62"/>
    </row>
    <row r="3" spans="1:13" s="61" customFormat="1" ht="17.25" customHeight="1">
      <c r="A3" s="174" t="str">
        <f>CONCATENATE("会计时点：",TEXT(参数!D12,"yyyy.mm.dd"))</f>
        <v>会计时点：2007.12.31</v>
      </c>
      <c r="C3" s="176" t="str">
        <f ca="1">CONCATENATE("日期：",TEXT(NOW(),"yyyy.mm.dd"))</f>
        <v>日期：2023.08.14</v>
      </c>
      <c r="D3" s="174"/>
      <c r="E3" s="174" t="str">
        <f>TB资产!E3</f>
        <v>日期：</v>
      </c>
      <c r="G3" s="174"/>
      <c r="H3" s="174"/>
      <c r="I3" s="176" t="str">
        <f>TB资产!I3</f>
        <v xml:space="preserve">分页：           </v>
      </c>
      <c r="K3" s="62"/>
      <c r="L3" s="62"/>
      <c r="M3" s="62"/>
    </row>
    <row r="4" spans="1:13" s="61" customFormat="1">
      <c r="A4" s="946" t="str">
        <f>IF((ROUND(G62,2))=(ROUND(TB资产!G62,2)),IF(参数!D$8="股份有限公司","  负债和股东权益",IF(参数!D$8="一般企业（执行统一会计制度）","负债和所有权益","")),"报表未调平!")</f>
        <v>负债和所有权益</v>
      </c>
      <c r="B4" s="948" t="s">
        <v>270</v>
      </c>
      <c r="C4" s="948" t="s">
        <v>271</v>
      </c>
      <c r="D4" s="948"/>
      <c r="E4" s="948" t="s">
        <v>272</v>
      </c>
      <c r="F4" s="948"/>
      <c r="G4" s="443" t="s">
        <v>273</v>
      </c>
      <c r="H4" s="443" t="s">
        <v>274</v>
      </c>
      <c r="I4" s="944" t="s">
        <v>275</v>
      </c>
      <c r="K4" s="62"/>
      <c r="L4" s="62"/>
      <c r="M4" s="62"/>
    </row>
    <row r="5" spans="1:13" s="61" customFormat="1">
      <c r="A5" s="947"/>
      <c r="B5" s="949"/>
      <c r="C5" s="444" t="s">
        <v>582</v>
      </c>
      <c r="D5" s="444" t="s">
        <v>583</v>
      </c>
      <c r="E5" s="444" t="s">
        <v>582</v>
      </c>
      <c r="F5" s="444" t="s">
        <v>583</v>
      </c>
      <c r="G5" s="444"/>
      <c r="H5" s="444"/>
      <c r="I5" s="945"/>
      <c r="K5" s="62"/>
      <c r="L5" s="62"/>
      <c r="M5" s="62"/>
    </row>
    <row r="6" spans="1:13" ht="14.45" customHeight="1">
      <c r="A6" s="177" t="str">
        <f>报表格式!G5</f>
        <v>流动负债：</v>
      </c>
      <c r="B6" s="178"/>
      <c r="C6" s="178"/>
      <c r="D6" s="178"/>
      <c r="E6" s="178"/>
      <c r="F6" s="178"/>
      <c r="G6" s="178"/>
      <c r="H6" s="178"/>
      <c r="I6" s="179"/>
    </row>
    <row r="7" spans="1:13" ht="14.45" customHeight="1">
      <c r="A7" s="180" t="str">
        <f>报表格式!G6</f>
        <v>短期借款</v>
      </c>
      <c r="B7" s="413">
        <f>未审BS!H7</f>
        <v>0</v>
      </c>
      <c r="C7" s="413">
        <f>SUMIF(账项调整!$E$5:$E$65536,IF(OR(MID(TRIM($A7),2,1)="：",MID(TRIM($A7),2,1)="、"),REPLACEB(TRIM($A7),1,4,""),TRIM($A7)),账项调整!$J$5:$J$65536)</f>
        <v>0</v>
      </c>
      <c r="D7" s="413">
        <f>SUMIF(账项调整!$H$5:$H$65536,IF(OR(MID(TRIM($A7),2,1)="：",MID(TRIM($A7),2,1)="、"),REPLACEB(TRIM($A7),1,4,""),TRIM($A7)),账项调整!$J$5:$J$65536)</f>
        <v>0</v>
      </c>
      <c r="E7" s="413">
        <f>SUMIF(报表调整!$E$5:$E$65536,IF(OR(MID(TRIM($A7),2,1)="：",MID(TRIM($A7),2,1)="、"),REPLACEB(TRIM($A7),1,4,""),TRIM($A7)),报表调整!$J$5:$J$65536)</f>
        <v>0</v>
      </c>
      <c r="F7" s="413">
        <f>SUMIF(报表调整!$H$5:$H$65536,IF(OR(MID(TRIM($A7),2,1)="：",MID(TRIM($A7),2,1)="、"),REPLACEB(TRIM($A7),1,4,""),TRIM($A7)),报表调整!$J$5:$J$65536)</f>
        <v>0</v>
      </c>
      <c r="G7" s="413">
        <f>B7-C7-E7+D7+F7</f>
        <v>0</v>
      </c>
      <c r="H7" s="413"/>
      <c r="I7" s="414">
        <f t="shared" ref="I7:I62" si="0">SUM(G7:H7)</f>
        <v>0</v>
      </c>
    </row>
    <row r="8" spans="1:13" ht="14.45" customHeight="1">
      <c r="A8" s="180" t="str">
        <f>报表格式!G7</f>
        <v>应付票据</v>
      </c>
      <c r="B8" s="413">
        <f>未审BS!H8</f>
        <v>0</v>
      </c>
      <c r="C8" s="413">
        <f>SUMIF(账项调整!$E$5:$E$65536,IF(OR(MID(TRIM($A8),2,1)="：",MID(TRIM($A8),2,1)="、"),REPLACEB(TRIM($A8),1,4,""),TRIM($A8)),账项调整!$J$5:$J$65536)</f>
        <v>0</v>
      </c>
      <c r="D8" s="413">
        <f>SUMIF(账项调整!$H$5:$H$65536,IF(OR(MID(TRIM($A8),2,1)="：",MID(TRIM($A8),2,1)="、"),REPLACEB(TRIM($A8),1,4,""),TRIM($A8)),账项调整!$J$5:$J$65536)</f>
        <v>0</v>
      </c>
      <c r="E8" s="413">
        <f>SUMIF(报表调整!$E$5:$E$65536,IF(OR(MID(TRIM($A8),2,1)="：",MID(TRIM($A8),2,1)="、"),REPLACEB(TRIM($A8),1,4,""),TRIM($A8)),报表调整!$J$5:$J$65536)</f>
        <v>0</v>
      </c>
      <c r="F8" s="413">
        <f>SUMIF(报表调整!$H$5:$H$65536,IF(OR(MID(TRIM($A8),2,1)="：",MID(TRIM($A8),2,1)="、"),REPLACEB(TRIM($A8),1,4,""),TRIM($A8)),报表调整!$J$5:$J$65536)</f>
        <v>0</v>
      </c>
      <c r="G8" s="413">
        <f t="shared" ref="G8:G25" si="1">B8-C8-E8+D8+F8</f>
        <v>0</v>
      </c>
      <c r="H8" s="413"/>
      <c r="I8" s="414">
        <f t="shared" si="0"/>
        <v>0</v>
      </c>
    </row>
    <row r="9" spans="1:13" ht="14.45" customHeight="1">
      <c r="A9" s="180" t="str">
        <f>报表格式!G8</f>
        <v>应付账款</v>
      </c>
      <c r="B9" s="413">
        <f>未审BS!H9</f>
        <v>0</v>
      </c>
      <c r="C9" s="413">
        <f>SUMIF(账项调整!$E$5:$E$65536,IF(OR(MID(TRIM($A9),2,1)="：",MID(TRIM($A9),2,1)="、"),REPLACEB(TRIM($A9),1,4,""),TRIM($A9)),账项调整!$J$5:$J$65536)</f>
        <v>0</v>
      </c>
      <c r="D9" s="413">
        <f>SUMIF(账项调整!$H$5:$H$65536,IF(OR(MID(TRIM($A9),2,1)="：",MID(TRIM($A9),2,1)="、"),REPLACEB(TRIM($A9),1,4,""),TRIM($A9)),账项调整!$J$5:$J$65536)</f>
        <v>0</v>
      </c>
      <c r="E9" s="413">
        <f>SUMIF(报表调整!$E$5:$E$65536,IF(OR(MID(TRIM($A9),2,1)="：",MID(TRIM($A9),2,1)="、"),REPLACEB(TRIM($A9),1,4,""),TRIM($A9)),报表调整!$J$5:$J$65536)</f>
        <v>0</v>
      </c>
      <c r="F9" s="413">
        <f>SUMIF(报表调整!$H$5:$H$65536,IF(OR(MID(TRIM($A9),2,1)="：",MID(TRIM($A9),2,1)="、"),REPLACEB(TRIM($A9),1,4,""),TRIM($A9)),报表调整!$J$5:$J$65536)</f>
        <v>0</v>
      </c>
      <c r="G9" s="413">
        <f t="shared" si="1"/>
        <v>0</v>
      </c>
      <c r="H9" s="413"/>
      <c r="I9" s="414">
        <f t="shared" si="0"/>
        <v>0</v>
      </c>
    </row>
    <row r="10" spans="1:13" ht="14.45" customHeight="1">
      <c r="A10" s="180" t="str">
        <f>报表格式!G9</f>
        <v>预收账款</v>
      </c>
      <c r="B10" s="413">
        <f>未审BS!H10</f>
        <v>0</v>
      </c>
      <c r="C10" s="413">
        <f>SUMIF(账项调整!$E$5:$E$65536,IF(OR(MID(TRIM($A10),2,1)="：",MID(TRIM($A10),2,1)="、"),REPLACEB(TRIM($A10),1,4,""),TRIM($A10)),账项调整!$J$5:$J$65536)</f>
        <v>0</v>
      </c>
      <c r="D10" s="413">
        <f>SUMIF(账项调整!$H$5:$H$65536,IF(OR(MID(TRIM($A10),2,1)="：",MID(TRIM($A10),2,1)="、"),REPLACEB(TRIM($A10),1,4,""),TRIM($A10)),账项调整!$J$5:$J$65536)</f>
        <v>0</v>
      </c>
      <c r="E10" s="413">
        <f>SUMIF(报表调整!$E$5:$E$65536,IF(OR(MID(TRIM($A10),2,1)="：",MID(TRIM($A10),2,1)="、"),REPLACEB(TRIM($A10),1,4,""),TRIM($A10)),报表调整!$J$5:$J$65536)</f>
        <v>0</v>
      </c>
      <c r="F10" s="413">
        <f>SUMIF(报表调整!$H$5:$H$65536,IF(OR(MID(TRIM($A10),2,1)="：",MID(TRIM($A10),2,1)="、"),REPLACEB(TRIM($A10),1,4,""),TRIM($A10)),报表调整!$J$5:$J$65536)</f>
        <v>0</v>
      </c>
      <c r="G10" s="413">
        <f t="shared" si="1"/>
        <v>0</v>
      </c>
      <c r="H10" s="413"/>
      <c r="I10" s="414">
        <f t="shared" si="0"/>
        <v>0</v>
      </c>
    </row>
    <row r="11" spans="1:13" ht="14.45" customHeight="1">
      <c r="A11" s="180" t="str">
        <f>报表格式!G10</f>
        <v>应付工资</v>
      </c>
      <c r="B11" s="413">
        <f>未审BS!H11</f>
        <v>0</v>
      </c>
      <c r="C11" s="413">
        <f>SUMIF(账项调整!$E$5:$E$65536,IF(OR(MID(TRIM($A11),2,1)="：",MID(TRIM($A11),2,1)="、"),REPLACEB(TRIM($A11),1,4,""),TRIM($A11)),账项调整!$J$5:$J$65536)</f>
        <v>0</v>
      </c>
      <c r="D11" s="413">
        <f>SUMIF(账项调整!$H$5:$H$65536,IF(OR(MID(TRIM($A11),2,1)="：",MID(TRIM($A11),2,1)="、"),REPLACEB(TRIM($A11),1,4,""),TRIM($A11)),账项调整!$J$5:$J$65536)</f>
        <v>0</v>
      </c>
      <c r="E11" s="413">
        <f>SUMIF(报表调整!$E$5:$E$65536,IF(OR(MID(TRIM($A11),2,1)="：",MID(TRIM($A11),2,1)="、"),REPLACEB(TRIM($A11),1,4,""),TRIM($A11)),报表调整!$J$5:$J$65536)</f>
        <v>0</v>
      </c>
      <c r="F11" s="413">
        <f>SUMIF(报表调整!$H$5:$H$65536,IF(OR(MID(TRIM($A11),2,1)="：",MID(TRIM($A11),2,1)="、"),REPLACEB(TRIM($A11),1,4,""),TRIM($A11)),报表调整!$J$5:$J$65536)</f>
        <v>0</v>
      </c>
      <c r="G11" s="413">
        <f t="shared" si="1"/>
        <v>0</v>
      </c>
      <c r="H11" s="413"/>
      <c r="I11" s="414">
        <f t="shared" si="0"/>
        <v>0</v>
      </c>
    </row>
    <row r="12" spans="1:13" ht="14.45" customHeight="1">
      <c r="A12" s="180" t="str">
        <f>报表格式!G11</f>
        <v>应付福利费</v>
      </c>
      <c r="B12" s="413">
        <f>未审BS!H12</f>
        <v>0</v>
      </c>
      <c r="C12" s="413">
        <f>SUMIF(账项调整!$E$5:$E$65536,IF(OR(MID(TRIM($A12),2,1)="：",MID(TRIM($A12),2,1)="、"),REPLACEB(TRIM($A12),1,4,""),TRIM($A12)),账项调整!$J$5:$J$65536)</f>
        <v>0</v>
      </c>
      <c r="D12" s="413">
        <f>SUMIF(账项调整!$H$5:$H$65536,IF(OR(MID(TRIM($A12),2,1)="：",MID(TRIM($A12),2,1)="、"),REPLACEB(TRIM($A12),1,4,""),TRIM($A12)),账项调整!$J$5:$J$65536)</f>
        <v>0</v>
      </c>
      <c r="E12" s="413">
        <f>SUMIF(报表调整!$E$5:$E$65536,IF(OR(MID(TRIM($A12),2,1)="：",MID(TRIM($A12),2,1)="、"),REPLACEB(TRIM($A12),1,4,""),TRIM($A12)),报表调整!$J$5:$J$65536)</f>
        <v>0</v>
      </c>
      <c r="F12" s="413">
        <f>SUMIF(报表调整!$H$5:$H$65536,IF(OR(MID(TRIM($A12),2,1)="：",MID(TRIM($A12),2,1)="、"),REPLACEB(TRIM($A12),1,4,""),TRIM($A12)),报表调整!$J$5:$J$65536)</f>
        <v>0</v>
      </c>
      <c r="G12" s="413">
        <f t="shared" si="1"/>
        <v>0</v>
      </c>
      <c r="H12" s="413"/>
      <c r="I12" s="414">
        <f t="shared" si="0"/>
        <v>0</v>
      </c>
    </row>
    <row r="13" spans="1:13" ht="14.45" customHeight="1">
      <c r="A13" s="180" t="str">
        <f>报表格式!G12</f>
        <v>应付股利（利润）</v>
      </c>
      <c r="B13" s="413">
        <f>未审BS!H13</f>
        <v>0</v>
      </c>
      <c r="C13" s="413">
        <f>SUMIF(账项调整!$E$5:$E$65536,IF(OR(MID(TRIM($A13),2,1)="：",MID(TRIM($A13),2,1)="、"),REPLACEB(TRIM($A13),1,4,""),TRIM($A13)),账项调整!$J$5:$J$65536)</f>
        <v>0</v>
      </c>
      <c r="D13" s="413">
        <f>SUMIF(账项调整!$H$5:$H$65536,IF(OR(MID(TRIM($A13),2,1)="：",MID(TRIM($A13),2,1)="、"),REPLACEB(TRIM($A13),1,4,""),TRIM($A13)),账项调整!$J$5:$J$65536)</f>
        <v>0</v>
      </c>
      <c r="E13" s="413">
        <f>SUMIF(报表调整!$E$5:$E$65536,IF(OR(MID(TRIM($A13),2,1)="：",MID(TRIM($A13),2,1)="、"),REPLACEB(TRIM($A13),1,4,""),TRIM($A13)),报表调整!$J$5:$J$65536)</f>
        <v>0</v>
      </c>
      <c r="F13" s="413">
        <f>SUMIF(报表调整!$H$5:$H$65536,IF(OR(MID(TRIM($A13),2,1)="：",MID(TRIM($A13),2,1)="、"),REPLACEB(TRIM($A13),1,4,""),TRIM($A13)),报表调整!$J$5:$J$65536)</f>
        <v>0</v>
      </c>
      <c r="G13" s="413">
        <f t="shared" si="1"/>
        <v>0</v>
      </c>
      <c r="H13" s="413"/>
      <c r="I13" s="414">
        <f t="shared" si="0"/>
        <v>0</v>
      </c>
    </row>
    <row r="14" spans="1:13" ht="14.45" customHeight="1">
      <c r="A14" s="180" t="str">
        <f>报表格式!G13</f>
        <v>应付利息</v>
      </c>
      <c r="B14" s="413">
        <f>未审BS!H14</f>
        <v>0</v>
      </c>
      <c r="C14" s="413">
        <f>SUMIF(账项调整!$E$5:$E$65536,IF(OR(MID(TRIM($A14),2,1)="：",MID(TRIM($A14),2,1)="、"),REPLACEB(TRIM($A14),1,4,""),TRIM($A14)),账项调整!$J$5:$J$65536)</f>
        <v>0</v>
      </c>
      <c r="D14" s="413">
        <f>SUMIF(账项调整!$H$5:$H$65536,IF(OR(MID(TRIM($A14),2,1)="：",MID(TRIM($A14),2,1)="、"),REPLACEB(TRIM($A14),1,4,""),TRIM($A14)),账项调整!$J$5:$J$65536)</f>
        <v>0</v>
      </c>
      <c r="E14" s="413">
        <f>SUMIF(报表调整!$E$5:$E$65536,IF(OR(MID(TRIM($A14),2,1)="：",MID(TRIM($A14),2,1)="、"),REPLACEB(TRIM($A14),1,4,""),TRIM($A14)),报表调整!$J$5:$J$65536)</f>
        <v>0</v>
      </c>
      <c r="F14" s="413">
        <f>SUMIF(报表调整!$H$5:$H$65536,IF(OR(MID(TRIM($A14),2,1)="：",MID(TRIM($A14),2,1)="、"),REPLACEB(TRIM($A14),1,4,""),TRIM($A14)),报表调整!$J$5:$J$65536)</f>
        <v>0</v>
      </c>
      <c r="G14" s="413">
        <f t="shared" si="1"/>
        <v>0</v>
      </c>
      <c r="H14" s="413"/>
      <c r="I14" s="414">
        <f t="shared" si="0"/>
        <v>0</v>
      </c>
    </row>
    <row r="15" spans="1:13" ht="14.45" customHeight="1">
      <c r="A15" s="180" t="str">
        <f>报表格式!G14</f>
        <v>应交税金</v>
      </c>
      <c r="B15" s="413">
        <f>未审BS!H15</f>
        <v>0</v>
      </c>
      <c r="C15" s="413">
        <f>SUMIF(账项调整!$E$5:$E$65536,IF(OR(MID(TRIM($A15),2,1)="：",MID(TRIM($A15),2,1)="、"),REPLACEB(TRIM($A15),1,4,""),TRIM($A15)),账项调整!$J$5:$J$65536)</f>
        <v>0</v>
      </c>
      <c r="D15" s="413">
        <f>SUMIF(账项调整!$H$5:$H$65536,IF(OR(MID(TRIM($A15),2,1)="：",MID(TRIM($A15),2,1)="、"),REPLACEB(TRIM($A15),1,4,""),TRIM($A15)),账项调整!$J$5:$J$65536)</f>
        <v>0</v>
      </c>
      <c r="E15" s="413">
        <f>SUMIF(报表调整!$E$5:$E$65536,IF(OR(MID(TRIM($A15),2,1)="：",MID(TRIM($A15),2,1)="、"),REPLACEB(TRIM($A15),1,4,""),TRIM($A15)),报表调整!$J$5:$J$65536)</f>
        <v>0</v>
      </c>
      <c r="F15" s="413">
        <f>SUMIF(报表调整!$H$5:$H$65536,IF(OR(MID(TRIM($A15),2,1)="：",MID(TRIM($A15),2,1)="、"),REPLACEB(TRIM($A15),1,4,""),TRIM($A15)),报表调整!$J$5:$J$65536)</f>
        <v>0</v>
      </c>
      <c r="G15" s="413">
        <f t="shared" si="1"/>
        <v>0</v>
      </c>
      <c r="H15" s="413"/>
      <c r="I15" s="414">
        <f t="shared" si="0"/>
        <v>0</v>
      </c>
    </row>
    <row r="16" spans="1:13" ht="14.45" customHeight="1">
      <c r="A16" s="180" t="str">
        <f>报表格式!G15</f>
        <v>其他应交款</v>
      </c>
      <c r="B16" s="413">
        <f>未审BS!H16</f>
        <v>0</v>
      </c>
      <c r="C16" s="413">
        <f>SUMIF(账项调整!$E$5:$E$65536,IF(OR(MID(TRIM($A16),2,1)="：",MID(TRIM($A16),2,1)="、"),REPLACEB(TRIM($A16),1,4,""),TRIM($A16)),账项调整!$J$5:$J$65536)</f>
        <v>0</v>
      </c>
      <c r="D16" s="413">
        <f>SUMIF(账项调整!$H$5:$H$65536,IF(OR(MID(TRIM($A16),2,1)="：",MID(TRIM($A16),2,1)="、"),REPLACEB(TRIM($A16),1,4,""),TRIM($A16)),账项调整!$J$5:$J$65536)</f>
        <v>0</v>
      </c>
      <c r="E16" s="413">
        <f>SUMIF(报表调整!$E$5:$E$65536,IF(OR(MID(TRIM($A16),2,1)="：",MID(TRIM($A16),2,1)="、"),REPLACEB(TRIM($A16),1,4,""),TRIM($A16)),报表调整!$J$5:$J$65536)</f>
        <v>0</v>
      </c>
      <c r="F16" s="413">
        <f>SUMIF(报表调整!$H$5:$H$65536,IF(OR(MID(TRIM($A16),2,1)="：",MID(TRIM($A16),2,1)="、"),REPLACEB(TRIM($A16),1,4,""),TRIM($A16)),报表调整!$J$5:$J$65536)</f>
        <v>0</v>
      </c>
      <c r="G16" s="413">
        <f t="shared" si="1"/>
        <v>0</v>
      </c>
      <c r="H16" s="413"/>
      <c r="I16" s="414">
        <f t="shared" si="0"/>
        <v>0</v>
      </c>
    </row>
    <row r="17" spans="1:9" ht="14.45" customHeight="1">
      <c r="A17" s="180" t="str">
        <f>报表格式!G16</f>
        <v>其他应付款</v>
      </c>
      <c r="B17" s="413">
        <f>未审BS!H17</f>
        <v>0</v>
      </c>
      <c r="C17" s="413">
        <f>SUMIF(账项调整!$E$5:$E$65536,IF(OR(MID(TRIM($A17),2,1)="：",MID(TRIM($A17),2,1)="、"),REPLACEB(TRIM($A17),1,4,""),TRIM($A17)),账项调整!$J$5:$J$65536)</f>
        <v>0</v>
      </c>
      <c r="D17" s="413">
        <f>SUMIF(账项调整!$H$5:$H$65536,IF(OR(MID(TRIM($A17),2,1)="：",MID(TRIM($A17),2,1)="、"),REPLACEB(TRIM($A17),1,4,""),TRIM($A17)),账项调整!$J$5:$J$65536)</f>
        <v>0</v>
      </c>
      <c r="E17" s="413">
        <f>SUMIF(报表调整!$E$5:$E$65536,IF(OR(MID(TRIM($A17),2,1)="：",MID(TRIM($A17),2,1)="、"),REPLACEB(TRIM($A17),1,4,""),TRIM($A17)),报表调整!$J$5:$J$65536)</f>
        <v>0</v>
      </c>
      <c r="F17" s="413">
        <f>SUMIF(报表调整!$H$5:$H$65536,IF(OR(MID(TRIM($A17),2,1)="：",MID(TRIM($A17),2,1)="、"),REPLACEB(TRIM($A17),1,4,""),TRIM($A17)),报表调整!$J$5:$J$65536)</f>
        <v>0</v>
      </c>
      <c r="G17" s="413">
        <f t="shared" si="1"/>
        <v>0</v>
      </c>
      <c r="H17" s="413"/>
      <c r="I17" s="414">
        <f t="shared" si="0"/>
        <v>0</v>
      </c>
    </row>
    <row r="18" spans="1:9" ht="14.45" customHeight="1">
      <c r="A18" s="180" t="str">
        <f>报表格式!G17</f>
        <v>预提费用</v>
      </c>
      <c r="B18" s="413">
        <f>未审BS!H18</f>
        <v>0</v>
      </c>
      <c r="C18" s="413">
        <f>SUMIF(账项调整!$E$5:$E$65536,IF(OR(MID(TRIM($A18),2,1)="：",MID(TRIM($A18),2,1)="、"),REPLACEB(TRIM($A18),1,4,""),TRIM($A18)),账项调整!$J$5:$J$65536)</f>
        <v>0</v>
      </c>
      <c r="D18" s="413">
        <f>SUMIF(账项调整!$H$5:$H$65536,IF(OR(MID(TRIM($A18),2,1)="：",MID(TRIM($A18),2,1)="、"),REPLACEB(TRIM($A18),1,4,""),TRIM($A18)),账项调整!$J$5:$J$65536)</f>
        <v>0</v>
      </c>
      <c r="E18" s="413">
        <f>SUMIF(报表调整!$E$5:$E$65536,IF(OR(MID(TRIM($A18),2,1)="：",MID(TRIM($A18),2,1)="、"),REPLACEB(TRIM($A18),1,4,""),TRIM($A18)),报表调整!$J$5:$J$65536)</f>
        <v>0</v>
      </c>
      <c r="F18" s="413">
        <f>SUMIF(报表调整!$H$5:$H$65536,IF(OR(MID(TRIM($A18),2,1)="：",MID(TRIM($A18),2,1)="、"),REPLACEB(TRIM($A18),1,4,""),TRIM($A18)),报表调整!$J$5:$J$65536)</f>
        <v>0</v>
      </c>
      <c r="G18" s="413">
        <f t="shared" si="1"/>
        <v>0</v>
      </c>
      <c r="H18" s="413"/>
      <c r="I18" s="414">
        <f t="shared" si="0"/>
        <v>0</v>
      </c>
    </row>
    <row r="19" spans="1:9" ht="14.45" customHeight="1">
      <c r="A19" s="180" t="str">
        <f>报表格式!G18</f>
        <v>预计负债</v>
      </c>
      <c r="B19" s="413">
        <f>未审BS!H19</f>
        <v>0</v>
      </c>
      <c r="C19" s="413">
        <f>SUMIF(账项调整!$E$5:$E$65536,IF(OR(MID(TRIM($A19),2,1)="：",MID(TRIM($A19),2,1)="、"),REPLACEB(TRIM($A19),1,4,""),TRIM($A19)),账项调整!$J$5:$J$65536)</f>
        <v>0</v>
      </c>
      <c r="D19" s="413">
        <f>SUMIF(账项调整!$H$5:$H$65536,IF(OR(MID(TRIM($A19),2,1)="：",MID(TRIM($A19),2,1)="、"),REPLACEB(TRIM($A19),1,4,""),TRIM($A19)),账项调整!$J$5:$J$65536)</f>
        <v>0</v>
      </c>
      <c r="E19" s="413">
        <f>SUMIF(报表调整!$E$5:$E$65536,IF(OR(MID(TRIM($A19),2,1)="：",MID(TRIM($A19),2,1)="、"),REPLACEB(TRIM($A19),1,4,""),TRIM($A19)),报表调整!$J$5:$J$65536)</f>
        <v>0</v>
      </c>
      <c r="F19" s="413">
        <f>SUMIF(报表调整!$H$5:$H$65536,IF(OR(MID(TRIM($A19),2,1)="：",MID(TRIM($A19),2,1)="、"),REPLACEB(TRIM($A19),1,4,""),TRIM($A19)),报表调整!$J$5:$J$65536)</f>
        <v>0</v>
      </c>
      <c r="G19" s="413">
        <f t="shared" si="1"/>
        <v>0</v>
      </c>
      <c r="H19" s="413"/>
      <c r="I19" s="414">
        <f t="shared" si="0"/>
        <v>0</v>
      </c>
    </row>
    <row r="20" spans="1:9" ht="14.45" customHeight="1">
      <c r="A20" s="180" t="str">
        <f>报表格式!G19</f>
        <v>递延收益</v>
      </c>
      <c r="B20" s="413">
        <f>未审BS!H20</f>
        <v>0</v>
      </c>
      <c r="C20" s="413">
        <f>SUMIF(账项调整!$E$5:$E$65536,IF(OR(MID(TRIM($A20),2,1)="：",MID(TRIM($A20),2,1)="、"),REPLACEB(TRIM($A20),1,4,""),TRIM($A20)),账项调整!$J$5:$J$65536)</f>
        <v>0</v>
      </c>
      <c r="D20" s="413">
        <f>SUMIF(账项调整!$H$5:$H$65536,IF(OR(MID(TRIM($A20),2,1)="：",MID(TRIM($A20),2,1)="、"),REPLACEB(TRIM($A20),1,4,""),TRIM($A20)),账项调整!$J$5:$J$65536)</f>
        <v>0</v>
      </c>
      <c r="E20" s="413">
        <f>SUMIF(报表调整!$E$5:$E$65536,IF(OR(MID(TRIM($A20),2,1)="：",MID(TRIM($A20),2,1)="、"),REPLACEB(TRIM($A20),1,4,""),TRIM($A20)),报表调整!$J$5:$J$65536)</f>
        <v>0</v>
      </c>
      <c r="F20" s="413">
        <f>SUMIF(报表调整!$H$5:$H$65536,IF(OR(MID(TRIM($A20),2,1)="：",MID(TRIM($A20),2,1)="、"),REPLACEB(TRIM($A20),1,4,""),TRIM($A20)),报表调整!$J$5:$J$65536)</f>
        <v>0</v>
      </c>
      <c r="G20" s="413">
        <f t="shared" si="1"/>
        <v>0</v>
      </c>
      <c r="H20" s="413"/>
      <c r="I20" s="414">
        <f t="shared" si="0"/>
        <v>0</v>
      </c>
    </row>
    <row r="21" spans="1:9" ht="14.45" customHeight="1">
      <c r="A21" s="180" t="str">
        <f>报表格式!G20</f>
        <v>一年内到期的长期负债</v>
      </c>
      <c r="B21" s="413">
        <f>未审BS!H21</f>
        <v>0</v>
      </c>
      <c r="C21" s="413">
        <f>SUMIF(账项调整!$E$5:$E$65536,IF(OR(MID(TRIM($A21),2,1)="：",MID(TRIM($A21),2,1)="、"),REPLACEB(TRIM($A21),1,4,""),TRIM($A21)),账项调整!$J$5:$J$65536)</f>
        <v>0</v>
      </c>
      <c r="D21" s="413">
        <f>SUMIF(账项调整!$H$5:$H$65536,IF(OR(MID(TRIM($A21),2,1)="：",MID(TRIM($A21),2,1)="、"),REPLACEB(TRIM($A21),1,4,""),TRIM($A21)),账项调整!$J$5:$J$65536)</f>
        <v>0</v>
      </c>
      <c r="E21" s="413">
        <f>SUMIF(报表调整!$E$5:$E$65536,IF(OR(MID(TRIM($A21),2,1)="：",MID(TRIM($A21),2,1)="、"),REPLACEB(TRIM($A21),1,4,""),TRIM($A21)),报表调整!$J$5:$J$65536)</f>
        <v>0</v>
      </c>
      <c r="F21" s="413">
        <f>SUMIF(报表调整!$H$5:$H$65536,IF(OR(MID(TRIM($A21),2,1)="：",MID(TRIM($A21),2,1)="、"),REPLACEB(TRIM($A21),1,4,""),TRIM($A21)),报表调整!$J$5:$J$65536)</f>
        <v>0</v>
      </c>
      <c r="G21" s="413">
        <f t="shared" si="1"/>
        <v>0</v>
      </c>
      <c r="H21" s="413"/>
      <c r="I21" s="414">
        <f t="shared" si="0"/>
        <v>0</v>
      </c>
    </row>
    <row r="22" spans="1:9" ht="14.45" customHeight="1">
      <c r="A22" s="180" t="str">
        <f>报表格式!G21</f>
        <v>应付权证</v>
      </c>
      <c r="B22" s="413">
        <f>未审BS!H22</f>
        <v>0</v>
      </c>
      <c r="C22" s="413">
        <f>SUMIF(账项调整!$E$5:$E$65536,IF(OR(MID(TRIM($A22),2,1)="：",MID(TRIM($A22),2,1)="、"),REPLACEB(TRIM($A22),1,4,""),TRIM($A22)),账项调整!$J$5:$J$65536)</f>
        <v>0</v>
      </c>
      <c r="D22" s="413">
        <f>SUMIF(账项调整!$H$5:$H$65536,IF(OR(MID(TRIM($A22),2,1)="：",MID(TRIM($A22),2,1)="、"),REPLACEB(TRIM($A22),1,4,""),TRIM($A22)),账项调整!$J$5:$J$65536)</f>
        <v>0</v>
      </c>
      <c r="E22" s="413">
        <f>SUMIF(报表调整!$E$5:$E$65536,IF(OR(MID(TRIM($A22),2,1)="：",MID(TRIM($A22),2,1)="、"),REPLACEB(TRIM($A22),1,4,""),TRIM($A22)),报表调整!$J$5:$J$65536)</f>
        <v>0</v>
      </c>
      <c r="F22" s="413">
        <f>SUMIF(报表调整!$H$5:$H$65536,IF(OR(MID(TRIM($A22),2,1)="：",MID(TRIM($A22),2,1)="、"),REPLACEB(TRIM($A22),1,4,""),TRIM($A22)),报表调整!$J$5:$J$65536)</f>
        <v>0</v>
      </c>
      <c r="G22" s="413">
        <f t="shared" si="1"/>
        <v>0</v>
      </c>
      <c r="H22" s="413"/>
      <c r="I22" s="414">
        <f t="shared" si="0"/>
        <v>0</v>
      </c>
    </row>
    <row r="23" spans="1:9" ht="14.45" customHeight="1">
      <c r="A23" s="180" t="str">
        <f>报表格式!G22</f>
        <v>其他流动负债</v>
      </c>
      <c r="B23" s="413">
        <f>未审BS!H23</f>
        <v>0</v>
      </c>
      <c r="C23" s="413">
        <f>SUMIF(账项调整!$E$5:$E$65536,IF(OR(MID(TRIM($A23),2,1)="：",MID(TRIM($A23),2,1)="、"),REPLACEB(TRIM($A23),1,4,""),TRIM($A23)),账项调整!$J$5:$J$65536)</f>
        <v>0</v>
      </c>
      <c r="D23" s="413">
        <f>SUMIF(账项调整!$H$5:$H$65536,IF(OR(MID(TRIM($A23),2,1)="：",MID(TRIM($A23),2,1)="、"),REPLACEB(TRIM($A23),1,4,""),TRIM($A23)),账项调整!$J$5:$J$65536)</f>
        <v>0</v>
      </c>
      <c r="E23" s="413">
        <f>SUMIF(报表调整!$E$5:$E$65536,IF(OR(MID(TRIM($A23),2,1)="：",MID(TRIM($A23),2,1)="、"),REPLACEB(TRIM($A23),1,4,""),TRIM($A23)),报表调整!$J$5:$J$65536)</f>
        <v>0</v>
      </c>
      <c r="F23" s="413">
        <f>SUMIF(报表调整!$H$5:$H$65536,IF(OR(MID(TRIM($A23),2,1)="：",MID(TRIM($A23),2,1)="、"),REPLACEB(TRIM($A23),1,4,""),TRIM($A23)),报表调整!$J$5:$J$65536)</f>
        <v>0</v>
      </c>
      <c r="G23" s="413">
        <f t="shared" si="1"/>
        <v>0</v>
      </c>
      <c r="H23" s="413"/>
      <c r="I23" s="414">
        <f t="shared" si="0"/>
        <v>0</v>
      </c>
    </row>
    <row r="24" spans="1:9" ht="14.45" customHeight="1">
      <c r="A24" s="180">
        <f>报表格式!G23</f>
        <v>0</v>
      </c>
      <c r="B24" s="413">
        <f>未审BS!H24</f>
        <v>0</v>
      </c>
      <c r="C24" s="413">
        <f>SUMIF(账项调整!$E$5:$E$65536,IF(OR(MID(TRIM($A24),2,1)="：",MID(TRIM($A24),2,1)="、"),REPLACEB(TRIM($A24),1,4,""),TRIM($A24)),账项调整!$J$5:$J$65536)</f>
        <v>0</v>
      </c>
      <c r="D24" s="413">
        <f>SUMIF(账项调整!$H$5:$H$65536,IF(OR(MID(TRIM($A24),2,1)="：",MID(TRIM($A24),2,1)="、"),REPLACEB(TRIM($A24),1,4,""),TRIM($A24)),账项调整!$J$5:$J$65536)</f>
        <v>0</v>
      </c>
      <c r="E24" s="413">
        <f>SUMIF(报表调整!$E$5:$E$65536,IF(OR(MID(TRIM($A24),2,1)="：",MID(TRIM($A24),2,1)="、"),REPLACEB(TRIM($A24),1,4,""),TRIM($A24)),报表调整!$J$5:$J$65536)</f>
        <v>0</v>
      </c>
      <c r="F24" s="413">
        <f>SUMIF(报表调整!$H$5:$H$65536,IF(OR(MID(TRIM($A24),2,1)="：",MID(TRIM($A24),2,1)="、"),REPLACEB(TRIM($A24),1,4,""),TRIM($A24)),报表调整!$J$5:$J$65536)</f>
        <v>0</v>
      </c>
      <c r="G24" s="413">
        <f t="shared" si="1"/>
        <v>0</v>
      </c>
      <c r="H24" s="413"/>
      <c r="I24" s="414">
        <f t="shared" si="0"/>
        <v>0</v>
      </c>
    </row>
    <row r="25" spans="1:9" ht="14.45" customHeight="1">
      <c r="A25" s="180">
        <f>报表格式!G24</f>
        <v>0</v>
      </c>
      <c r="B25" s="413">
        <f>未审BS!H25</f>
        <v>0</v>
      </c>
      <c r="C25" s="413">
        <f>SUMIF(账项调整!$E$5:$E$65536,IF(OR(MID(TRIM($A25),2,1)="：",MID(TRIM($A25),2,1)="、"),REPLACEB(TRIM($A25),1,4,""),TRIM($A25)),账项调整!$J$5:$J$65536)</f>
        <v>0</v>
      </c>
      <c r="D25" s="413">
        <f>SUMIF(账项调整!$H$5:$H$65536,IF(OR(MID(TRIM($A25),2,1)="：",MID(TRIM($A25),2,1)="、"),REPLACEB(TRIM($A25),1,4,""),TRIM($A25)),账项调整!$J$5:$J$65536)</f>
        <v>0</v>
      </c>
      <c r="E25" s="413">
        <f>SUMIF(报表调整!$E$5:$E$65536,IF(OR(MID(TRIM($A25),2,1)="：",MID(TRIM($A25),2,1)="、"),REPLACEB(TRIM($A25),1,4,""),TRIM($A25)),报表调整!$J$5:$J$65536)</f>
        <v>0</v>
      </c>
      <c r="F25" s="413">
        <f>SUMIF(报表调整!$H$5:$H$65536,IF(OR(MID(TRIM($A25),2,1)="：",MID(TRIM($A25),2,1)="、"),REPLACEB(TRIM($A25),1,4,""),TRIM($A25)),报表调整!$J$5:$J$65536)</f>
        <v>0</v>
      </c>
      <c r="G25" s="413">
        <f t="shared" si="1"/>
        <v>0</v>
      </c>
      <c r="H25" s="413"/>
      <c r="I25" s="414">
        <f t="shared" si="0"/>
        <v>0</v>
      </c>
    </row>
    <row r="26" spans="1:9" ht="14.45" customHeight="1">
      <c r="A26" s="181" t="str">
        <f>报表格式!G25</f>
        <v>流动负债合计</v>
      </c>
      <c r="B26" s="415">
        <f t="shared" ref="B26:H26" si="2">SUM(B7:B25)</f>
        <v>0</v>
      </c>
      <c r="C26" s="415">
        <f t="shared" si="2"/>
        <v>0</v>
      </c>
      <c r="D26" s="415">
        <f t="shared" si="2"/>
        <v>0</v>
      </c>
      <c r="E26" s="415">
        <f t="shared" si="2"/>
        <v>0</v>
      </c>
      <c r="F26" s="415">
        <f t="shared" si="2"/>
        <v>0</v>
      </c>
      <c r="G26" s="415">
        <f t="shared" si="2"/>
        <v>0</v>
      </c>
      <c r="H26" s="415">
        <f t="shared" si="2"/>
        <v>0</v>
      </c>
      <c r="I26" s="416">
        <f t="shared" si="0"/>
        <v>0</v>
      </c>
    </row>
    <row r="27" spans="1:9" ht="14.45" customHeight="1">
      <c r="A27" s="182" t="str">
        <f>报表格式!G26</f>
        <v>长期负债：</v>
      </c>
      <c r="B27" s="413"/>
      <c r="C27" s="413"/>
      <c r="D27" s="413"/>
      <c r="E27" s="413"/>
      <c r="F27" s="413"/>
      <c r="G27" s="413"/>
      <c r="H27" s="421"/>
      <c r="I27" s="414"/>
    </row>
    <row r="28" spans="1:9" ht="14.45" customHeight="1">
      <c r="A28" s="185" t="str">
        <f>报表格式!G27</f>
        <v>长期借款</v>
      </c>
      <c r="B28" s="413">
        <f>未审BS!H28</f>
        <v>0</v>
      </c>
      <c r="C28" s="413">
        <f>SUMIF(账项调整!$E$5:$E$65536,IF(OR(MID(TRIM($A28),2,1)="：",MID(TRIM($A28),2,1)="、"),REPLACEB(TRIM($A28),1,4,""),TRIM($A28)),账项调整!$J$5:$J$65536)</f>
        <v>0</v>
      </c>
      <c r="D28" s="413">
        <f>SUMIF(账项调整!$H$5:$H$65536,IF(OR(MID(TRIM($A28),2,1)="：",MID(TRIM($A28),2,1)="、"),REPLACEB(TRIM($A28),1,4,""),TRIM($A28)),账项调整!$J$5:$J$65536)</f>
        <v>0</v>
      </c>
      <c r="E28" s="413">
        <f>SUMIF(报表调整!$E$5:$E$65536,IF(OR(MID(TRIM($A28),2,1)="：",MID(TRIM($A28),2,1)="、"),REPLACEB(TRIM($A28),1,4,""),TRIM($A28)),报表调整!$J$5:$J$65536)</f>
        <v>0</v>
      </c>
      <c r="F28" s="413">
        <f>SUMIF(报表调整!$H$5:$H$65536,IF(OR(MID(TRIM($A28),2,1)="：",MID(TRIM($A28),2,1)="、"),REPLACEB(TRIM($A28),1,4,""),TRIM($A28)),报表调整!$J$5:$J$65536)</f>
        <v>0</v>
      </c>
      <c r="G28" s="413">
        <f t="shared" ref="G28:G33" si="3">B28-C28-E28+D28+F28</f>
        <v>0</v>
      </c>
      <c r="H28" s="421"/>
      <c r="I28" s="414">
        <f t="shared" si="0"/>
        <v>0</v>
      </c>
    </row>
    <row r="29" spans="1:9" ht="14.45" customHeight="1">
      <c r="A29" s="185" t="str">
        <f>报表格式!G28</f>
        <v>应付债券</v>
      </c>
      <c r="B29" s="413">
        <f>未审BS!H29</f>
        <v>0</v>
      </c>
      <c r="C29" s="413">
        <f>SUMIF(账项调整!$E$5:$E$65536,IF(OR(MID(TRIM($A29),2,1)="：",MID(TRIM($A29),2,1)="、"),REPLACEB(TRIM($A29),1,4,""),TRIM($A29)),账项调整!$J$5:$J$65536)</f>
        <v>0</v>
      </c>
      <c r="D29" s="413">
        <f>SUMIF(账项调整!$H$5:$H$65536,IF(OR(MID(TRIM($A29),2,1)="：",MID(TRIM($A29),2,1)="、"),REPLACEB(TRIM($A29),1,4,""),TRIM($A29)),账项调整!$J$5:$J$65536)</f>
        <v>0</v>
      </c>
      <c r="E29" s="413">
        <f>SUMIF(报表调整!$E$5:$E$65536,IF(OR(MID(TRIM($A29),2,1)="：",MID(TRIM($A29),2,1)="、"),REPLACEB(TRIM($A29),1,4,""),TRIM($A29)),报表调整!$J$5:$J$65536)</f>
        <v>0</v>
      </c>
      <c r="F29" s="413">
        <f>SUMIF(报表调整!$H$5:$H$65536,IF(OR(MID(TRIM($A29),2,1)="：",MID(TRIM($A29),2,1)="、"),REPLACEB(TRIM($A29),1,4,""),TRIM($A29)),报表调整!$J$5:$J$65536)</f>
        <v>0</v>
      </c>
      <c r="G29" s="413">
        <f t="shared" si="3"/>
        <v>0</v>
      </c>
      <c r="H29" s="421"/>
      <c r="I29" s="414">
        <f t="shared" si="0"/>
        <v>0</v>
      </c>
    </row>
    <row r="30" spans="1:9" ht="14.45" customHeight="1">
      <c r="A30" s="185" t="str">
        <f>报表格式!G29</f>
        <v>长期应付款</v>
      </c>
      <c r="B30" s="413">
        <f>未审BS!H30</f>
        <v>0</v>
      </c>
      <c r="C30" s="413">
        <f>SUMIF(账项调整!$E$5:$E$65536,IF(OR(MID(TRIM($A30),2,1)="：",MID(TRIM($A30),2,1)="、"),REPLACEB(TRIM($A30),1,4,""),TRIM($A30)),账项调整!$J$5:$J$65536)</f>
        <v>0</v>
      </c>
      <c r="D30" s="413">
        <f>SUMIF(账项调整!$H$5:$H$65536,IF(OR(MID(TRIM($A30),2,1)="：",MID(TRIM($A30),2,1)="、"),REPLACEB(TRIM($A30),1,4,""),TRIM($A30)),账项调整!$J$5:$J$65536)</f>
        <v>0</v>
      </c>
      <c r="E30" s="413">
        <f>SUMIF(报表调整!$E$5:$E$65536,IF(OR(MID(TRIM($A30),2,1)="：",MID(TRIM($A30),2,1)="、"),REPLACEB(TRIM($A30),1,4,""),TRIM($A30)),报表调整!$J$5:$J$65536)</f>
        <v>0</v>
      </c>
      <c r="F30" s="413">
        <f>SUMIF(报表调整!$H$5:$H$65536,IF(OR(MID(TRIM($A30),2,1)="：",MID(TRIM($A30),2,1)="、"),REPLACEB(TRIM($A30),1,4,""),TRIM($A30)),报表调整!$J$5:$J$65536)</f>
        <v>0</v>
      </c>
      <c r="G30" s="413">
        <f t="shared" si="3"/>
        <v>0</v>
      </c>
      <c r="H30" s="421"/>
      <c r="I30" s="414">
        <f t="shared" si="0"/>
        <v>0</v>
      </c>
    </row>
    <row r="31" spans="1:9" ht="14.45" customHeight="1">
      <c r="A31" s="185" t="str">
        <f>报表格式!G30</f>
        <v>专项应付款</v>
      </c>
      <c r="B31" s="413">
        <f>未审BS!H31</f>
        <v>0</v>
      </c>
      <c r="C31" s="413">
        <f>SUMIF(账项调整!$E$5:$E$65536,IF(OR(MID(TRIM($A31),2,1)="：",MID(TRIM($A31),2,1)="、"),REPLACEB(TRIM($A31),1,4,""),TRIM($A31)),账项调整!$J$5:$J$65536)</f>
        <v>0</v>
      </c>
      <c r="D31" s="413">
        <f>SUMIF(账项调整!$H$5:$H$65536,IF(OR(MID(TRIM($A31),2,1)="：",MID(TRIM($A31),2,1)="、"),REPLACEB(TRIM($A31),1,4,""),TRIM($A31)),账项调整!$J$5:$J$65536)</f>
        <v>0</v>
      </c>
      <c r="E31" s="413">
        <f>SUMIF(报表调整!$E$5:$E$65536,IF(OR(MID(TRIM($A31),2,1)="：",MID(TRIM($A31),2,1)="、"),REPLACEB(TRIM($A31),1,4,""),TRIM($A31)),报表调整!$J$5:$J$65536)</f>
        <v>0</v>
      </c>
      <c r="F31" s="413">
        <f>SUMIF(报表调整!$H$5:$H$65536,IF(OR(MID(TRIM($A31),2,1)="：",MID(TRIM($A31),2,1)="、"),REPLACEB(TRIM($A31),1,4,""),TRIM($A31)),报表调整!$J$5:$J$65536)</f>
        <v>0</v>
      </c>
      <c r="G31" s="413">
        <f t="shared" si="3"/>
        <v>0</v>
      </c>
      <c r="H31" s="421"/>
      <c r="I31" s="414">
        <f t="shared" si="0"/>
        <v>0</v>
      </c>
    </row>
    <row r="32" spans="1:9" ht="14.45" customHeight="1">
      <c r="A32" s="185" t="str">
        <f>报表格式!G31</f>
        <v>其他长期负债</v>
      </c>
      <c r="B32" s="413">
        <f>未审BS!H32</f>
        <v>0</v>
      </c>
      <c r="C32" s="413">
        <f>SUMIF(账项调整!$E$5:$E$65536,IF(OR(MID(TRIM($A32),2,1)="：",MID(TRIM($A32),2,1)="、"),REPLACEB(TRIM($A32),1,4,""),TRIM($A32)),账项调整!$J$5:$J$65536)</f>
        <v>0</v>
      </c>
      <c r="D32" s="413">
        <f>SUMIF(账项调整!$H$5:$H$65536,IF(OR(MID(TRIM($A32),2,1)="：",MID(TRIM($A32),2,1)="、"),REPLACEB(TRIM($A32),1,4,""),TRIM($A32)),账项调整!$J$5:$J$65536)</f>
        <v>0</v>
      </c>
      <c r="E32" s="413">
        <f>SUMIF(报表调整!$E$5:$E$65536,IF(OR(MID(TRIM($A32),2,1)="：",MID(TRIM($A32),2,1)="、"),REPLACEB(TRIM($A32),1,4,""),TRIM($A32)),报表调整!$J$5:$J$65536)</f>
        <v>0</v>
      </c>
      <c r="F32" s="413">
        <f>SUMIF(报表调整!$H$5:$H$65536,IF(OR(MID(TRIM($A32),2,1)="：",MID(TRIM($A32),2,1)="、"),REPLACEB(TRIM($A32),1,4,""),TRIM($A32)),报表调整!$J$5:$J$65536)</f>
        <v>0</v>
      </c>
      <c r="G32" s="413">
        <f t="shared" si="3"/>
        <v>0</v>
      </c>
      <c r="H32" s="421"/>
      <c r="I32" s="414">
        <f t="shared" si="0"/>
        <v>0</v>
      </c>
    </row>
    <row r="33" spans="1:9" ht="14.45" customHeight="1">
      <c r="A33" s="185" t="str">
        <f>报表格式!G32</f>
        <v xml:space="preserve">  其中：特准储备资金</v>
      </c>
      <c r="B33" s="413">
        <f>未审BS!H33</f>
        <v>0</v>
      </c>
      <c r="C33" s="413">
        <f>SUMIF(账项调整!$F$5:$F$65536,IF(OR(MID(TRIM($A33),2,1)="：",MID(TRIM($A33),2,1)="、"),REPLACEB(TRIM($A33),1,4,""),TRIM($A33)),账项调整!$J$5:$J$65536)</f>
        <v>0</v>
      </c>
      <c r="D33" s="413">
        <f>SUMIF(账项调整!$I$5:$I$65536,IF(OR(MID(TRIM($A33),2,1)="：",MID(TRIM($A33),2,1)="、"),REPLACEB(TRIM($A33),1,4,""),TRIM($A33)),账项调整!$J$5:$J$65536)</f>
        <v>0</v>
      </c>
      <c r="E33" s="413">
        <f>SUMIF(报表调整!$F$5:$F$65536,IF(OR(MID(TRIM($A33),2,1)="：",MID(TRIM($A33),2,1)="、"),REPLACEB(TRIM($A33),1,4,""),TRIM($A33)),报表调整!$J$5:$J$65536)</f>
        <v>0</v>
      </c>
      <c r="F33" s="413">
        <f>SUMIF(报表调整!$I$5:$I$65536,IF(OR(MID(TRIM($A33),2,1)="：",MID(TRIM($A33),2,1)="、"),REPLACEB(TRIM($A33),1,4,""),TRIM($A33)),报表调整!$J$5:$J$65536)</f>
        <v>0</v>
      </c>
      <c r="G33" s="413">
        <f t="shared" si="3"/>
        <v>0</v>
      </c>
      <c r="H33" s="421"/>
      <c r="I33" s="414">
        <f t="shared" si="0"/>
        <v>0</v>
      </c>
    </row>
    <row r="34" spans="1:9" ht="14.45" customHeight="1">
      <c r="A34" s="185">
        <f>报表格式!G33</f>
        <v>0</v>
      </c>
      <c r="B34" s="413">
        <f>未审BS!H34</f>
        <v>0</v>
      </c>
      <c r="C34" s="413">
        <f>SUMIF(账项调整!$E$5:$E$65536,IF(OR(MID(TRIM($A34),2,1)="：",MID(TRIM($A34),2,1)="、"),REPLACEB(TRIM($A34),1,4,""),TRIM($A34)),账项调整!$J$5:$J$65536)</f>
        <v>0</v>
      </c>
      <c r="D34" s="413">
        <f>SUMIF(账项调整!$H$5:$H$65536,IF(OR(MID(TRIM($A34),2,1)="：",MID(TRIM($A34),2,1)="、"),REPLACEB(TRIM($A34),1,4,""),TRIM($A34)),账项调整!$J$5:$J$65536)</f>
        <v>0</v>
      </c>
      <c r="E34" s="413">
        <f>SUMIF(报表调整!$E$5:$E$65536,IF(OR(MID(TRIM($A34),2,1)="：",MID(TRIM($A34),2,1)="、"),REPLACEB(TRIM($A34),1,4,""),TRIM($A34)),报表调整!$J$5:$J$65536)</f>
        <v>0</v>
      </c>
      <c r="F34" s="413">
        <f>SUMIF(报表调整!$H$5:$H$65536,IF(OR(MID(TRIM($A34),2,1)="：",MID(TRIM($A34),2,1)="、"),REPLACEB(TRIM($A34),1,4,""),TRIM($A34)),报表调整!$J$5:$J$65536)</f>
        <v>0</v>
      </c>
      <c r="G34" s="413">
        <f>B34-C34-E34+D34+F34</f>
        <v>0</v>
      </c>
      <c r="H34" s="421"/>
      <c r="I34" s="414">
        <f t="shared" si="0"/>
        <v>0</v>
      </c>
    </row>
    <row r="35" spans="1:9" ht="14.45" customHeight="1">
      <c r="A35" s="185">
        <f>报表格式!G34</f>
        <v>0</v>
      </c>
      <c r="B35" s="413">
        <f>未审BS!H35</f>
        <v>0</v>
      </c>
      <c r="C35" s="413">
        <f>SUMIF(账项调整!$E$5:$E$65536,IF(OR(MID(TRIM($A35),2,1)="：",MID(TRIM($A35),2,1)="、"),REPLACEB(TRIM($A35),1,4,""),TRIM($A35)),账项调整!$J$5:$J$65536)</f>
        <v>0</v>
      </c>
      <c r="D35" s="413">
        <f>SUMIF(账项调整!$H$5:$H$65536,IF(OR(MID(TRIM($A35),2,1)="：",MID(TRIM($A35),2,1)="、"),REPLACEB(TRIM($A35),1,4,""),TRIM($A35)),账项调整!$J$5:$J$65536)</f>
        <v>0</v>
      </c>
      <c r="E35" s="413">
        <f>SUMIF(报表调整!$E$5:$E$65536,IF(OR(MID(TRIM($A35),2,1)="：",MID(TRIM($A35),2,1)="、"),REPLACEB(TRIM($A35),1,4,""),TRIM($A35)),报表调整!$J$5:$J$65536)</f>
        <v>0</v>
      </c>
      <c r="F35" s="413">
        <f>SUMIF(报表调整!$H$5:$H$65536,IF(OR(MID(TRIM($A35),2,1)="：",MID(TRIM($A35),2,1)="、"),REPLACEB(TRIM($A35),1,4,""),TRIM($A35)),报表调整!$J$5:$J$65536)</f>
        <v>0</v>
      </c>
      <c r="G35" s="413">
        <f>B35-C35-E35+D35+F35</f>
        <v>0</v>
      </c>
      <c r="H35" s="421"/>
      <c r="I35" s="414">
        <f t="shared" si="0"/>
        <v>0</v>
      </c>
    </row>
    <row r="36" spans="1:9" ht="14.45" customHeight="1">
      <c r="A36" s="181" t="str">
        <f>报表格式!G35</f>
        <v>长期负债合计</v>
      </c>
      <c r="B36" s="415">
        <f t="shared" ref="B36:H36" si="4">SUM(B28:B32)+SUM(B34:B35)</f>
        <v>0</v>
      </c>
      <c r="C36" s="415">
        <f t="shared" si="4"/>
        <v>0</v>
      </c>
      <c r="D36" s="415">
        <f t="shared" si="4"/>
        <v>0</v>
      </c>
      <c r="E36" s="415">
        <f t="shared" si="4"/>
        <v>0</v>
      </c>
      <c r="F36" s="415">
        <f t="shared" si="4"/>
        <v>0</v>
      </c>
      <c r="G36" s="415">
        <f t="shared" si="4"/>
        <v>0</v>
      </c>
      <c r="H36" s="415">
        <f t="shared" si="4"/>
        <v>0</v>
      </c>
      <c r="I36" s="416">
        <f t="shared" si="0"/>
        <v>0</v>
      </c>
    </row>
    <row r="37" spans="1:9" ht="14.45" customHeight="1">
      <c r="A37" s="182" t="str">
        <f>报表格式!G36</f>
        <v>递延税项：</v>
      </c>
      <c r="B37" s="413"/>
      <c r="C37" s="413"/>
      <c r="D37" s="413"/>
      <c r="E37" s="413"/>
      <c r="F37" s="413"/>
      <c r="G37" s="413"/>
      <c r="H37" s="421"/>
      <c r="I37" s="414"/>
    </row>
    <row r="38" spans="1:9" ht="14.45" customHeight="1">
      <c r="A38" s="185" t="str">
        <f>报表格式!G37</f>
        <v>递延税款贷项</v>
      </c>
      <c r="B38" s="421">
        <f>未审BS!H38</f>
        <v>0</v>
      </c>
      <c r="C38" s="413">
        <f>SUMIF(账项调整!$E$5:$E$65536,IF(OR(MID(TRIM($A38),2,1)="：",MID(TRIM($A38),2,1)="、"),REPLACEB(TRIM($A38),1,4,""),TRIM($A38)),账项调整!$J$5:$J$65536)</f>
        <v>0</v>
      </c>
      <c r="D38" s="413">
        <f>SUMIF(账项调整!$H$5:$H$65536,IF(OR(MID(TRIM($A38),2,1)="：",MID(TRIM($A38),2,1)="、"),REPLACEB(TRIM($A38),1,4,""),TRIM($A38)),账项调整!$J$5:$J$65536)</f>
        <v>0</v>
      </c>
      <c r="E38" s="413">
        <f>SUMIF(报表调整!$E$5:$E$65536,IF(OR(MID(TRIM($A38),2,1)="：",MID(TRIM($A38),2,1)="、"),REPLACEB(TRIM($A38),1,4,""),TRIM($A38)),报表调整!$J$5:$J$65536)</f>
        <v>0</v>
      </c>
      <c r="F38" s="413">
        <f>SUMIF(报表调整!$H$5:$H$65536,IF(OR(MID(TRIM($A38),2,1)="：",MID(TRIM($A38),2,1)="、"),REPLACEB(TRIM($A38),1,4,""),TRIM($A38)),报表调整!$J$5:$J$65536)</f>
        <v>0</v>
      </c>
      <c r="G38" s="413">
        <f>B38-C38-E38+D38+F38</f>
        <v>0</v>
      </c>
      <c r="H38" s="421"/>
      <c r="I38" s="422">
        <f t="shared" si="0"/>
        <v>0</v>
      </c>
    </row>
    <row r="39" spans="1:9" ht="14.45" customHeight="1">
      <c r="A39" s="181" t="str">
        <f>报表格式!G38</f>
        <v>负 债 合 计</v>
      </c>
      <c r="B39" s="415">
        <f t="shared" ref="B39:H39" si="5">SUM(B38:B38,B36,B26)</f>
        <v>0</v>
      </c>
      <c r="C39" s="415">
        <f t="shared" si="5"/>
        <v>0</v>
      </c>
      <c r="D39" s="415">
        <f t="shared" si="5"/>
        <v>0</v>
      </c>
      <c r="E39" s="415">
        <f t="shared" si="5"/>
        <v>0</v>
      </c>
      <c r="F39" s="415">
        <f t="shared" si="5"/>
        <v>0</v>
      </c>
      <c r="G39" s="415">
        <f t="shared" si="5"/>
        <v>0</v>
      </c>
      <c r="H39" s="415">
        <f t="shared" si="5"/>
        <v>0</v>
      </c>
      <c r="I39" s="416">
        <f t="shared" si="0"/>
        <v>0</v>
      </c>
    </row>
    <row r="40" spans="1:9" ht="14.45" customHeight="1">
      <c r="A40" s="185" t="str">
        <f>报表格式!G39</f>
        <v>*少数股东权益</v>
      </c>
      <c r="B40" s="421">
        <f>未审BS!H40</f>
        <v>0</v>
      </c>
      <c r="C40" s="413">
        <f>SUMIF(账项调整!$E$5:$E$65536,REPLACEB(IF(OR(MID(TRIM($A40),2,1)="：",MID(TRIM($A40),2,1)="、"),REPLACEB(TRIM($A40),1,4,""),TRIM($A40)),1,1,""),账项调整!$J$5:$J$65536)</f>
        <v>0</v>
      </c>
      <c r="D40" s="413">
        <f>SUMIF(账项调整!$H$5:$H$65536,REPLACEB(IF(OR(MID(TRIM($A40),2,1)="：",MID(TRIM($A40),2,1)="、"),REPLACEB(TRIM($A40),1,4,""),TRIM($A40)),1,1,""),账项调整!$J$5:$J$65536)</f>
        <v>0</v>
      </c>
      <c r="E40" s="413">
        <f>SUMIF(报表调整!$E$5:$E$65536,REPLACEB(IF(OR(MID(TRIM($A40),2,1)="：",MID(TRIM($A40),2,1)="、"),REPLACEB(TRIM($A40),1,4,""),TRIM($A40)),1,1,""),报表调整!$J$5:$J$65536)</f>
        <v>0</v>
      </c>
      <c r="F40" s="413">
        <f>SUMIF(报表调整!$H$5:$H$65536,REPLACEB(IF(OR(MID(TRIM($A40),2,1)="：",MID(TRIM($A40),2,1)="、"),REPLACEB(TRIM($A40),1,4,""),TRIM($A40)),1,1,""),报表调整!$J$5:$J$65536)</f>
        <v>0</v>
      </c>
      <c r="G40" s="413">
        <f>B40-C40-E40+D40+F40</f>
        <v>0</v>
      </c>
      <c r="H40" s="421"/>
      <c r="I40" s="422">
        <f t="shared" si="0"/>
        <v>0</v>
      </c>
    </row>
    <row r="41" spans="1:9" ht="14.45" customHeight="1">
      <c r="A41" s="185">
        <f>报表格式!G40</f>
        <v>0</v>
      </c>
      <c r="B41" s="421">
        <f>未审BS!H41</f>
        <v>0</v>
      </c>
      <c r="C41" s="413">
        <f>SUMIF(账项调整!$E$5:$E$65536,IF(OR(MID(TRIM($A41),2,1)="：",MID(TRIM($A41),2,1)="、"),REPLACEB(TRIM($A41),1,4,""),TRIM($A41)),账项调整!$J$5:$J$65536)</f>
        <v>0</v>
      </c>
      <c r="D41" s="413">
        <f>SUMIF(账项调整!$H$5:$H$65536,IF(OR(MID(TRIM($A41),2,1)="：",MID(TRIM($A41),2,1)="、"),REPLACEB(TRIM($A41),1,4,""),TRIM($A41)),账项调整!$J$5:$J$65536)</f>
        <v>0</v>
      </c>
      <c r="E41" s="413">
        <f>SUMIF(报表调整!$E$5:$E$65536,IF(OR(MID(TRIM($A41),2,1)="：",MID(TRIM($A41),2,1)="、"),REPLACEB(TRIM($A41),1,4,""),TRIM($A41)),报表调整!$J$5:$J$65536)</f>
        <v>0</v>
      </c>
      <c r="F41" s="413">
        <f>SUMIF(报表调整!$H$5:$H$65536,IF(OR(MID(TRIM($A41),2,1)="：",MID(TRIM($A41),2,1)="、"),REPLACEB(TRIM($A41),1,4,""),TRIM($A41)),报表调整!$J$5:$J$65536)</f>
        <v>0</v>
      </c>
      <c r="G41" s="413">
        <f>B41-C41-E41+D41+F41</f>
        <v>0</v>
      </c>
      <c r="H41" s="421"/>
      <c r="I41" s="422">
        <f t="shared" si="0"/>
        <v>0</v>
      </c>
    </row>
    <row r="42" spans="1:9" ht="14.45" customHeight="1">
      <c r="A42" s="182" t="str">
        <f>报表格式!G41</f>
        <v>所有者权益：</v>
      </c>
      <c r="B42" s="413"/>
      <c r="C42" s="421"/>
      <c r="D42" s="421"/>
      <c r="E42" s="421"/>
      <c r="F42" s="413"/>
      <c r="G42" s="413"/>
      <c r="H42" s="421"/>
      <c r="I42" s="414"/>
    </row>
    <row r="43" spans="1:9" ht="14.45" customHeight="1">
      <c r="A43" s="185" t="str">
        <f>报表格式!G42</f>
        <v>实收资本</v>
      </c>
      <c r="B43" s="413">
        <f>未审BS!H43</f>
        <v>0</v>
      </c>
      <c r="C43" s="413">
        <f>SUMIF(账项调整!$E$5:$E$65536,IF(OR(MID(TRIM($A43),2,1)="：",MID(TRIM($A43),2,1)="、"),REPLACEB(TRIM($A43),1,4,""),TRIM($A43)),账项调整!$J$5:$J$65536)</f>
        <v>0</v>
      </c>
      <c r="D43" s="413">
        <f>SUMIF(账项调整!$H$5:$H$65536,IF(OR(MID(TRIM($A43),2,1)="：",MID(TRIM($A43),2,1)="、"),REPLACEB(TRIM($A43),1,4,""),TRIM($A43)),账项调整!$J$5:$J$65536)</f>
        <v>0</v>
      </c>
      <c r="E43" s="413">
        <f>SUMIF(报表调整!$E$5:$E$65536,IF(OR(MID(TRIM($A43),2,1)="：",MID(TRIM($A43),2,1)="、"),REPLACEB(TRIM($A43),1,4,""),TRIM($A43)),报表调整!$J$5:$J$65536)</f>
        <v>0</v>
      </c>
      <c r="F43" s="413">
        <f>SUMIF(报表调整!$H$5:$H$65536,IF(OR(MID(TRIM($A43),2,1)="：",MID(TRIM($A43),2,1)="、"),REPLACEB(TRIM($A43),1,4,""),TRIM($A43)),报表调整!$J$5:$J$65536)</f>
        <v>0</v>
      </c>
      <c r="G43" s="413">
        <f t="shared" ref="G43:G58" si="6">B43-C43-E43+D43+F43</f>
        <v>0</v>
      </c>
      <c r="H43" s="413"/>
      <c r="I43" s="414">
        <f t="shared" si="0"/>
        <v>0</v>
      </c>
    </row>
    <row r="44" spans="1:9" ht="14.45" customHeight="1">
      <c r="A44" s="185" t="str">
        <f>报表格式!G43</f>
        <v xml:space="preserve"> 国家资本</v>
      </c>
      <c r="B44" s="413">
        <f>未审BS!H44</f>
        <v>0</v>
      </c>
      <c r="C44" s="413">
        <f>SUMIF(账项调整!$E$5:$E$65536,IF(OR(MID(TRIM($A44),2,1)="：",MID(TRIM($A44),2,1)="、"),REPLACEB(TRIM($A44),1,4,""),TRIM($A44)),账项调整!$J$5:$J$65536)</f>
        <v>0</v>
      </c>
      <c r="D44" s="413">
        <f>SUMIF(账项调整!$H$5:$H$65536,IF(OR(MID(TRIM($A44),2,1)="：",MID(TRIM($A44),2,1)="、"),REPLACEB(TRIM($A44),1,4,""),TRIM($A44)),账项调整!$J$5:$J$65536)</f>
        <v>0</v>
      </c>
      <c r="E44" s="413">
        <f>SUMIF(报表调整!$E$5:$E$65536,IF(OR(MID(TRIM($A44),2,1)="：",MID(TRIM($A44),2,1)="、"),REPLACEB(TRIM($A44),1,4,""),TRIM($A44)),报表调整!$J$5:$J$65536)</f>
        <v>0</v>
      </c>
      <c r="F44" s="413">
        <f>SUMIF(报表调整!$H$5:$H$65536,IF(OR(MID(TRIM($A44),2,1)="：",MID(TRIM($A44),2,1)="、"),REPLACEB(TRIM($A44),1,4,""),TRIM($A44)),报表调整!$J$5:$J$65536)</f>
        <v>0</v>
      </c>
      <c r="G44" s="413">
        <f t="shared" si="6"/>
        <v>0</v>
      </c>
      <c r="H44" s="413"/>
      <c r="I44" s="414">
        <f t="shared" si="0"/>
        <v>0</v>
      </c>
    </row>
    <row r="45" spans="1:9" ht="14.45" customHeight="1">
      <c r="A45" s="185" t="str">
        <f>报表格式!G44</f>
        <v xml:space="preserve"> 集体资本</v>
      </c>
      <c r="B45" s="413">
        <f>未审BS!H45</f>
        <v>0</v>
      </c>
      <c r="C45" s="413">
        <f>SUMIF(账项调整!$E$5:$E$65536,IF(OR(MID(TRIM($A45),2,1)="：",MID(TRIM($A45),2,1)="、"),REPLACEB(TRIM($A45),1,4,""),TRIM($A45)),账项调整!$J$5:$J$65536)</f>
        <v>0</v>
      </c>
      <c r="D45" s="413">
        <f>SUMIF(账项调整!$H$5:$H$65536,IF(OR(MID(TRIM($A45),2,1)="：",MID(TRIM($A45),2,1)="、"),REPLACEB(TRIM($A45),1,4,""),TRIM($A45)),账项调整!$J$5:$J$65536)</f>
        <v>0</v>
      </c>
      <c r="E45" s="413">
        <f>SUMIF(报表调整!$E$5:$E$65536,IF(OR(MID(TRIM($A45),2,1)="：",MID(TRIM($A45),2,1)="、"),REPLACEB(TRIM($A45),1,4,""),TRIM($A45)),报表调整!$J$5:$J$65536)</f>
        <v>0</v>
      </c>
      <c r="F45" s="413">
        <f>SUMIF(报表调整!$H$5:$H$65536,IF(OR(MID(TRIM($A45),2,1)="：",MID(TRIM($A45),2,1)="、"),REPLACEB(TRIM($A45),1,4,""),TRIM($A45)),报表调整!$J$5:$J$65536)</f>
        <v>0</v>
      </c>
      <c r="G45" s="413">
        <f t="shared" si="6"/>
        <v>0</v>
      </c>
      <c r="H45" s="413"/>
      <c r="I45" s="414">
        <f t="shared" si="0"/>
        <v>0</v>
      </c>
    </row>
    <row r="46" spans="1:9" ht="14.45" customHeight="1">
      <c r="A46" s="185" t="str">
        <f>报表格式!G45</f>
        <v xml:space="preserve"> 法人资本</v>
      </c>
      <c r="B46" s="413">
        <f>未审BS!H46</f>
        <v>0</v>
      </c>
      <c r="C46" s="413">
        <f>SUM(C47:C48)</f>
        <v>0</v>
      </c>
      <c r="D46" s="413">
        <f>SUM(D47:D48)</f>
        <v>0</v>
      </c>
      <c r="E46" s="413">
        <f>SUM(E47:E48)</f>
        <v>0</v>
      </c>
      <c r="F46" s="413">
        <f>SUM(F47:F48)</f>
        <v>0</v>
      </c>
      <c r="G46" s="413">
        <f t="shared" si="6"/>
        <v>0</v>
      </c>
      <c r="H46" s="413"/>
      <c r="I46" s="414">
        <f t="shared" si="0"/>
        <v>0</v>
      </c>
    </row>
    <row r="47" spans="1:9" ht="14.45" customHeight="1">
      <c r="A47" s="185" t="str">
        <f>报表格式!G46</f>
        <v xml:space="preserve">   其中：国有法人资本</v>
      </c>
      <c r="B47" s="413">
        <f>未审BS!H47</f>
        <v>0</v>
      </c>
      <c r="C47" s="413">
        <f>SUMIF(账项调整!$F$5:$F$65536,IF(OR(MID(TRIM($A47),2,1)="：",MID(TRIM($A47),2,1)="、"),REPLACEB(TRIM($A47),1,4,""),TRIM($A47)),账项调整!$J$5:$J$65536)</f>
        <v>0</v>
      </c>
      <c r="D47" s="413">
        <f>SUMIF(账项调整!$I$5:$I$65536,IF(OR(MID(TRIM($A47),2,1)="：",MID(TRIM($A47),2,1)="、"),REPLACEB(TRIM($A47),1,4,""),TRIM($A47)),账项调整!$J$5:$J$65536)</f>
        <v>0</v>
      </c>
      <c r="E47" s="413">
        <f>SUMIF(报表调整!$F$5:$F$65536,IF(OR(MID(TRIM($A47),2,1)="：",MID(TRIM($A47),2,1)="、"),REPLACEB(TRIM($A47),1,4,""),TRIM($A47)),报表调整!$J$5:$J$65536)</f>
        <v>0</v>
      </c>
      <c r="F47" s="413">
        <f>SUMIF(报表调整!$I$5:$I$65536,IF(OR(MID(TRIM($A47),2,1)="：",MID(TRIM($A47),2,1)="、"),REPLACEB(TRIM($A47),1,4,""),TRIM($A47)),报表调整!$J$5:$J$65536)</f>
        <v>0</v>
      </c>
      <c r="G47" s="413">
        <f t="shared" si="6"/>
        <v>0</v>
      </c>
      <c r="H47" s="413"/>
      <c r="I47" s="414">
        <f t="shared" si="0"/>
        <v>0</v>
      </c>
    </row>
    <row r="48" spans="1:9" ht="14.45" customHeight="1">
      <c r="A48" s="185" t="str">
        <f>报表格式!G47</f>
        <v xml:space="preserve">         集体法人资本</v>
      </c>
      <c r="B48" s="413">
        <f>未审BS!H48</f>
        <v>0</v>
      </c>
      <c r="C48" s="413">
        <f>SUMIF(账项调整!$F$5:$F$65536,IF(OR(MID(TRIM($A48),2,1)="：",MID(TRIM($A48),2,1)="、"),REPLACEB(TRIM($A48),1,4,""),TRIM($A48)),账项调整!$J$5:$J$65536)</f>
        <v>0</v>
      </c>
      <c r="D48" s="413">
        <f>SUMIF(账项调整!$I$5:$I$65536,IF(OR(MID(TRIM($A48),2,1)="：",MID(TRIM($A48),2,1)="、"),REPLACEB(TRIM($A48),1,4,""),TRIM($A48)),账项调整!$J$5:$J$65536)</f>
        <v>0</v>
      </c>
      <c r="E48" s="413">
        <f>SUMIF(报表调整!$F$5:$F$65536,IF(OR(MID(TRIM($A48),2,1)="：",MID(TRIM($A48),2,1)="、"),REPLACEB(TRIM($A48),1,4,""),TRIM($A48)),报表调整!$J$5:$J$65536)</f>
        <v>0</v>
      </c>
      <c r="F48" s="413">
        <f>SUMIF(报表调整!$I$5:$I$65536,IF(OR(MID(TRIM($A48),2,1)="：",MID(TRIM($A48),2,1)="、"),REPLACEB(TRIM($A48),1,4,""),TRIM($A48)),报表调整!$J$5:$J$65536)</f>
        <v>0</v>
      </c>
      <c r="G48" s="413">
        <f t="shared" si="6"/>
        <v>0</v>
      </c>
      <c r="H48" s="413"/>
      <c r="I48" s="414">
        <f t="shared" si="0"/>
        <v>0</v>
      </c>
    </row>
    <row r="49" spans="1:9" ht="14.45" customHeight="1">
      <c r="A49" s="185" t="str">
        <f>报表格式!G48</f>
        <v xml:space="preserve"> 个人资本</v>
      </c>
      <c r="B49" s="413">
        <f>未审BS!H49</f>
        <v>0</v>
      </c>
      <c r="C49" s="413">
        <f>SUMIF(账项调整!$E$5:$E$65536,IF(OR(MID(TRIM($A49),2,1)="：",MID(TRIM($A49),2,1)="、"),REPLACEB(TRIM($A49),1,4,""),TRIM($A49)),账项调整!$J$5:$J$65536)</f>
        <v>0</v>
      </c>
      <c r="D49" s="413">
        <f>SUMIF(账项调整!$H$5:$H$65536,IF(OR(MID(TRIM($A49),2,1)="：",MID(TRIM($A49),2,1)="、"),REPLACEB(TRIM($A49),1,4,""),TRIM($A49)),账项调整!$J$5:$J$65536)</f>
        <v>0</v>
      </c>
      <c r="E49" s="413">
        <f>SUMIF(报表调整!$E$5:$E$65536,IF(OR(MID(TRIM($A49),2,1)="：",MID(TRIM($A49),2,1)="、"),REPLACEB(TRIM($A49),1,4,""),TRIM($A49)),报表调整!$J$5:$J$65536)</f>
        <v>0</v>
      </c>
      <c r="F49" s="413">
        <f>SUMIF(报表调整!$H$5:$H$65536,IF(OR(MID(TRIM($A49),2,1)="：",MID(TRIM($A49),2,1)="、"),REPLACEB(TRIM($A49),1,4,""),TRIM($A49)),报表调整!$J$5:$J$65536)</f>
        <v>0</v>
      </c>
      <c r="G49" s="413">
        <f t="shared" si="6"/>
        <v>0</v>
      </c>
      <c r="H49" s="413"/>
      <c r="I49" s="414">
        <f t="shared" si="0"/>
        <v>0</v>
      </c>
    </row>
    <row r="50" spans="1:9" ht="14.45" customHeight="1">
      <c r="A50" s="185" t="str">
        <f>报表格式!G49</f>
        <v xml:space="preserve"> 外商资本</v>
      </c>
      <c r="B50" s="413">
        <f>未审BS!H50</f>
        <v>0</v>
      </c>
      <c r="C50" s="413">
        <f>SUMIF(账项调整!$E$5:$E$65536,IF(OR(MID(TRIM($A50),2,1)="：",MID(TRIM($A50),2,1)="、"),REPLACEB(TRIM($A50),1,4,""),TRIM($A50)),账项调整!$J$5:$J$65536)</f>
        <v>0</v>
      </c>
      <c r="D50" s="413">
        <f>SUMIF(账项调整!$H$5:$H$65536,IF(OR(MID(TRIM($A50),2,1)="：",MID(TRIM($A50),2,1)="、"),REPLACEB(TRIM($A50),1,4,""),TRIM($A50)),账项调整!$J$5:$J$65536)</f>
        <v>0</v>
      </c>
      <c r="E50" s="413">
        <f>SUMIF(报表调整!$E$5:$E$65536,IF(OR(MID(TRIM($A50),2,1)="：",MID(TRIM($A50),2,1)="、"),REPLACEB(TRIM($A50),1,4,""),TRIM($A50)),报表调整!$J$5:$J$65536)</f>
        <v>0</v>
      </c>
      <c r="F50" s="413">
        <f>SUMIF(报表调整!$H$5:$H$65536,IF(OR(MID(TRIM($A50),2,1)="：",MID(TRIM($A50),2,1)="、"),REPLACEB(TRIM($A50),1,4,""),TRIM($A50)),报表调整!$J$5:$J$65536)</f>
        <v>0</v>
      </c>
      <c r="G50" s="413">
        <f t="shared" si="6"/>
        <v>0</v>
      </c>
      <c r="H50" s="413"/>
      <c r="I50" s="414">
        <f t="shared" si="0"/>
        <v>0</v>
      </c>
    </row>
    <row r="51" spans="1:9" ht="14.45" customHeight="1">
      <c r="A51" s="185" t="str">
        <f>报表格式!G50</f>
        <v>资本公积</v>
      </c>
      <c r="B51" s="413">
        <f>未审BS!H51</f>
        <v>0</v>
      </c>
      <c r="C51" s="413">
        <f>SUMIF(账项调整!$E$5:$E$65536,IF(OR(MID(TRIM($A51),2,1)="：",MID(TRIM($A51),2,1)="、"),REPLACEB(TRIM($A51),1,4,""),TRIM($A51)),账项调整!$J$5:$J$65536)</f>
        <v>0</v>
      </c>
      <c r="D51" s="413">
        <f>SUMIF(账项调整!$H$5:$H$65536,IF(OR(MID(TRIM($A51),2,1)="：",MID(TRIM($A51),2,1)="、"),REPLACEB(TRIM($A51),1,4,""),TRIM($A51)),账项调整!$J$5:$J$65536)</f>
        <v>0</v>
      </c>
      <c r="E51" s="413">
        <f>SUMIF(报表调整!$E$5:$E$65536,IF(OR(MID(TRIM($A51),2,1)="：",MID(TRIM($A51),2,1)="、"),REPLACEB(TRIM($A51),1,4,""),TRIM($A51)),报表调整!$J$5:$J$65536)</f>
        <v>0</v>
      </c>
      <c r="F51" s="413">
        <f>SUMIF(报表调整!$H$5:$H$65536,IF(OR(MID(TRIM($A51),2,1)="：",MID(TRIM($A51),2,1)="、"),REPLACEB(TRIM($A51),1,4,""),TRIM($A51)),报表调整!$J$5:$J$65536)</f>
        <v>0</v>
      </c>
      <c r="G51" s="413">
        <f t="shared" si="6"/>
        <v>0</v>
      </c>
      <c r="H51" s="413"/>
      <c r="I51" s="414">
        <f t="shared" si="0"/>
        <v>0</v>
      </c>
    </row>
    <row r="52" spans="1:9" ht="14.45" customHeight="1">
      <c r="A52" s="185" t="str">
        <f>报表格式!G51</f>
        <v>盈余公积</v>
      </c>
      <c r="B52" s="413">
        <f>未审BS!H52</f>
        <v>0</v>
      </c>
      <c r="C52" s="413">
        <f>SUMIF(账项调整!$E$5:$E$65536,IF(OR(MID(TRIM($A52),2,1)="：",MID(TRIM($A52),2,1)="、"),REPLACEB(TRIM($A52),1,4,""),TRIM($A52)),账项调整!$J$5:$J$65536)</f>
        <v>0</v>
      </c>
      <c r="D52" s="413">
        <f>SUMIF(账项调整!$H$5:$H$65536,IF(OR(MID(TRIM($A52),2,1)="：",MID(TRIM($A52),2,1)="、"),REPLACEB(TRIM($A52),1,4,""),TRIM($A52)),账项调整!$J$5:$J$65536)</f>
        <v>0</v>
      </c>
      <c r="E52" s="413">
        <f>SUMIF(报表调整!$E$5:$E$65536,IF(OR(MID(TRIM($A52),2,1)="：",MID(TRIM($A52),2,1)="、"),REPLACEB(TRIM($A52),1,4,""),TRIM($A52)),报表调整!$J$5:$J$65536)</f>
        <v>0</v>
      </c>
      <c r="F52" s="413">
        <f>SUMIF(报表调整!$H$5:$H$65536,IF(OR(MID(TRIM($A52),2,1)="：",MID(TRIM($A52),2,1)="、"),REPLACEB(TRIM($A52),1,4,""),TRIM($A52)),报表调整!$J$5:$J$65536)</f>
        <v>0</v>
      </c>
      <c r="G52" s="413">
        <f t="shared" si="6"/>
        <v>0</v>
      </c>
      <c r="H52" s="413"/>
      <c r="I52" s="414">
        <f t="shared" si="0"/>
        <v>0</v>
      </c>
    </row>
    <row r="53" spans="1:9" ht="14.45" customHeight="1">
      <c r="A53" s="185" t="str">
        <f>报表格式!G52</f>
        <v xml:space="preserve">  其中：法定公益金</v>
      </c>
      <c r="B53" s="413">
        <f>未审BS!H53</f>
        <v>0</v>
      </c>
      <c r="C53" s="413">
        <f>SUMIF(账项调整!$F$5:$F$65536,IF(OR(MID(TRIM($A53),2,1)="：",MID(TRIM($A53),2,1)="、"),REPLACEB(TRIM($A53),1,4,""),TRIM($A53)),账项调整!$J$5:$J$65536)</f>
        <v>0</v>
      </c>
      <c r="D53" s="413">
        <f>SUMIF(账项调整!$I$5:$I$65536,IF(OR(MID(TRIM($A53),2,1)="：",MID(TRIM($A53),2,1)="、"),REPLACEB(TRIM($A53),1,4,""),TRIM($A53)),账项调整!$J$5:$J$65536)</f>
        <v>0</v>
      </c>
      <c r="E53" s="413">
        <f>SUMIF(报表调整!$F$5:$F$65536,IF(OR(MID(TRIM($A53),2,1)="：",MID(TRIM($A53),2,1)="、"),REPLACEB(TRIM($A53),1,4,""),TRIM($A53)),报表调整!$J$5:$J$65536)</f>
        <v>0</v>
      </c>
      <c r="F53" s="413">
        <f>SUMIF(报表调整!$I$5:$I$65536,IF(OR(MID(TRIM($A53),2,1)="：",MID(TRIM($A53),2,1)="、"),REPLACEB(TRIM($A53),1,4,""),TRIM($A53)),报表调整!$J$5:$J$65536)</f>
        <v>0</v>
      </c>
      <c r="G53" s="413">
        <f t="shared" si="6"/>
        <v>0</v>
      </c>
      <c r="H53" s="413"/>
      <c r="I53" s="414">
        <f t="shared" si="0"/>
        <v>0</v>
      </c>
    </row>
    <row r="54" spans="1:9" ht="14.45" customHeight="1">
      <c r="A54" s="185" t="str">
        <f>报表格式!G53</f>
        <v>*未确认的投资损失（以“-”号填列）</v>
      </c>
      <c r="B54" s="413">
        <f>未审BS!H54</f>
        <v>0</v>
      </c>
      <c r="C54" s="413">
        <f>SUMIF(账项调整!$E$5:$E$65536,REPLACEB(IF(OR(MID(TRIM($A54),2,1)="：",MID(TRIM($A54),2,1)="、"),REPLACEB(TRIM($A54),1,4,""),TRIM($A54)),1,1,""),账项调整!$J$5:$J$65536)</f>
        <v>0</v>
      </c>
      <c r="D54" s="413">
        <f>SUMIF(账项调整!$H$5:$H$65536,REPLACEB(IF(OR(MID(TRIM($A54),2,1)="：",MID(TRIM($A54),2,1)="、"),REPLACEB(TRIM($A54),1,4,""),TRIM($A54)),1,1,""),账项调整!$J$5:$J$65536)</f>
        <v>0</v>
      </c>
      <c r="E54" s="413">
        <f>SUMIF(报表调整!$E$5:$E$65536,REPLACEB(IF(OR(MID(TRIM($A54),2,1)="：",MID(TRIM($A54),2,1)="、"),REPLACEB(TRIM($A54),1,4,""),TRIM($A54)),1,1,""),报表调整!$J$5:$J$65536)</f>
        <v>0</v>
      </c>
      <c r="F54" s="413">
        <f>SUMIF(报表调整!$H$5:$H$65536,REPLACEB(IF(OR(MID(TRIM($A54),2,1)="：",MID(TRIM($A54),2,1)="、"),REPLACEB(TRIM($A54),1,4,""),TRIM($A54)),1,1,""),报表调整!$J$5:$J$65536)</f>
        <v>0</v>
      </c>
      <c r="G54" s="413">
        <f t="shared" si="6"/>
        <v>0</v>
      </c>
      <c r="H54" s="413"/>
      <c r="I54" s="414">
        <f t="shared" si="0"/>
        <v>0</v>
      </c>
    </row>
    <row r="55" spans="1:9" s="658" customFormat="1" ht="14.45" customHeight="1">
      <c r="A55" s="653" t="str">
        <f>报表格式!G54</f>
        <v>未分配利润</v>
      </c>
      <c r="B55" s="654">
        <f>未审BS!H55</f>
        <v>0</v>
      </c>
      <c r="C55" s="413"/>
      <c r="D55" s="413"/>
      <c r="E55" s="413"/>
      <c r="F55" s="413"/>
      <c r="G55" s="655">
        <f>TB损益!I73</f>
        <v>0</v>
      </c>
      <c r="H55" s="656"/>
      <c r="I55" s="657">
        <f t="shared" si="0"/>
        <v>0</v>
      </c>
    </row>
    <row r="56" spans="1:9" ht="14.45" customHeight="1">
      <c r="A56" s="185" t="str">
        <f>报表格式!G55</f>
        <v xml:space="preserve">  其中：现金股利</v>
      </c>
      <c r="B56" s="413">
        <f>未审BS!H56</f>
        <v>0</v>
      </c>
      <c r="C56" s="413">
        <f>SUMIF(账项调整!$F$5:$F$65536,IF(OR(MID(TRIM($A56),2,1)="：",MID(TRIM($A56),2,1)="、"),REPLACEB(TRIM($A56),1,4,""),TRIM($A56)),账项调整!$J$5:$J$65536)</f>
        <v>0</v>
      </c>
      <c r="D56" s="413">
        <f>SUMIF(账项调整!$I$5:$I$65536,IF(OR(MID(TRIM($A56),2,1)="：",MID(TRIM($A56),2,1)="、"),REPLACEB(TRIM($A56),1,4,""),TRIM($A56)),账项调整!$J$5:$J$65536)</f>
        <v>0</v>
      </c>
      <c r="E56" s="413">
        <f>SUMIF(报表调整!$F$5:$F$65536,IF(OR(MID(TRIM($A56),2,1)="：",MID(TRIM($A56),2,1)="、"),REPLACEB(TRIM($A56),1,4,""),TRIM($A56)),报表调整!$J$5:$J$65536)</f>
        <v>0</v>
      </c>
      <c r="F56" s="413">
        <f>SUMIF(报表调整!$I$5:$I$65536,IF(OR(MID(TRIM($A56),2,1)="：",MID(TRIM($A56),2,1)="、"),REPLACEB(TRIM($A56),1,4,""),TRIM($A56)),报表调整!$J$5:$J$65536)</f>
        <v>0</v>
      </c>
      <c r="G56" s="413">
        <f t="shared" si="6"/>
        <v>0</v>
      </c>
      <c r="H56" s="413"/>
      <c r="I56" s="414">
        <f t="shared" si="0"/>
        <v>0</v>
      </c>
    </row>
    <row r="57" spans="1:9" ht="14.45" customHeight="1">
      <c r="A57" s="185" t="str">
        <f>报表格式!G56</f>
        <v>外币报表折算差额</v>
      </c>
      <c r="B57" s="413">
        <f>未审BS!H57</f>
        <v>0</v>
      </c>
      <c r="C57" s="413">
        <f>SUMIF(账项调整!$E$5:$E$65536,IF(OR(MID(TRIM($A57),2,1)="：",MID(TRIM($A57),2,1)="、"),REPLACEB(TRIM($A57),1,4,""),TRIM($A57)),账项调整!$J$5:$J$65536)</f>
        <v>0</v>
      </c>
      <c r="D57" s="413">
        <f>SUMIF(账项调整!$H$5:$H$65536,IF(OR(MID(TRIM($A57),2,1)="：",MID(TRIM($A57),2,1)="、"),REPLACEB(TRIM($A57),1,4,""),TRIM($A57)),账项调整!$J$5:$J$65536)</f>
        <v>0</v>
      </c>
      <c r="E57" s="413">
        <f>SUMIF(报表调整!$E$5:$E$65536,IF(OR(MID(TRIM($A57),2,1)="：",MID(TRIM($A57),2,1)="、"),REPLACEB(TRIM($A57),1,4,""),TRIM($A57)),报表调整!$J$5:$J$65536)</f>
        <v>0</v>
      </c>
      <c r="F57" s="413">
        <f>SUMIF(报表调整!$H$5:$H$65536,IF(OR(MID(TRIM($A57),2,1)="：",MID(TRIM($A57),2,1)="、"),REPLACEB(TRIM($A57),1,4,""),TRIM($A57)),报表调整!$J$5:$J$65536)</f>
        <v>0</v>
      </c>
      <c r="G57" s="413">
        <f t="shared" si="6"/>
        <v>0</v>
      </c>
      <c r="H57" s="413"/>
      <c r="I57" s="414">
        <f t="shared" si="0"/>
        <v>0</v>
      </c>
    </row>
    <row r="58" spans="1:9" ht="14.45" customHeight="1">
      <c r="A58" s="185">
        <f>报表格式!G57</f>
        <v>0</v>
      </c>
      <c r="B58" s="413">
        <f>未审BS!H58</f>
        <v>0</v>
      </c>
      <c r="C58" s="413">
        <f>SUMIF(账项调整!$E$5:$E$65536,IF(OR(MID(TRIM($A58),2,1)="：",MID(TRIM($A58),2,1)="、"),REPLACEB(TRIM($A58),1,4,""),TRIM($A58)),账项调整!$J$5:$J$65536)</f>
        <v>0</v>
      </c>
      <c r="D58" s="413">
        <f>SUMIF(账项调整!$H$5:$H$65536,IF(OR(MID(TRIM($A58),2,1)="：",MID(TRIM($A58),2,1)="、"),REPLACEB(TRIM($A58),1,4,""),TRIM($A58)),账项调整!$J$5:$J$65536)</f>
        <v>0</v>
      </c>
      <c r="E58" s="413">
        <f>SUMIF(报表调整!$E$5:$E$65536,IF(OR(MID(TRIM($A58),2,1)="：",MID(TRIM($A58),2,1)="、"),REPLACEB(TRIM($A58),1,4,""),TRIM($A58)),报表调整!$J$5:$J$65536)</f>
        <v>0</v>
      </c>
      <c r="F58" s="413">
        <f>SUMIF(报表调整!$H$5:$H$65536,IF(OR(MID(TRIM($A58),2,1)="：",MID(TRIM($A58),2,1)="、"),REPLACEB(TRIM($A58),1,4,""),TRIM($A58)),报表调整!$J$5:$J$65536)</f>
        <v>0</v>
      </c>
      <c r="G58" s="413">
        <f t="shared" si="6"/>
        <v>0</v>
      </c>
      <c r="H58" s="413"/>
      <c r="I58" s="414">
        <f t="shared" si="0"/>
        <v>0</v>
      </c>
    </row>
    <row r="59" spans="1:9" ht="14.45" customHeight="1">
      <c r="A59" s="192" t="str">
        <f>报表格式!G58</f>
        <v>所有者权益小计</v>
      </c>
      <c r="B59" s="423">
        <f t="shared" ref="B59:H59" si="7">SUM(B43,B51,B52,B54,B55,B57:B58)</f>
        <v>0</v>
      </c>
      <c r="C59" s="423">
        <f t="shared" si="7"/>
        <v>0</v>
      </c>
      <c r="D59" s="423">
        <f t="shared" si="7"/>
        <v>0</v>
      </c>
      <c r="E59" s="423">
        <f t="shared" si="7"/>
        <v>0</v>
      </c>
      <c r="F59" s="423">
        <f t="shared" si="7"/>
        <v>0</v>
      </c>
      <c r="G59" s="423">
        <f t="shared" si="7"/>
        <v>0</v>
      </c>
      <c r="H59" s="423">
        <f t="shared" si="7"/>
        <v>0</v>
      </c>
      <c r="I59" s="424">
        <f t="shared" si="0"/>
        <v>0</v>
      </c>
    </row>
    <row r="60" spans="1:9" ht="14.45" customHeight="1">
      <c r="A60" s="186" t="str">
        <f>报表格式!G59</f>
        <v>减：未处理资产损失</v>
      </c>
      <c r="B60" s="425">
        <f>未审BS!H60</f>
        <v>0</v>
      </c>
      <c r="C60" s="413">
        <f>SUMIF(账项调整!$E$5:$E$65536,IF(OR(MID(TRIM($A60),2,1)="：",MID(TRIM($A60),2,1)="、"),REPLACEB(TRIM($A60),1,4,""),TRIM($A60)),账项调整!$J$5:$J$65536)</f>
        <v>0</v>
      </c>
      <c r="D60" s="413">
        <f>SUMIF(账项调整!$H$5:$H$65536,IF(OR(MID(TRIM($A60),2,1)="：",MID(TRIM($A60),2,1)="、"),REPLACEB(TRIM($A60),1,4,""),TRIM($A60)),账项调整!$J$5:$J$65536)</f>
        <v>0</v>
      </c>
      <c r="E60" s="413">
        <f>SUMIF(报表调整!$E$5:$E$65536,IF(OR(MID(TRIM($A60),2,1)="：",MID(TRIM($A60),2,1)="、"),REPLACEB(TRIM($A60),1,4,""),TRIM($A60)),报表调整!$J$5:$J$65536)</f>
        <v>0</v>
      </c>
      <c r="F60" s="413">
        <f>SUMIF(报表调整!$H$5:$H$65536,IF(OR(MID(TRIM($A60),2,1)="：",MID(TRIM($A60),2,1)="、"),REPLACEB(TRIM($A60),1,4,""),TRIM($A60)),报表调整!$J$5:$J$65536)</f>
        <v>0</v>
      </c>
      <c r="G60" s="413">
        <f>B60+C60+E60-D60-F60</f>
        <v>0</v>
      </c>
      <c r="H60" s="425"/>
      <c r="I60" s="426">
        <f t="shared" si="0"/>
        <v>0</v>
      </c>
    </row>
    <row r="61" spans="1:9" ht="14.45" customHeight="1">
      <c r="A61" s="733" t="str">
        <f>报表格式!G60</f>
        <v>所有者权益合计(剔除未处理资产损失后的金额)</v>
      </c>
      <c r="B61" s="423">
        <f t="shared" ref="B61:H61" si="8">B59-B60</f>
        <v>0</v>
      </c>
      <c r="C61" s="423">
        <f t="shared" si="8"/>
        <v>0</v>
      </c>
      <c r="D61" s="423">
        <f t="shared" si="8"/>
        <v>0</v>
      </c>
      <c r="E61" s="423">
        <f t="shared" si="8"/>
        <v>0</v>
      </c>
      <c r="F61" s="423">
        <f t="shared" si="8"/>
        <v>0</v>
      </c>
      <c r="G61" s="423">
        <f t="shared" si="8"/>
        <v>0</v>
      </c>
      <c r="H61" s="423">
        <f t="shared" si="8"/>
        <v>0</v>
      </c>
      <c r="I61" s="424">
        <f t="shared" si="0"/>
        <v>0</v>
      </c>
    </row>
    <row r="62" spans="1:9" ht="14.45" customHeight="1">
      <c r="A62" s="187" t="str">
        <f>报表格式!G73</f>
        <v>负债及所有者权益合计</v>
      </c>
      <c r="B62" s="419">
        <f t="shared" ref="B62:H62" si="9">SUM(B61,B40:B41,B39)</f>
        <v>0</v>
      </c>
      <c r="C62" s="419">
        <f t="shared" si="9"/>
        <v>0</v>
      </c>
      <c r="D62" s="419">
        <f t="shared" si="9"/>
        <v>0</v>
      </c>
      <c r="E62" s="419">
        <f t="shared" si="9"/>
        <v>0</v>
      </c>
      <c r="F62" s="419">
        <f t="shared" si="9"/>
        <v>0</v>
      </c>
      <c r="G62" s="419">
        <f t="shared" si="9"/>
        <v>0</v>
      </c>
      <c r="H62" s="419">
        <f t="shared" si="9"/>
        <v>0</v>
      </c>
      <c r="I62" s="420">
        <f t="shared" si="0"/>
        <v>0</v>
      </c>
    </row>
    <row r="63" spans="1:9" s="624" customFormat="1">
      <c r="A63" s="727"/>
      <c r="B63" s="728">
        <f>B62-TB资产!B62</f>
        <v>0</v>
      </c>
      <c r="C63" s="725">
        <f>SUM(C7:C25,C28:C32,C34:C35,C38:C38,C40:C41,C43,C51:C52,C54:C55,C57:C58,C60:C60)</f>
        <v>0</v>
      </c>
      <c r="D63" s="725">
        <f>SUM(D7:D25,D28:D32,D38,D40,D43,D51:D52,D54,D57,D60)</f>
        <v>0</v>
      </c>
      <c r="E63" s="725">
        <f>SUM(E7:E25,E28:E32,E38,E40,E43,E51:E52,E54,E57,E60)</f>
        <v>0</v>
      </c>
      <c r="F63" s="725">
        <f>SUM(F7:F25,F28:F32,F38,F40,F43,F51:F52,F54,F57,F60)</f>
        <v>0</v>
      </c>
      <c r="G63" s="728"/>
      <c r="H63" s="728"/>
      <c r="I63" s="728">
        <f>I62-TB资产!I62</f>
        <v>0</v>
      </c>
    </row>
    <row r="64" spans="1:9" s="624" customFormat="1">
      <c r="A64" s="623"/>
      <c r="B64" s="622"/>
      <c r="C64" s="622"/>
      <c r="D64" s="622"/>
      <c r="E64" s="622"/>
      <c r="F64" s="622"/>
      <c r="G64" s="622"/>
      <c r="H64" s="622"/>
      <c r="I64" s="622"/>
    </row>
  </sheetData>
  <sheetProtection sheet="1" objects="1" scenarios="1"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42" priority="1" stopIfTrue="1" operator="equal">
      <formula>"报表未调平!"</formula>
    </cfRule>
  </conditionalFormatting>
  <printOptions horizontalCentered="1" verticalCentered="1"/>
  <pageMargins left="0.55118110236220474" right="0.31496062992125984" top="0.39370078740157483" bottom="0.27559055118110237" header="0.19685039370078741" footer="0.19685039370078741"/>
  <pageSetup paperSize="9" scale="78"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76"/>
  <sheetViews>
    <sheetView showZeros="0" workbookViewId="0">
      <pane xSplit="1" ySplit="5" topLeftCell="B63" activePane="bottomRight" state="frozen"/>
      <selection pane="topRight"/>
      <selection pane="bottomLeft"/>
      <selection pane="bottomRight" activeCell="A76" sqref="A76"/>
    </sheetView>
  </sheetViews>
  <sheetFormatPr defaultColWidth="7" defaultRowHeight="13.5" outlineLevelCol="1"/>
  <cols>
    <col min="1" max="1" width="39.5" style="62" customWidth="1"/>
    <col min="2" max="2" width="11.75" style="62" customWidth="1"/>
    <col min="3" max="6" width="12.25" style="62" customWidth="1"/>
    <col min="7" max="7" width="9.25" style="62" hidden="1" customWidth="1" outlineLevel="1"/>
    <col min="8" max="8" width="8.5" style="62" hidden="1" customWidth="1" outlineLevel="1"/>
    <col min="9" max="9" width="12.625" style="62" customWidth="1" collapsed="1"/>
    <col min="10" max="10" width="7.375" style="62" bestFit="1" customWidth="1"/>
    <col min="11" max="11" width="12.25" style="62" bestFit="1" customWidth="1"/>
    <col min="12" max="12" width="12.125" style="62" customWidth="1"/>
    <col min="13" max="16384" width="7" style="62"/>
  </cols>
  <sheetData>
    <row r="1" spans="1:13" s="61" customFormat="1" ht="24" customHeight="1">
      <c r="A1" s="190" t="s">
        <v>277</v>
      </c>
      <c r="B1" s="191"/>
      <c r="C1" s="191"/>
      <c r="D1" s="191"/>
      <c r="E1" s="191"/>
      <c r="F1" s="191"/>
      <c r="G1" s="191"/>
      <c r="H1" s="191"/>
      <c r="I1" s="191"/>
      <c r="J1" s="60"/>
      <c r="K1" s="62"/>
      <c r="L1" s="62"/>
      <c r="M1" s="62"/>
    </row>
    <row r="2" spans="1:13" s="61" customFormat="1" ht="17.25" customHeight="1">
      <c r="A2" s="174" t="str">
        <f>CONCATENATE("客户名称：",参数!D3)</f>
        <v>客户名称：</v>
      </c>
      <c r="C2" s="172" t="str">
        <f>CONCATENATE("编制：",参数!D17)</f>
        <v>编制：</v>
      </c>
      <c r="D2" s="173"/>
      <c r="E2" s="174" t="str">
        <f>CONCATENATE("复核：",参数!D18)</f>
        <v>复核：</v>
      </c>
      <c r="G2" s="174"/>
      <c r="H2" s="175"/>
      <c r="I2" s="176" t="str">
        <f>TB资产!I2</f>
        <v xml:space="preserve">索引：            </v>
      </c>
      <c r="K2" s="62"/>
      <c r="L2" s="62"/>
      <c r="M2" s="62"/>
    </row>
    <row r="3" spans="1:13" s="61" customFormat="1" ht="17.25" customHeight="1">
      <c r="A3" s="174" t="str">
        <f>CONCATENATE("会计期间：",TEXT(参数!D10,"yyyy.mm.dd"))</f>
        <v>会计期间：2007年度</v>
      </c>
      <c r="C3" s="176" t="str">
        <f ca="1">CONCATENATE("日期：",TEXT(NOW(),"yyyy.mm.dd"))</f>
        <v>日期：2023.08.14</v>
      </c>
      <c r="D3" s="174"/>
      <c r="E3" s="174" t="str">
        <f>TB资产!E3</f>
        <v>日期：</v>
      </c>
      <c r="G3" s="174"/>
      <c r="H3" s="174"/>
      <c r="I3" s="176" t="str">
        <f>TB资产!I3</f>
        <v xml:space="preserve">分页：           </v>
      </c>
      <c r="K3" s="62"/>
      <c r="L3" s="62"/>
      <c r="M3" s="62"/>
    </row>
    <row r="4" spans="1:13" s="61" customFormat="1">
      <c r="A4" s="950" t="str">
        <f>IF((ROUND(TB资产!I62,2))=(ROUND(TB负债!I62,2)),"项       目","报表未调平!")</f>
        <v>项       目</v>
      </c>
      <c r="B4" s="948" t="s">
        <v>270</v>
      </c>
      <c r="C4" s="948" t="s">
        <v>271</v>
      </c>
      <c r="D4" s="948"/>
      <c r="E4" s="948" t="s">
        <v>272</v>
      </c>
      <c r="F4" s="948"/>
      <c r="G4" s="443" t="s">
        <v>273</v>
      </c>
      <c r="H4" s="443" t="s">
        <v>274</v>
      </c>
      <c r="I4" s="944" t="s">
        <v>275</v>
      </c>
      <c r="K4" s="62"/>
      <c r="L4" s="62"/>
      <c r="M4" s="62"/>
    </row>
    <row r="5" spans="1:13" s="61" customFormat="1" ht="14.25" customHeight="1">
      <c r="A5" s="951"/>
      <c r="B5" s="949"/>
      <c r="C5" s="444" t="s">
        <v>582</v>
      </c>
      <c r="D5" s="444" t="s">
        <v>583</v>
      </c>
      <c r="E5" s="444" t="s">
        <v>582</v>
      </c>
      <c r="F5" s="444" t="s">
        <v>583</v>
      </c>
      <c r="G5" s="444"/>
      <c r="H5" s="444"/>
      <c r="I5" s="945"/>
      <c r="K5" s="62"/>
      <c r="L5" s="62"/>
      <c r="M5" s="62"/>
    </row>
    <row r="6" spans="1:13" ht="15" customHeight="1">
      <c r="A6" s="177" t="str">
        <f>报表格式!L5</f>
        <v>一、主营业务收入</v>
      </c>
      <c r="B6" s="427">
        <f>未审PL!D6</f>
        <v>0</v>
      </c>
      <c r="C6" s="427">
        <f>SUMIF(账项调整!$E$5:$E$65536,IF(OR(MID(TRIM($A6),2,1)="：",MID(TRIM($A6),2,1)="、"),REPLACEB(TRIM($A6),1,4,""),TRIM($A6)),账项调整!$J$5:$J$65536)</f>
        <v>0</v>
      </c>
      <c r="D6" s="427">
        <f>SUMIF(账项调整!$H$5:$H$65536,IF(OR(MID(TRIM($A6),2,1)="：",MID(TRIM($A6),2,1)="、"),REPLACEB(TRIM($A6),1,4,""),TRIM($A6)),账项调整!$J$5:$J$65536)</f>
        <v>0</v>
      </c>
      <c r="E6" s="427">
        <f>SUMIF(报表调整!$E$5:$E$65536,IF(OR(MID(TRIM($A6),2,1)="：",MID(TRIM($A6),2,1)="、"),REPLACEB(TRIM($A6),1,4,""),TRIM($A6)),报表调整!$J$5:$J$65536)</f>
        <v>0</v>
      </c>
      <c r="F6" s="427">
        <f>SUMIF(报表调整!$H$5:$H$65536,IF(OR(MID(TRIM($A6),2,1)="：",MID(TRIM($A6),2,1)="、"),REPLACEB(TRIM($A6),1,4,""),TRIM($A6)),报表调整!$J$5:$J$65536)</f>
        <v>0</v>
      </c>
      <c r="G6" s="427">
        <f>B6-C6-E6+D6+F6</f>
        <v>0</v>
      </c>
      <c r="H6" s="427"/>
      <c r="I6" s="428">
        <f>SUM(G6:H6)</f>
        <v>0</v>
      </c>
    </row>
    <row r="7" spans="1:13" ht="15" customHeight="1">
      <c r="A7" s="193" t="str">
        <f>报表格式!L6</f>
        <v xml:space="preserve">    其中：进口产品（商品）销售收入</v>
      </c>
      <c r="B7" s="429">
        <f>未审PL!D7</f>
        <v>0</v>
      </c>
      <c r="C7" s="429">
        <f>SUMIF(账项调整!$F$5:$F$65536,IF(OR(MID(TRIM($A7),2,1)="：",MID(TRIM($A7),2,1)="、"),REPLACEB(TRIM($A7),1,4,""),TRIM($A7)),账项调整!$J$5:$J$65536)</f>
        <v>0</v>
      </c>
      <c r="D7" s="429">
        <f>SUMIF(账项调整!$I$5:$I$65536,IF(OR(MID(TRIM($A7),2,1)="：",MID(TRIM($A7),2,1)="、"),REPLACEB(TRIM($A7),1,4,""),TRIM($A7)),账项调整!$J$5:$J$65536)</f>
        <v>0</v>
      </c>
      <c r="E7" s="429">
        <f>SUMIF(报表调整!$F$5:$F$65536,IF(OR(MID(TRIM($A7),2,1)="：",MID(TRIM($A7),2,1)="、"),REPLACEB(TRIM($A7),1,4,""),TRIM($A7)),报表调整!$J$5:$J$65536)</f>
        <v>0</v>
      </c>
      <c r="F7" s="429">
        <f>SUMIF(报表调整!$I$5:$I$65536,IF(OR(MID(TRIM($A7),2,1)="：",MID(TRIM($A7),2,1)="、"),REPLACEB(TRIM($A7),1,4,""),TRIM($A7)),报表调整!$J$5:$J$65536)</f>
        <v>0</v>
      </c>
      <c r="G7" s="429">
        <f>B7-C7-E7+D7+F7</f>
        <v>0</v>
      </c>
      <c r="H7" s="429"/>
      <c r="I7" s="712">
        <f t="shared" ref="I7:I69" si="0">SUM(G7:H7)</f>
        <v>0</v>
      </c>
    </row>
    <row r="8" spans="1:13" ht="15" customHeight="1">
      <c r="A8" s="193" t="str">
        <f>报表格式!L7</f>
        <v xml:space="preserve">          出口产品（商品）销售收入</v>
      </c>
      <c r="B8" s="429">
        <f>未审PL!D8</f>
        <v>0</v>
      </c>
      <c r="C8" s="429">
        <f>SUMIF(账项调整!$F$5:$F$65536,IF(OR(MID(TRIM($A8),2,1)="：",MID(TRIM($A8),2,1)="、"),REPLACEB(TRIM($A8),1,4,""),TRIM($A8)),账项调整!$J$5:$J$65536)</f>
        <v>0</v>
      </c>
      <c r="D8" s="429">
        <f>SUMIF(账项调整!$I$5:$I$65536,IF(OR(MID(TRIM($A8),2,1)="：",MID(TRIM($A8),2,1)="、"),REPLACEB(TRIM($A8),1,4,""),TRIM($A8)),账项调整!$J$5:$J$65536)</f>
        <v>0</v>
      </c>
      <c r="E8" s="429">
        <f>SUMIF(报表调整!$F$5:$F$65536,IF(OR(MID(TRIM($A8),2,1)="：",MID(TRIM($A8),2,1)="、"),REPLACEB(TRIM($A8),1,4,""),TRIM($A8)),报表调整!$J$5:$J$65536)</f>
        <v>0</v>
      </c>
      <c r="F8" s="429">
        <f>SUMIF(报表调整!$I$5:$I$65536,IF(OR(MID(TRIM($A8),2,1)="：",MID(TRIM($A8),2,1)="、"),REPLACEB(TRIM($A8),1,4,""),TRIM($A8)),报表调整!$J$5:$J$65536)</f>
        <v>0</v>
      </c>
      <c r="G8" s="429">
        <f>B8-C8-E8+D8+F8</f>
        <v>0</v>
      </c>
      <c r="H8" s="429"/>
      <c r="I8" s="712">
        <f t="shared" si="0"/>
        <v>0</v>
      </c>
    </row>
    <row r="9" spans="1:13" ht="15" customHeight="1">
      <c r="A9" s="193" t="str">
        <f>报表格式!L8</f>
        <v xml:space="preserve">    减：折扣与折让</v>
      </c>
      <c r="B9" s="429">
        <f>未审PL!D9</f>
        <v>0</v>
      </c>
      <c r="C9" s="427">
        <f>SUMIF(账项调整!$E$5:$E$65536,IF(OR(MID(TRIM($A9),2,1)="：",MID(TRIM($A9),2,1)="、"),REPLACEB(TRIM($A9),1,4,""),TRIM($A9)),账项调整!$J$5:$J$65536)</f>
        <v>0</v>
      </c>
      <c r="D9" s="427">
        <f>SUMIF(账项调整!$H$5:$H$65536,IF(OR(MID(TRIM($A9),2,1)="：",MID(TRIM($A9),2,1)="、"),REPLACEB(TRIM($A9),1,4,""),TRIM($A9)),账项调整!$J$5:$J$65536)</f>
        <v>0</v>
      </c>
      <c r="E9" s="427">
        <f>SUMIF(报表调整!$E$5:$E$65536,IF(OR(MID(TRIM($A9),2,1)="：",MID(TRIM($A9),2,1)="、"),REPLACEB(TRIM($A9),1,4,""),TRIM($A9)),报表调整!$J$5:$J$65536)</f>
        <v>0</v>
      </c>
      <c r="F9" s="427">
        <f>SUMIF(报表调整!$H$5:$H$65536,IF(OR(MID(TRIM($A9),2,1)="：",MID(TRIM($A9),2,1)="、"),REPLACEB(TRIM($A9),1,4,""),TRIM($A9)),报表调整!$J$5:$J$65536)</f>
        <v>0</v>
      </c>
      <c r="G9" s="427">
        <f>B9+C9+E9-D9-F9</f>
        <v>0</v>
      </c>
      <c r="H9" s="427"/>
      <c r="I9" s="428">
        <f t="shared" si="0"/>
        <v>0</v>
      </c>
    </row>
    <row r="10" spans="1:13" ht="15" customHeight="1">
      <c r="A10" s="177" t="str">
        <f>报表格式!L9</f>
        <v>二、主营业务收入净额</v>
      </c>
      <c r="B10" s="430">
        <f t="shared" ref="B10:H10" si="1">B6-B9</f>
        <v>0</v>
      </c>
      <c r="C10" s="415">
        <f t="shared" si="1"/>
        <v>0</v>
      </c>
      <c r="D10" s="415">
        <f t="shared" si="1"/>
        <v>0</v>
      </c>
      <c r="E10" s="415">
        <f t="shared" si="1"/>
        <v>0</v>
      </c>
      <c r="F10" s="415">
        <f t="shared" si="1"/>
        <v>0</v>
      </c>
      <c r="G10" s="415">
        <f t="shared" si="1"/>
        <v>0</v>
      </c>
      <c r="H10" s="415">
        <f t="shared" si="1"/>
        <v>0</v>
      </c>
      <c r="I10" s="416">
        <f t="shared" si="0"/>
        <v>0</v>
      </c>
    </row>
    <row r="11" spans="1:13" ht="15" customHeight="1">
      <c r="A11" s="193" t="str">
        <f>报表格式!L10</f>
        <v xml:space="preserve">    减：（一）主营业务成本</v>
      </c>
      <c r="B11" s="429">
        <f>未审PL!D11</f>
        <v>0</v>
      </c>
      <c r="C11" s="413">
        <f>SUMIF(账项调整!$E$5:$E$65536,REPLACEB(IF(OR(MID(TRIM($A11),2,1)="：",MID(TRIM($A11),2,1)="、"),REPLACEB(TRIM($A11),1,4,""),TRIM($A11)),1,6,""),账项调整!$J$5:$J$65536)</f>
        <v>0</v>
      </c>
      <c r="D11" s="413">
        <f>SUMIF(账项调整!$H$5:$H$65536,REPLACEB(IF(OR(MID(TRIM($A11),2,1)="：",MID(TRIM($A11),2,1)="、"),REPLACEB(TRIM($A11),1,4,""),TRIM($A11)),1,6,""),账项调整!$J$5:$J$65536)</f>
        <v>0</v>
      </c>
      <c r="E11" s="413">
        <f>SUMIF(报表调整!$E$5:$E$65536,REPLACEB(IF(OR(MID(TRIM($A11),2,1)="：",MID(TRIM($A11),2,1)="、"),REPLACEB(TRIM($A11),1,4,""),TRIM($A11)),1,6,""),报表调整!$J$5:$J$65536)</f>
        <v>0</v>
      </c>
      <c r="F11" s="413">
        <f>SUMIF(报表调整!$H$5:$H$65536,REPLACEB(IF(OR(MID(TRIM($A11),2,1)="：",MID(TRIM($A11),2,1)="、"),REPLACEB(TRIM($A11),1,4,""),TRIM($A11)),1,6,""),报表调整!$J$5:$J$65536)</f>
        <v>0</v>
      </c>
      <c r="G11" s="413">
        <f>B11+C11+E11-D11-F11</f>
        <v>0</v>
      </c>
      <c r="H11" s="413"/>
      <c r="I11" s="414">
        <f t="shared" si="0"/>
        <v>0</v>
      </c>
    </row>
    <row r="12" spans="1:13" ht="15" customHeight="1">
      <c r="A12" s="193" t="str">
        <f>报表格式!L11</f>
        <v xml:space="preserve">              其中：出口产品（商品）销售成本</v>
      </c>
      <c r="B12" s="429">
        <f>未审PL!D12</f>
        <v>0</v>
      </c>
      <c r="C12" s="413">
        <f>SUMIF(账项调整!$F$5:$F$65536,IF(OR(MID(TRIM($A12),2,1)="：",MID(TRIM($A12),2,1)="、"),REPLACEB(TRIM($A12),1,4,""),TRIM($A12)),账项调整!$J$5:$J$65536)</f>
        <v>0</v>
      </c>
      <c r="D12" s="413">
        <f>SUMIF(账项调整!$I$5:$I$65536,IF(OR(MID(TRIM($A12),2,1)="：",MID(TRIM($A12),2,1)="、"),REPLACEB(TRIM($A12),1,4,""),TRIM($A12)),账项调整!$J$5:$J$65536)</f>
        <v>0</v>
      </c>
      <c r="E12" s="413">
        <f>SUMIF(报表调整!$F$5:$F$65536,IF(OR(MID(TRIM($A12),2,1)="：",MID(TRIM($A12),2,1)="、"),REPLACEB(TRIM($A12),1,4,""),TRIM($A12)),报表调整!$J$5:$J$65536)</f>
        <v>0</v>
      </c>
      <c r="F12" s="413">
        <f>SUMIF(报表调整!$I$5:$I$65536,IF(OR(MID(TRIM($A12),2,1)="：",MID(TRIM($A12),2,1)="、"),REPLACEB(TRIM($A12),1,4,""),TRIM($A12)),报表调整!$J$5:$J$65536)</f>
        <v>0</v>
      </c>
      <c r="G12" s="413">
        <f>B12+C12+E12-D12-F12</f>
        <v>0</v>
      </c>
      <c r="H12" s="413"/>
      <c r="I12" s="414">
        <f t="shared" si="0"/>
        <v>0</v>
      </c>
    </row>
    <row r="13" spans="1:13" ht="15" customHeight="1">
      <c r="A13" s="193" t="str">
        <f>报表格式!L12</f>
        <v xml:space="preserve">        （二）主营业务税金及附加</v>
      </c>
      <c r="B13" s="429">
        <f>未审PL!D13</f>
        <v>0</v>
      </c>
      <c r="C13" s="413">
        <f>SUMIF(账项调整!$E$5:$E$65536,REPLACEB(IF(OR(MID(TRIM($A13),2,1)="：",MID(TRIM($A13),2,1)="、"),REPLACEB(TRIM($A13),1,4,""),TRIM($A13)),1,6,""),账项调整!$J$5:$J$65536)</f>
        <v>0</v>
      </c>
      <c r="D13" s="413">
        <f>SUMIF(账项调整!$H$5:$H$65536,REPLACEB(IF(OR(MID(TRIM($A13),2,1)="：",MID(TRIM($A13),2,1)="、"),REPLACEB(TRIM($A13),1,4,""),TRIM($A13)),1,6,""),账项调整!$J$5:$J$65536)</f>
        <v>0</v>
      </c>
      <c r="E13" s="413">
        <f>SUMIF(报表调整!$E$5:$E$65536,REPLACEB(IF(OR(MID(TRIM($A13),2,1)="：",MID(TRIM($A13),2,1)="、"),REPLACEB(TRIM($A13),1,4,""),TRIM($A13)),1,6,""),报表调整!$J$5:$J$65536)</f>
        <v>0</v>
      </c>
      <c r="F13" s="413">
        <f>SUMIF(报表调整!$H$5:$H$65536,REPLACEB(IF(OR(MID(TRIM($A13),2,1)="：",MID(TRIM($A13),2,1)="、"),REPLACEB(TRIM($A13),1,4,""),TRIM($A13)),1,6,""),报表调整!$J$5:$J$65536)</f>
        <v>0</v>
      </c>
      <c r="G13" s="413">
        <f>B13+C13+E13-D13-F13</f>
        <v>0</v>
      </c>
      <c r="H13" s="413"/>
      <c r="I13" s="414">
        <f t="shared" si="0"/>
        <v>0</v>
      </c>
    </row>
    <row r="14" spans="1:13" ht="15" customHeight="1">
      <c r="A14" s="193" t="str">
        <f>报表格式!L13</f>
        <v xml:space="preserve">        （三）经营费用</v>
      </c>
      <c r="B14" s="429">
        <f>未审PL!D14</f>
        <v>0</v>
      </c>
      <c r="C14" s="413">
        <f>SUMIF(账项调整!$E$5:$E$65536,REPLACEB(IF(OR(MID(TRIM($A14),2,1)="：",MID(TRIM($A14),2,1)="、"),REPLACEB(TRIM($A14),1,4,""),TRIM($A14)),1,6,""),账项调整!$J$5:$J$65536)</f>
        <v>0</v>
      </c>
      <c r="D14" s="413">
        <f>SUMIF(账项调整!$H$5:$H$65536,REPLACEB(IF(OR(MID(TRIM($A14),2,1)="：",MID(TRIM($A14),2,1)="、"),REPLACEB(TRIM($A14),1,4,""),TRIM($A14)),1,6,""),账项调整!$J$5:$J$65536)</f>
        <v>0</v>
      </c>
      <c r="E14" s="413">
        <f>SUMIF(报表调整!$E$5:$E$65536,REPLACEB(IF(OR(MID(TRIM($A14),2,1)="：",MID(TRIM($A14),2,1)="、"),REPLACEB(TRIM($A14),1,4,""),TRIM($A14)),1,6,""),报表调整!$J$5:$J$65536)</f>
        <v>0</v>
      </c>
      <c r="F14" s="413">
        <f>SUMIF(报表调整!$H$5:$H$65536,REPLACEB(IF(OR(MID(TRIM($A14),2,1)="：",MID(TRIM($A14),2,1)="、"),REPLACEB(TRIM($A14),1,4,""),TRIM($A14)),1,6,""),报表调整!$J$5:$J$65536)</f>
        <v>0</v>
      </c>
      <c r="G14" s="413">
        <f>B14+C14+E14-D14-F14</f>
        <v>0</v>
      </c>
      <c r="H14" s="421"/>
      <c r="I14" s="414">
        <f t="shared" si="0"/>
        <v>0</v>
      </c>
    </row>
    <row r="15" spans="1:13" ht="15" customHeight="1">
      <c r="A15" s="193" t="str">
        <f>报表格式!L14</f>
        <v xml:space="preserve">        （四）其他</v>
      </c>
      <c r="B15" s="429">
        <f>未审PL!D15</f>
        <v>0</v>
      </c>
      <c r="C15" s="413">
        <f>SUMIF(账项调整!$E$5:$E$65536,REPLACEB(IF(OR(MID(TRIM($A15),2,1)="：",MID(TRIM($A15),2,1)="、"),REPLACEB(TRIM($A15),1,4,""),TRIM($A15)),1,6,""),账项调整!$J$5:$J$65536)</f>
        <v>0</v>
      </c>
      <c r="D15" s="413">
        <f>SUMIF(账项调整!$H$5:$H$65536,REPLACEB(IF(OR(MID(TRIM($A15),2,1)="：",MID(TRIM($A15),2,1)="、"),REPLACEB(TRIM($A15),1,4,""),TRIM($A15)),1,6,""),账项调整!$J$5:$J$65536)</f>
        <v>0</v>
      </c>
      <c r="E15" s="413">
        <f>SUMIF(报表调整!$E$5:$E$65536,REPLACEB(IF(OR(MID(TRIM($A15),2,1)="：",MID(TRIM($A15),2,1)="、"),REPLACEB(TRIM($A15),1,4,""),TRIM($A15)),1,6,""),报表调整!$J$5:$J$65536)</f>
        <v>0</v>
      </c>
      <c r="F15" s="413">
        <f>SUMIF(报表调整!$H$5:$H$65536,REPLACEB(IF(OR(MID(TRIM($A15),2,1)="：",MID(TRIM($A15),2,1)="、"),REPLACEB(TRIM($A15),1,4,""),TRIM($A15)),1,6,""),报表调整!$J$5:$J$65536)</f>
        <v>0</v>
      </c>
      <c r="G15" s="413">
        <f>B15+C15+E15-D15-F15</f>
        <v>0</v>
      </c>
      <c r="H15" s="413"/>
      <c r="I15" s="414">
        <f t="shared" si="0"/>
        <v>0</v>
      </c>
    </row>
    <row r="16" spans="1:13" ht="15" customHeight="1">
      <c r="A16" s="193" t="str">
        <f>报表格式!L15</f>
        <v xml:space="preserve">    加：（一）递延收益</v>
      </c>
      <c r="B16" s="429">
        <f>未审PL!D16</f>
        <v>0</v>
      </c>
      <c r="C16" s="413">
        <f>SUMIF(账项调整!$E$5:$E$65536,REPLACEB(IF(OR(MID(TRIM($A16),2,1)="：",MID(TRIM($A16),2,1)="、"),REPLACEB(TRIM($A16),1,4,""),TRIM($A16)),1,6,""),账项调整!$J$5:$J$65536)</f>
        <v>0</v>
      </c>
      <c r="D16" s="413">
        <f>SUMIF(账项调整!$H$5:$H$65536,REPLACEB(IF(OR(MID(TRIM($A16),2,1)="：",MID(TRIM($A16),2,1)="、"),REPLACEB(TRIM($A16),1,4,""),TRIM($A16)),1,6,""),账项调整!$J$5:$J$65536)</f>
        <v>0</v>
      </c>
      <c r="E16" s="413">
        <f>SUMIF(报表调整!$E$5:$E$65536,REPLACEB(IF(OR(MID(TRIM($A16),2,1)="：",MID(TRIM($A16),2,1)="、"),REPLACEB(TRIM($A16),1,4,""),TRIM($A16)),1,6,""),报表调整!$J$5:$J$65536)</f>
        <v>0</v>
      </c>
      <c r="F16" s="413">
        <f>SUMIF(报表调整!$H$5:$H$65536,REPLACEB(IF(OR(MID(TRIM($A16),2,1)="：",MID(TRIM($A16),2,1)="、"),REPLACEB(TRIM($A16),1,4,""),TRIM($A16)),1,6,""),报表调整!$J$5:$J$65536)</f>
        <v>0</v>
      </c>
      <c r="G16" s="413">
        <f>B16-C16-E16+D16+F16</f>
        <v>0</v>
      </c>
      <c r="H16" s="413"/>
      <c r="I16" s="414">
        <f t="shared" si="0"/>
        <v>0</v>
      </c>
    </row>
    <row r="17" spans="1:12" ht="15" customHeight="1">
      <c r="A17" s="193" t="str">
        <f>报表格式!L16</f>
        <v xml:space="preserve">        （二）代购代销收入</v>
      </c>
      <c r="B17" s="429">
        <f>未审PL!D17</f>
        <v>0</v>
      </c>
      <c r="C17" s="413">
        <f>SUMIF(账项调整!$E$5:$E$65536,REPLACEB(IF(OR(MID(TRIM($A17),2,1)="：",MID(TRIM($A17),2,1)="、"),REPLACEB(TRIM($A17),1,4,""),TRIM($A17)),1,6,""),账项调整!$J$5:$J$65536)</f>
        <v>0</v>
      </c>
      <c r="D17" s="413">
        <f>SUMIF(账项调整!$H$5:$H$65536,REPLACEB(IF(OR(MID(TRIM($A17),2,1)="：",MID(TRIM($A17),2,1)="、"),REPLACEB(TRIM($A17),1,4,""),TRIM($A17)),1,6,""),账项调整!$J$5:$J$65536)</f>
        <v>0</v>
      </c>
      <c r="E17" s="413">
        <f>SUMIF(报表调整!$E$5:$E$65536,REPLACEB(IF(OR(MID(TRIM($A17),2,1)="：",MID(TRIM($A17),2,1)="、"),REPLACEB(TRIM($A17),1,4,""),TRIM($A17)),1,6,""),报表调整!$J$5:$J$65536)</f>
        <v>0</v>
      </c>
      <c r="F17" s="413">
        <f>SUMIF(报表调整!$H$5:$H$65536,REPLACEB(IF(OR(MID(TRIM($A17),2,1)="：",MID(TRIM($A17),2,1)="、"),REPLACEB(TRIM($A17),1,4,""),TRIM($A17)),1,6,""),报表调整!$J$5:$J$65536)</f>
        <v>0</v>
      </c>
      <c r="G17" s="413">
        <f>B17-C17-E17+D17+F17</f>
        <v>0</v>
      </c>
      <c r="H17" s="413"/>
      <c r="I17" s="414">
        <f t="shared" si="0"/>
        <v>0</v>
      </c>
    </row>
    <row r="18" spans="1:12" ht="15" customHeight="1">
      <c r="A18" s="193" t="str">
        <f>报表格式!L17</f>
        <v xml:space="preserve">        （三）其他</v>
      </c>
      <c r="B18" s="429">
        <f>未审PL!D18</f>
        <v>0</v>
      </c>
      <c r="C18" s="413">
        <f>SUMIF(账项调整!$E$5:$E$65536,REPLACEB(IF(OR(MID(TRIM($A18),2,1)="：",MID(TRIM($A18),2,1)="、"),REPLACEB(TRIM($A18),1,4,""),TRIM($A18)),1,6,""),账项调整!$J$5:$J$65536)</f>
        <v>0</v>
      </c>
      <c r="D18" s="413">
        <f>SUMIF(账项调整!$H$5:$H$65536,REPLACEB(IF(OR(MID(TRIM($A18),2,1)="：",MID(TRIM($A18),2,1)="、"),REPLACEB(TRIM($A18),1,4,""),TRIM($A18)),1,6,""),账项调整!$J$5:$J$65536)</f>
        <v>0</v>
      </c>
      <c r="E18" s="413">
        <f>SUMIF(报表调整!$E$5:$E$65536,REPLACEB(IF(OR(MID(TRIM($A18),2,1)="：",MID(TRIM($A18),2,1)="、"),REPLACEB(TRIM($A18),1,4,""),TRIM($A18)),1,6,""),报表调整!$J$5:$J$65536)</f>
        <v>0</v>
      </c>
      <c r="F18" s="413">
        <f>SUMIF(报表调整!$H$5:$H$65536,REPLACEB(IF(OR(MID(TRIM($A18),2,1)="：",MID(TRIM($A18),2,1)="、"),REPLACEB(TRIM($A18),1,4,""),TRIM($A18)),1,6,""),报表调整!$J$5:$J$65536)</f>
        <v>0</v>
      </c>
      <c r="G18" s="413">
        <f>B18-C18-E18+D18+F18</f>
        <v>0</v>
      </c>
      <c r="H18" s="413"/>
      <c r="I18" s="414">
        <f t="shared" si="0"/>
        <v>0</v>
      </c>
    </row>
    <row r="19" spans="1:12" ht="15" customHeight="1">
      <c r="A19" s="177" t="str">
        <f>报表格式!L18</f>
        <v>三、主营业务利润</v>
      </c>
      <c r="B19" s="430">
        <f t="shared" ref="B19:H19" si="2">B10-B11-B13-B14-B15+B16+B17+B18</f>
        <v>0</v>
      </c>
      <c r="C19" s="415">
        <f t="shared" si="2"/>
        <v>0</v>
      </c>
      <c r="D19" s="415">
        <f t="shared" si="2"/>
        <v>0</v>
      </c>
      <c r="E19" s="415">
        <f t="shared" si="2"/>
        <v>0</v>
      </c>
      <c r="F19" s="415">
        <f t="shared" si="2"/>
        <v>0</v>
      </c>
      <c r="G19" s="415">
        <f t="shared" si="2"/>
        <v>0</v>
      </c>
      <c r="H19" s="415">
        <f t="shared" si="2"/>
        <v>0</v>
      </c>
      <c r="I19" s="416">
        <f t="shared" si="0"/>
        <v>0</v>
      </c>
    </row>
    <row r="20" spans="1:12" ht="15" customHeight="1">
      <c r="A20" s="193" t="str">
        <f>报表格式!L19</f>
        <v xml:space="preserve">    加：其他业务利润</v>
      </c>
      <c r="B20" s="429">
        <f>未审PL!D20</f>
        <v>0</v>
      </c>
      <c r="C20" s="413">
        <f>SUMIF(账项调整!$E$5:$E$65536,IF(OR(MID(TRIM($A20),2,1)="：",MID(TRIM($A20),2,1)="、"),REPLACEB(TRIM($A20),1,4,""),TRIM($A20)),账项调整!$J$5:$J$65536)</f>
        <v>0</v>
      </c>
      <c r="D20" s="413">
        <f>SUMIF(账项调整!$H$5:$H$65536,IF(OR(MID(TRIM($A20),2,1)="：",MID(TRIM($A20),2,1)="、"),REPLACEB(TRIM($A20),1,4,""),TRIM($A20)),账项调整!$J$5:$J$65536)</f>
        <v>0</v>
      </c>
      <c r="E20" s="413">
        <f>SUMIF(报表调整!$E$5:$E$65536,IF(OR(MID(TRIM($A20),2,1)="：",MID(TRIM($A20),2,1)="、"),REPLACEB(TRIM($A20),1,4,""),TRIM($A20)),报表调整!$J$5:$J$65536)</f>
        <v>0</v>
      </c>
      <c r="F20" s="413">
        <f>SUMIF(报表调整!$H$5:$H$65536,IF(OR(MID(TRIM($A20),2,1)="：",MID(TRIM($A20),2,1)="、"),REPLACEB(TRIM($A20),1,4,""),TRIM($A20)),报表调整!$J$5:$J$65536)</f>
        <v>0</v>
      </c>
      <c r="G20" s="413">
        <f>B20-C20-E20+D20+F20</f>
        <v>0</v>
      </c>
      <c r="H20" s="413"/>
      <c r="I20" s="414">
        <f t="shared" si="0"/>
        <v>0</v>
      </c>
    </row>
    <row r="21" spans="1:12" ht="15" customHeight="1">
      <c r="A21" s="193" t="str">
        <f>报表格式!L20</f>
        <v xml:space="preserve">    减：（一）营业费用</v>
      </c>
      <c r="B21" s="429">
        <f>未审PL!D21</f>
        <v>0</v>
      </c>
      <c r="C21" s="413">
        <f>SUMIF(账项调整!$E$5:$E$65536,REPLACEB(IF(OR(MID(TRIM($A21),2,1)="：",MID(TRIM($A21),2,1)="、"),REPLACEB(TRIM($A21),1,4,""),TRIM($A21)),1,6,""),账项调整!$J$5:$J$65536)</f>
        <v>0</v>
      </c>
      <c r="D21" s="413">
        <f>SUMIF(账项调整!$H$5:$H$65536,REPLACEB(IF(OR(MID(TRIM($A21),2,1)="：",MID(TRIM($A21),2,1)="、"),REPLACEB(TRIM($A21),1,4,""),TRIM($A21)),1,6,""),账项调整!$J$5:$J$65536)</f>
        <v>0</v>
      </c>
      <c r="E21" s="413">
        <f>SUMIF(报表调整!$E$5:$E$65536,REPLACEB(IF(OR(MID(TRIM($A21),2,1)="：",MID(TRIM($A21),2,1)="、"),REPLACEB(TRIM($A21),1,4,""),TRIM($A21)),1,6,""),报表调整!$J$5:$J$65536)</f>
        <v>0</v>
      </c>
      <c r="F21" s="413">
        <f>SUMIF(报表调整!$H$5:$H$65536,REPLACEB(IF(OR(MID(TRIM($A21),2,1)="：",MID(TRIM($A21),2,1)="、"),REPLACEB(TRIM($A21),1,4,""),TRIM($A21)),1,6,""),报表调整!$J$5:$J$65536)</f>
        <v>0</v>
      </c>
      <c r="G21" s="413">
        <f>B21+C21+E21-D21-F21</f>
        <v>0</v>
      </c>
      <c r="H21" s="413"/>
      <c r="I21" s="414">
        <f t="shared" si="0"/>
        <v>0</v>
      </c>
    </row>
    <row r="22" spans="1:12" ht="15" customHeight="1">
      <c r="A22" s="193" t="str">
        <f>报表格式!L21</f>
        <v xml:space="preserve">        （二）管理费用</v>
      </c>
      <c r="B22" s="429">
        <f>未审PL!D22</f>
        <v>0</v>
      </c>
      <c r="C22" s="413">
        <f>SUMIF(账项调整!$E$5:$E$65536,REPLACEB(IF(OR(MID(TRIM($A22),2,1)="：",MID(TRIM($A22),2,1)="、"),REPLACEB(TRIM($A22),1,4,""),TRIM($A22)),1,6,""),账项调整!$J$5:$J$65536)</f>
        <v>0</v>
      </c>
      <c r="D22" s="413">
        <f>SUMIF(账项调整!$H$5:$H$65536,REPLACEB(IF(OR(MID(TRIM($A22),2,1)="：",MID(TRIM($A22),2,1)="、"),REPLACEB(TRIM($A22),1,4,""),TRIM($A22)),1,6,""),账项调整!$J$5:$J$65536)</f>
        <v>0</v>
      </c>
      <c r="E22" s="413">
        <f>SUMIF(报表调整!$E$5:$E$65536,REPLACEB(IF(OR(MID(TRIM($A22),2,1)="：",MID(TRIM($A22),2,1)="、"),REPLACEB(TRIM($A22),1,4,""),TRIM($A22)),1,6,""),报表调整!$J$5:$J$65536)</f>
        <v>0</v>
      </c>
      <c r="F22" s="413">
        <f>SUMIF(报表调整!$H$5:$H$65536,REPLACEB(IF(OR(MID(TRIM($A22),2,1)="：",MID(TRIM($A22),2,1)="、"),REPLACEB(TRIM($A22),1,4,""),TRIM($A22)),1,6,""),报表调整!$J$5:$J$65536)</f>
        <v>0</v>
      </c>
      <c r="G22" s="413">
        <f t="shared" ref="G22:G29" si="3">B22+C22+E22-D22-F22</f>
        <v>0</v>
      </c>
      <c r="H22" s="421"/>
      <c r="I22" s="414">
        <f t="shared" si="0"/>
        <v>0</v>
      </c>
    </row>
    <row r="23" spans="1:12" ht="15" customHeight="1">
      <c r="A23" s="193" t="str">
        <f>报表格式!L22</f>
        <v xml:space="preserve">         其中：业务招待费</v>
      </c>
      <c r="B23" s="429">
        <f>未审PL!D23</f>
        <v>0</v>
      </c>
      <c r="C23" s="413">
        <f>SUMIF(账项调整!$F$5:$F$65536,IF(OR(MID(TRIM($A23),2,1)="：",MID(TRIM($A23),2,1)="、"),REPLACEB(TRIM($A23),1,4,""),TRIM($A23)),账项调整!$J$5:$J$65536)</f>
        <v>0</v>
      </c>
      <c r="D23" s="413">
        <f>SUMIF(账项调整!$I$5:$I$65536,IF(OR(MID(TRIM($A23),2,1)="：",MID(TRIM($A23),2,1)="、"),REPLACEB(TRIM($A23),1,4,""),TRIM($A23)),账项调整!$J$5:$J$65536)</f>
        <v>0</v>
      </c>
      <c r="E23" s="413">
        <f>SUMIF(报表调整!$F$5:$F$65536,IF(OR(MID(TRIM($A23),2,1)="：",MID(TRIM($A23),2,1)="、"),REPLACEB(TRIM($A23),1,4,""),TRIM($A23)),报表调整!$J$5:$J$65536)</f>
        <v>0</v>
      </c>
      <c r="F23" s="413">
        <f>SUMIF(报表调整!$I$5:$I$65536,IF(OR(MID(TRIM($A23),2,1)="：",MID(TRIM($A23),2,1)="、"),REPLACEB(TRIM($A23),1,4,""),TRIM($A23)),报表调整!$J$5:$J$65536)</f>
        <v>0</v>
      </c>
      <c r="G23" s="413">
        <f t="shared" si="3"/>
        <v>0</v>
      </c>
      <c r="H23" s="421"/>
      <c r="I23" s="414">
        <f t="shared" si="0"/>
        <v>0</v>
      </c>
    </row>
    <row r="24" spans="1:12" ht="15" customHeight="1">
      <c r="A24" s="193" t="str">
        <f>报表格式!L23</f>
        <v xml:space="preserve">               研究与开发费</v>
      </c>
      <c r="B24" s="429">
        <f>未审PL!D24</f>
        <v>0</v>
      </c>
      <c r="C24" s="413">
        <f>SUMIF(账项调整!$F$5:$F$65536,IF(OR(MID(TRIM($A24),2,1)="：",MID(TRIM($A24),2,1)="、"),REPLACEB(TRIM($A24),1,4,""),TRIM($A24)),账项调整!$J$5:$J$65536)</f>
        <v>0</v>
      </c>
      <c r="D24" s="413">
        <f>SUMIF(账项调整!$I$5:$I$65536,IF(OR(MID(TRIM($A24),2,1)="：",MID(TRIM($A24),2,1)="、"),REPLACEB(TRIM($A24),1,4,""),TRIM($A24)),账项调整!$J$5:$J$65536)</f>
        <v>0</v>
      </c>
      <c r="E24" s="413">
        <f>SUMIF(报表调整!$F$5:$F$65536,IF(OR(MID(TRIM($A24),2,1)="：",MID(TRIM($A24),2,1)="、"),REPLACEB(TRIM($A24),1,4,""),TRIM($A24)),报表调整!$J$5:$J$65536)</f>
        <v>0</v>
      </c>
      <c r="F24" s="413">
        <f>SUMIF(报表调整!$I$5:$I$65536,IF(OR(MID(TRIM($A24),2,1)="：",MID(TRIM($A24),2,1)="、"),REPLACEB(TRIM($A24),1,4,""),TRIM($A24)),报表调整!$J$5:$J$65536)</f>
        <v>0</v>
      </c>
      <c r="G24" s="413">
        <f t="shared" si="3"/>
        <v>0</v>
      </c>
      <c r="H24" s="421"/>
      <c r="I24" s="414">
        <f t="shared" si="0"/>
        <v>0</v>
      </c>
    </row>
    <row r="25" spans="1:12" ht="15" customHeight="1">
      <c r="A25" s="193" t="str">
        <f>报表格式!L24</f>
        <v xml:space="preserve">        （三）财务费用</v>
      </c>
      <c r="B25" s="429">
        <f>未审PL!D25</f>
        <v>0</v>
      </c>
      <c r="C25" s="413">
        <f>SUMIF(账项调整!$E$5:$E$65536,REPLACEB(IF(OR(MID(TRIM($A25),2,1)="：",MID(TRIM($A25),2,1)="、"),REPLACEB(TRIM($A25),1,4,""),TRIM($A25)),1,6,""),账项调整!$J$5:$J$65536)</f>
        <v>0</v>
      </c>
      <c r="D25" s="413">
        <f>SUMIF(账项调整!$H$5:$H$65536,REPLACEB(IF(OR(MID(TRIM($A25),2,1)="：",MID(TRIM($A25),2,1)="、"),REPLACEB(TRIM($A25),1,4,""),TRIM($A25)),1,6,""),账项调整!$J$5:$J$65536)</f>
        <v>0</v>
      </c>
      <c r="E25" s="413">
        <f>SUMIF(报表调整!$E$5:$E$65536,REPLACEB(IF(OR(MID(TRIM($A25),2,1)="：",MID(TRIM($A25),2,1)="、"),REPLACEB(TRIM($A25),1,4,""),TRIM($A25)),1,6,""),报表调整!$J$5:$J$65536)</f>
        <v>0</v>
      </c>
      <c r="F25" s="413">
        <f>SUMIF(报表调整!$H$5:$H$65536,REPLACEB(IF(OR(MID(TRIM($A25),2,1)="：",MID(TRIM($A25),2,1)="、"),REPLACEB(TRIM($A25),1,4,""),TRIM($A25)),1,6,""),报表调整!$J$5:$J$65536)</f>
        <v>0</v>
      </c>
      <c r="G25" s="413">
        <f t="shared" si="3"/>
        <v>0</v>
      </c>
      <c r="H25" s="413"/>
      <c r="I25" s="414">
        <f t="shared" si="0"/>
        <v>0</v>
      </c>
    </row>
    <row r="26" spans="1:12" ht="15" customHeight="1">
      <c r="A26" s="193" t="str">
        <f>报表格式!L25</f>
        <v xml:space="preserve">         其中：利息支出</v>
      </c>
      <c r="B26" s="429">
        <f>未审PL!D26</f>
        <v>0</v>
      </c>
      <c r="C26" s="413">
        <f>SUMIF(账项调整!$F$5:$F$65536,IF(OR(MID(TRIM($A26),2,1)="：",MID(TRIM($A26),2,1)="、"),REPLACEB(TRIM($A26),1,4,""),TRIM($A26)),账项调整!$J$5:$J$65536)</f>
        <v>0</v>
      </c>
      <c r="D26" s="413">
        <f>SUMIF(账项调整!$I$5:$I$65536,IF(OR(MID(TRIM($A26),2,1)="：",MID(TRIM($A26),2,1)="、"),REPLACEB(TRIM($A26),1,4,""),TRIM($A26)),账项调整!$J$5:$J$65536)</f>
        <v>0</v>
      </c>
      <c r="E26" s="413">
        <f>SUMIF(报表调整!$F$5:$F$65536,IF(OR(MID(TRIM($A26),2,1)="：",MID(TRIM($A26),2,1)="、"),REPLACEB(TRIM($A26),1,4,""),TRIM($A26)),报表调整!$J$5:$J$65536)</f>
        <v>0</v>
      </c>
      <c r="F26" s="413">
        <f>SUMIF(报表调整!$I$5:$I$65536,IF(OR(MID(TRIM($A26),2,1)="：",MID(TRIM($A26),2,1)="、"),REPLACEB(TRIM($A26),1,4,""),TRIM($A26)),报表调整!$J$5:$J$65536)</f>
        <v>0</v>
      </c>
      <c r="G26" s="413">
        <f t="shared" si="3"/>
        <v>0</v>
      </c>
      <c r="H26" s="413"/>
      <c r="I26" s="414">
        <f t="shared" si="0"/>
        <v>0</v>
      </c>
    </row>
    <row r="27" spans="1:12" ht="15" customHeight="1">
      <c r="A27" s="193" t="str">
        <f>报表格式!L26</f>
        <v xml:space="preserve">               利息收入</v>
      </c>
      <c r="B27" s="429">
        <f>未审PL!D27</f>
        <v>0</v>
      </c>
      <c r="C27" s="413">
        <f>SUMIF(账项调整!$F$5:$F$65536,IF(OR(MID(TRIM($A27),2,1)="：",MID(TRIM($A27),2,1)="、"),REPLACEB(TRIM($A27),1,4,""),TRIM($A27)),账项调整!$J$5:$J$65536)</f>
        <v>0</v>
      </c>
      <c r="D27" s="413">
        <f>SUMIF(账项调整!$I$5:$I$65536,IF(OR(MID(TRIM($A27),2,1)="：",MID(TRIM($A27),2,1)="、"),REPLACEB(TRIM($A27),1,4,""),TRIM($A27)),账项调整!$J$5:$J$65536)</f>
        <v>0</v>
      </c>
      <c r="E27" s="413">
        <f>SUMIF(报表调整!$F$5:$F$65536,IF(OR(MID(TRIM($A27),2,1)="：",MID(TRIM($A27),2,1)="、"),REPLACEB(TRIM($A27),1,4,""),TRIM($A27)),报表调整!$J$5:$J$65536)</f>
        <v>0</v>
      </c>
      <c r="F27" s="413">
        <f>SUMIF(报表调整!$I$5:$I$65536,IF(OR(MID(TRIM($A27),2,1)="：",MID(TRIM($A27),2,1)="、"),REPLACEB(TRIM($A27),1,4,""),TRIM($A27)),报表调整!$J$5:$J$65536)</f>
        <v>0</v>
      </c>
      <c r="G27" s="413">
        <f t="shared" si="3"/>
        <v>0</v>
      </c>
      <c r="H27" s="421"/>
      <c r="I27" s="414">
        <f t="shared" si="0"/>
        <v>0</v>
      </c>
      <c r="L27" s="63"/>
    </row>
    <row r="28" spans="1:12" ht="15" customHeight="1">
      <c r="A28" s="193" t="str">
        <f>报表格式!L27</f>
        <v xml:space="preserve">               汇兑净损失</v>
      </c>
      <c r="B28" s="429">
        <f>未审PL!D28</f>
        <v>0</v>
      </c>
      <c r="C28" s="413">
        <f>SUMIF(账项调整!$F$5:$F$65536,IF(OR(MID(TRIM($A28),2,1)="：",MID(TRIM($A28),2,1)="、"),REPLACEB(TRIM($A28),1,4,""),TRIM($A28)),账项调整!$J$5:$J$65536)</f>
        <v>0</v>
      </c>
      <c r="D28" s="413">
        <f>SUMIF(账项调整!$I$5:$I$65536,IF(OR(MID(TRIM($A28),2,1)="：",MID(TRIM($A28),2,1)="、"),REPLACEB(TRIM($A28),1,4,""),TRIM($A28)),账项调整!$J$5:$J$65536)</f>
        <v>0</v>
      </c>
      <c r="E28" s="413">
        <f>SUMIF(报表调整!$F$5:$F$65536,IF(OR(MID(TRIM($A28),2,1)="：",MID(TRIM($A28),2,1)="、"),REPLACEB(TRIM($A28),1,4,""),TRIM($A28)),报表调整!$J$5:$J$65536)</f>
        <v>0</v>
      </c>
      <c r="F28" s="413">
        <f>SUMIF(报表调整!$I$5:$I$65536,IF(OR(MID(TRIM($A28),2,1)="：",MID(TRIM($A28),2,1)="、"),REPLACEB(TRIM($A28),1,4,""),TRIM($A28)),报表调整!$J$5:$J$65536)</f>
        <v>0</v>
      </c>
      <c r="G28" s="413">
        <f t="shared" si="3"/>
        <v>0</v>
      </c>
      <c r="H28" s="413"/>
      <c r="I28" s="414">
        <f t="shared" si="0"/>
        <v>0</v>
      </c>
    </row>
    <row r="29" spans="1:12" ht="15" customHeight="1">
      <c r="A29" s="193" t="str">
        <f>报表格式!L28</f>
        <v xml:space="preserve">        （四）其他</v>
      </c>
      <c r="B29" s="429">
        <f>未审PL!D29</f>
        <v>0</v>
      </c>
      <c r="C29" s="413">
        <f>SUMIF(账项调整!$E$5:$E$65536,REPLACEB(IF(OR(MID(TRIM($A29),2,1)="：",MID(TRIM($A29),2,1)="、"),REPLACEB(TRIM($A29),1,4,""),TRIM($A29)),1,6,""),账项调整!$J$5:$J$65536)</f>
        <v>0</v>
      </c>
      <c r="D29" s="413">
        <f>SUMIF(账项调整!$H$5:$H$65536,REPLACEB(IF(OR(MID(TRIM($A29),2,1)="：",MID(TRIM($A29),2,1)="、"),REPLACEB(TRIM($A29),1,4,""),TRIM($A29)),1,6,""),账项调整!$J$5:$J$65536)</f>
        <v>0</v>
      </c>
      <c r="E29" s="413">
        <f>SUMIF(报表调整!$E$5:$E$65536,REPLACEB(IF(OR(MID(TRIM($A29),2,1)="：",MID(TRIM($A29),2,1)="、"),REPLACEB(TRIM($A29),1,4,""),TRIM($A29)),1,6,""),报表调整!$J$5:$J$65536)</f>
        <v>0</v>
      </c>
      <c r="F29" s="413">
        <f>SUMIF(报表调整!$H$5:$H$65536,REPLACEB(IF(OR(MID(TRIM($A29),2,1)="：",MID(TRIM($A29),2,1)="、"),REPLACEB(TRIM($A29),1,4,""),TRIM($A29)),1,6,""),报表调整!$J$5:$J$65536)</f>
        <v>0</v>
      </c>
      <c r="G29" s="413">
        <f t="shared" si="3"/>
        <v>0</v>
      </c>
      <c r="H29" s="413"/>
      <c r="I29" s="414">
        <f t="shared" si="0"/>
        <v>0</v>
      </c>
    </row>
    <row r="30" spans="1:12" ht="15" customHeight="1">
      <c r="A30" s="177" t="str">
        <f>报表格式!L29</f>
        <v>四、营业利润</v>
      </c>
      <c r="B30" s="430">
        <f t="shared" ref="B30:H30" si="4">B19+B20-B21-B22-B25-B29</f>
        <v>0</v>
      </c>
      <c r="C30" s="415">
        <f t="shared" si="4"/>
        <v>0</v>
      </c>
      <c r="D30" s="415">
        <f t="shared" si="4"/>
        <v>0</v>
      </c>
      <c r="E30" s="415">
        <f t="shared" si="4"/>
        <v>0</v>
      </c>
      <c r="F30" s="415">
        <f t="shared" si="4"/>
        <v>0</v>
      </c>
      <c r="G30" s="415">
        <f t="shared" si="4"/>
        <v>0</v>
      </c>
      <c r="H30" s="415">
        <f t="shared" si="4"/>
        <v>0</v>
      </c>
      <c r="I30" s="416">
        <f t="shared" si="0"/>
        <v>0</v>
      </c>
    </row>
    <row r="31" spans="1:12" ht="15" customHeight="1">
      <c r="A31" s="193" t="str">
        <f>报表格式!L30</f>
        <v xml:space="preserve">    加：（一）投资收益</v>
      </c>
      <c r="B31" s="429">
        <f>未审PL!D31</f>
        <v>0</v>
      </c>
      <c r="C31" s="413">
        <f>SUMIF(账项调整!$E$5:$E$65536,REPLACEB(IF(OR(MID(TRIM($A31),2,1)="：",MID(TRIM($A31),2,1)="、"),REPLACEB(TRIM($A31),1,4,""),TRIM($A31)),1,6,""),账项调整!$J$5:$J$65536)</f>
        <v>0</v>
      </c>
      <c r="D31" s="413">
        <f>SUMIF(账项调整!$H$5:$H$65536,REPLACEB(IF(OR(MID(TRIM($A31),2,1)="：",MID(TRIM($A31),2,1)="、"),REPLACEB(TRIM($A31),1,4,""),TRIM($A31)),1,6,""),账项调整!$J$5:$J$65536)</f>
        <v>0</v>
      </c>
      <c r="E31" s="413">
        <f>SUMIF(报表调整!$E$5:$E$65536,REPLACEB(IF(OR(MID(TRIM($A31),2,1)="：",MID(TRIM($A31),2,1)="、"),REPLACEB(TRIM($A31),1,4,""),TRIM($A31)),1,6,""),报表调整!$J$5:$J$65536)</f>
        <v>0</v>
      </c>
      <c r="F31" s="413">
        <f>SUMIF(报表调整!$H$5:$H$65536,REPLACEB(IF(OR(MID(TRIM($A31),2,1)="：",MID(TRIM($A31),2,1)="、"),REPLACEB(TRIM($A31),1,4,""),TRIM($A31)),1,6,""),报表调整!$J$5:$J$65536)</f>
        <v>0</v>
      </c>
      <c r="G31" s="413">
        <f>B31-C31-E31+D31+F31</f>
        <v>0</v>
      </c>
      <c r="H31" s="413"/>
      <c r="I31" s="414">
        <f t="shared" si="0"/>
        <v>0</v>
      </c>
    </row>
    <row r="32" spans="1:12" ht="15" customHeight="1">
      <c r="A32" s="193" t="str">
        <f>报表格式!L31</f>
        <v xml:space="preserve">        （二）期货收益</v>
      </c>
      <c r="B32" s="429">
        <f>未审PL!D32</f>
        <v>0</v>
      </c>
      <c r="C32" s="413">
        <f>SUMIF(账项调整!$E$5:$E$65536,REPLACEB(IF(OR(MID(TRIM($A32),2,1)="：",MID(TRIM($A32),2,1)="、"),REPLACEB(TRIM($A32),1,4,""),TRIM($A32)),1,6,""),账项调整!$J$5:$J$65536)</f>
        <v>0</v>
      </c>
      <c r="D32" s="413">
        <f>SUMIF(账项调整!$H$5:$H$65536,REPLACEB(IF(OR(MID(TRIM($A32),2,1)="：",MID(TRIM($A32),2,1)="、"),REPLACEB(TRIM($A32),1,4,""),TRIM($A32)),1,6,""),账项调整!$J$5:$J$65536)</f>
        <v>0</v>
      </c>
      <c r="E32" s="413">
        <f>SUMIF(报表调整!$E$5:$E$65536,REPLACEB(IF(OR(MID(TRIM($A32),2,1)="：",MID(TRIM($A32),2,1)="、"),REPLACEB(TRIM($A32),1,4,""),TRIM($A32)),1,6,""),报表调整!$J$5:$J$65536)</f>
        <v>0</v>
      </c>
      <c r="F32" s="413">
        <f>SUMIF(报表调整!$H$5:$H$65536,REPLACEB(IF(OR(MID(TRIM($A32),2,1)="：",MID(TRIM($A32),2,1)="、"),REPLACEB(TRIM($A32),1,4,""),TRIM($A32)),1,6,""),报表调整!$J$5:$J$65536)</f>
        <v>0</v>
      </c>
      <c r="G32" s="413">
        <f t="shared" ref="G32:G41" si="5">B32-C32-E32+D32+F32</f>
        <v>0</v>
      </c>
      <c r="H32" s="413"/>
      <c r="I32" s="414">
        <f t="shared" si="0"/>
        <v>0</v>
      </c>
    </row>
    <row r="33" spans="1:9" ht="15" customHeight="1">
      <c r="A33" s="193" t="str">
        <f>报表格式!L32</f>
        <v xml:space="preserve">        （三）补贴收入</v>
      </c>
      <c r="B33" s="429">
        <f>未审PL!D33</f>
        <v>0</v>
      </c>
      <c r="C33" s="413">
        <f>SUMIF(账项调整!$E$5:$E$65536,REPLACEB(IF(OR(MID(TRIM($A33),2,1)="：",MID(TRIM($A33),2,1)="、"),REPLACEB(TRIM($A33),1,4,""),TRIM($A33)),1,6,""),账项调整!$J$5:$J$65536)</f>
        <v>0</v>
      </c>
      <c r="D33" s="413">
        <f>SUMIF(账项调整!$H$5:$H$65536,REPLACEB(IF(OR(MID(TRIM($A33),2,1)="：",MID(TRIM($A33),2,1)="、"),REPLACEB(TRIM($A33),1,4,""),TRIM($A33)),1,6,""),账项调整!$J$5:$J$65536)</f>
        <v>0</v>
      </c>
      <c r="E33" s="413">
        <f>SUMIF(报表调整!$E$5:$E$65536,REPLACEB(IF(OR(MID(TRIM($A33),2,1)="：",MID(TRIM($A33),2,1)="、"),REPLACEB(TRIM($A33),1,4,""),TRIM($A33)),1,6,""),报表调整!$J$5:$J$65536)</f>
        <v>0</v>
      </c>
      <c r="F33" s="413">
        <f>SUMIF(报表调整!$H$5:$H$65536,REPLACEB(IF(OR(MID(TRIM($A33),2,1)="：",MID(TRIM($A33),2,1)="、"),REPLACEB(TRIM($A33),1,4,""),TRIM($A33)),1,6,""),报表调整!$J$5:$J$65536)</f>
        <v>0</v>
      </c>
      <c r="G33" s="413">
        <f t="shared" si="5"/>
        <v>0</v>
      </c>
      <c r="H33" s="413"/>
      <c r="I33" s="414">
        <f t="shared" si="0"/>
        <v>0</v>
      </c>
    </row>
    <row r="34" spans="1:9" ht="15" customHeight="1">
      <c r="A34" s="193" t="str">
        <f>报表格式!L33</f>
        <v xml:space="preserve">             其中：补贴前亏损的企业补贴收入</v>
      </c>
      <c r="B34" s="429">
        <f>未审PL!D34</f>
        <v>0</v>
      </c>
      <c r="C34" s="413">
        <f>SUMIF(账项调整!$F$5:$F$65536,IF(OR(MID(TRIM($A34),2,1)="：",MID(TRIM($A34),2,1)="、"),REPLACEB(TRIM($A34),1,4,""),TRIM($A34)),账项调整!$J$5:$J$65536)</f>
        <v>0</v>
      </c>
      <c r="D34" s="413">
        <f>SUMIF(账项调整!$I$5:$I$65536,IF(OR(MID(TRIM($A34),2,1)="：",MID(TRIM($A34),2,1)="、"),REPLACEB(TRIM($A34),1,4,""),TRIM($A34)),账项调整!$J$5:$J$65536)</f>
        <v>0</v>
      </c>
      <c r="E34" s="413">
        <f>SUMIF(报表调整!$F$5:$F$65536,IF(OR(MID(TRIM($A34),2,1)="：",MID(TRIM($A34),2,1)="、"),REPLACEB(TRIM($A34),1,4,""),TRIM($A34)),报表调整!$J$5:$J$65536)</f>
        <v>0</v>
      </c>
      <c r="F34" s="413">
        <f>SUMIF(报表调整!$I$5:$I$65536,IF(OR(MID(TRIM($A34),2,1)="：",MID(TRIM($A34),2,1)="、"),REPLACEB(TRIM($A34),1,4,""),TRIM($A34)),报表调整!$J$5:$J$65536)</f>
        <v>0</v>
      </c>
      <c r="G34" s="413">
        <f t="shared" si="5"/>
        <v>0</v>
      </c>
      <c r="H34" s="413"/>
      <c r="I34" s="414">
        <f t="shared" si="0"/>
        <v>0</v>
      </c>
    </row>
    <row r="35" spans="1:9" ht="15" customHeight="1">
      <c r="A35" s="193" t="str">
        <f>报表格式!L34</f>
        <v xml:space="preserve">        （四）营业外收入</v>
      </c>
      <c r="B35" s="429">
        <f>未审PL!D35</f>
        <v>0</v>
      </c>
      <c r="C35" s="413">
        <f>SUMIF(账项调整!$E$5:$E$65536,REPLACEB(IF(OR(MID(TRIM($A35),2,1)="：",MID(TRIM($A35),2,1)="、"),REPLACEB(TRIM($A35),1,4,""),TRIM($A35)),1,6,""),账项调整!$J$5:$J$65536)</f>
        <v>0</v>
      </c>
      <c r="D35" s="413">
        <f>SUMIF(账项调整!$H$5:$H$65536,REPLACEB(IF(OR(MID(TRIM($A35),2,1)="：",MID(TRIM($A35),2,1)="、"),REPLACEB(TRIM($A35),1,4,""),TRIM($A35)),1,6,""),账项调整!$J$5:$J$65536)</f>
        <v>0</v>
      </c>
      <c r="E35" s="413">
        <f>SUMIF(报表调整!$E$5:$E$65536,REPLACEB(IF(OR(MID(TRIM($A35),2,1)="：",MID(TRIM($A35),2,1)="、"),REPLACEB(TRIM($A35),1,4,""),TRIM($A35)),1,6,""),报表调整!$J$5:$J$65536)</f>
        <v>0</v>
      </c>
      <c r="F35" s="413">
        <f>SUMIF(报表调整!$H$5:$H$65536,REPLACEB(IF(OR(MID(TRIM($A35),2,1)="：",MID(TRIM($A35),2,1)="、"),REPLACEB(TRIM($A35),1,4,""),TRIM($A35)),1,6,""),报表调整!$J$5:$J$65536)</f>
        <v>0</v>
      </c>
      <c r="G35" s="413">
        <f t="shared" si="5"/>
        <v>0</v>
      </c>
      <c r="H35" s="413"/>
      <c r="I35" s="414">
        <f t="shared" si="0"/>
        <v>0</v>
      </c>
    </row>
    <row r="36" spans="1:9" ht="15" customHeight="1">
      <c r="A36" s="193" t="str">
        <f>报表格式!L35</f>
        <v xml:space="preserve">             其中：处置固定资产净收益</v>
      </c>
      <c r="B36" s="429">
        <f>未审PL!D36</f>
        <v>0</v>
      </c>
      <c r="C36" s="413">
        <f>SUMIF(账项调整!$F$5:$F$65536,IF(OR(MID(TRIM($A36),2,1)="：",MID(TRIM($A36),2,1)="、"),REPLACEB(TRIM($A36),1,4,""),TRIM($A36)),账项调整!$J$5:$J$65536)</f>
        <v>0</v>
      </c>
      <c r="D36" s="413">
        <f>SUMIF(账项调整!$I$5:$I$65536,IF(OR(MID(TRIM($A36),2,1)="：",MID(TRIM($A36),2,1)="、"),REPLACEB(TRIM($A36),1,4,""),TRIM($A36)),账项调整!$J$5:$J$65536)</f>
        <v>0</v>
      </c>
      <c r="E36" s="413">
        <f>SUMIF(报表调整!$F$5:$F$65536,IF(OR(MID(TRIM($A36),2,1)="：",MID(TRIM($A36),2,1)="、"),REPLACEB(TRIM($A36),1,4,""),TRIM($A36)),报表调整!$J$5:$J$65536)</f>
        <v>0</v>
      </c>
      <c r="F36" s="413">
        <f>SUMIF(报表调整!$I$5:$I$65536,IF(OR(MID(TRIM($A36),2,1)="：",MID(TRIM($A36),2,1)="、"),REPLACEB(TRIM($A36),1,4,""),TRIM($A36)),报表调整!$J$5:$J$65536)</f>
        <v>0</v>
      </c>
      <c r="G36" s="413">
        <f t="shared" si="5"/>
        <v>0</v>
      </c>
      <c r="H36" s="413"/>
      <c r="I36" s="414">
        <f t="shared" si="0"/>
        <v>0</v>
      </c>
    </row>
    <row r="37" spans="1:9" ht="15" customHeight="1">
      <c r="A37" s="193" t="str">
        <f>报表格式!L36</f>
        <v xml:space="preserve">                   非货币性交易收益</v>
      </c>
      <c r="B37" s="429">
        <f>未审PL!D37</f>
        <v>0</v>
      </c>
      <c r="C37" s="413">
        <f>SUMIF(账项调整!$F$5:$F$65536,IF(OR(MID(TRIM($A37),2,1)="：",MID(TRIM($A37),2,1)="、"),REPLACEB(TRIM($A37),1,4,""),TRIM($A37)),账项调整!$J$5:$J$65536)</f>
        <v>0</v>
      </c>
      <c r="D37" s="413">
        <f>SUMIF(账项调整!$I$5:$I$65536,IF(OR(MID(TRIM($A37),2,1)="：",MID(TRIM($A37),2,1)="、"),REPLACEB(TRIM($A37),1,4,""),TRIM($A37)),账项调整!$J$5:$J$65536)</f>
        <v>0</v>
      </c>
      <c r="E37" s="413">
        <f>SUMIF(报表调整!$F$5:$F$65536,IF(OR(MID(TRIM($A37),2,1)="：",MID(TRIM($A37),2,1)="、"),REPLACEB(TRIM($A37),1,4,""),TRIM($A37)),报表调整!$J$5:$J$65536)</f>
        <v>0</v>
      </c>
      <c r="F37" s="413">
        <f>SUMIF(报表调整!$I$5:$I$65536,IF(OR(MID(TRIM($A37),2,1)="：",MID(TRIM($A37),2,1)="、"),REPLACEB(TRIM($A37),1,4,""),TRIM($A37)),报表调整!$J$5:$J$65536)</f>
        <v>0</v>
      </c>
      <c r="G37" s="413">
        <f t="shared" si="5"/>
        <v>0</v>
      </c>
      <c r="H37" s="413"/>
      <c r="I37" s="414">
        <f t="shared" si="0"/>
        <v>0</v>
      </c>
    </row>
    <row r="38" spans="1:9" ht="15" customHeight="1">
      <c r="A38" s="193" t="str">
        <f>报表格式!L37</f>
        <v xml:space="preserve">                   出售无形资产收益</v>
      </c>
      <c r="B38" s="429">
        <f>未审PL!D38</f>
        <v>0</v>
      </c>
      <c r="C38" s="413">
        <f>SUMIF(账项调整!$F$5:$F$65536,IF(OR(MID(TRIM($A38),2,1)="：",MID(TRIM($A38),2,1)="、"),REPLACEB(TRIM($A38),1,4,""),TRIM($A38)),账项调整!$J$5:$J$65536)</f>
        <v>0</v>
      </c>
      <c r="D38" s="413">
        <f>SUMIF(账项调整!$I$5:$I$65536,IF(OR(MID(TRIM($A38),2,1)="：",MID(TRIM($A38),2,1)="、"),REPLACEB(TRIM($A38),1,4,""),TRIM($A38)),账项调整!$J$5:$J$65536)</f>
        <v>0</v>
      </c>
      <c r="E38" s="413">
        <f>SUMIF(报表调整!$F$5:$F$65536,IF(OR(MID(TRIM($A38),2,1)="：",MID(TRIM($A38),2,1)="、"),REPLACEB(TRIM($A38),1,4,""),TRIM($A38)),报表调整!$J$5:$J$65536)</f>
        <v>0</v>
      </c>
      <c r="F38" s="413">
        <f>SUMIF(报表调整!$I$5:$I$65536,IF(OR(MID(TRIM($A38),2,1)="：",MID(TRIM($A38),2,1)="、"),REPLACEB(TRIM($A38),1,4,""),TRIM($A38)),报表调整!$J$5:$J$65536)</f>
        <v>0</v>
      </c>
      <c r="G38" s="413">
        <f t="shared" si="5"/>
        <v>0</v>
      </c>
      <c r="H38" s="413"/>
      <c r="I38" s="414">
        <f t="shared" si="0"/>
        <v>0</v>
      </c>
    </row>
    <row r="39" spans="1:9" ht="15" customHeight="1">
      <c r="A39" s="193" t="str">
        <f>报表格式!L38</f>
        <v xml:space="preserve">                   罚款净收入</v>
      </c>
      <c r="B39" s="429">
        <f>未审PL!D39</f>
        <v>0</v>
      </c>
      <c r="C39" s="413">
        <f>SUMIF(账项调整!$F$5:$F$65536,IF(OR(MID(TRIM($A39),2,1)="：",MID(TRIM($A39),2,1)="、"),REPLACEB(TRIM($A39),1,4,""),TRIM($A39)),账项调整!$J$5:$J$65536)</f>
        <v>0</v>
      </c>
      <c r="D39" s="413">
        <f>SUMIF(账项调整!$I$5:$I$65536,IF(OR(MID(TRIM($A39),2,1)="：",MID(TRIM($A39),2,1)="、"),REPLACEB(TRIM($A39),1,4,""),TRIM($A39)),账项调整!$J$5:$J$65536)</f>
        <v>0</v>
      </c>
      <c r="E39" s="413">
        <f>SUMIF(报表调整!$F$5:$F$65536,IF(OR(MID(TRIM($A39),2,1)="：",MID(TRIM($A39),2,1)="、"),REPLACEB(TRIM($A39),1,4,""),TRIM($A39)),报表调整!$J$5:$J$65536)</f>
        <v>0</v>
      </c>
      <c r="F39" s="413">
        <f>SUMIF(报表调整!$I$5:$I$65536,IF(OR(MID(TRIM($A39),2,1)="：",MID(TRIM($A39),2,1)="、"),REPLACEB(TRIM($A39),1,4,""),TRIM($A39)),报表调整!$J$5:$J$65536)</f>
        <v>0</v>
      </c>
      <c r="G39" s="413">
        <f t="shared" si="5"/>
        <v>0</v>
      </c>
      <c r="H39" s="413"/>
      <c r="I39" s="414">
        <f t="shared" si="0"/>
        <v>0</v>
      </c>
    </row>
    <row r="40" spans="1:9" ht="15" customHeight="1">
      <c r="A40" s="193" t="str">
        <f>报表格式!L39</f>
        <v xml:space="preserve">        （五）其他</v>
      </c>
      <c r="B40" s="429">
        <f>未审PL!D40</f>
        <v>0</v>
      </c>
      <c r="C40" s="413">
        <f>SUMIF(账项调整!$E$5:$E$65536,REPLACEB(IF(OR(MID(TRIM($A40),2,1)="：",MID(TRIM($A40),2,1)="、"),REPLACEB(TRIM($A40),1,4,""),TRIM($A40)),1,6,""),账项调整!$J$5:$J$65536)</f>
        <v>0</v>
      </c>
      <c r="D40" s="413">
        <f>SUMIF(账项调整!$H$5:$H$65536,REPLACEB(IF(OR(MID(TRIM($A40),2,1)="：",MID(TRIM($A40),2,1)="、"),REPLACEB(TRIM($A40),1,4,""),TRIM($A40)),1,6,""),账项调整!$J$5:$J$65536)</f>
        <v>0</v>
      </c>
      <c r="E40" s="413">
        <f>SUMIF(报表调整!$E$5:$E$65536,REPLACEB(IF(OR(MID(TRIM($A40),2,1)="：",MID(TRIM($A40),2,1)="、"),REPLACEB(TRIM($A40),1,4,""),TRIM($A40)),1,6,""),报表调整!$J$5:$J$65536)</f>
        <v>0</v>
      </c>
      <c r="F40" s="413">
        <f>SUMIF(报表调整!$H$5:$H$65536,REPLACEB(IF(OR(MID(TRIM($A40),2,1)="：",MID(TRIM($A40),2,1)="、"),REPLACEB(TRIM($A40),1,4,""),TRIM($A40)),1,6,""),报表调整!$J$5:$J$65536)</f>
        <v>0</v>
      </c>
      <c r="G40" s="413">
        <f t="shared" si="5"/>
        <v>0</v>
      </c>
      <c r="H40" s="413"/>
      <c r="I40" s="414">
        <f t="shared" si="0"/>
        <v>0</v>
      </c>
    </row>
    <row r="41" spans="1:9" ht="15" customHeight="1">
      <c r="A41" s="193" t="str">
        <f>报表格式!L40</f>
        <v xml:space="preserve">             其中：用以前年度含量工资结余弥补利润</v>
      </c>
      <c r="B41" s="429">
        <f>未审PL!D41</f>
        <v>0</v>
      </c>
      <c r="C41" s="413">
        <f>SUMIF(账项调整!$F$5:$F$65536,IF(OR(MID(TRIM($A41),2,1)="：",MID(TRIM($A41),2,1)="、"),REPLACEB(TRIM($A41),1,4,""),TRIM($A41)),账项调整!$J$5:$J$65536)</f>
        <v>0</v>
      </c>
      <c r="D41" s="413">
        <f>SUMIF(账项调整!$I$5:$I$65536,IF(OR(MID(TRIM($A41),2,1)="：",MID(TRIM($A41),2,1)="、"),REPLACEB(TRIM($A41),1,4,""),TRIM($A41)),账项调整!$J$5:$J$65536)</f>
        <v>0</v>
      </c>
      <c r="E41" s="413">
        <f>SUMIF(报表调整!$F$5:$F$65536,IF(OR(MID(TRIM($A41),2,1)="：",MID(TRIM($A41),2,1)="、"),REPLACEB(TRIM($A41),1,4,""),TRIM($A41)),报表调整!$J$5:$J$65536)</f>
        <v>0</v>
      </c>
      <c r="F41" s="413">
        <f>SUMIF(报表调整!$I$5:$I$65536,IF(OR(MID(TRIM($A41),2,1)="：",MID(TRIM($A41),2,1)="、"),REPLACEB(TRIM($A41),1,4,""),TRIM($A41)),报表调整!$J$5:$J$65536)</f>
        <v>0</v>
      </c>
      <c r="G41" s="413">
        <f t="shared" si="5"/>
        <v>0</v>
      </c>
      <c r="H41" s="413"/>
      <c r="I41" s="414">
        <f t="shared" si="0"/>
        <v>0</v>
      </c>
    </row>
    <row r="42" spans="1:9" ht="15" customHeight="1">
      <c r="A42" s="193" t="str">
        <f>报表格式!L41</f>
        <v xml:space="preserve">    减：（一）营业外支出</v>
      </c>
      <c r="B42" s="413">
        <f>未审PL!D42</f>
        <v>0</v>
      </c>
      <c r="C42" s="413">
        <f>SUMIF(账项调整!$E$5:$E$65536,REPLACEB(IF(OR(MID(TRIM($A42),2,1)="：",MID(TRIM($A42),2,1)="、"),REPLACEB(TRIM($A42),1,4,""),TRIM($A42)),1,6,""),账项调整!$J$5:$J$65536)</f>
        <v>0</v>
      </c>
      <c r="D42" s="413">
        <f>SUMIF(账项调整!$H$5:$H$65536,REPLACEB(IF(OR(MID(TRIM($A42),2,1)="：",MID(TRIM($A42),2,1)="、"),REPLACEB(TRIM($A42),1,4,""),TRIM($A42)),1,6,""),账项调整!$J$5:$J$65536)</f>
        <v>0</v>
      </c>
      <c r="E42" s="413">
        <f>SUMIF(报表调整!$E$5:$E$65536,REPLACEB(IF(OR(MID(TRIM($A42),2,1)="：",MID(TRIM($A42),2,1)="、"),REPLACEB(TRIM($A42),1,4,""),TRIM($A42)),1,6,""),报表调整!$J$5:$J$65536)</f>
        <v>0</v>
      </c>
      <c r="F42" s="413">
        <f>SUMIF(报表调整!$H$5:$H$65536,REPLACEB(IF(OR(MID(TRIM($A42),2,1)="：",MID(TRIM($A42),2,1)="、"),REPLACEB(TRIM($A42),1,4,""),TRIM($A42)),1,6,""),报表调整!$J$5:$J$65536)</f>
        <v>0</v>
      </c>
      <c r="G42" s="413">
        <f>B42+C42+E42-D42-F42</f>
        <v>0</v>
      </c>
      <c r="H42" s="413"/>
      <c r="I42" s="414">
        <f t="shared" si="0"/>
        <v>0</v>
      </c>
    </row>
    <row r="43" spans="1:9" ht="15" customHeight="1">
      <c r="A43" s="193" t="str">
        <f>报表格式!L42</f>
        <v xml:space="preserve">             其中：处置固定资产净损失</v>
      </c>
      <c r="B43" s="413">
        <f>未审PL!D43</f>
        <v>0</v>
      </c>
      <c r="C43" s="413">
        <f>SUMIF(账项调整!$F$5:$F$65536,IF(OR(MID(TRIM($A43),2,1)="：",MID(TRIM($A43),2,1)="、"),REPLACEB(TRIM($A43),1,4,""),TRIM($A43)),账项调整!$J$5:$J$65536)</f>
        <v>0</v>
      </c>
      <c r="D43" s="413">
        <f>SUMIF(账项调整!$I$5:$I$65536,IF(OR(MID(TRIM($A43),2,1)="：",MID(TRIM($A43),2,1)="、"),REPLACEB(TRIM($A43),1,4,""),TRIM($A43)),账项调整!$J$5:$J$65536)</f>
        <v>0</v>
      </c>
      <c r="E43" s="413">
        <f>SUMIF(报表调整!$F$5:$F$65536,IF(OR(MID(TRIM($A43),2,1)="：",MID(TRIM($A43),2,1)="、"),REPLACEB(TRIM($A43),1,4,""),TRIM($A43)),报表调整!$J$5:$J$65536)</f>
        <v>0</v>
      </c>
      <c r="F43" s="413">
        <f>SUMIF(报表调整!$I$5:$I$65536,IF(OR(MID(TRIM($A43),2,1)="：",MID(TRIM($A43),2,1)="、"),REPLACEB(TRIM($A43),1,4,""),TRIM($A43)),报表调整!$J$5:$J$65536)</f>
        <v>0</v>
      </c>
      <c r="G43" s="413">
        <f t="shared" ref="G43:G48" si="6">B43+C43+E43-D43-F43</f>
        <v>0</v>
      </c>
      <c r="H43" s="413"/>
      <c r="I43" s="414">
        <f t="shared" si="0"/>
        <v>0</v>
      </c>
    </row>
    <row r="44" spans="1:9" ht="15" customHeight="1">
      <c r="A44" s="193" t="str">
        <f>报表格式!L43</f>
        <v xml:space="preserve">                   出售无形资产损失</v>
      </c>
      <c r="B44" s="413">
        <f>未审PL!D44</f>
        <v>0</v>
      </c>
      <c r="C44" s="413">
        <f>SUMIF(账项调整!$F$5:$F$65536,IF(OR(MID(TRIM($A44),2,1)="：",MID(TRIM($A44),2,1)="、"),REPLACEB(TRIM($A44),1,4,""),TRIM($A44)),账项调整!$J$5:$J$65536)</f>
        <v>0</v>
      </c>
      <c r="D44" s="413">
        <f>SUMIF(账项调整!$I$5:$I$65536,IF(OR(MID(TRIM($A44),2,1)="：",MID(TRIM($A44),2,1)="、"),REPLACEB(TRIM($A44),1,4,""),TRIM($A44)),账项调整!$J$5:$J$65536)</f>
        <v>0</v>
      </c>
      <c r="E44" s="413">
        <f>SUMIF(报表调整!$F$5:$F$65536,IF(OR(MID(TRIM($A44),2,1)="：",MID(TRIM($A44),2,1)="、"),REPLACEB(TRIM($A44),1,4,""),TRIM($A44)),报表调整!$J$5:$J$65536)</f>
        <v>0</v>
      </c>
      <c r="F44" s="413">
        <f>SUMIF(报表调整!$I$5:$I$65536,IF(OR(MID(TRIM($A44),2,1)="：",MID(TRIM($A44),2,1)="、"),REPLACEB(TRIM($A44),1,4,""),TRIM($A44)),报表调整!$J$5:$J$65536)</f>
        <v>0</v>
      </c>
      <c r="G44" s="413">
        <f t="shared" si="6"/>
        <v>0</v>
      </c>
      <c r="H44" s="413"/>
      <c r="I44" s="414">
        <f t="shared" si="0"/>
        <v>0</v>
      </c>
    </row>
    <row r="45" spans="1:9" ht="15" customHeight="1">
      <c r="A45" s="193" t="str">
        <f>报表格式!L44</f>
        <v xml:space="preserve">                   罚款支出</v>
      </c>
      <c r="B45" s="413">
        <f>未审PL!D45</f>
        <v>0</v>
      </c>
      <c r="C45" s="413">
        <f>SUMIF(账项调整!$F$5:$F$65536,IF(OR(MID(TRIM($A45),2,1)="：",MID(TRIM($A45),2,1)="、"),REPLACEB(TRIM($A45),1,4,""),TRIM($A45)),账项调整!$J$5:$J$65536)</f>
        <v>0</v>
      </c>
      <c r="D45" s="413">
        <f>SUMIF(账项调整!$I$5:$I$65536,IF(OR(MID(TRIM($A45),2,1)="：",MID(TRIM($A45),2,1)="、"),REPLACEB(TRIM($A45),1,4,""),TRIM($A45)),账项调整!$J$5:$J$65536)</f>
        <v>0</v>
      </c>
      <c r="E45" s="413">
        <f>SUMIF(报表调整!$F$5:$F$65536,IF(OR(MID(TRIM($A45),2,1)="：",MID(TRIM($A45),2,1)="、"),REPLACEB(TRIM($A45),1,4,""),TRIM($A45)),报表调整!$J$5:$J$65536)</f>
        <v>0</v>
      </c>
      <c r="F45" s="413">
        <f>SUMIF(报表调整!$I$5:$I$65536,IF(OR(MID(TRIM($A45),2,1)="：",MID(TRIM($A45),2,1)="、"),REPLACEB(TRIM($A45),1,4,""),TRIM($A45)),报表调整!$J$5:$J$65536)</f>
        <v>0</v>
      </c>
      <c r="G45" s="413">
        <f t="shared" si="6"/>
        <v>0</v>
      </c>
      <c r="H45" s="413"/>
      <c r="I45" s="414">
        <f t="shared" si="0"/>
        <v>0</v>
      </c>
    </row>
    <row r="46" spans="1:9" ht="15" customHeight="1">
      <c r="A46" s="193" t="str">
        <f>报表格式!L45</f>
        <v xml:space="preserve">                   捐赠支出</v>
      </c>
      <c r="B46" s="413">
        <f>未审PL!D46</f>
        <v>0</v>
      </c>
      <c r="C46" s="413">
        <f>SUMIF(账项调整!$F$5:$F$65536,IF(OR(MID(TRIM($A46),2,1)="：",MID(TRIM($A46),2,1)="、"),REPLACEB(TRIM($A46),1,4,""),TRIM($A46)),账项调整!$J$5:$J$65536)</f>
        <v>0</v>
      </c>
      <c r="D46" s="413">
        <f>SUMIF(账项调整!$I$5:$I$65536,IF(OR(MID(TRIM($A46),2,1)="：",MID(TRIM($A46),2,1)="、"),REPLACEB(TRIM($A46),1,4,""),TRIM($A46)),账项调整!$J$5:$J$65536)</f>
        <v>0</v>
      </c>
      <c r="E46" s="413">
        <f>SUMIF(报表调整!$F$5:$F$65536,IF(OR(MID(TRIM($A46),2,1)="：",MID(TRIM($A46),2,1)="、"),REPLACEB(TRIM($A46),1,4,""),TRIM($A46)),报表调整!$J$5:$J$65536)</f>
        <v>0</v>
      </c>
      <c r="F46" s="413">
        <f>SUMIF(报表调整!$I$5:$I$65536,IF(OR(MID(TRIM($A46),2,1)="：",MID(TRIM($A46),2,1)="、"),REPLACEB(TRIM($A46),1,4,""),TRIM($A46)),报表调整!$J$5:$J$65536)</f>
        <v>0</v>
      </c>
      <c r="G46" s="413">
        <f t="shared" si="6"/>
        <v>0</v>
      </c>
      <c r="H46" s="413"/>
      <c r="I46" s="414">
        <f t="shared" si="0"/>
        <v>0</v>
      </c>
    </row>
    <row r="47" spans="1:9" ht="15" customHeight="1">
      <c r="A47" s="193" t="str">
        <f>报表格式!L46</f>
        <v xml:space="preserve">        （二）其他支出</v>
      </c>
      <c r="B47" s="413">
        <f>未审PL!D47</f>
        <v>0</v>
      </c>
      <c r="C47" s="413">
        <f>SUMIF(账项调整!$E$5:$E$65536,REPLACEB(IF(OR(MID(TRIM($A47),2,1)="：",MID(TRIM($A47),2,1)="、"),REPLACEB(TRIM($A47),1,4,""),TRIM($A47)),1,6,""),账项调整!$J$5:$J$65536)</f>
        <v>0</v>
      </c>
      <c r="D47" s="413">
        <f>SUMIF(账项调整!$H$5:$H$65536,REPLACEB(IF(OR(MID(TRIM($A47),2,1)="：",MID(TRIM($A47),2,1)="、"),REPLACEB(TRIM($A47),1,4,""),TRIM($A47)),1,6,""),账项调整!$J$5:$J$65536)</f>
        <v>0</v>
      </c>
      <c r="E47" s="413">
        <f>SUMIF(报表调整!$E$5:$E$65536,REPLACEB(IF(OR(MID(TRIM($A47),2,1)="：",MID(TRIM($A47),2,1)="、"),REPLACEB(TRIM($A47),1,4,""),TRIM($A47)),1,6,""),报表调整!$J$5:$J$65536)</f>
        <v>0</v>
      </c>
      <c r="F47" s="413">
        <f>SUMIF(报表调整!$H$5:$H$65536,REPLACEB(IF(OR(MID(TRIM($A47),2,1)="：",MID(TRIM($A47),2,1)="、"),REPLACEB(TRIM($A47),1,4,""),TRIM($A47)),1,6,""),报表调整!$J$5:$J$65536)</f>
        <v>0</v>
      </c>
      <c r="G47" s="413">
        <f t="shared" si="6"/>
        <v>0</v>
      </c>
      <c r="H47" s="413"/>
      <c r="I47" s="414">
        <f t="shared" si="0"/>
        <v>0</v>
      </c>
    </row>
    <row r="48" spans="1:9" ht="15" customHeight="1">
      <c r="A48" s="193" t="str">
        <f>报表格式!L47</f>
        <v xml:space="preserve">             其中：结转的含量工资包干结余</v>
      </c>
      <c r="B48" s="413">
        <f>未审PL!D48</f>
        <v>0</v>
      </c>
      <c r="C48" s="413">
        <f>SUMIF(账项调整!$F$5:$F$65536,IF(OR(MID(TRIM($A48),2,1)="：",MID(TRIM($A48),2,1)="、"),REPLACEB(TRIM($A48),1,4,""),TRIM($A48)),账项调整!$J$5:$J$65536)</f>
        <v>0</v>
      </c>
      <c r="D48" s="413">
        <f>SUMIF(账项调整!$I$5:$I$65536,IF(OR(MID(TRIM($A48),2,1)="：",MID(TRIM($A48),2,1)="、"),REPLACEB(TRIM($A48),1,4,""),TRIM($A48)),账项调整!$J$5:$J$65536)</f>
        <v>0</v>
      </c>
      <c r="E48" s="413">
        <f>SUMIF(报表调整!$F$5:$F$65536,IF(OR(MID(TRIM($A48),2,1)="：",MID(TRIM($A48),2,1)="、"),REPLACEB(TRIM($A48),1,4,""),TRIM($A48)),报表调整!$J$5:$J$65536)</f>
        <v>0</v>
      </c>
      <c r="F48" s="413">
        <f>SUMIF(报表调整!$I$5:$I$65536,IF(OR(MID(TRIM($A48),2,1)="：",MID(TRIM($A48),2,1)="、"),REPLACEB(TRIM($A48),1,4,""),TRIM($A48)),报表调整!$J$5:$J$65536)</f>
        <v>0</v>
      </c>
      <c r="G48" s="413">
        <f t="shared" si="6"/>
        <v>0</v>
      </c>
      <c r="H48" s="413"/>
      <c r="I48" s="414">
        <f t="shared" si="0"/>
        <v>0</v>
      </c>
    </row>
    <row r="49" spans="1:9" ht="15" customHeight="1">
      <c r="A49" s="177" t="str">
        <f>报表格式!L48</f>
        <v>五、利润总额</v>
      </c>
      <c r="B49" s="415">
        <f t="shared" ref="B49:H49" si="7">B30+B31+B32+B33+B35+B40-B42-B47</f>
        <v>0</v>
      </c>
      <c r="C49" s="415">
        <f t="shared" si="7"/>
        <v>0</v>
      </c>
      <c r="D49" s="415">
        <f t="shared" si="7"/>
        <v>0</v>
      </c>
      <c r="E49" s="415">
        <f t="shared" si="7"/>
        <v>0</v>
      </c>
      <c r="F49" s="415">
        <f t="shared" si="7"/>
        <v>0</v>
      </c>
      <c r="G49" s="415">
        <f t="shared" si="7"/>
        <v>0</v>
      </c>
      <c r="H49" s="415">
        <f t="shared" si="7"/>
        <v>0</v>
      </c>
      <c r="I49" s="416">
        <f t="shared" si="0"/>
        <v>0</v>
      </c>
    </row>
    <row r="50" spans="1:9" ht="15" customHeight="1">
      <c r="A50" s="193" t="str">
        <f>报表格式!L49</f>
        <v xml:space="preserve">    减：所得税</v>
      </c>
      <c r="B50" s="413">
        <f>未审PL!D50</f>
        <v>0</v>
      </c>
      <c r="C50" s="413">
        <f>SUMIF(账项调整!$E$5:$E$65536,IF(OR(MID(TRIM($A50),2,1)="：",MID(TRIM($A50),2,1)="、"),REPLACEB(TRIM($A50),1,4,""),TRIM($A50)),账项调整!$J$5:$J$65536)</f>
        <v>0</v>
      </c>
      <c r="D50" s="413">
        <f>SUMIF(账项调整!$H$5:$H$65536,IF(OR(MID(TRIM($A50),2,1)="：",MID(TRIM($A50),2,1)="、"),REPLACEB(TRIM($A50),1,4,""),TRIM($A50)),账项调整!$J$5:$J$65536)</f>
        <v>0</v>
      </c>
      <c r="E50" s="413">
        <f>SUMIF(报表调整!$E$5:$E$65536,IF(OR(MID(TRIM($A50),2,1)="：",MID(TRIM($A50),2,1)="、"),REPLACEB(TRIM($A50),1,4,""),TRIM($A50)),报表调整!$J$5:$J$65536)</f>
        <v>0</v>
      </c>
      <c r="F50" s="413">
        <f>SUMIF(报表调整!$H$5:$H$65536,IF(OR(MID(TRIM($A50),2,1)="：",MID(TRIM($A50),2,1)="、"),REPLACEB(TRIM($A50),1,4,""),TRIM($A50)),报表调整!$J$5:$J$65536)</f>
        <v>0</v>
      </c>
      <c r="G50" s="413">
        <f>B50+C50+E50-D50-F50</f>
        <v>0</v>
      </c>
      <c r="H50" s="413"/>
      <c r="I50" s="414">
        <f t="shared" si="0"/>
        <v>0</v>
      </c>
    </row>
    <row r="51" spans="1:9" ht="15" customHeight="1">
      <c r="A51" s="193" t="str">
        <f>报表格式!L50</f>
        <v xml:space="preserve">       *少数股东损益</v>
      </c>
      <c r="B51" s="413">
        <f>未审PL!D51</f>
        <v>0</v>
      </c>
      <c r="C51" s="413">
        <f>SUMIF(账项调整!$E$5:$E$65536,REPLACEB(IF(OR(MID(TRIM($A51),2,1)="：",MID(TRIM($A51),2,1)="、"),REPLACEB(TRIM($A51),1,4,""),TRIM($A51)),1,1,""),账项调整!$J$5:$J$65536)</f>
        <v>0</v>
      </c>
      <c r="D51" s="413">
        <f>SUMIF(账项调整!$H$5:$H$65536,REPLACEB(IF(OR(MID(TRIM($A51),2,1)="：",MID(TRIM($A51),2,1)="、"),REPLACEB(TRIM($A51),1,4,""),TRIM($A51)),1,1,""),账项调整!$J$5:$J$65536)</f>
        <v>0</v>
      </c>
      <c r="E51" s="413">
        <f>SUMIF(报表调整!$E$5:$E$65536,REPLACEB(IF(OR(MID(TRIM($A51),2,1)="：",MID(TRIM($A51),2,1)="、"),REPLACEB(TRIM($A51),1,4,""),TRIM($A51)),1,1,""),报表调整!$J$5:$J$65536)</f>
        <v>0</v>
      </c>
      <c r="F51" s="413">
        <f>SUMIF(报表调整!$H$5:$H$65536,REPLACEB(IF(OR(MID(TRIM($A51),2,1)="：",MID(TRIM($A51),2,1)="、"),REPLACEB(TRIM($A51),1,4,""),TRIM($A51)),1,1,""),报表调整!$J$5:$J$65536)</f>
        <v>0</v>
      </c>
      <c r="G51" s="413">
        <f>B51+C51+E51-D51-F51</f>
        <v>0</v>
      </c>
      <c r="H51" s="413"/>
      <c r="I51" s="414">
        <f t="shared" si="0"/>
        <v>0</v>
      </c>
    </row>
    <row r="52" spans="1:9" ht="15" customHeight="1">
      <c r="A52" s="193" t="str">
        <f>报表格式!L51</f>
        <v xml:space="preserve">    加：*未确认的投资损失</v>
      </c>
      <c r="B52" s="413">
        <f>未审PL!D52</f>
        <v>0</v>
      </c>
      <c r="C52" s="413">
        <f>SUMIF(账项调整!$E$5:$E$65536,REPLACEB(IF(OR(MID(TRIM($A52),2,1)="：",MID(TRIM($A52),2,1)="、"),REPLACEB(TRIM($A52),1,4,""),TRIM($A52)),1,1,""),账项调整!$J$5:$J$65536)</f>
        <v>0</v>
      </c>
      <c r="D52" s="413">
        <f>SUMIF(账项调整!$H$5:$H$65536,REPLACEB(IF(OR(MID(TRIM($A52),2,1)="：",MID(TRIM($A52),2,1)="、"),REPLACEB(TRIM($A52),1,4,""),TRIM($A52)),1,1,""),账项调整!$J$5:$J$65536)</f>
        <v>0</v>
      </c>
      <c r="E52" s="413">
        <f>SUMIF(报表调整!$E$5:$E$65536,REPLACEB(IF(OR(MID(TRIM($A52),2,1)="：",MID(TRIM($A52),2,1)="、"),REPLACEB(TRIM($A52),1,4,""),TRIM($A52)),1,1,""),报表调整!$J$5:$J$65536)</f>
        <v>0</v>
      </c>
      <c r="F52" s="413">
        <f>SUMIF(报表调整!$H$5:$H$65536,REPLACEB(IF(OR(MID(TRIM($A52),2,1)="：",MID(TRIM($A52),2,1)="、"),REPLACEB(TRIM($A52),1,4,""),TRIM($A52)),1,1,""),报表调整!$J$5:$J$65536)</f>
        <v>0</v>
      </c>
      <c r="G52" s="413">
        <f>B52+C52+E52-D52-F52</f>
        <v>0</v>
      </c>
      <c r="H52" s="413"/>
      <c r="I52" s="414">
        <f t="shared" si="0"/>
        <v>0</v>
      </c>
    </row>
    <row r="53" spans="1:9" ht="15" customHeight="1">
      <c r="A53" s="177" t="str">
        <f>报表格式!L52</f>
        <v>六、净利润</v>
      </c>
      <c r="B53" s="415">
        <f t="shared" ref="B53:H53" si="8">B49-B50-B51+B52</f>
        <v>0</v>
      </c>
      <c r="C53" s="415">
        <f t="shared" si="8"/>
        <v>0</v>
      </c>
      <c r="D53" s="415">
        <f t="shared" si="8"/>
        <v>0</v>
      </c>
      <c r="E53" s="415">
        <f t="shared" si="8"/>
        <v>0</v>
      </c>
      <c r="F53" s="415">
        <f t="shared" si="8"/>
        <v>0</v>
      </c>
      <c r="G53" s="415">
        <f t="shared" si="8"/>
        <v>0</v>
      </c>
      <c r="H53" s="415">
        <f t="shared" si="8"/>
        <v>0</v>
      </c>
      <c r="I53" s="416">
        <f t="shared" si="0"/>
        <v>0</v>
      </c>
    </row>
    <row r="54" spans="1:9" ht="15" customHeight="1">
      <c r="A54" s="193" t="str">
        <f>报表格式!L53</f>
        <v xml:space="preserve">    加：（一）年初未分配利润</v>
      </c>
      <c r="B54" s="413">
        <f>未审PL!D54</f>
        <v>0</v>
      </c>
      <c r="C54" s="413">
        <f>SUMIF(账项调整!$E$5:$E$65536,REPLACEB(IF(OR(MID(TRIM($A54),2,1)="：",MID(TRIM($A54),2,1)="、"),REPLACEB(TRIM($A54),1,4,""),TRIM($A54)),1,6,""),账项调整!$J$5:$J$65536)</f>
        <v>0</v>
      </c>
      <c r="D54" s="413">
        <f>SUMIF(账项调整!$H$5:$H$65536,REPLACEB(IF(OR(MID(TRIM($A54),2,1)="：",MID(TRIM($A54),2,1)="、"),REPLACEB(TRIM($A54),1,4,""),TRIM($A54)),1,6,""),账项调整!$J$5:$J$65536)</f>
        <v>0</v>
      </c>
      <c r="E54" s="413">
        <f>SUMIF(报表调整!$E$5:$E$65536,REPLACEB(IF(OR(MID(TRIM($A54),2,1)="：",MID(TRIM($A54),2,1)="、"),REPLACEB(TRIM($A54),1,4,""),TRIM($A54)),1,6,""),报表调整!$J$5:$J$65536)</f>
        <v>0</v>
      </c>
      <c r="F54" s="413">
        <f>SUMIF(报表调整!$H$5:$H$65536,REPLACEB(IF(OR(MID(TRIM($A54),2,1)="：",MID(TRIM($A54),2,1)="、"),REPLACEB(TRIM($A54),1,4,""),TRIM($A54)),1,6,""),报表调整!$J$5:$J$65536)</f>
        <v>0</v>
      </c>
      <c r="G54" s="413">
        <f>B54-C54-E54+D54+F54</f>
        <v>0</v>
      </c>
      <c r="H54" s="413"/>
      <c r="I54" s="414">
        <f t="shared" si="0"/>
        <v>0</v>
      </c>
    </row>
    <row r="55" spans="1:9" ht="15" customHeight="1">
      <c r="A55" s="193" t="str">
        <f>报表格式!L54</f>
        <v xml:space="preserve">        （二）盈余公积补亏</v>
      </c>
      <c r="B55" s="413">
        <f>未审PL!D55</f>
        <v>0</v>
      </c>
      <c r="C55" s="413">
        <f>SUMIF(账项调整!$E$5:$E$65536,REPLACEB(IF(OR(MID(TRIM($A55),2,1)="：",MID(TRIM($A55),2,1)="、"),REPLACEB(TRIM($A55),1,4,""),TRIM($A55)),1,6,""),账项调整!$J$5:$J$65536)</f>
        <v>0</v>
      </c>
      <c r="D55" s="413">
        <f>SUMIF(账项调整!$H$5:$H$65536,REPLACEB(IF(OR(MID(TRIM($A55),2,1)="：",MID(TRIM($A55),2,1)="、"),REPLACEB(TRIM($A55),1,4,""),TRIM($A55)),1,6,""),账项调整!$J$5:$J$65536)</f>
        <v>0</v>
      </c>
      <c r="E55" s="413">
        <f>SUMIF(报表调整!$E$5:$E$65536,REPLACEB(IF(OR(MID(TRIM($A55),2,1)="：",MID(TRIM($A55),2,1)="、"),REPLACEB(TRIM($A55),1,4,""),TRIM($A55)),1,6,""),报表调整!$J$5:$J$65536)</f>
        <v>0</v>
      </c>
      <c r="F55" s="413">
        <f>SUMIF(报表调整!$H$5:$H$65536,REPLACEB(IF(OR(MID(TRIM($A55),2,1)="：",MID(TRIM($A55),2,1)="、"),REPLACEB(TRIM($A55),1,4,""),TRIM($A55)),1,6,""),报表调整!$J$5:$J$65536)</f>
        <v>0</v>
      </c>
      <c r="G55" s="413">
        <f>B55-C55-E55+D55+F55</f>
        <v>0</v>
      </c>
      <c r="H55" s="413"/>
      <c r="I55" s="414">
        <f t="shared" si="0"/>
        <v>0</v>
      </c>
    </row>
    <row r="56" spans="1:9" ht="15" customHeight="1">
      <c r="A56" s="659" t="str">
        <f>报表格式!L55</f>
        <v xml:space="preserve">        （三）其他调整因素</v>
      </c>
      <c r="B56" s="660">
        <f>未审PL!D56</f>
        <v>0</v>
      </c>
      <c r="C56" s="660">
        <f>SUMIF(账项调整!$E$5:$E$65536,REPLACEB(IF(OR(MID(TRIM($A56),2,1)="：",MID(TRIM($A56),2,1)="、"),REPLACEB(TRIM($A56),1,4,""),TRIM($A56)),1,6,""),账项调整!$J$5:$J$65536)</f>
        <v>0</v>
      </c>
      <c r="D56" s="660">
        <f>SUMIF(账项调整!$H$5:$H$65536,REPLACEB(IF(OR(MID(TRIM($A56),2,1)="：",MID(TRIM($A56),2,1)="、"),REPLACEB(TRIM($A56),1,4,""),TRIM($A56)),1,6,""),账项调整!$J$5:$J$65536)</f>
        <v>0</v>
      </c>
      <c r="E56" s="660">
        <f>SUMIF(报表调整!$E$5:$E$65536,REPLACEB(IF(OR(MID(TRIM($A56),2,1)="：",MID(TRIM($A56),2,1)="、"),REPLACEB(TRIM($A56),1,4,""),TRIM($A56)),1,6,""),报表调整!$J$5:$J$65536)</f>
        <v>0</v>
      </c>
      <c r="F56" s="660">
        <f>SUMIF(报表调整!$H$5:$H$65536,REPLACEB(IF(OR(MID(TRIM($A56),2,1)="：",MID(TRIM($A56),2,1)="、"),REPLACEB(TRIM($A56),1,4,""),TRIM($A56)),1,6,""),报表调整!$J$5:$J$65536)</f>
        <v>0</v>
      </c>
      <c r="G56" s="660">
        <f>B56-C56-E56+D56+F56</f>
        <v>0</v>
      </c>
      <c r="H56" s="660"/>
      <c r="I56" s="661">
        <f t="shared" si="0"/>
        <v>0</v>
      </c>
    </row>
    <row r="57" spans="1:9" ht="15" customHeight="1">
      <c r="A57" s="177" t="str">
        <f>报表格式!L56</f>
        <v>七、可供分配的利润</v>
      </c>
      <c r="B57" s="415">
        <f t="shared" ref="B57:H57" si="9">B53+B54+B55+B56</f>
        <v>0</v>
      </c>
      <c r="C57" s="415">
        <f t="shared" si="9"/>
        <v>0</v>
      </c>
      <c r="D57" s="415">
        <f t="shared" si="9"/>
        <v>0</v>
      </c>
      <c r="E57" s="415">
        <f t="shared" si="9"/>
        <v>0</v>
      </c>
      <c r="F57" s="415">
        <f t="shared" si="9"/>
        <v>0</v>
      </c>
      <c r="G57" s="415">
        <f t="shared" si="9"/>
        <v>0</v>
      </c>
      <c r="H57" s="415">
        <f t="shared" si="9"/>
        <v>0</v>
      </c>
      <c r="I57" s="416">
        <f t="shared" si="0"/>
        <v>0</v>
      </c>
    </row>
    <row r="58" spans="1:9" ht="15" customHeight="1">
      <c r="A58" s="193" t="str">
        <f>报表格式!L57</f>
        <v xml:space="preserve">    减：（一）提取法定盈余公积</v>
      </c>
      <c r="B58" s="413">
        <f>未审PL!D58</f>
        <v>0</v>
      </c>
      <c r="C58" s="421">
        <f>SUMIF(账项调整!$E$5:$E$65536,REPLACEB(IF(OR(MID(TRIM($A58),2,1)="：",MID(TRIM($A58),2,1)="、"),REPLACEB(TRIM($A58),1,4,""),TRIM($A58)),1,6,""),账项调整!$J$5:$J$65536)</f>
        <v>0</v>
      </c>
      <c r="D58" s="421">
        <f>SUMIF(账项调整!$H$5:$H$65536,REPLACEB(IF(OR(MID(TRIM($A58),2,1)="：",MID(TRIM($A58),2,1)="、"),REPLACEB(TRIM($A58),1,4,""),TRIM($A58)),1,6,""),账项调整!$J$5:$J$65536)</f>
        <v>0</v>
      </c>
      <c r="E58" s="421">
        <f>SUMIF(报表调整!$E$5:$E$65536,REPLACEB(IF(OR(MID(TRIM($A58),2,1)="：",MID(TRIM($A58),2,1)="、"),REPLACEB(TRIM($A58),1,4,""),TRIM($A58)),1,6,""),报表调整!$J$5:$J$65536)</f>
        <v>0</v>
      </c>
      <c r="F58" s="421">
        <f>SUMIF(报表调整!$H$5:$H$65536,REPLACEB(IF(OR(MID(TRIM($A58),2,1)="：",MID(TRIM($A58),2,1)="、"),REPLACEB(TRIM($A58),1,4,""),TRIM($A58)),1,6,""),报表调整!$J$5:$J$65536)</f>
        <v>0</v>
      </c>
      <c r="G58" s="421">
        <f>B58+C58+E58-D58-F58</f>
        <v>0</v>
      </c>
      <c r="H58" s="421"/>
      <c r="I58" s="422">
        <f t="shared" si="0"/>
        <v>0</v>
      </c>
    </row>
    <row r="59" spans="1:9" ht="15" customHeight="1">
      <c r="A59" s="193" t="str">
        <f>报表格式!L58</f>
        <v xml:space="preserve">        （二）提取法定公益金</v>
      </c>
      <c r="B59" s="413">
        <f>未审PL!D59</f>
        <v>0</v>
      </c>
      <c r="C59" s="421">
        <f>SUMIF(账项调整!$E$5:$E$65536,REPLACEB(IF(OR(MID(TRIM($A59),2,1)="：",MID(TRIM($A59),2,1)="、"),REPLACEB(TRIM($A59),1,4,""),TRIM($A59)),1,6,""),账项调整!$J$5:$J$65536)</f>
        <v>0</v>
      </c>
      <c r="D59" s="421">
        <f>SUMIF(账项调整!$H$5:$H$65536,REPLACEB(IF(OR(MID(TRIM($A59),2,1)="：",MID(TRIM($A59),2,1)="、"),REPLACEB(TRIM($A59),1,4,""),TRIM($A59)),1,6,""),账项调整!$J$5:$J$65536)</f>
        <v>0</v>
      </c>
      <c r="E59" s="421">
        <f>SUMIF(报表调整!$E$5:$E$65536,REPLACEB(IF(OR(MID(TRIM($A59),2,1)="：",MID(TRIM($A59),2,1)="、"),REPLACEB(TRIM($A59),1,4,""),TRIM($A59)),1,6,""),报表调整!$J$5:$J$65536)</f>
        <v>0</v>
      </c>
      <c r="F59" s="421">
        <f>SUMIF(报表调整!$H$5:$H$65536,REPLACEB(IF(OR(MID(TRIM($A59),2,1)="：",MID(TRIM($A59),2,1)="、"),REPLACEB(TRIM($A59),1,4,""),TRIM($A59)),1,6,""),报表调整!$J$5:$J$65536)</f>
        <v>0</v>
      </c>
      <c r="G59" s="421">
        <f t="shared" ref="G59:G72" si="10">B59+C59+E59-D59-F59</f>
        <v>0</v>
      </c>
      <c r="H59" s="421"/>
      <c r="I59" s="422">
        <f t="shared" si="0"/>
        <v>0</v>
      </c>
    </row>
    <row r="60" spans="1:9" ht="15" customHeight="1">
      <c r="A60" s="193" t="str">
        <f>报表格式!L59</f>
        <v xml:space="preserve">        （三）提取职工奖励及福利基金</v>
      </c>
      <c r="B60" s="413">
        <f>未审PL!D60</f>
        <v>0</v>
      </c>
      <c r="C60" s="421">
        <f>SUMIF(账项调整!$E$5:$E$65536,REPLACEB(IF(OR(MID(TRIM($A60),2,1)="：",MID(TRIM($A60),2,1)="、"),REPLACEB(TRIM($A60),1,4,""),TRIM($A60)),1,6,""),账项调整!$J$5:$J$65536)</f>
        <v>0</v>
      </c>
      <c r="D60" s="421">
        <f>SUMIF(账项调整!$H$5:$H$65536,REPLACEB(IF(OR(MID(TRIM($A60),2,1)="：",MID(TRIM($A60),2,1)="、"),REPLACEB(TRIM($A60),1,4,""),TRIM($A60)),1,6,""),账项调整!$J$5:$J$65536)</f>
        <v>0</v>
      </c>
      <c r="E60" s="421">
        <f>SUMIF(报表调整!$E$5:$E$65536,REPLACEB(IF(OR(MID(TRIM($A60),2,1)="：",MID(TRIM($A60),2,1)="、"),REPLACEB(TRIM($A60),1,4,""),TRIM($A60)),1,6,""),报表调整!$J$5:$J$65536)</f>
        <v>0</v>
      </c>
      <c r="F60" s="421">
        <f>SUMIF(报表调整!$H$5:$H$65536,REPLACEB(IF(OR(MID(TRIM($A60),2,1)="：",MID(TRIM($A60),2,1)="、"),REPLACEB(TRIM($A60),1,4,""),TRIM($A60)),1,6,""),报表调整!$J$5:$J$65536)</f>
        <v>0</v>
      </c>
      <c r="G60" s="421">
        <f t="shared" si="10"/>
        <v>0</v>
      </c>
      <c r="H60" s="421"/>
      <c r="I60" s="422">
        <f t="shared" si="0"/>
        <v>0</v>
      </c>
    </row>
    <row r="61" spans="1:9" ht="15" customHeight="1">
      <c r="A61" s="193" t="str">
        <f>报表格式!L60</f>
        <v xml:space="preserve">        （四）提取储备基金</v>
      </c>
      <c r="B61" s="413">
        <f>未审PL!D61</f>
        <v>0</v>
      </c>
      <c r="C61" s="421">
        <f>SUMIF(账项调整!$E$5:$E$65536,REPLACEB(IF(OR(MID(TRIM($A61),2,1)="：",MID(TRIM($A61),2,1)="、"),REPLACEB(TRIM($A61),1,4,""),TRIM($A61)),1,6,""),账项调整!$J$5:$J$65536)</f>
        <v>0</v>
      </c>
      <c r="D61" s="421">
        <f>SUMIF(账项调整!$H$5:$H$65536,REPLACEB(IF(OR(MID(TRIM($A61),2,1)="：",MID(TRIM($A61),2,1)="、"),REPLACEB(TRIM($A61),1,4,""),TRIM($A61)),1,6,""),账项调整!$J$5:$J$65536)</f>
        <v>0</v>
      </c>
      <c r="E61" s="421">
        <f>SUMIF(报表调整!$E$5:$E$65536,REPLACEB(IF(OR(MID(TRIM($A61),2,1)="：",MID(TRIM($A61),2,1)="、"),REPLACEB(TRIM($A61),1,4,""),TRIM($A61)),1,6,""),报表调整!$J$5:$J$65536)</f>
        <v>0</v>
      </c>
      <c r="F61" s="421">
        <f>SUMIF(报表调整!$H$5:$H$65536,REPLACEB(IF(OR(MID(TRIM($A61),2,1)="：",MID(TRIM($A61),2,1)="、"),REPLACEB(TRIM($A61),1,4,""),TRIM($A61)),1,6,""),报表调整!$J$5:$J$65536)</f>
        <v>0</v>
      </c>
      <c r="G61" s="421">
        <f t="shared" si="10"/>
        <v>0</v>
      </c>
      <c r="H61" s="421"/>
      <c r="I61" s="422">
        <f t="shared" si="0"/>
        <v>0</v>
      </c>
    </row>
    <row r="62" spans="1:9" ht="15" customHeight="1">
      <c r="A62" s="193" t="str">
        <f>报表格式!L61</f>
        <v xml:space="preserve">        （五）提取企业发展基金 </v>
      </c>
      <c r="B62" s="413">
        <f>未审PL!D62</f>
        <v>0</v>
      </c>
      <c r="C62" s="421">
        <f>SUMIF(账项调整!$E$5:$E$65536,REPLACEB(IF(OR(MID(TRIM($A62),2,1)="：",MID(TRIM($A62),2,1)="、"),REPLACEB(TRIM($A62),1,4,""),TRIM($A62)),1,6,""),账项调整!$J$5:$J$65536)</f>
        <v>0</v>
      </c>
      <c r="D62" s="421">
        <f>SUMIF(账项调整!$H$5:$H$65536,REPLACEB(IF(OR(MID(TRIM($A62),2,1)="：",MID(TRIM($A62),2,1)="、"),REPLACEB(TRIM($A62),1,4,""),TRIM($A62)),1,6,""),账项调整!$J$5:$J$65536)</f>
        <v>0</v>
      </c>
      <c r="E62" s="421">
        <f>SUMIF(报表调整!$E$5:$E$65536,REPLACEB(IF(OR(MID(TRIM($A62),2,1)="：",MID(TRIM($A62),2,1)="、"),REPLACEB(TRIM($A62),1,4,""),TRIM($A62)),1,6,""),报表调整!$J$5:$J$65536)</f>
        <v>0</v>
      </c>
      <c r="F62" s="421">
        <f>SUMIF(报表调整!$H$5:$H$65536,REPLACEB(IF(OR(MID(TRIM($A62),2,1)="：",MID(TRIM($A62),2,1)="、"),REPLACEB(TRIM($A62),1,4,""),TRIM($A62)),1,6,""),报表调整!$J$5:$J$65536)</f>
        <v>0</v>
      </c>
      <c r="G62" s="421">
        <f t="shared" si="10"/>
        <v>0</v>
      </c>
      <c r="H62" s="421"/>
      <c r="I62" s="422">
        <f t="shared" si="0"/>
        <v>0</v>
      </c>
    </row>
    <row r="63" spans="1:9" ht="15" customHeight="1">
      <c r="A63" s="193" t="str">
        <f>报表格式!L62</f>
        <v xml:space="preserve">        （六）利润归还投资 </v>
      </c>
      <c r="B63" s="413">
        <f>未审PL!D63</f>
        <v>0</v>
      </c>
      <c r="C63" s="421">
        <f>SUMIF(账项调整!$E$5:$E$65536,REPLACEB(IF(OR(MID(TRIM($A63),2,1)="：",MID(TRIM($A63),2,1)="、"),REPLACEB(TRIM($A63),1,4,""),TRIM($A63)),1,6,""),账项调整!$J$5:$J$65536)</f>
        <v>0</v>
      </c>
      <c r="D63" s="421">
        <f>SUMIF(账项调整!$H$5:$H$65536,REPLACEB(IF(OR(MID(TRIM($A63),2,1)="：",MID(TRIM($A63),2,1)="、"),REPLACEB(TRIM($A63),1,4,""),TRIM($A63)),1,6,""),账项调整!$J$5:$J$65536)</f>
        <v>0</v>
      </c>
      <c r="E63" s="421">
        <f>SUMIF(报表调整!$E$5:$E$65536,REPLACEB(IF(OR(MID(TRIM($A63),2,1)="：",MID(TRIM($A63),2,1)="、"),REPLACEB(TRIM($A63),1,4,""),TRIM($A63)),1,6,""),报表调整!$J$5:$J$65536)</f>
        <v>0</v>
      </c>
      <c r="F63" s="421">
        <f>SUMIF(报表调整!$H$5:$H$65536,REPLACEB(IF(OR(MID(TRIM($A63),2,1)="：",MID(TRIM($A63),2,1)="、"),REPLACEB(TRIM($A63),1,4,""),TRIM($A63)),1,6,""),报表调整!$J$5:$J$65536)</f>
        <v>0</v>
      </c>
      <c r="G63" s="421">
        <f t="shared" si="10"/>
        <v>0</v>
      </c>
      <c r="H63" s="421"/>
      <c r="I63" s="422">
        <f t="shared" si="0"/>
        <v>0</v>
      </c>
    </row>
    <row r="64" spans="1:9" ht="15" customHeight="1">
      <c r="A64" s="193" t="str">
        <f>报表格式!L63</f>
        <v xml:space="preserve">        （七）补充流动资本</v>
      </c>
      <c r="B64" s="413">
        <f>未审PL!D64</f>
        <v>0</v>
      </c>
      <c r="C64" s="421">
        <f>SUMIF(账项调整!$E$5:$E$65536,REPLACEB(IF(OR(MID(TRIM($A64),2,1)="：",MID(TRIM($A64),2,1)="、"),REPLACEB(TRIM($A64),1,4,""),TRIM($A64)),1,6,""),账项调整!$J$5:$J$65536)</f>
        <v>0</v>
      </c>
      <c r="D64" s="421">
        <f>SUMIF(账项调整!$H$5:$H$65536,REPLACEB(IF(OR(MID(TRIM($A64),2,1)="：",MID(TRIM($A64),2,1)="、"),REPLACEB(TRIM($A64),1,4,""),TRIM($A64)),1,6,""),账项调整!$J$5:$J$65536)</f>
        <v>0</v>
      </c>
      <c r="E64" s="421">
        <f>SUMIF(报表调整!$E$5:$E$65536,REPLACEB(IF(OR(MID(TRIM($A64),2,1)="：",MID(TRIM($A64),2,1)="、"),REPLACEB(TRIM($A64),1,4,""),TRIM($A64)),1,6,""),报表调整!$J$5:$J$65536)</f>
        <v>0</v>
      </c>
      <c r="F64" s="421">
        <f>SUMIF(报表调整!$H$5:$H$65536,REPLACEB(IF(OR(MID(TRIM($A64),2,1)="：",MID(TRIM($A64),2,1)="、"),REPLACEB(TRIM($A64),1,4,""),TRIM($A64)),1,6,""),报表调整!$J$5:$J$65536)</f>
        <v>0</v>
      </c>
      <c r="G64" s="421">
        <f t="shared" si="10"/>
        <v>0</v>
      </c>
      <c r="H64" s="421"/>
      <c r="I64" s="422">
        <f t="shared" si="0"/>
        <v>0</v>
      </c>
    </row>
    <row r="65" spans="1:9" ht="15" customHeight="1">
      <c r="A65" s="193" t="str">
        <f>报表格式!L64</f>
        <v xml:space="preserve">        （八）单项留用的利润</v>
      </c>
      <c r="B65" s="413">
        <f>未审PL!D65</f>
        <v>0</v>
      </c>
      <c r="C65" s="421">
        <f>SUMIF(账项调整!$E$5:$E$65536,REPLACEB(IF(OR(MID(TRIM($A65),2,1)="：",MID(TRIM($A65),2,1)="、"),REPLACEB(TRIM($A65),1,4,""),TRIM($A65)),1,6,""),账项调整!$J$5:$J$65536)</f>
        <v>0</v>
      </c>
      <c r="D65" s="421">
        <f>SUMIF(账项调整!$H$5:$H$65536,REPLACEB(IF(OR(MID(TRIM($A65),2,1)="：",MID(TRIM($A65),2,1)="、"),REPLACEB(TRIM($A65),1,4,""),TRIM($A65)),1,6,""),账项调整!$J$5:$J$65536)</f>
        <v>0</v>
      </c>
      <c r="E65" s="421">
        <f>SUMIF(报表调整!$E$5:$E$65536,REPLACEB(IF(OR(MID(TRIM($A65),2,1)="：",MID(TRIM($A65),2,1)="、"),REPLACEB(TRIM($A65),1,4,""),TRIM($A65)),1,6,""),报表调整!$J$5:$J$65536)</f>
        <v>0</v>
      </c>
      <c r="F65" s="421">
        <f>SUMIF(报表调整!$H$5:$H$65536,REPLACEB(IF(OR(MID(TRIM($A65),2,1)="：",MID(TRIM($A65),2,1)="、"),REPLACEB(TRIM($A65),1,4,""),TRIM($A65)),1,6,""),报表调整!$J$5:$J$65536)</f>
        <v>0</v>
      </c>
      <c r="G65" s="421">
        <f t="shared" si="10"/>
        <v>0</v>
      </c>
      <c r="H65" s="421"/>
      <c r="I65" s="422">
        <f t="shared" si="0"/>
        <v>0</v>
      </c>
    </row>
    <row r="66" spans="1:9" ht="15" customHeight="1">
      <c r="A66" s="193" t="str">
        <f>报表格式!L65</f>
        <v xml:space="preserve">        （九）其他</v>
      </c>
      <c r="B66" s="413">
        <f>未审PL!D66</f>
        <v>0</v>
      </c>
      <c r="C66" s="421">
        <f>SUMIF(账项调整!$E$5:$E$65536,REPLACEB(IF(OR(MID(TRIM($A66),2,1)="：",MID(TRIM($A66),2,1)="、"),REPLACEB(TRIM($A66),1,4,""),TRIM($A66)),1,6,""),账项调整!$J$5:$J$65536)</f>
        <v>0</v>
      </c>
      <c r="D66" s="421">
        <f>SUMIF(账项调整!$H$5:$H$65536,REPLACEB(IF(OR(MID(TRIM($A66),2,1)="：",MID(TRIM($A66),2,1)="、"),REPLACEB(TRIM($A66),1,4,""),TRIM($A66)),1,6,""),账项调整!$J$5:$J$65536)</f>
        <v>0</v>
      </c>
      <c r="E66" s="421">
        <f>SUMIF(报表调整!$E$5:$E$65536,REPLACEB(IF(OR(MID(TRIM($A66),2,1)="：",MID(TRIM($A66),2,1)="、"),REPLACEB(TRIM($A66),1,4,""),TRIM($A66)),1,6,""),报表调整!$J$5:$J$65536)</f>
        <v>0</v>
      </c>
      <c r="F66" s="421">
        <f>SUMIF(报表调整!$H$5:$H$65536,REPLACEB(IF(OR(MID(TRIM($A66),2,1)="：",MID(TRIM($A66),2,1)="、"),REPLACEB(TRIM($A66),1,4,""),TRIM($A66)),1,6,""),报表调整!$J$5:$J$65536)</f>
        <v>0</v>
      </c>
      <c r="G66" s="421">
        <f t="shared" si="10"/>
        <v>0</v>
      </c>
      <c r="H66" s="421"/>
      <c r="I66" s="422">
        <f t="shared" si="0"/>
        <v>0</v>
      </c>
    </row>
    <row r="67" spans="1:9" ht="15" customHeight="1">
      <c r="A67" s="177" t="str">
        <f>报表格式!L66</f>
        <v>八、可供投资者分配的利润</v>
      </c>
      <c r="B67" s="585">
        <f t="shared" ref="B67:H67" si="11">B57-B58-B59-B60-B61-B62-B63-B64-B65-B66</f>
        <v>0</v>
      </c>
      <c r="C67" s="415">
        <f t="shared" si="11"/>
        <v>0</v>
      </c>
      <c r="D67" s="415">
        <f t="shared" si="11"/>
        <v>0</v>
      </c>
      <c r="E67" s="415">
        <f t="shared" si="11"/>
        <v>0</v>
      </c>
      <c r="F67" s="415">
        <f t="shared" si="11"/>
        <v>0</v>
      </c>
      <c r="G67" s="415">
        <f t="shared" si="11"/>
        <v>0</v>
      </c>
      <c r="H67" s="415">
        <f t="shared" si="11"/>
        <v>0</v>
      </c>
      <c r="I67" s="416">
        <f t="shared" si="0"/>
        <v>0</v>
      </c>
    </row>
    <row r="68" spans="1:9" ht="15" customHeight="1">
      <c r="A68" s="193" t="str">
        <f>报表格式!L67</f>
        <v xml:space="preserve">    减：（一）应付优先股股利</v>
      </c>
      <c r="B68" s="413">
        <f>未审PL!D68</f>
        <v>0</v>
      </c>
      <c r="C68" s="421">
        <f>SUMIF(账项调整!$E$5:$E$65536,REPLACEB(IF(OR(MID(TRIM($A68),2,1)="：",MID(TRIM($A68),2,1)="、"),REPLACEB(TRIM($A68),1,4,""),TRIM($A68)),1,6,""),账项调整!$J$5:$J$65536)</f>
        <v>0</v>
      </c>
      <c r="D68" s="421">
        <f>SUMIF(账项调整!$H$5:$H$65536,REPLACEB(IF(OR(MID(TRIM($A68),2,1)="：",MID(TRIM($A68),2,1)="、"),REPLACEB(TRIM($A68),1,4,""),TRIM($A68)),1,6,""),账项调整!$J$5:$J$65536)</f>
        <v>0</v>
      </c>
      <c r="E68" s="421">
        <f>SUMIF(报表调整!$E$5:$E$65536,REPLACEB(IF(OR(MID(TRIM($A68),2,1)="：",MID(TRIM($A68),2,1)="、"),REPLACEB(TRIM($A68),1,4,""),TRIM($A68)),1,6,""),报表调整!$J$5:$J$65536)</f>
        <v>0</v>
      </c>
      <c r="F68" s="421">
        <f>SUMIF(报表调整!$H$5:$H$65536,REPLACEB(IF(OR(MID(TRIM($A68),2,1)="：",MID(TRIM($A68),2,1)="、"),REPLACEB(TRIM($A68),1,4,""),TRIM($A68)),1,6,""),报表调整!$J$5:$J$65536)</f>
        <v>0</v>
      </c>
      <c r="G68" s="421">
        <f t="shared" si="10"/>
        <v>0</v>
      </c>
      <c r="H68" s="421"/>
      <c r="I68" s="422">
        <f t="shared" si="0"/>
        <v>0</v>
      </c>
    </row>
    <row r="69" spans="1:9" ht="15" customHeight="1">
      <c r="A69" s="193" t="str">
        <f>报表格式!L68</f>
        <v xml:space="preserve">        （二）提取任意盈余公积</v>
      </c>
      <c r="B69" s="413">
        <f>未审PL!D69</f>
        <v>0</v>
      </c>
      <c r="C69" s="421">
        <f>SUMIF(账项调整!$E$5:$E$65536,REPLACEB(IF(OR(MID(TRIM($A69),2,1)="：",MID(TRIM($A69),2,1)="、"),REPLACEB(TRIM($A69),1,4,""),TRIM($A69)),1,6,""),账项调整!$J$5:$J$65536)</f>
        <v>0</v>
      </c>
      <c r="D69" s="421">
        <f>SUMIF(账项调整!$H$5:$H$65536,REPLACEB(IF(OR(MID(TRIM($A69),2,1)="：",MID(TRIM($A69),2,1)="、"),REPLACEB(TRIM($A69),1,4,""),TRIM($A69)),1,6,""),账项调整!$J$5:$J$65536)</f>
        <v>0</v>
      </c>
      <c r="E69" s="421">
        <f>SUMIF(报表调整!$E$5:$E$65536,REPLACEB(IF(OR(MID(TRIM($A69),2,1)="：",MID(TRIM($A69),2,1)="、"),REPLACEB(TRIM($A69),1,4,""),TRIM($A69)),1,6,""),报表调整!$J$5:$J$65536)</f>
        <v>0</v>
      </c>
      <c r="F69" s="421">
        <f>SUMIF(报表调整!$H$5:$H$65536,REPLACEB(IF(OR(MID(TRIM($A69),2,1)="：",MID(TRIM($A69),2,1)="、"),REPLACEB(TRIM($A69),1,4,""),TRIM($A69)),1,6,""),报表调整!$J$5:$J$65536)</f>
        <v>0</v>
      </c>
      <c r="G69" s="421">
        <f t="shared" si="10"/>
        <v>0</v>
      </c>
      <c r="H69" s="421"/>
      <c r="I69" s="422">
        <f t="shared" si="0"/>
        <v>0</v>
      </c>
    </row>
    <row r="70" spans="1:9" ht="15" customHeight="1">
      <c r="A70" s="193" t="str">
        <f>报表格式!L69</f>
        <v xml:space="preserve">        （三）应付普通股股利（应付利润）</v>
      </c>
      <c r="B70" s="413">
        <f>未审PL!D70</f>
        <v>0</v>
      </c>
      <c r="C70" s="421">
        <f>SUMIF(账项调整!$E$5:$E$65536,REPLACEB(IF(OR(MID(TRIM($A70),2,1)="：",MID(TRIM($A70),2,1)="、"),REPLACEB(TRIM($A70),1,4,""),TRIM($A70)),1,6,""),账项调整!$J$5:$J$65536)</f>
        <v>0</v>
      </c>
      <c r="D70" s="421">
        <f>SUMIF(账项调整!$H$5:$H$65536,REPLACEB(IF(OR(MID(TRIM($A70),2,1)="：",MID(TRIM($A70),2,1)="、"),REPLACEB(TRIM($A70),1,4,""),TRIM($A70)),1,6,""),账项调整!$J$5:$J$65536)</f>
        <v>0</v>
      </c>
      <c r="E70" s="421">
        <f>SUMIF(报表调整!$E$5:$E$65536,REPLACEB(IF(OR(MID(TRIM($A70),2,1)="：",MID(TRIM($A70),2,1)="、"),REPLACEB(TRIM($A70),1,4,""),TRIM($A70)),1,6,""),报表调整!$J$5:$J$65536)</f>
        <v>0</v>
      </c>
      <c r="F70" s="421">
        <f>SUMIF(报表调整!$H$5:$H$65536,REPLACEB(IF(OR(MID(TRIM($A70),2,1)="：",MID(TRIM($A70),2,1)="、"),REPLACEB(TRIM($A70),1,4,""),TRIM($A70)),1,6,""),报表调整!$J$5:$J$65536)</f>
        <v>0</v>
      </c>
      <c r="G70" s="421">
        <f t="shared" si="10"/>
        <v>0</v>
      </c>
      <c r="H70" s="421"/>
      <c r="I70" s="422">
        <f>SUM(G70:H70)</f>
        <v>0</v>
      </c>
    </row>
    <row r="71" spans="1:9" ht="15" customHeight="1">
      <c r="A71" s="193" t="str">
        <f>报表格式!L70</f>
        <v xml:space="preserve">        （四）转作资本（股本）的普通股股利</v>
      </c>
      <c r="B71" s="413">
        <f>未审PL!D71</f>
        <v>0</v>
      </c>
      <c r="C71" s="421">
        <f>SUMIF(账项调整!$E$5:$E$65536,REPLACEB(IF(OR(MID(TRIM($A71),2,1)="：",MID(TRIM($A71),2,1)="、"),REPLACEB(TRIM($A71),1,4,""),TRIM($A71)),1,6,""),账项调整!$J$5:$J$65536)</f>
        <v>0</v>
      </c>
      <c r="D71" s="421">
        <f>SUMIF(账项调整!$H$5:$H$65536,REPLACEB(IF(OR(MID(TRIM($A71),2,1)="：",MID(TRIM($A71),2,1)="、"),REPLACEB(TRIM($A71),1,4,""),TRIM($A71)),1,6,""),账项调整!$J$5:$J$65536)</f>
        <v>0</v>
      </c>
      <c r="E71" s="421">
        <f>SUMIF(报表调整!$E$5:$E$65536,REPLACEB(IF(OR(MID(TRIM($A71),2,1)="：",MID(TRIM($A71),2,1)="、"),REPLACEB(TRIM($A71),1,4,""),TRIM($A71)),1,6,""),报表调整!$J$5:$J$65536)</f>
        <v>0</v>
      </c>
      <c r="F71" s="421">
        <f>SUMIF(报表调整!$H$5:$H$65536,REPLACEB(IF(OR(MID(TRIM($A71),2,1)="：",MID(TRIM($A71),2,1)="、"),REPLACEB(TRIM($A71),1,4,""),TRIM($A71)),1,6,""),报表调整!$J$5:$J$65536)</f>
        <v>0</v>
      </c>
      <c r="G71" s="421">
        <f t="shared" si="10"/>
        <v>0</v>
      </c>
      <c r="H71" s="421"/>
      <c r="I71" s="422">
        <f>SUM(G71:H71)</f>
        <v>0</v>
      </c>
    </row>
    <row r="72" spans="1:9" ht="15" customHeight="1">
      <c r="A72" s="193" t="str">
        <f>报表格式!L71</f>
        <v xml:space="preserve">        （五）其他</v>
      </c>
      <c r="B72" s="413">
        <f>未审PL!D72</f>
        <v>0</v>
      </c>
      <c r="C72" s="421">
        <f>SUMIF(账项调整!$E$5:$E$65536,REPLACEB(IF(OR(MID(TRIM($A72),2,1)="：",MID(TRIM($A72),2,1)="、"),REPLACEB(TRIM($A72),1,4,""),TRIM($A72)),1,6,""),账项调整!$J$5:$J$65536)</f>
        <v>0</v>
      </c>
      <c r="D72" s="421">
        <f>SUMIF(账项调整!$H$5:$H$65536,REPLACEB(IF(OR(MID(TRIM($A72),2,1)="：",MID(TRIM($A72),2,1)="、"),REPLACEB(TRIM($A72),1,4,""),TRIM($A72)),1,6,""),账项调整!$J$5:$J$65536)</f>
        <v>0</v>
      </c>
      <c r="E72" s="421">
        <f>SUMIF(报表调整!$E$5:$E$65536,REPLACEB(IF(OR(MID(TRIM($A72),2,1)="：",MID(TRIM($A72),2,1)="、"),REPLACEB(TRIM($A72),1,4,""),TRIM($A72)),1,6,""),报表调整!$J$5:$J$65536)</f>
        <v>0</v>
      </c>
      <c r="F72" s="421">
        <f>SUMIF(报表调整!$H$5:$H$65536,REPLACEB(IF(OR(MID(TRIM($A72),2,1)="：",MID(TRIM($A72),2,1)="、"),REPLACEB(TRIM($A72),1,4,""),TRIM($A72)),1,6,""),报表调整!$J$5:$J$65536)</f>
        <v>0</v>
      </c>
      <c r="G72" s="421">
        <f t="shared" si="10"/>
        <v>0</v>
      </c>
      <c r="H72" s="421"/>
      <c r="I72" s="422">
        <f>SUM(G72:H72)</f>
        <v>0</v>
      </c>
    </row>
    <row r="73" spans="1:9" ht="15" customHeight="1">
      <c r="A73" s="194" t="str">
        <f>报表格式!L72</f>
        <v>九、未分配利润</v>
      </c>
      <c r="B73" s="419">
        <f t="shared" ref="B73:H73" si="12">B67-B68-B69-B70-B71-B72</f>
        <v>0</v>
      </c>
      <c r="C73" s="419">
        <f t="shared" si="12"/>
        <v>0</v>
      </c>
      <c r="D73" s="419">
        <f t="shared" si="12"/>
        <v>0</v>
      </c>
      <c r="E73" s="419">
        <f t="shared" si="12"/>
        <v>0</v>
      </c>
      <c r="F73" s="419">
        <f t="shared" si="12"/>
        <v>0</v>
      </c>
      <c r="G73" s="419">
        <f t="shared" si="12"/>
        <v>0</v>
      </c>
      <c r="H73" s="419">
        <f t="shared" si="12"/>
        <v>0</v>
      </c>
      <c r="I73" s="420">
        <f>SUM(G73:H73)</f>
        <v>0</v>
      </c>
    </row>
    <row r="74" spans="1:9" ht="15" customHeight="1">
      <c r="A74" s="193" t="str">
        <f>报表格式!L73</f>
        <v xml:space="preserve">    其中：应由以后年度税前利润弥补的亏损（以“+”号填列）</v>
      </c>
      <c r="B74" s="413">
        <f>未审PL!C74</f>
        <v>0</v>
      </c>
      <c r="C74" s="421"/>
      <c r="D74" s="421"/>
      <c r="E74" s="421"/>
      <c r="F74" s="421"/>
      <c r="G74" s="421"/>
      <c r="H74" s="421"/>
      <c r="I74" s="422">
        <f>SUM(G74:H74)</f>
        <v>0</v>
      </c>
    </row>
    <row r="75" spans="1:9">
      <c r="A75" s="724"/>
      <c r="B75" s="725">
        <f>未审PL!D73</f>
        <v>0</v>
      </c>
      <c r="C75" s="726">
        <f>SUM(C6,C11,C13:C18,C20:C25,C29,C31:C33,C35,C40,C42,C47,C50:C52,C54:C56,C58:C66,C68:C72)</f>
        <v>0</v>
      </c>
      <c r="D75" s="726">
        <f>SUM(D6,D11,D13:D18,D20:D25,D29,D31:D33,D35,D40,D42,D47,D50:D52,D54:D56,D58:D66,D68:D72)</f>
        <v>0</v>
      </c>
      <c r="E75" s="726">
        <f>SUM(E6,E11,E13:E18,E20:E25,E29,E31:E33,E35,E40,E42,E47,E50:E52,E54:E56,E58:E66,E68:E72)</f>
        <v>0</v>
      </c>
      <c r="F75" s="726">
        <f>SUM(F6,F11,F13:F18,F20:F25,F29,F31:F33,F35,F40,F42,F47,F50:F52,F54:F56,F58:F66,F68:F72)</f>
        <v>0</v>
      </c>
      <c r="G75" s="726">
        <f>SUM(B75:F75)</f>
        <v>0</v>
      </c>
      <c r="H75" s="726">
        <v>0</v>
      </c>
      <c r="I75" s="726"/>
    </row>
    <row r="76" spans="1:9">
      <c r="A76" s="621"/>
      <c r="B76" s="622">
        <f>B73-B75</f>
        <v>0</v>
      </c>
      <c r="C76" s="623"/>
      <c r="D76" s="623"/>
      <c r="E76" s="623"/>
      <c r="F76" s="623"/>
      <c r="G76" s="622">
        <f>G73-G75</f>
        <v>0</v>
      </c>
      <c r="H76" s="623"/>
      <c r="I76" s="623"/>
    </row>
  </sheetData>
  <sheetProtection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41" priority="1" stopIfTrue="1" operator="equal">
      <formula>"报表未调平!"</formula>
    </cfRule>
  </conditionalFormatting>
  <printOptions horizontalCentered="1" verticalCentered="1"/>
  <pageMargins left="0.35433070866141736" right="0.35433070866141736" top="0.43307086614173229" bottom="0.31" header="0.19685039370078741" footer="0.19685039370078741"/>
  <pageSetup paperSize="9" scale="63" orientation="portrait" r:id="rId1"/>
  <headerFooter alignWithMargins="0"/>
  <ignoredErrors>
    <ignoredError sqref="B25:B35 C19 I6 C10 C30 J25:J35 H32:H35 J21:J22 B6:B22" unlockedFormula="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F141"/>
  <sheetViews>
    <sheetView showZeros="0" workbookViewId="0">
      <pane xSplit="1" ySplit="5" topLeftCell="B111" activePane="bottomRight" state="frozen"/>
      <selection pane="topRight" activeCell="B1" sqref="B1"/>
      <selection pane="bottomLeft" activeCell="A6" sqref="A6"/>
      <selection pane="bottomRight" sqref="A1:F1"/>
    </sheetView>
  </sheetViews>
  <sheetFormatPr defaultRowHeight="20.25" customHeight="1"/>
  <cols>
    <col min="1" max="1" width="26.625" style="64" customWidth="1"/>
    <col min="2" max="2" width="9.25" style="66" customWidth="1"/>
    <col min="3" max="3" width="21.375" style="64" customWidth="1"/>
    <col min="4" max="4" width="2.625" style="64" customWidth="1"/>
    <col min="5" max="5" width="21.375" style="64" customWidth="1"/>
    <col min="6" max="6" width="2.625" style="64" customWidth="1"/>
  </cols>
  <sheetData>
    <row r="1" spans="1:6" ht="18.75">
      <c r="A1" s="954" t="s">
        <v>294</v>
      </c>
      <c r="B1" s="954"/>
      <c r="C1" s="954"/>
      <c r="D1" s="954"/>
      <c r="E1" s="954"/>
      <c r="F1" s="954"/>
    </row>
    <row r="2" spans="1:6" ht="13.5" customHeight="1">
      <c r="A2" s="195"/>
      <c r="B2" s="195"/>
      <c r="C2" s="663">
        <f>ROUND(C62-C125,2)</f>
        <v>0</v>
      </c>
      <c r="D2" s="664"/>
      <c r="E2" s="663">
        <f>ROUND(E62-E125,2)</f>
        <v>0</v>
      </c>
      <c r="F2" s="195"/>
    </row>
    <row r="3" spans="1:6" ht="14.25">
      <c r="A3" s="956" t="str">
        <f>IF(报表格式!G41="","    对不起，请到参数表中确定报表类型！",CONCATENATE(" 编制单位：",参数!D3))</f>
        <v xml:space="preserve"> 编制单位：</v>
      </c>
      <c r="B3" s="956"/>
      <c r="C3" s="956"/>
      <c r="D3" s="196"/>
      <c r="E3" s="197" t="str">
        <f>CONCATENATE("单位：",参数!$D$13)</f>
        <v>单位：人民币元</v>
      </c>
      <c r="F3" s="198"/>
    </row>
    <row r="4" spans="1:6" ht="6.75" customHeight="1">
      <c r="A4" s="957" t="s">
        <v>295</v>
      </c>
      <c r="B4" s="957" t="s">
        <v>3</v>
      </c>
      <c r="C4" s="959">
        <f>参数!D12</f>
        <v>39447</v>
      </c>
      <c r="D4" s="959"/>
      <c r="E4" s="959">
        <f>参数!D11</f>
        <v>39082</v>
      </c>
      <c r="F4" s="959"/>
    </row>
    <row r="5" spans="1:6" ht="9" customHeight="1">
      <c r="A5" s="958"/>
      <c r="B5" s="958"/>
      <c r="C5" s="960"/>
      <c r="D5" s="960"/>
      <c r="E5" s="960"/>
      <c r="F5" s="960"/>
    </row>
    <row r="6" spans="1:6" ht="14.25">
      <c r="A6" s="199" t="s">
        <v>220</v>
      </c>
      <c r="B6" s="200"/>
      <c r="C6" s="201"/>
      <c r="D6" s="202"/>
      <c r="E6" s="203"/>
      <c r="F6" s="202"/>
    </row>
    <row r="7" spans="1:6" ht="14.25">
      <c r="A7" s="199" t="str">
        <f>报表格式!B6</f>
        <v>货币资金</v>
      </c>
      <c r="B7" s="200"/>
      <c r="C7" s="303">
        <f>TB资产!I7</f>
        <v>0</v>
      </c>
      <c r="D7" s="304"/>
      <c r="E7" s="303">
        <f>'TB资产(期初)'!I7</f>
        <v>0</v>
      </c>
      <c r="F7" s="202"/>
    </row>
    <row r="8" spans="1:6" ht="14.25">
      <c r="A8" s="199" t="str">
        <f>报表格式!B7</f>
        <v>短期投资</v>
      </c>
      <c r="B8" s="200"/>
      <c r="C8" s="303">
        <f>TB资产!I8</f>
        <v>0</v>
      </c>
      <c r="D8" s="304"/>
      <c r="E8" s="303">
        <f>'TB资产(期初)'!I8</f>
        <v>0</v>
      </c>
      <c r="F8" s="202"/>
    </row>
    <row r="9" spans="1:6" ht="14.25">
      <c r="A9" s="199" t="str">
        <f>报表格式!B8</f>
        <v>应收票据</v>
      </c>
      <c r="B9" s="200"/>
      <c r="C9" s="303">
        <f>TB资产!I9</f>
        <v>0</v>
      </c>
      <c r="D9" s="305"/>
      <c r="E9" s="303">
        <f>'TB资产(期初)'!I9</f>
        <v>0</v>
      </c>
      <c r="F9" s="204"/>
    </row>
    <row r="10" spans="1:6" ht="14.25">
      <c r="A10" s="199" t="str">
        <f>报表格式!B9</f>
        <v>应收股利</v>
      </c>
      <c r="B10" s="200"/>
      <c r="C10" s="303">
        <f>TB资产!I10</f>
        <v>0</v>
      </c>
      <c r="D10" s="305"/>
      <c r="E10" s="303">
        <f>'TB资产(期初)'!I10</f>
        <v>0</v>
      </c>
      <c r="F10" s="204"/>
    </row>
    <row r="11" spans="1:6" ht="14.25">
      <c r="A11" s="199" t="str">
        <f>报表格式!B10</f>
        <v>应收利息</v>
      </c>
      <c r="B11" s="200"/>
      <c r="C11" s="303">
        <f>TB资产!I11</f>
        <v>0</v>
      </c>
      <c r="D11" s="305"/>
      <c r="E11" s="303">
        <f>'TB资产(期初)'!I11</f>
        <v>0</v>
      </c>
      <c r="F11" s="204"/>
    </row>
    <row r="12" spans="1:6" ht="14.25">
      <c r="A12" s="199" t="str">
        <f>报表格式!B11</f>
        <v>应收账款</v>
      </c>
      <c r="B12" s="200"/>
      <c r="C12" s="303">
        <f>TB资产!I12</f>
        <v>0</v>
      </c>
      <c r="D12" s="305"/>
      <c r="E12" s="303">
        <f>'TB资产(期初)'!I12</f>
        <v>0</v>
      </c>
      <c r="F12" s="204"/>
    </row>
    <row r="13" spans="1:6" ht="14.25">
      <c r="A13" s="199" t="str">
        <f>报表格式!B12</f>
        <v>其他应收款</v>
      </c>
      <c r="B13" s="200"/>
      <c r="C13" s="303">
        <f>TB资产!I13</f>
        <v>0</v>
      </c>
      <c r="D13" s="305"/>
      <c r="E13" s="303">
        <f>'TB资产(期初)'!I13</f>
        <v>0</v>
      </c>
      <c r="F13" s="204"/>
    </row>
    <row r="14" spans="1:6" ht="14.25">
      <c r="A14" s="199" t="str">
        <f>报表格式!B13</f>
        <v>预付账款</v>
      </c>
      <c r="B14" s="200"/>
      <c r="C14" s="303">
        <f>TB资产!I14</f>
        <v>0</v>
      </c>
      <c r="D14" s="305"/>
      <c r="E14" s="303">
        <f>'TB资产(期初)'!I14</f>
        <v>0</v>
      </c>
      <c r="F14" s="204"/>
    </row>
    <row r="15" spans="1:6" ht="14.25">
      <c r="A15" s="199" t="str">
        <f>报表格式!B14</f>
        <v>期货保证金</v>
      </c>
      <c r="B15" s="200"/>
      <c r="C15" s="303">
        <f>TB资产!I15</f>
        <v>0</v>
      </c>
      <c r="D15" s="305"/>
      <c r="E15" s="303">
        <f>'TB资产(期初)'!I15</f>
        <v>0</v>
      </c>
      <c r="F15" s="204"/>
    </row>
    <row r="16" spans="1:6" ht="14.25">
      <c r="A16" s="199" t="str">
        <f>报表格式!B15</f>
        <v>应收补贴款</v>
      </c>
      <c r="B16" s="200"/>
      <c r="C16" s="303">
        <f>TB资产!I16</f>
        <v>0</v>
      </c>
      <c r="D16" s="305"/>
      <c r="E16" s="303">
        <f>'TB资产(期初)'!I16</f>
        <v>0</v>
      </c>
      <c r="F16" s="204"/>
    </row>
    <row r="17" spans="1:6" ht="14.25">
      <c r="A17" s="199" t="str">
        <f>报表格式!B16</f>
        <v>应收出口退税</v>
      </c>
      <c r="B17" s="200"/>
      <c r="C17" s="303">
        <f>TB资产!I17</f>
        <v>0</v>
      </c>
      <c r="D17" s="305"/>
      <c r="E17" s="303">
        <f>'TB资产(期初)'!I17</f>
        <v>0</v>
      </c>
      <c r="F17" s="204"/>
    </row>
    <row r="18" spans="1:6" ht="14.25">
      <c r="A18" s="199" t="str">
        <f>报表格式!B17</f>
        <v>存货</v>
      </c>
      <c r="B18" s="200"/>
      <c r="C18" s="303">
        <f>TB资产!I18</f>
        <v>0</v>
      </c>
      <c r="D18" s="305"/>
      <c r="E18" s="303">
        <f>'TB资产(期初)'!I18</f>
        <v>0</v>
      </c>
      <c r="F18" s="204"/>
    </row>
    <row r="19" spans="1:6" ht="14.25">
      <c r="A19" s="199" t="str">
        <f>报表格式!B18</f>
        <v xml:space="preserve">  其中：原材料</v>
      </c>
      <c r="B19" s="200"/>
      <c r="C19" s="303">
        <f>TB资产!I19</f>
        <v>0</v>
      </c>
      <c r="D19" s="305"/>
      <c r="E19" s="303">
        <f>'TB资产(期初)'!I19</f>
        <v>0</v>
      </c>
      <c r="F19" s="204"/>
    </row>
    <row r="20" spans="1:6" ht="14.25">
      <c r="A20" s="199" t="str">
        <f>报表格式!B19</f>
        <v xml:space="preserve">        库存商品（产成品）</v>
      </c>
      <c r="B20" s="200"/>
      <c r="C20" s="303">
        <f>TB资产!I20</f>
        <v>0</v>
      </c>
      <c r="D20" s="306"/>
      <c r="E20" s="303">
        <f>'TB资产(期初)'!I20</f>
        <v>0</v>
      </c>
      <c r="F20" s="204"/>
    </row>
    <row r="21" spans="1:6" ht="14.25">
      <c r="A21" s="199" t="str">
        <f>报表格式!B20</f>
        <v>待摊费用</v>
      </c>
      <c r="B21" s="200"/>
      <c r="C21" s="303">
        <f>TB资产!I21</f>
        <v>0</v>
      </c>
      <c r="D21" s="306"/>
      <c r="E21" s="303">
        <f>'TB资产(期初)'!I21</f>
        <v>0</v>
      </c>
      <c r="F21" s="204"/>
    </row>
    <row r="22" spans="1:6" ht="14.25">
      <c r="A22" s="199" t="str">
        <f>报表格式!B21</f>
        <v>待处理流动资产净损失</v>
      </c>
      <c r="B22" s="200"/>
      <c r="C22" s="303">
        <f>TB资产!I22</f>
        <v>0</v>
      </c>
      <c r="D22" s="306"/>
      <c r="E22" s="303">
        <f>'TB资产(期初)'!I22</f>
        <v>0</v>
      </c>
      <c r="F22" s="204"/>
    </row>
    <row r="23" spans="1:6" ht="14.25">
      <c r="A23" s="199" t="str">
        <f>报表格式!B22</f>
        <v>一年内到期的长期债权投资</v>
      </c>
      <c r="B23" s="200"/>
      <c r="C23" s="303">
        <f>TB资产!I23</f>
        <v>0</v>
      </c>
      <c r="D23" s="306"/>
      <c r="E23" s="303">
        <f>'TB资产(期初)'!I23</f>
        <v>0</v>
      </c>
      <c r="F23" s="204"/>
    </row>
    <row r="24" spans="1:6" ht="14.25">
      <c r="A24" s="199" t="str">
        <f>报表格式!B23</f>
        <v>其他流动资产</v>
      </c>
      <c r="B24" s="200"/>
      <c r="C24" s="303">
        <f>TB资产!I24</f>
        <v>0</v>
      </c>
      <c r="D24" s="306"/>
      <c r="E24" s="303">
        <f>'TB资产(期初)'!I24</f>
        <v>0</v>
      </c>
      <c r="F24" s="204"/>
    </row>
    <row r="25" spans="1:6" ht="14.25">
      <c r="A25" s="462">
        <f>报表格式!B24</f>
        <v>0</v>
      </c>
      <c r="B25" s="200"/>
      <c r="C25" s="303">
        <f>TB资产!I25</f>
        <v>0</v>
      </c>
      <c r="D25" s="306"/>
      <c r="E25" s="303">
        <f>'TB资产(期初)'!I25</f>
        <v>0</v>
      </c>
      <c r="F25" s="204"/>
    </row>
    <row r="26" spans="1:6" ht="14.25">
      <c r="A26" s="462">
        <f>报表格式!B25</f>
        <v>0</v>
      </c>
      <c r="B26" s="200"/>
      <c r="C26" s="303">
        <f>TB资产!I26</f>
        <v>0</v>
      </c>
      <c r="D26" s="306"/>
      <c r="E26" s="303">
        <f>'TB资产(期初)'!I26</f>
        <v>0</v>
      </c>
      <c r="F26" s="204"/>
    </row>
    <row r="27" spans="1:6" ht="14.25">
      <c r="A27" s="205" t="str">
        <f>报表格式!B26</f>
        <v>流动资产合计</v>
      </c>
      <c r="B27" s="200"/>
      <c r="C27" s="307">
        <f>SUM(C7:C18,C21:C26)</f>
        <v>0</v>
      </c>
      <c r="D27" s="308"/>
      <c r="E27" s="307">
        <f>SUM(E7:E18,E21:E26)</f>
        <v>0</v>
      </c>
      <c r="F27" s="206"/>
    </row>
    <row r="28" spans="1:6" ht="14.25">
      <c r="A28" s="199" t="str">
        <f>报表格式!B27</f>
        <v>长期投资</v>
      </c>
      <c r="B28" s="200"/>
      <c r="C28" s="303">
        <f>SUM(C29:C30)</f>
        <v>0</v>
      </c>
      <c r="D28" s="305"/>
      <c r="E28" s="303">
        <f>SUM(E29:E30)</f>
        <v>0</v>
      </c>
      <c r="F28" s="204"/>
    </row>
    <row r="29" spans="1:6" ht="14.25">
      <c r="A29" s="199" t="str">
        <f>报表格式!B28</f>
        <v xml:space="preserve">  其中：长期股权投资</v>
      </c>
      <c r="B29" s="200"/>
      <c r="C29" s="303">
        <f>TB资产!I29</f>
        <v>0</v>
      </c>
      <c r="D29" s="305"/>
      <c r="E29" s="303">
        <f>'TB资产(期初)'!I29</f>
        <v>0</v>
      </c>
      <c r="F29" s="204"/>
    </row>
    <row r="30" spans="1:6" ht="14.25">
      <c r="A30" s="199" t="str">
        <f>报表格式!B29</f>
        <v xml:space="preserve">       长期债权投资</v>
      </c>
      <c r="B30" s="200"/>
      <c r="C30" s="303">
        <f>TB资产!I30</f>
        <v>0</v>
      </c>
      <c r="D30" s="305"/>
      <c r="E30" s="303">
        <f>'TB资产(期初)'!I30</f>
        <v>0</v>
      </c>
      <c r="F30" s="204"/>
    </row>
    <row r="31" spans="1:6" ht="14.25">
      <c r="A31" s="199" t="str">
        <f>报表格式!B30</f>
        <v>*合并价差</v>
      </c>
      <c r="B31" s="200"/>
      <c r="C31" s="303">
        <f>TB资产!I31</f>
        <v>0</v>
      </c>
      <c r="D31" s="305"/>
      <c r="E31" s="303">
        <f>'TB资产(期初)'!I31</f>
        <v>0</v>
      </c>
      <c r="F31" s="204"/>
    </row>
    <row r="32" spans="1:6" ht="14.25">
      <c r="A32" s="462">
        <f>报表格式!B31</f>
        <v>0</v>
      </c>
      <c r="B32" s="200"/>
      <c r="C32" s="303">
        <f>TB资产!I32</f>
        <v>0</v>
      </c>
      <c r="D32" s="305"/>
      <c r="E32" s="303">
        <f>'TB资产(期初)'!I32</f>
        <v>0</v>
      </c>
      <c r="F32" s="204"/>
    </row>
    <row r="33" spans="1:6" ht="14.25">
      <c r="A33" s="462">
        <f>报表格式!B32</f>
        <v>0</v>
      </c>
      <c r="B33" s="200"/>
      <c r="C33" s="303">
        <f>TB资产!I33</f>
        <v>0</v>
      </c>
      <c r="D33" s="305"/>
      <c r="E33" s="303">
        <f>'TB资产(期初)'!I33</f>
        <v>0</v>
      </c>
      <c r="F33" s="204"/>
    </row>
    <row r="34" spans="1:6" ht="14.25">
      <c r="A34" s="205" t="str">
        <f>报表格式!B33</f>
        <v>长期投资合计</v>
      </c>
      <c r="B34" s="200"/>
      <c r="C34" s="307">
        <f>SUM(C28,C31:C33)</f>
        <v>0</v>
      </c>
      <c r="D34" s="309"/>
      <c r="E34" s="307">
        <f>SUM(E28,E31:E33)</f>
        <v>0</v>
      </c>
      <c r="F34" s="206"/>
    </row>
    <row r="35" spans="1:6" ht="14.25">
      <c r="A35" s="199" t="str">
        <f>报表格式!B34</f>
        <v>固定资产：</v>
      </c>
      <c r="B35" s="200"/>
      <c r="C35" s="303"/>
      <c r="D35" s="305"/>
      <c r="E35" s="303"/>
      <c r="F35" s="204"/>
    </row>
    <row r="36" spans="1:6" ht="14.25">
      <c r="A36" s="199" t="str">
        <f>报表格式!B35</f>
        <v>固定资产原价</v>
      </c>
      <c r="B36" s="200"/>
      <c r="C36" s="303">
        <f>TB资产!I36</f>
        <v>0</v>
      </c>
      <c r="D36" s="305"/>
      <c r="E36" s="303">
        <f>'TB资产(期初)'!I36</f>
        <v>0</v>
      </c>
      <c r="F36" s="204"/>
    </row>
    <row r="37" spans="1:6" ht="14.25">
      <c r="A37" s="199" t="str">
        <f>报表格式!B36</f>
        <v xml:space="preserve">  减：累计折旧</v>
      </c>
      <c r="B37" s="200"/>
      <c r="C37" s="303">
        <f>TB资产!I37</f>
        <v>0</v>
      </c>
      <c r="D37" s="305"/>
      <c r="E37" s="303">
        <f>'TB资产(期初)'!I37</f>
        <v>0</v>
      </c>
      <c r="F37" s="204"/>
    </row>
    <row r="38" spans="1:6" ht="14.25">
      <c r="A38" s="199" t="str">
        <f>报表格式!B37</f>
        <v>固定资产净值</v>
      </c>
      <c r="B38" s="200"/>
      <c r="C38" s="303">
        <f>C36-C37</f>
        <v>0</v>
      </c>
      <c r="D38" s="305"/>
      <c r="E38" s="303">
        <f>E36-E37</f>
        <v>0</v>
      </c>
      <c r="F38" s="204"/>
    </row>
    <row r="39" spans="1:6" ht="14.25">
      <c r="A39" s="199" t="str">
        <f>报表格式!B38</f>
        <v xml:space="preserve">  减：固定资产减值准备</v>
      </c>
      <c r="B39" s="200"/>
      <c r="C39" s="303">
        <f>TB资产!I39</f>
        <v>0</v>
      </c>
      <c r="D39" s="305"/>
      <c r="E39" s="303">
        <f>'TB资产(期初)'!I39</f>
        <v>0</v>
      </c>
      <c r="F39" s="204"/>
    </row>
    <row r="40" spans="1:6" ht="14.25">
      <c r="A40" s="199" t="str">
        <f>报表格式!B39</f>
        <v>固定资产净额</v>
      </c>
      <c r="B40" s="207"/>
      <c r="C40" s="303">
        <f>C38-C39</f>
        <v>0</v>
      </c>
      <c r="D40" s="306"/>
      <c r="E40" s="303">
        <f>E38-E39</f>
        <v>0</v>
      </c>
      <c r="F40" s="204"/>
    </row>
    <row r="41" spans="1:6" ht="14.25">
      <c r="A41" s="199" t="str">
        <f>报表格式!B40</f>
        <v>工程物资</v>
      </c>
      <c r="B41" s="200"/>
      <c r="C41" s="303">
        <f>TB资产!I41</f>
        <v>0</v>
      </c>
      <c r="D41" s="305"/>
      <c r="E41" s="303">
        <f>'TB资产(期初)'!I41</f>
        <v>0</v>
      </c>
      <c r="F41" s="204"/>
    </row>
    <row r="42" spans="1:6" ht="14.25">
      <c r="A42" s="199" t="str">
        <f>报表格式!B41</f>
        <v>在建工程</v>
      </c>
      <c r="B42" s="200"/>
      <c r="C42" s="303">
        <f>TB资产!I42</f>
        <v>0</v>
      </c>
      <c r="D42" s="305"/>
      <c r="E42" s="303">
        <f>'TB资产(期初)'!I42</f>
        <v>0</v>
      </c>
      <c r="F42" s="204"/>
    </row>
    <row r="43" spans="1:6" ht="14.25">
      <c r="A43" s="199" t="str">
        <f>报表格式!B42</f>
        <v>固定资产清理</v>
      </c>
      <c r="B43" s="200"/>
      <c r="C43" s="303">
        <f>TB资产!I43</f>
        <v>0</v>
      </c>
      <c r="D43" s="310"/>
      <c r="E43" s="303">
        <f>'TB资产(期初)'!I43</f>
        <v>0</v>
      </c>
      <c r="F43" s="204"/>
    </row>
    <row r="44" spans="1:6" ht="14.25">
      <c r="A44" s="199" t="str">
        <f>报表格式!B43</f>
        <v>待处理固定资产净损失</v>
      </c>
      <c r="B44" s="207"/>
      <c r="C44" s="303">
        <f>TB资产!I44</f>
        <v>0</v>
      </c>
      <c r="D44" s="311"/>
      <c r="E44" s="303">
        <f>'TB资产(期初)'!I44</f>
        <v>0</v>
      </c>
      <c r="F44" s="204"/>
    </row>
    <row r="45" spans="1:6" ht="14.25">
      <c r="A45" s="462">
        <f>报表格式!B44</f>
        <v>0</v>
      </c>
      <c r="B45" s="207"/>
      <c r="C45" s="303">
        <f>TB资产!I45</f>
        <v>0</v>
      </c>
      <c r="D45" s="311"/>
      <c r="E45" s="303">
        <f>'TB资产(期初)'!I45</f>
        <v>0</v>
      </c>
      <c r="F45" s="204"/>
    </row>
    <row r="46" spans="1:6" ht="12.75" customHeight="1">
      <c r="A46" s="462">
        <f>报表格式!B45</f>
        <v>0</v>
      </c>
      <c r="B46" s="207"/>
      <c r="C46" s="303">
        <f>TB资产!I46</f>
        <v>0</v>
      </c>
      <c r="D46" s="311"/>
      <c r="E46" s="303">
        <f>'TB资产(期初)'!I46</f>
        <v>0</v>
      </c>
      <c r="F46" s="204"/>
    </row>
    <row r="47" spans="1:6" ht="14.25">
      <c r="A47" s="205" t="str">
        <f>报表格式!B46</f>
        <v>固定资产合计</v>
      </c>
      <c r="B47" s="207"/>
      <c r="C47" s="307">
        <f>SUM(C40:C46)</f>
        <v>0</v>
      </c>
      <c r="D47" s="308"/>
      <c r="E47" s="307">
        <f>SUM(E40:E46)</f>
        <v>0</v>
      </c>
      <c r="F47" s="206"/>
    </row>
    <row r="48" spans="1:6" ht="14.25">
      <c r="A48" s="199" t="str">
        <f>报表格式!B47</f>
        <v>无形资产及其他资产：</v>
      </c>
      <c r="B48" s="200"/>
      <c r="C48" s="303"/>
      <c r="D48" s="305"/>
      <c r="E48" s="303"/>
      <c r="F48" s="204"/>
    </row>
    <row r="49" spans="1:6" ht="14.25">
      <c r="A49" s="199" t="str">
        <f>报表格式!B48</f>
        <v>无形资产</v>
      </c>
      <c r="B49" s="200"/>
      <c r="C49" s="303">
        <f>TB资产!I49</f>
        <v>0</v>
      </c>
      <c r="D49" s="305"/>
      <c r="E49" s="303">
        <f>'TB资产(期初)'!I49</f>
        <v>0</v>
      </c>
      <c r="F49" s="204"/>
    </row>
    <row r="50" spans="1:6" ht="14.25">
      <c r="A50" s="199" t="str">
        <f>报表格式!B49</f>
        <v xml:space="preserve">  其中：土地使用权</v>
      </c>
      <c r="B50" s="200"/>
      <c r="C50" s="303">
        <f>TB资产!I50</f>
        <v>0</v>
      </c>
      <c r="D50" s="305"/>
      <c r="E50" s="303">
        <f>'TB资产(期初)'!I50</f>
        <v>0</v>
      </c>
      <c r="F50" s="204"/>
    </row>
    <row r="51" spans="1:6" ht="14.25">
      <c r="A51" s="199" t="str">
        <f>报表格式!B50</f>
        <v>长期待摊费用</v>
      </c>
      <c r="B51" s="200"/>
      <c r="C51" s="303">
        <f>TB资产!I51</f>
        <v>0</v>
      </c>
      <c r="D51" s="305"/>
      <c r="E51" s="303">
        <f>'TB资产(期初)'!I51</f>
        <v>0</v>
      </c>
      <c r="F51" s="204"/>
    </row>
    <row r="52" spans="1:6" ht="14.25">
      <c r="A52" s="199" t="str">
        <f>报表格式!B51</f>
        <v xml:space="preserve">  其中：固定资产修理</v>
      </c>
      <c r="B52" s="200"/>
      <c r="C52" s="303">
        <f>TB资产!I52</f>
        <v>0</v>
      </c>
      <c r="D52" s="305"/>
      <c r="E52" s="303">
        <f>'TB资产(期初)'!I52</f>
        <v>0</v>
      </c>
      <c r="F52" s="204"/>
    </row>
    <row r="53" spans="1:6" ht="14.25">
      <c r="A53" s="199" t="str">
        <f>报表格式!B52</f>
        <v xml:space="preserve">       固定资产改良支出</v>
      </c>
      <c r="B53" s="200"/>
      <c r="C53" s="303">
        <f>TB资产!I53</f>
        <v>0</v>
      </c>
      <c r="D53" s="305"/>
      <c r="E53" s="303">
        <f>'TB资产(期初)'!I53</f>
        <v>0</v>
      </c>
      <c r="F53" s="204"/>
    </row>
    <row r="54" spans="1:6" ht="14.25">
      <c r="A54" s="199" t="str">
        <f>报表格式!B53</f>
        <v>股权分置流通权</v>
      </c>
      <c r="B54" s="200"/>
      <c r="C54" s="303">
        <f>TB资产!I54</f>
        <v>0</v>
      </c>
      <c r="D54" s="305"/>
      <c r="E54" s="303">
        <f>'TB资产(期初)'!I54</f>
        <v>0</v>
      </c>
      <c r="F54" s="204"/>
    </row>
    <row r="55" spans="1:6" ht="14.25">
      <c r="A55" s="199" t="str">
        <f>报表格式!B54</f>
        <v>其他长期资产</v>
      </c>
      <c r="B55" s="200"/>
      <c r="C55" s="303">
        <f>TB资产!I55</f>
        <v>0</v>
      </c>
      <c r="D55" s="305"/>
      <c r="E55" s="303">
        <f>'TB资产(期初)'!I55</f>
        <v>0</v>
      </c>
      <c r="F55" s="204"/>
    </row>
    <row r="56" spans="1:6" ht="14.25">
      <c r="A56" s="462" t="str">
        <f>报表格式!B55</f>
        <v xml:space="preserve">  其中：特准储备物资</v>
      </c>
      <c r="B56" s="200"/>
      <c r="C56" s="303">
        <f>TB资产!I56</f>
        <v>0</v>
      </c>
      <c r="D56" s="305"/>
      <c r="E56" s="303">
        <f>'TB资产(期初)'!I56</f>
        <v>0</v>
      </c>
      <c r="F56" s="204"/>
    </row>
    <row r="57" spans="1:6" ht="12" customHeight="1">
      <c r="A57" s="462">
        <f>报表格式!B56</f>
        <v>0</v>
      </c>
      <c r="B57" s="200"/>
      <c r="C57" s="303">
        <f>TB资产!I57</f>
        <v>0</v>
      </c>
      <c r="D57" s="305"/>
      <c r="E57" s="303">
        <f>'TB资产(期初)'!I57</f>
        <v>0</v>
      </c>
      <c r="F57" s="204"/>
    </row>
    <row r="58" spans="1:6" ht="14.25">
      <c r="A58" s="205" t="str">
        <f>报表格式!B57</f>
        <v>无形资产及其他资产合计</v>
      </c>
      <c r="B58" s="200"/>
      <c r="C58" s="307">
        <f>SUM(C49,C51,C54:C55,C57)</f>
        <v>0</v>
      </c>
      <c r="D58" s="309"/>
      <c r="E58" s="307">
        <f>SUM(E49,E51,E54:E55,E57)</f>
        <v>0</v>
      </c>
      <c r="F58" s="206"/>
    </row>
    <row r="59" spans="1:6" ht="14.25">
      <c r="A59" s="199" t="str">
        <f>报表格式!B58</f>
        <v>递延税项：</v>
      </c>
      <c r="B59" s="200"/>
      <c r="C59" s="303"/>
      <c r="D59" s="305"/>
      <c r="E59" s="303"/>
      <c r="F59" s="204"/>
    </row>
    <row r="60" spans="1:6" ht="14.25">
      <c r="A60" s="199" t="str">
        <f>报表格式!B59</f>
        <v>递延税款借项</v>
      </c>
      <c r="B60" s="200"/>
      <c r="C60" s="303">
        <f>TB资产!I60</f>
        <v>0</v>
      </c>
      <c r="D60" s="305"/>
      <c r="E60" s="303">
        <f>'TB资产(期初)'!I60</f>
        <v>0</v>
      </c>
      <c r="F60" s="204"/>
    </row>
    <row r="61" spans="1:6" ht="12" customHeight="1">
      <c r="A61" s="208">
        <f>报表格式!B60</f>
        <v>0</v>
      </c>
      <c r="B61" s="200"/>
      <c r="C61" s="303">
        <f>TB资产!I61</f>
        <v>0</v>
      </c>
      <c r="D61" s="305"/>
      <c r="E61" s="303">
        <f>'TB资产(期初)'!I61</f>
        <v>0</v>
      </c>
      <c r="F61" s="204"/>
    </row>
    <row r="62" spans="1:6" ht="15" thickBot="1">
      <c r="A62" s="209" t="str">
        <f>报表格式!B73</f>
        <v>资 产 总 计</v>
      </c>
      <c r="B62" s="210"/>
      <c r="C62" s="312">
        <f>C27+C34+C47+C58+C60+C61</f>
        <v>0</v>
      </c>
      <c r="D62" s="313"/>
      <c r="E62" s="312">
        <f>E27+E34+E47+E58+E60+E61</f>
        <v>0</v>
      </c>
      <c r="F62" s="211"/>
    </row>
    <row r="63" spans="1:6" ht="14.25">
      <c r="A63" s="112" t="str">
        <f>CONCATENATE(参数!C4,参数!D4)</f>
        <v>法定代表人：</v>
      </c>
      <c r="B63" s="113" t="str">
        <f>CONCATENATE(参数!C5,参数!D5)</f>
        <v>财务负责人：</v>
      </c>
      <c r="C63" s="113"/>
      <c r="D63" s="105"/>
      <c r="E63" s="113" t="str">
        <f>CONCATENATE(参数!C6,参数!D6)</f>
        <v>会计主管：</v>
      </c>
      <c r="F63" s="105"/>
    </row>
    <row r="64" spans="1:6" ht="18.75">
      <c r="A64" s="955" t="s">
        <v>296</v>
      </c>
      <c r="B64" s="955"/>
      <c r="C64" s="955"/>
      <c r="D64" s="955"/>
      <c r="E64" s="955"/>
      <c r="F64" s="955"/>
    </row>
    <row r="65" spans="1:6" ht="17.100000000000001" customHeight="1">
      <c r="A65" s="212"/>
      <c r="B65" s="212"/>
      <c r="C65" s="952"/>
      <c r="D65" s="952"/>
      <c r="E65" s="212"/>
      <c r="F65" s="212"/>
    </row>
    <row r="66" spans="1:6" ht="14.25">
      <c r="A66" s="953" t="str">
        <f>A3</f>
        <v xml:space="preserve"> 编制单位：</v>
      </c>
      <c r="B66" s="953"/>
      <c r="C66" s="953"/>
      <c r="D66" s="196"/>
      <c r="E66" s="197" t="str">
        <f>CONCATENATE("单位：",参数!$D$13)</f>
        <v>单位：人民币元</v>
      </c>
      <c r="F66" s="198"/>
    </row>
    <row r="67" spans="1:6" ht="8.25" customHeight="1">
      <c r="A67" s="957" t="s">
        <v>295</v>
      </c>
      <c r="B67" s="957" t="s">
        <v>3</v>
      </c>
      <c r="C67" s="959">
        <f>参数!D12</f>
        <v>39447</v>
      </c>
      <c r="D67" s="959"/>
      <c r="E67" s="959">
        <f>参数!D11</f>
        <v>39082</v>
      </c>
      <c r="F67" s="959"/>
    </row>
    <row r="68" spans="1:6" ht="8.25" customHeight="1">
      <c r="A68" s="958"/>
      <c r="B68" s="958"/>
      <c r="C68" s="960"/>
      <c r="D68" s="960"/>
      <c r="E68" s="960"/>
      <c r="F68" s="960"/>
    </row>
    <row r="69" spans="1:6" ht="14.25">
      <c r="A69" s="199" t="str">
        <f>报表格式!G5</f>
        <v>流动负债：</v>
      </c>
      <c r="B69" s="200"/>
      <c r="C69" s="203"/>
      <c r="D69" s="204"/>
      <c r="E69" s="203"/>
      <c r="F69" s="213"/>
    </row>
    <row r="70" spans="1:6" ht="14.25">
      <c r="A70" s="214" t="str">
        <f>报表格式!G6</f>
        <v>短期借款</v>
      </c>
      <c r="B70" s="200"/>
      <c r="C70" s="303">
        <f>TB负债!I7</f>
        <v>0</v>
      </c>
      <c r="D70" s="305"/>
      <c r="E70" s="303">
        <f>'TB负债(期初)'!I7</f>
        <v>0</v>
      </c>
      <c r="F70" s="215"/>
    </row>
    <row r="71" spans="1:6" ht="14.25">
      <c r="A71" s="214" t="str">
        <f>报表格式!G7</f>
        <v>应付票据</v>
      </c>
      <c r="B71" s="200"/>
      <c r="C71" s="303">
        <f>TB负债!I8</f>
        <v>0</v>
      </c>
      <c r="D71" s="305"/>
      <c r="E71" s="303">
        <f>'TB负债(期初)'!I8</f>
        <v>0</v>
      </c>
      <c r="F71" s="215"/>
    </row>
    <row r="72" spans="1:6" ht="14.25">
      <c r="A72" s="214" t="str">
        <f>报表格式!G8</f>
        <v>应付账款</v>
      </c>
      <c r="B72" s="200"/>
      <c r="C72" s="303">
        <f>TB负债!I9</f>
        <v>0</v>
      </c>
      <c r="D72" s="305"/>
      <c r="E72" s="303">
        <f>'TB负债(期初)'!I9</f>
        <v>0</v>
      </c>
      <c r="F72" s="215"/>
    </row>
    <row r="73" spans="1:6" ht="14.25">
      <c r="A73" s="214" t="str">
        <f>报表格式!G9</f>
        <v>预收账款</v>
      </c>
      <c r="B73" s="200"/>
      <c r="C73" s="303">
        <f>TB负债!I10</f>
        <v>0</v>
      </c>
      <c r="D73" s="305"/>
      <c r="E73" s="303">
        <f>'TB负债(期初)'!I10</f>
        <v>0</v>
      </c>
      <c r="F73" s="215"/>
    </row>
    <row r="74" spans="1:6" ht="14.25">
      <c r="A74" s="214" t="str">
        <f>报表格式!G10</f>
        <v>应付工资</v>
      </c>
      <c r="B74" s="200"/>
      <c r="C74" s="303">
        <f>TB负债!I11</f>
        <v>0</v>
      </c>
      <c r="D74" s="305"/>
      <c r="E74" s="303">
        <f>'TB负债(期初)'!I11</f>
        <v>0</v>
      </c>
      <c r="F74" s="215"/>
    </row>
    <row r="75" spans="1:6" ht="14.25">
      <c r="A75" s="214" t="str">
        <f>报表格式!G11</f>
        <v>应付福利费</v>
      </c>
      <c r="B75" s="200"/>
      <c r="C75" s="303">
        <f>TB负债!I12</f>
        <v>0</v>
      </c>
      <c r="D75" s="305"/>
      <c r="E75" s="303">
        <f>'TB负债(期初)'!I12</f>
        <v>0</v>
      </c>
      <c r="F75" s="215"/>
    </row>
    <row r="76" spans="1:6" ht="14.25">
      <c r="A76" s="214" t="str">
        <f>报表格式!G12</f>
        <v>应付股利（利润）</v>
      </c>
      <c r="B76" s="200"/>
      <c r="C76" s="303">
        <f>TB负债!I13</f>
        <v>0</v>
      </c>
      <c r="D76" s="310"/>
      <c r="E76" s="303">
        <f>'TB负债(期初)'!I13</f>
        <v>0</v>
      </c>
      <c r="F76" s="215"/>
    </row>
    <row r="77" spans="1:6" ht="14.25">
      <c r="A77" s="214" t="str">
        <f>报表格式!G13</f>
        <v>应付利息</v>
      </c>
      <c r="B77" s="200"/>
      <c r="C77" s="303">
        <f>TB负债!I14</f>
        <v>0</v>
      </c>
      <c r="D77" s="305"/>
      <c r="E77" s="303">
        <f>'TB负债(期初)'!I14</f>
        <v>0</v>
      </c>
      <c r="F77" s="215"/>
    </row>
    <row r="78" spans="1:6" ht="14.25">
      <c r="A78" s="214" t="str">
        <f>报表格式!G14</f>
        <v>应交税金</v>
      </c>
      <c r="B78" s="200"/>
      <c r="C78" s="303">
        <f>TB负债!I15</f>
        <v>0</v>
      </c>
      <c r="D78" s="305"/>
      <c r="E78" s="303">
        <f>'TB负债(期初)'!I15</f>
        <v>0</v>
      </c>
      <c r="F78" s="215"/>
    </row>
    <row r="79" spans="1:6" ht="14.25">
      <c r="A79" s="214" t="str">
        <f>报表格式!G15</f>
        <v>其他应交款</v>
      </c>
      <c r="B79" s="200"/>
      <c r="C79" s="303">
        <f>TB负债!I16</f>
        <v>0</v>
      </c>
      <c r="D79" s="305"/>
      <c r="E79" s="303">
        <f>'TB负债(期初)'!I16</f>
        <v>0</v>
      </c>
      <c r="F79" s="215"/>
    </row>
    <row r="80" spans="1:6" ht="14.25">
      <c r="A80" s="214" t="str">
        <f>报表格式!G16</f>
        <v>其他应付款</v>
      </c>
      <c r="B80" s="200"/>
      <c r="C80" s="303">
        <f>TB负债!I17</f>
        <v>0</v>
      </c>
      <c r="D80" s="305"/>
      <c r="E80" s="303">
        <f>'TB负债(期初)'!I17</f>
        <v>0</v>
      </c>
      <c r="F80" s="215"/>
    </row>
    <row r="81" spans="1:6" ht="14.25">
      <c r="A81" s="214" t="str">
        <f>报表格式!G17</f>
        <v>预提费用</v>
      </c>
      <c r="B81" s="200"/>
      <c r="C81" s="303">
        <f>TB负债!I18</f>
        <v>0</v>
      </c>
      <c r="D81" s="305"/>
      <c r="E81" s="303">
        <f>'TB负债(期初)'!I18</f>
        <v>0</v>
      </c>
      <c r="F81" s="215"/>
    </row>
    <row r="82" spans="1:6" ht="14.25">
      <c r="A82" s="214" t="str">
        <f>报表格式!G18</f>
        <v>预计负债</v>
      </c>
      <c r="B82" s="200"/>
      <c r="C82" s="303">
        <f>TB负债!I19</f>
        <v>0</v>
      </c>
      <c r="D82" s="305"/>
      <c r="E82" s="303">
        <f>'TB负债(期初)'!I19</f>
        <v>0</v>
      </c>
      <c r="F82" s="215"/>
    </row>
    <row r="83" spans="1:6" ht="14.25">
      <c r="A83" s="214" t="str">
        <f>报表格式!G19</f>
        <v>递延收益</v>
      </c>
      <c r="B83" s="200"/>
      <c r="C83" s="303">
        <f>TB负债!I20</f>
        <v>0</v>
      </c>
      <c r="D83" s="305"/>
      <c r="E83" s="303">
        <f>'TB负债(期初)'!I20</f>
        <v>0</v>
      </c>
      <c r="F83" s="215"/>
    </row>
    <row r="84" spans="1:6" ht="14.25">
      <c r="A84" s="214" t="str">
        <f>报表格式!G20</f>
        <v>一年内到期的长期负债</v>
      </c>
      <c r="B84" s="200"/>
      <c r="C84" s="303">
        <f>TB负债!I21</f>
        <v>0</v>
      </c>
      <c r="D84" s="305"/>
      <c r="E84" s="303">
        <f>'TB负债(期初)'!I21</f>
        <v>0</v>
      </c>
      <c r="F84" s="215"/>
    </row>
    <row r="85" spans="1:6" ht="14.25">
      <c r="A85" s="214" t="str">
        <f>报表格式!G21</f>
        <v>应付权证</v>
      </c>
      <c r="B85" s="200"/>
      <c r="C85" s="303">
        <f>TB负债!I22</f>
        <v>0</v>
      </c>
      <c r="D85" s="305"/>
      <c r="E85" s="303">
        <f>'TB负债(期初)'!I22</f>
        <v>0</v>
      </c>
      <c r="F85" s="215"/>
    </row>
    <row r="86" spans="1:6" ht="14.25">
      <c r="A86" s="730" t="str">
        <f>报表格式!G22</f>
        <v>其他流动负债</v>
      </c>
      <c r="B86" s="200"/>
      <c r="C86" s="303">
        <f>TB负债!I23</f>
        <v>0</v>
      </c>
      <c r="D86" s="305"/>
      <c r="E86" s="303">
        <f>'TB负债(期初)'!I23</f>
        <v>0</v>
      </c>
      <c r="F86" s="215"/>
    </row>
    <row r="87" spans="1:6" ht="14.25">
      <c r="A87" s="731">
        <f>报表格式!G23</f>
        <v>0</v>
      </c>
      <c r="B87" s="200"/>
      <c r="C87" s="303">
        <f>TB负债!I24</f>
        <v>0</v>
      </c>
      <c r="D87" s="305"/>
      <c r="E87" s="303">
        <f>'TB负债(期初)'!I24</f>
        <v>0</v>
      </c>
      <c r="F87" s="215"/>
    </row>
    <row r="88" spans="1:6" ht="14.25">
      <c r="A88" s="731">
        <f>报表格式!G24</f>
        <v>0</v>
      </c>
      <c r="B88" s="200"/>
      <c r="C88" s="303">
        <f>TB负债!I25</f>
        <v>0</v>
      </c>
      <c r="D88" s="305"/>
      <c r="E88" s="303">
        <f>'TB负债(期初)'!I25</f>
        <v>0</v>
      </c>
      <c r="F88" s="215"/>
    </row>
    <row r="89" spans="1:6" ht="14.25">
      <c r="A89" s="732" t="str">
        <f>报表格式!G25</f>
        <v>流动负债合计</v>
      </c>
      <c r="B89" s="200"/>
      <c r="C89" s="307">
        <f>SUM(C70:C88)</f>
        <v>0</v>
      </c>
      <c r="D89" s="309"/>
      <c r="E89" s="307">
        <f>SUM(E70:E88)</f>
        <v>0</v>
      </c>
      <c r="F89" s="217"/>
    </row>
    <row r="90" spans="1:6" ht="14.25">
      <c r="A90" s="730" t="str">
        <f>报表格式!G26</f>
        <v>长期负债：</v>
      </c>
      <c r="B90" s="200"/>
      <c r="C90" s="303"/>
      <c r="D90" s="305"/>
      <c r="E90" s="303"/>
      <c r="F90" s="215"/>
    </row>
    <row r="91" spans="1:6" ht="14.25">
      <c r="A91" s="214" t="str">
        <f>报表格式!G27</f>
        <v>长期借款</v>
      </c>
      <c r="B91" s="200"/>
      <c r="C91" s="303">
        <f>TB负债!I28</f>
        <v>0</v>
      </c>
      <c r="D91" s="305"/>
      <c r="E91" s="303">
        <f>'TB负债(期初)'!I28</f>
        <v>0</v>
      </c>
      <c r="F91" s="215"/>
    </row>
    <row r="92" spans="1:6" ht="14.25">
      <c r="A92" s="214" t="str">
        <f>报表格式!G28</f>
        <v>应付债券</v>
      </c>
      <c r="B92" s="200"/>
      <c r="C92" s="303">
        <f>TB负债!I29</f>
        <v>0</v>
      </c>
      <c r="D92" s="305"/>
      <c r="E92" s="303">
        <f>'TB负债(期初)'!I29</f>
        <v>0</v>
      </c>
      <c r="F92" s="215"/>
    </row>
    <row r="93" spans="1:6" ht="14.25">
      <c r="A93" s="214" t="str">
        <f>报表格式!G29</f>
        <v>长期应付款</v>
      </c>
      <c r="B93" s="200"/>
      <c r="C93" s="303">
        <f>TB负债!I30</f>
        <v>0</v>
      </c>
      <c r="D93" s="305"/>
      <c r="E93" s="303">
        <f>'TB负债(期初)'!I30</f>
        <v>0</v>
      </c>
      <c r="F93" s="215"/>
    </row>
    <row r="94" spans="1:6" ht="14.25">
      <c r="A94" s="214" t="str">
        <f>报表格式!G30</f>
        <v>专项应付款</v>
      </c>
      <c r="B94" s="200"/>
      <c r="C94" s="303">
        <f>TB负债!I31</f>
        <v>0</v>
      </c>
      <c r="D94" s="305"/>
      <c r="E94" s="303">
        <f>'TB负债(期初)'!I31</f>
        <v>0</v>
      </c>
      <c r="F94" s="215"/>
    </row>
    <row r="95" spans="1:6" ht="14.25">
      <c r="A95" s="214" t="str">
        <f>报表格式!G31</f>
        <v>其他长期负债</v>
      </c>
      <c r="B95" s="200"/>
      <c r="C95" s="303">
        <f>TB负债!I32</f>
        <v>0</v>
      </c>
      <c r="D95" s="305"/>
      <c r="E95" s="303">
        <f>'TB负债(期初)'!I32</f>
        <v>0</v>
      </c>
      <c r="F95" s="215"/>
    </row>
    <row r="96" spans="1:6" ht="14.25">
      <c r="A96" s="214" t="str">
        <f>报表格式!G32</f>
        <v xml:space="preserve">  其中：特准储备资金</v>
      </c>
      <c r="B96" s="200"/>
      <c r="C96" s="303">
        <f>TB负债!I33</f>
        <v>0</v>
      </c>
      <c r="D96" s="310"/>
      <c r="E96" s="303">
        <f>'TB负债(期初)'!I33</f>
        <v>0</v>
      </c>
      <c r="F96" s="215"/>
    </row>
    <row r="97" spans="1:6" ht="14.25">
      <c r="A97" s="464">
        <f>报表格式!G33</f>
        <v>0</v>
      </c>
      <c r="B97" s="200"/>
      <c r="C97" s="303">
        <f>TB负债!I34</f>
        <v>0</v>
      </c>
      <c r="D97" s="310"/>
      <c r="E97" s="303">
        <f>'TB负债(期初)'!I34</f>
        <v>0</v>
      </c>
      <c r="F97" s="215"/>
    </row>
    <row r="98" spans="1:6" ht="14.25">
      <c r="A98" s="464">
        <f>报表格式!G34</f>
        <v>0</v>
      </c>
      <c r="B98" s="200"/>
      <c r="C98" s="303">
        <f>TB负债!I35</f>
        <v>0</v>
      </c>
      <c r="D98" s="310"/>
      <c r="E98" s="303">
        <f>'TB负债(期初)'!I35</f>
        <v>0</v>
      </c>
      <c r="F98" s="215"/>
    </row>
    <row r="99" spans="1:6" ht="14.25">
      <c r="A99" s="216" t="str">
        <f>报表格式!G35</f>
        <v>长期负债合计</v>
      </c>
      <c r="B99" s="200"/>
      <c r="C99" s="307">
        <f>SUM(C91:C95)+SUM(C97:C98)</f>
        <v>0</v>
      </c>
      <c r="D99" s="309"/>
      <c r="E99" s="307">
        <f>SUM(E91:E95)+SUM(E97:E98)</f>
        <v>0</v>
      </c>
      <c r="F99" s="217"/>
    </row>
    <row r="100" spans="1:6" ht="14.25">
      <c r="A100" s="214" t="str">
        <f>报表格式!G36</f>
        <v>递延税项：</v>
      </c>
      <c r="B100" s="200"/>
      <c r="C100" s="303"/>
      <c r="D100" s="305"/>
      <c r="E100" s="303"/>
      <c r="F100" s="215"/>
    </row>
    <row r="101" spans="1:6" ht="14.25">
      <c r="A101" s="214" t="str">
        <f>报表格式!G37</f>
        <v>递延税款贷项</v>
      </c>
      <c r="B101" s="200"/>
      <c r="C101" s="303">
        <f>TB负债!I38</f>
        <v>0</v>
      </c>
      <c r="D101" s="305"/>
      <c r="E101" s="303">
        <f>'TB负债(期初)'!I38</f>
        <v>0</v>
      </c>
      <c r="F101" s="215"/>
    </row>
    <row r="102" spans="1:6" ht="14.25">
      <c r="A102" s="216" t="str">
        <f>报表格式!G38</f>
        <v>负 债 合 计</v>
      </c>
      <c r="B102" s="207"/>
      <c r="C102" s="307">
        <f>C89+C99+C101</f>
        <v>0</v>
      </c>
      <c r="D102" s="308"/>
      <c r="E102" s="307">
        <f>E89+E99+E101</f>
        <v>0</v>
      </c>
      <c r="F102" s="217"/>
    </row>
    <row r="103" spans="1:6" ht="14.25">
      <c r="A103" s="214" t="str">
        <f>报表格式!G39</f>
        <v>*少数股东权益</v>
      </c>
      <c r="B103" s="200"/>
      <c r="C103" s="303">
        <f>TB负债!I40</f>
        <v>0</v>
      </c>
      <c r="D103" s="305"/>
      <c r="E103" s="303">
        <f>'TB负债(期初)'!I40</f>
        <v>0</v>
      </c>
      <c r="F103" s="215"/>
    </row>
    <row r="104" spans="1:6" ht="11.25" customHeight="1">
      <c r="A104" s="464">
        <f>报表格式!G40</f>
        <v>0</v>
      </c>
      <c r="B104" s="200"/>
      <c r="C104" s="303">
        <f>TB负债!I41</f>
        <v>0</v>
      </c>
      <c r="D104" s="305"/>
      <c r="E104" s="303">
        <f>'TB负债(期初)'!I41</f>
        <v>0</v>
      </c>
      <c r="F104" s="215"/>
    </row>
    <row r="105" spans="1:6" ht="14.25">
      <c r="A105" s="214" t="str">
        <f>报表格式!G41</f>
        <v>所有者权益：</v>
      </c>
      <c r="B105" s="200"/>
      <c r="C105" s="303"/>
      <c r="D105" s="305"/>
      <c r="E105" s="303"/>
      <c r="F105" s="215"/>
    </row>
    <row r="106" spans="1:6" ht="14.25">
      <c r="A106" s="214" t="str">
        <f>报表格式!G42</f>
        <v>实收资本</v>
      </c>
      <c r="B106" s="200"/>
      <c r="C106" s="303">
        <f>TB负债!I43</f>
        <v>0</v>
      </c>
      <c r="D106" s="305"/>
      <c r="E106" s="303">
        <f>'TB负债(期初)'!I43</f>
        <v>0</v>
      </c>
      <c r="F106" s="215"/>
    </row>
    <row r="107" spans="1:6" ht="14.25">
      <c r="A107" s="214" t="str">
        <f>报表格式!G43</f>
        <v xml:space="preserve"> 国家资本</v>
      </c>
      <c r="B107" s="200"/>
      <c r="C107" s="303">
        <f>TB负债!I44</f>
        <v>0</v>
      </c>
      <c r="D107" s="305"/>
      <c r="E107" s="303">
        <f>'TB负债(期初)'!I44</f>
        <v>0</v>
      </c>
      <c r="F107" s="215"/>
    </row>
    <row r="108" spans="1:6" ht="14.25">
      <c r="A108" s="214" t="str">
        <f>报表格式!G44</f>
        <v xml:space="preserve"> 集体资本</v>
      </c>
      <c r="B108" s="200"/>
      <c r="C108" s="303">
        <f>TB负债!I45</f>
        <v>0</v>
      </c>
      <c r="D108" s="305"/>
      <c r="E108" s="303">
        <f>'TB负债(期初)'!I45</f>
        <v>0</v>
      </c>
      <c r="F108" s="215"/>
    </row>
    <row r="109" spans="1:6" ht="14.25">
      <c r="A109" s="214" t="str">
        <f>报表格式!G45</f>
        <v xml:space="preserve"> 法人资本</v>
      </c>
      <c r="B109" s="200"/>
      <c r="C109" s="303">
        <f>TB负债!I46</f>
        <v>0</v>
      </c>
      <c r="D109" s="305"/>
      <c r="E109" s="303">
        <f>'TB负债(期初)'!I46</f>
        <v>0</v>
      </c>
      <c r="F109" s="215"/>
    </row>
    <row r="110" spans="1:6" ht="14.25">
      <c r="A110" s="214" t="str">
        <f>报表格式!G46</f>
        <v xml:space="preserve">   其中：国有法人资本</v>
      </c>
      <c r="B110" s="200"/>
      <c r="C110" s="303">
        <f>TB负债!I47</f>
        <v>0</v>
      </c>
      <c r="D110" s="305"/>
      <c r="E110" s="303">
        <f>'TB负债(期初)'!I47</f>
        <v>0</v>
      </c>
      <c r="F110" s="215"/>
    </row>
    <row r="111" spans="1:6" ht="14.25">
      <c r="A111" s="214" t="str">
        <f>报表格式!G47</f>
        <v xml:space="preserve">         集体法人资本</v>
      </c>
      <c r="B111" s="200"/>
      <c r="C111" s="303">
        <f>TB负债!I48</f>
        <v>0</v>
      </c>
      <c r="D111" s="305"/>
      <c r="E111" s="303">
        <f>'TB负债(期初)'!I48</f>
        <v>0</v>
      </c>
      <c r="F111" s="215"/>
    </row>
    <row r="112" spans="1:6" ht="14.25">
      <c r="A112" s="214" t="str">
        <f>报表格式!G48</f>
        <v xml:space="preserve"> 个人资本</v>
      </c>
      <c r="B112" s="200"/>
      <c r="C112" s="303">
        <f>TB负债!I49</f>
        <v>0</v>
      </c>
      <c r="D112" s="305"/>
      <c r="E112" s="303">
        <f>'TB负债(期初)'!I49</f>
        <v>0</v>
      </c>
      <c r="F112" s="215"/>
    </row>
    <row r="113" spans="1:6" ht="14.25">
      <c r="A113" s="214" t="str">
        <f>报表格式!G49</f>
        <v xml:space="preserve"> 外商资本</v>
      </c>
      <c r="B113" s="200"/>
      <c r="C113" s="303">
        <f>TB负债!I50</f>
        <v>0</v>
      </c>
      <c r="D113" s="305"/>
      <c r="E113" s="303">
        <f>'TB负债(期初)'!I50</f>
        <v>0</v>
      </c>
      <c r="F113" s="215"/>
    </row>
    <row r="114" spans="1:6" ht="14.25">
      <c r="A114" s="214" t="str">
        <f>报表格式!G50</f>
        <v>资本公积</v>
      </c>
      <c r="B114" s="200"/>
      <c r="C114" s="303">
        <f>TB负债!I51</f>
        <v>0</v>
      </c>
      <c r="D114" s="305"/>
      <c r="E114" s="303">
        <f>'TB负债(期初)'!I51</f>
        <v>0</v>
      </c>
      <c r="F114" s="215"/>
    </row>
    <row r="115" spans="1:6" ht="14.25">
      <c r="A115" s="214" t="str">
        <f>报表格式!G51</f>
        <v>盈余公积</v>
      </c>
      <c r="B115" s="200"/>
      <c r="C115" s="303">
        <f>TB负债!I52</f>
        <v>0</v>
      </c>
      <c r="D115" s="305"/>
      <c r="E115" s="303">
        <f>'TB负债(期初)'!I52</f>
        <v>0</v>
      </c>
      <c r="F115" s="215"/>
    </row>
    <row r="116" spans="1:6" ht="14.25">
      <c r="A116" s="214" t="str">
        <f>报表格式!G52</f>
        <v xml:space="preserve">  其中：法定公益金</v>
      </c>
      <c r="B116" s="200"/>
      <c r="C116" s="303">
        <f>TB负债!I53</f>
        <v>0</v>
      </c>
      <c r="D116" s="305"/>
      <c r="E116" s="303">
        <f>'TB负债(期初)'!I53</f>
        <v>0</v>
      </c>
      <c r="F116" s="215"/>
    </row>
    <row r="117" spans="1:6" ht="14.25">
      <c r="A117" s="214" t="str">
        <f>报表格式!G53</f>
        <v>*未确认的投资损失（以“-”号填列）</v>
      </c>
      <c r="B117" s="200"/>
      <c r="C117" s="303">
        <f>TB负债!I54</f>
        <v>0</v>
      </c>
      <c r="D117" s="305"/>
      <c r="E117" s="303">
        <f>'TB负债(期初)'!I54</f>
        <v>0</v>
      </c>
      <c r="F117" s="215"/>
    </row>
    <row r="118" spans="1:6" ht="14.25">
      <c r="A118" s="214" t="str">
        <f>报表格式!G54</f>
        <v>未分配利润</v>
      </c>
      <c r="B118" s="200"/>
      <c r="C118" s="303">
        <f>TB负债!I55</f>
        <v>0</v>
      </c>
      <c r="D118" s="305"/>
      <c r="E118" s="303">
        <f>'TB负债(期初)'!I55</f>
        <v>0</v>
      </c>
      <c r="F118" s="215"/>
    </row>
    <row r="119" spans="1:6" ht="14.25">
      <c r="A119" s="214" t="str">
        <f>报表格式!G55</f>
        <v xml:space="preserve">  其中：现金股利</v>
      </c>
      <c r="B119" s="200"/>
      <c r="C119" s="303">
        <f>TB负债!I56</f>
        <v>0</v>
      </c>
      <c r="D119" s="305"/>
      <c r="E119" s="303">
        <f>'TB负债(期初)'!I56</f>
        <v>0</v>
      </c>
      <c r="F119" s="215"/>
    </row>
    <row r="120" spans="1:6" ht="14.25">
      <c r="A120" s="214" t="str">
        <f>报表格式!G56</f>
        <v>外币报表折算差额</v>
      </c>
      <c r="B120" s="200"/>
      <c r="C120" s="303">
        <f>TB负债!I57</f>
        <v>0</v>
      </c>
      <c r="D120" s="305"/>
      <c r="E120" s="303">
        <f>'TB负债(期初)'!I57</f>
        <v>0</v>
      </c>
      <c r="F120" s="215"/>
    </row>
    <row r="121" spans="1:6" ht="14.25">
      <c r="A121" s="464">
        <f>报表格式!G57</f>
        <v>0</v>
      </c>
      <c r="B121" s="207"/>
      <c r="C121" s="303">
        <f>TB负债!I58</f>
        <v>0</v>
      </c>
      <c r="D121" s="305"/>
      <c r="E121" s="303">
        <f>'TB负债(期初)'!I58</f>
        <v>0</v>
      </c>
      <c r="F121" s="215"/>
    </row>
    <row r="122" spans="1:6" ht="14.25">
      <c r="A122" s="216" t="str">
        <f>报表格式!G58</f>
        <v>所有者权益小计</v>
      </c>
      <c r="B122" s="207"/>
      <c r="C122" s="307">
        <f>SUM(C106,C114,C115,C117,C118,C120,C121)</f>
        <v>0</v>
      </c>
      <c r="D122" s="309"/>
      <c r="E122" s="307">
        <f>SUM(E106,E114,E115,E117,E118,E120,E121)</f>
        <v>0</v>
      </c>
      <c r="F122" s="206"/>
    </row>
    <row r="123" spans="1:6" ht="14.25">
      <c r="A123" s="214" t="str">
        <f>报表格式!G59</f>
        <v>减：未处理资产损失</v>
      </c>
      <c r="B123" s="207"/>
      <c r="C123" s="307">
        <f>TB负债!I60</f>
        <v>0</v>
      </c>
      <c r="D123" s="309"/>
      <c r="E123" s="307">
        <f>'TB负债(期初)'!I60</f>
        <v>0</v>
      </c>
      <c r="F123" s="206"/>
    </row>
    <row r="124" spans="1:6" ht="14.25">
      <c r="A124" s="729" t="str">
        <f>报表格式!G60</f>
        <v>所有者权益合计(剔除未处理资产损失后的金额)</v>
      </c>
      <c r="B124" s="207"/>
      <c r="C124" s="307">
        <f>C122-C123</f>
        <v>0</v>
      </c>
      <c r="D124" s="309"/>
      <c r="E124" s="307">
        <f>E122-E123</f>
        <v>0</v>
      </c>
      <c r="F124" s="206"/>
    </row>
    <row r="125" spans="1:6" ht="15" thickBot="1">
      <c r="A125" s="218" t="str">
        <f>报表格式!G73</f>
        <v>负债及所有者权益合计</v>
      </c>
      <c r="B125" s="219"/>
      <c r="C125" s="314">
        <f>C102+C103+C104+C124</f>
        <v>0</v>
      </c>
      <c r="D125" s="315"/>
      <c r="E125" s="316">
        <f>E102+E103+E104+E124</f>
        <v>0</v>
      </c>
      <c r="F125" s="220"/>
    </row>
    <row r="126" spans="1:6" ht="14.25">
      <c r="A126" s="112" t="str">
        <f>CONCATENATE(参数!C4,参数!D4)</f>
        <v>法定代表人：</v>
      </c>
      <c r="B126" s="113" t="str">
        <f>CONCATENATE(参数!C5,参数!D5)</f>
        <v>财务负责人：</v>
      </c>
      <c r="C126" s="113"/>
      <c r="D126" s="105"/>
      <c r="E126" s="113" t="str">
        <f>CONCATENATE(参数!C6,参数!D6)</f>
        <v>会计主管：</v>
      </c>
      <c r="F126" s="105"/>
    </row>
    <row r="127" spans="1:6" s="793" customFormat="1" ht="12.75">
      <c r="A127" s="791"/>
      <c r="B127" s="792"/>
      <c r="C127" s="617"/>
      <c r="D127" s="791"/>
      <c r="E127" s="617"/>
      <c r="F127" s="791"/>
    </row>
    <row r="128" spans="1:6" s="793" customFormat="1" ht="12.75">
      <c r="A128" s="821" t="s">
        <v>970</v>
      </c>
      <c r="B128" s="792"/>
      <c r="C128" s="617"/>
      <c r="D128" s="791"/>
      <c r="E128" s="617"/>
      <c r="F128" s="791"/>
    </row>
    <row r="129" spans="1:6" s="793" customFormat="1" ht="12.75">
      <c r="A129" s="822" t="s">
        <v>981</v>
      </c>
      <c r="B129" s="827"/>
      <c r="C129" s="826">
        <f>C62-C125</f>
        <v>0</v>
      </c>
      <c r="D129" s="827"/>
      <c r="E129" s="826">
        <f>E62-E125</f>
        <v>0</v>
      </c>
      <c r="F129" s="828"/>
    </row>
    <row r="130" spans="1:6" s="793" customFormat="1" ht="12.75">
      <c r="A130" s="822" t="s">
        <v>982</v>
      </c>
      <c r="B130" s="827"/>
      <c r="C130" s="826">
        <f>C118-审定PL!C73</f>
        <v>0</v>
      </c>
      <c r="D130" s="827"/>
      <c r="E130" s="826">
        <f>E118-审定PL!E73</f>
        <v>0</v>
      </c>
      <c r="F130" s="828"/>
    </row>
    <row r="131" spans="1:6" s="793" customFormat="1" ht="12.75">
      <c r="A131" s="823" t="s">
        <v>971</v>
      </c>
      <c r="B131" s="827"/>
      <c r="C131" s="826">
        <f>SUM(C7:C26)-C19-C20-C27</f>
        <v>0</v>
      </c>
      <c r="D131" s="827"/>
      <c r="E131" s="826">
        <f>SUM(E7:E26)-E19-E20-E27</f>
        <v>0</v>
      </c>
      <c r="F131" s="828"/>
    </row>
    <row r="132" spans="1:6" s="793" customFormat="1" ht="12.75">
      <c r="A132" s="823" t="s">
        <v>972</v>
      </c>
      <c r="B132" s="827"/>
      <c r="C132" s="826">
        <f>SUM(C28,C31:C33)-C34</f>
        <v>0</v>
      </c>
      <c r="D132" s="827"/>
      <c r="E132" s="826">
        <f>SUM(E28,E31:E33)-E34</f>
        <v>0</v>
      </c>
      <c r="F132" s="828"/>
    </row>
    <row r="133" spans="1:6" s="793" customFormat="1" ht="12.75">
      <c r="A133" s="823" t="s">
        <v>973</v>
      </c>
      <c r="B133" s="827"/>
      <c r="C133" s="826">
        <f>SUM(C40:C46)-C47</f>
        <v>0</v>
      </c>
      <c r="D133" s="827"/>
      <c r="E133" s="826">
        <f>SUM(E40:E46)-E47</f>
        <v>0</v>
      </c>
      <c r="F133" s="828"/>
    </row>
    <row r="134" spans="1:6" s="825" customFormat="1" ht="12.75">
      <c r="A134" s="823" t="s">
        <v>974</v>
      </c>
      <c r="B134" s="827"/>
      <c r="C134" s="826">
        <f>SUM(C49,C51,C54:C55,C57)-C58</f>
        <v>0</v>
      </c>
      <c r="D134" s="827"/>
      <c r="E134" s="826">
        <f>SUM(E49,E51,E54:E55,E57)-E58</f>
        <v>0</v>
      </c>
      <c r="F134" s="829"/>
    </row>
    <row r="135" spans="1:6" s="825" customFormat="1" ht="12.75">
      <c r="A135" s="823" t="s">
        <v>975</v>
      </c>
      <c r="B135" s="827"/>
      <c r="C135" s="826">
        <f>SUM(C27,C34,C47,C58,C60:C61)-C62</f>
        <v>0</v>
      </c>
      <c r="D135" s="827"/>
      <c r="E135" s="826">
        <f>SUM(E27,E34,E47,E58,E60:E61)-E62</f>
        <v>0</v>
      </c>
      <c r="F135" s="829"/>
    </row>
    <row r="136" spans="1:6" s="825" customFormat="1" ht="12.75">
      <c r="A136" s="823" t="s">
        <v>976</v>
      </c>
      <c r="B136" s="827"/>
      <c r="C136" s="826">
        <f>SUM(C70:C88)-C89</f>
        <v>0</v>
      </c>
      <c r="D136" s="827"/>
      <c r="E136" s="826">
        <f>SUM(E70:E88)-E89</f>
        <v>0</v>
      </c>
      <c r="F136" s="829"/>
    </row>
    <row r="137" spans="1:6" s="825" customFormat="1" ht="12.75">
      <c r="A137" s="823" t="s">
        <v>977</v>
      </c>
      <c r="B137" s="827"/>
      <c r="C137" s="826">
        <f>SUM(C91:C95,C97:C98)-C99</f>
        <v>0</v>
      </c>
      <c r="D137" s="827"/>
      <c r="E137" s="826">
        <f>SUM(E91:E95,E97:E98)-E99</f>
        <v>0</v>
      </c>
      <c r="F137" s="829"/>
    </row>
    <row r="138" spans="1:6" s="825" customFormat="1" ht="12.75">
      <c r="A138" s="823" t="s">
        <v>978</v>
      </c>
      <c r="B138" s="827"/>
      <c r="C138" s="826">
        <f>SUM(C89,C99,C101)-C102</f>
        <v>0</v>
      </c>
      <c r="D138" s="827"/>
      <c r="E138" s="826">
        <f>SUM(E89,E99,E101)-E102</f>
        <v>0</v>
      </c>
      <c r="F138" s="829"/>
    </row>
    <row r="139" spans="1:6" s="825" customFormat="1" ht="12.75">
      <c r="A139" s="823" t="s">
        <v>979</v>
      </c>
      <c r="B139" s="827"/>
      <c r="C139" s="826">
        <f>SUM(C106,C114:C115,C117:C118,C120:C121)-C122</f>
        <v>0</v>
      </c>
      <c r="D139" s="827"/>
      <c r="E139" s="826">
        <f>SUM(E106,E114:E115,E117:E118,E120:E121)-E122</f>
        <v>0</v>
      </c>
      <c r="F139" s="829"/>
    </row>
    <row r="140" spans="1:6" s="825" customFormat="1" ht="12.75">
      <c r="A140" s="824" t="s">
        <v>983</v>
      </c>
      <c r="B140" s="827"/>
      <c r="C140" s="826">
        <f>C122-C123-C124</f>
        <v>0</v>
      </c>
      <c r="D140" s="827"/>
      <c r="E140" s="826">
        <f>E122-E123-E124</f>
        <v>0</v>
      </c>
      <c r="F140" s="829"/>
    </row>
    <row r="141" spans="1:6" s="825" customFormat="1" ht="12.75">
      <c r="A141" s="823" t="s">
        <v>980</v>
      </c>
      <c r="B141" s="827"/>
      <c r="C141" s="826">
        <f>SUM(C102,C103,C104,C124)-C125</f>
        <v>0</v>
      </c>
      <c r="D141" s="827"/>
      <c r="E141" s="826">
        <f>SUM(E102,E103,E104,E124)-E125</f>
        <v>0</v>
      </c>
      <c r="F141" s="829"/>
    </row>
  </sheetData>
  <sheetProtection formatCells="0" insertRows="0" autoFilter="0" pivotTables="0"/>
  <mergeCells count="13">
    <mergeCell ref="A67:A68"/>
    <mergeCell ref="B67:B68"/>
    <mergeCell ref="C67:D68"/>
    <mergeCell ref="E67:F68"/>
    <mergeCell ref="C65:D65"/>
    <mergeCell ref="A66:C66"/>
    <mergeCell ref="A1:F1"/>
    <mergeCell ref="A64:F64"/>
    <mergeCell ref="A3:C3"/>
    <mergeCell ref="A4:A5"/>
    <mergeCell ref="B4:B5"/>
    <mergeCell ref="C4:D5"/>
    <mergeCell ref="E4:F5"/>
  </mergeCells>
  <phoneticPr fontId="3" type="noConversion"/>
  <conditionalFormatting sqref="A66:C66 A3:C3">
    <cfRule type="cellIs" dxfId="40" priority="1" stopIfTrue="1" operator="equal">
      <formula>"            对不起，请到参数表中确定报表类型！"</formula>
    </cfRule>
    <cfRule type="cellIs" dxfId="39" priority="2" stopIfTrue="1" operator="equal">
      <formula>"对不起，试用期已到，请查看系统信息，并与作者联系。"</formula>
    </cfRule>
  </conditionalFormatting>
  <printOptions horizontalCentered="1" verticalCentered="1"/>
  <pageMargins left="0.59055118110236227" right="0.39370078740157483" top="0.28999999999999998" bottom="0.27" header="0.22" footer="0.35"/>
  <pageSetup paperSize="9" scale="85" fitToHeight="2" orientation="portrait" horizontalDpi="360" r:id="rId1"/>
  <headerFooter alignWithMargins="0"/>
  <rowBreaks count="1" manualBreakCount="1">
    <brk id="63" max="5"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pageSetUpPr fitToPage="1"/>
  </sheetPr>
  <dimension ref="A1:F94"/>
  <sheetViews>
    <sheetView showZeros="0" zoomScaleNormal="100" workbookViewId="0">
      <pane xSplit="1" ySplit="5" topLeftCell="B73" activePane="bottomRight" state="frozen"/>
      <selection pane="topRight" activeCell="B1" sqref="B1"/>
      <selection pane="bottomLeft" activeCell="A6" sqref="A6"/>
      <selection pane="bottomRight" activeCell="A87" sqref="A87"/>
    </sheetView>
  </sheetViews>
  <sheetFormatPr defaultColWidth="14.5" defaultRowHeight="14.25"/>
  <cols>
    <col min="1" max="1" width="43.625" style="80" customWidth="1"/>
    <col min="2" max="2" width="7.25" style="81" bestFit="1" customWidth="1"/>
    <col min="3" max="3" width="19.5" style="80" customWidth="1"/>
    <col min="4" max="4" width="2.375" style="80" customWidth="1"/>
    <col min="5" max="5" width="16.125" style="80" bestFit="1" customWidth="1"/>
    <col min="6" max="6" width="2.375" style="80" customWidth="1"/>
    <col min="7" max="16384" width="14.5" style="80"/>
  </cols>
  <sheetData>
    <row r="1" spans="1:6" ht="18.75">
      <c r="A1" s="962" t="s">
        <v>164</v>
      </c>
      <c r="B1" s="962"/>
      <c r="C1" s="962"/>
      <c r="D1" s="962"/>
      <c r="E1" s="962"/>
      <c r="F1" s="962"/>
    </row>
    <row r="2" spans="1:6" ht="9.75" customHeight="1">
      <c r="A2" s="221"/>
      <c r="B2" s="221"/>
      <c r="C2" s="665">
        <f>ROUND(C54-E73,2)</f>
        <v>0</v>
      </c>
      <c r="D2" s="221"/>
      <c r="E2" s="221"/>
      <c r="F2" s="221"/>
    </row>
    <row r="3" spans="1:6">
      <c r="A3" s="956" t="str">
        <f>IF(报表格式!G41="","    对不起，请到参数表中确定报表类型！",CONCATENATE(" 编制单位：",参数!D3))</f>
        <v xml:space="preserve"> 编制单位：</v>
      </c>
      <c r="B3" s="956"/>
      <c r="C3" s="956"/>
      <c r="D3" s="222"/>
      <c r="E3" s="223" t="str">
        <f>CONCATENATE("单位：",参数!$D$13)</f>
        <v>单位：人民币元</v>
      </c>
      <c r="F3" s="224"/>
    </row>
    <row r="4" spans="1:6" s="82" customFormat="1" ht="7.5" customHeight="1">
      <c r="A4" s="963" t="s">
        <v>134</v>
      </c>
      <c r="B4" s="963" t="s">
        <v>135</v>
      </c>
      <c r="C4" s="965" t="str">
        <f>参数!D10</f>
        <v>2007年度</v>
      </c>
      <c r="D4" s="965"/>
      <c r="E4" s="965" t="str">
        <f>参数!D9</f>
        <v>2006年度</v>
      </c>
      <c r="F4" s="965"/>
    </row>
    <row r="5" spans="1:6" s="82" customFormat="1" ht="8.25" customHeight="1">
      <c r="A5" s="964"/>
      <c r="B5" s="964"/>
      <c r="C5" s="966"/>
      <c r="D5" s="966"/>
      <c r="E5" s="966"/>
      <c r="F5" s="966"/>
    </row>
    <row r="6" spans="1:6" s="82" customFormat="1" ht="12.75">
      <c r="A6" s="227" t="str">
        <f>报表格式!L5</f>
        <v>一、主营业务收入</v>
      </c>
      <c r="B6" s="228"/>
      <c r="C6" s="307">
        <f>TB损益!I6</f>
        <v>0</v>
      </c>
      <c r="D6" s="309"/>
      <c r="E6" s="307">
        <f>'TB损益(期初)'!I6</f>
        <v>0</v>
      </c>
      <c r="F6" s="230"/>
    </row>
    <row r="7" spans="1:6" s="82" customFormat="1" ht="12.75">
      <c r="A7" s="231" t="str">
        <f>报表格式!L6</f>
        <v xml:space="preserve">    其中：进口产品（商品）销售收入</v>
      </c>
      <c r="B7" s="228"/>
      <c r="C7" s="303">
        <f>TB损益!I7</f>
        <v>0</v>
      </c>
      <c r="D7" s="305"/>
      <c r="E7" s="303">
        <f>'TB损益(期初)'!I7</f>
        <v>0</v>
      </c>
      <c r="F7" s="230"/>
    </row>
    <row r="8" spans="1:6" s="82" customFormat="1" ht="12.75">
      <c r="A8" s="231" t="str">
        <f>报表格式!L7</f>
        <v xml:space="preserve">          出口产品（商品）销售收入</v>
      </c>
      <c r="B8" s="228"/>
      <c r="C8" s="303">
        <f>TB损益!I8</f>
        <v>0</v>
      </c>
      <c r="D8" s="305"/>
      <c r="E8" s="303">
        <f>'TB损益(期初)'!I8</f>
        <v>0</v>
      </c>
      <c r="F8" s="230"/>
    </row>
    <row r="9" spans="1:6" s="82" customFormat="1" ht="12.75">
      <c r="A9" s="231" t="str">
        <f>报表格式!L8</f>
        <v xml:space="preserve">    减：折扣与折让</v>
      </c>
      <c r="B9" s="228"/>
      <c r="C9" s="303">
        <f>TB损益!I9</f>
        <v>0</v>
      </c>
      <c r="D9" s="305"/>
      <c r="E9" s="303">
        <f>'TB损益(期初)'!I9</f>
        <v>0</v>
      </c>
      <c r="F9" s="230"/>
    </row>
    <row r="10" spans="1:6" s="82" customFormat="1" ht="12.75">
      <c r="A10" s="227" t="str">
        <f>报表格式!L9</f>
        <v>二、主营业务收入净额</v>
      </c>
      <c r="B10" s="228"/>
      <c r="C10" s="307">
        <f>C6-C9</f>
        <v>0</v>
      </c>
      <c r="D10" s="309"/>
      <c r="E10" s="307">
        <f>E6-E9</f>
        <v>0</v>
      </c>
      <c r="F10" s="230"/>
    </row>
    <row r="11" spans="1:6" s="82" customFormat="1" ht="12.75">
      <c r="A11" s="231" t="str">
        <f>报表格式!L10</f>
        <v xml:space="preserve">    减：（一）主营业务成本</v>
      </c>
      <c r="B11" s="228"/>
      <c r="C11" s="303">
        <f>TB损益!I11</f>
        <v>0</v>
      </c>
      <c r="D11" s="305"/>
      <c r="E11" s="303">
        <f>'TB损益(期初)'!I11</f>
        <v>0</v>
      </c>
      <c r="F11" s="230"/>
    </row>
    <row r="12" spans="1:6" s="82" customFormat="1" ht="12.75">
      <c r="A12" s="231" t="str">
        <f>报表格式!L11</f>
        <v xml:space="preserve">              其中：出口产品（商品）销售成本</v>
      </c>
      <c r="B12" s="228"/>
      <c r="C12" s="303">
        <f>TB损益!I12</f>
        <v>0</v>
      </c>
      <c r="D12" s="305"/>
      <c r="E12" s="303">
        <f>'TB损益(期初)'!I12</f>
        <v>0</v>
      </c>
      <c r="F12" s="230"/>
    </row>
    <row r="13" spans="1:6" s="82" customFormat="1" ht="12.75">
      <c r="A13" s="231" t="str">
        <f>报表格式!L12</f>
        <v xml:space="preserve">        （二）主营业务税金及附加</v>
      </c>
      <c r="B13" s="228"/>
      <c r="C13" s="303">
        <f>TB损益!I13</f>
        <v>0</v>
      </c>
      <c r="D13" s="305"/>
      <c r="E13" s="303">
        <f>'TB损益(期初)'!I13</f>
        <v>0</v>
      </c>
      <c r="F13" s="230"/>
    </row>
    <row r="14" spans="1:6" s="82" customFormat="1" ht="12.75">
      <c r="A14" s="231" t="str">
        <f>报表格式!L13</f>
        <v xml:space="preserve">        （三）经营费用</v>
      </c>
      <c r="B14" s="228"/>
      <c r="C14" s="303">
        <f>TB损益!I14</f>
        <v>0</v>
      </c>
      <c r="D14" s="305"/>
      <c r="E14" s="303">
        <f>'TB损益(期初)'!I14</f>
        <v>0</v>
      </c>
      <c r="F14" s="230"/>
    </row>
    <row r="15" spans="1:6" s="82" customFormat="1" ht="12.75">
      <c r="A15" s="231" t="str">
        <f>报表格式!L14</f>
        <v xml:space="preserve">        （四）其他</v>
      </c>
      <c r="B15" s="228"/>
      <c r="C15" s="303">
        <f>TB损益!I15</f>
        <v>0</v>
      </c>
      <c r="D15" s="305"/>
      <c r="E15" s="303">
        <f>'TB损益(期初)'!I15</f>
        <v>0</v>
      </c>
      <c r="F15" s="230"/>
    </row>
    <row r="16" spans="1:6" s="82" customFormat="1" ht="12.75">
      <c r="A16" s="231" t="str">
        <f>报表格式!L15</f>
        <v xml:space="preserve">    加：（一）递延收益</v>
      </c>
      <c r="B16" s="228"/>
      <c r="C16" s="303">
        <f>TB损益!I16</f>
        <v>0</v>
      </c>
      <c r="D16" s="305"/>
      <c r="E16" s="303">
        <f>'TB损益(期初)'!I16</f>
        <v>0</v>
      </c>
      <c r="F16" s="230"/>
    </row>
    <row r="17" spans="1:6" s="82" customFormat="1" ht="12.75">
      <c r="A17" s="231" t="str">
        <f>报表格式!L16</f>
        <v xml:space="preserve">        （二）代购代销收入</v>
      </c>
      <c r="B17" s="228"/>
      <c r="C17" s="303">
        <f>TB损益!I17</f>
        <v>0</v>
      </c>
      <c r="D17" s="305"/>
      <c r="E17" s="303">
        <f>'TB损益(期初)'!I17</f>
        <v>0</v>
      </c>
      <c r="F17" s="230"/>
    </row>
    <row r="18" spans="1:6" s="82" customFormat="1" ht="12.75">
      <c r="A18" s="231" t="str">
        <f>报表格式!L17</f>
        <v xml:space="preserve">        （三）其他</v>
      </c>
      <c r="B18" s="228"/>
      <c r="C18" s="303">
        <f>TB损益!I18</f>
        <v>0</v>
      </c>
      <c r="D18" s="305"/>
      <c r="E18" s="303">
        <f>'TB损益(期初)'!I18</f>
        <v>0</v>
      </c>
      <c r="F18" s="230"/>
    </row>
    <row r="19" spans="1:6" s="82" customFormat="1" ht="12.75">
      <c r="A19" s="227" t="str">
        <f>报表格式!L18</f>
        <v>三、主营业务利润</v>
      </c>
      <c r="B19" s="228"/>
      <c r="C19" s="307">
        <f>C10-C11-C13-C14-C15+C16+C17+C18</f>
        <v>0</v>
      </c>
      <c r="D19" s="309"/>
      <c r="E19" s="307">
        <f>E10-E11-E13-E14-E15+E16+E17+E18</f>
        <v>0</v>
      </c>
      <c r="F19" s="229"/>
    </row>
    <row r="20" spans="1:6" s="82" customFormat="1" ht="12.75">
      <c r="A20" s="231" t="str">
        <f>报表格式!L19</f>
        <v xml:space="preserve">    加：其他业务利润</v>
      </c>
      <c r="B20" s="228"/>
      <c r="C20" s="303">
        <f>TB损益!I20</f>
        <v>0</v>
      </c>
      <c r="D20" s="305"/>
      <c r="E20" s="303">
        <f>'TB损益(期初)'!I20</f>
        <v>0</v>
      </c>
      <c r="F20" s="230"/>
    </row>
    <row r="21" spans="1:6" s="82" customFormat="1" ht="12.75">
      <c r="A21" s="231" t="str">
        <f>报表格式!L20</f>
        <v xml:space="preserve">    减：（一）营业费用</v>
      </c>
      <c r="B21" s="228"/>
      <c r="C21" s="303">
        <f>TB损益!I21</f>
        <v>0</v>
      </c>
      <c r="D21" s="305"/>
      <c r="E21" s="303">
        <f>'TB损益(期初)'!I21</f>
        <v>0</v>
      </c>
      <c r="F21" s="230"/>
    </row>
    <row r="22" spans="1:6" s="82" customFormat="1" ht="12.75">
      <c r="A22" s="231" t="str">
        <f>报表格式!L21</f>
        <v xml:space="preserve">        （二）管理费用</v>
      </c>
      <c r="B22" s="228"/>
      <c r="C22" s="303">
        <f>TB损益!I22</f>
        <v>0</v>
      </c>
      <c r="D22" s="305"/>
      <c r="E22" s="303">
        <f>'TB损益(期初)'!I22</f>
        <v>0</v>
      </c>
      <c r="F22" s="230"/>
    </row>
    <row r="23" spans="1:6" s="82" customFormat="1" ht="12.75">
      <c r="A23" s="231" t="str">
        <f>报表格式!L22</f>
        <v xml:space="preserve">         其中：业务招待费</v>
      </c>
      <c r="B23" s="228"/>
      <c r="C23" s="303">
        <f>TB损益!I23</f>
        <v>0</v>
      </c>
      <c r="D23" s="305"/>
      <c r="E23" s="303">
        <f>'TB损益(期初)'!I23</f>
        <v>0</v>
      </c>
      <c r="F23" s="230"/>
    </row>
    <row r="24" spans="1:6" s="82" customFormat="1" ht="12.75">
      <c r="A24" s="231" t="str">
        <f>报表格式!L23</f>
        <v xml:space="preserve">               研究与开发费</v>
      </c>
      <c r="B24" s="228"/>
      <c r="C24" s="303">
        <f>TB损益!I24</f>
        <v>0</v>
      </c>
      <c r="D24" s="305"/>
      <c r="E24" s="303">
        <f>'TB损益(期初)'!I24</f>
        <v>0</v>
      </c>
      <c r="F24" s="230"/>
    </row>
    <row r="25" spans="1:6" s="82" customFormat="1" ht="12.75">
      <c r="A25" s="231" t="str">
        <f>报表格式!L24</f>
        <v xml:space="preserve">        （三）财务费用</v>
      </c>
      <c r="B25" s="228"/>
      <c r="C25" s="303">
        <f>TB损益!I25</f>
        <v>0</v>
      </c>
      <c r="D25" s="305"/>
      <c r="E25" s="303">
        <f>'TB损益(期初)'!I25</f>
        <v>0</v>
      </c>
      <c r="F25" s="230"/>
    </row>
    <row r="26" spans="1:6" s="82" customFormat="1" ht="12.75">
      <c r="A26" s="231" t="str">
        <f>报表格式!L25</f>
        <v xml:space="preserve">         其中：利息支出</v>
      </c>
      <c r="B26" s="228"/>
      <c r="C26" s="303">
        <f>TB损益!I26</f>
        <v>0</v>
      </c>
      <c r="D26" s="305"/>
      <c r="E26" s="303">
        <f>'TB损益(期初)'!I26</f>
        <v>0</v>
      </c>
      <c r="F26" s="230"/>
    </row>
    <row r="27" spans="1:6" s="82" customFormat="1" ht="12.75">
      <c r="A27" s="231" t="str">
        <f>报表格式!L26</f>
        <v xml:space="preserve">               利息收入</v>
      </c>
      <c r="B27" s="228"/>
      <c r="C27" s="303">
        <f>TB损益!I27</f>
        <v>0</v>
      </c>
      <c r="D27" s="305"/>
      <c r="E27" s="303">
        <f>'TB损益(期初)'!I27</f>
        <v>0</v>
      </c>
      <c r="F27" s="230"/>
    </row>
    <row r="28" spans="1:6" s="82" customFormat="1" ht="12.75">
      <c r="A28" s="231" t="str">
        <f>报表格式!L27</f>
        <v xml:space="preserve">               汇兑净损失</v>
      </c>
      <c r="B28" s="228"/>
      <c r="C28" s="303">
        <f>TB损益!I28</f>
        <v>0</v>
      </c>
      <c r="D28" s="305"/>
      <c r="E28" s="303">
        <f>'TB损益(期初)'!I28</f>
        <v>0</v>
      </c>
      <c r="F28" s="230"/>
    </row>
    <row r="29" spans="1:6" s="82" customFormat="1" ht="12.75">
      <c r="A29" s="231" t="str">
        <f>报表格式!L28</f>
        <v xml:space="preserve">        （四）其他</v>
      </c>
      <c r="B29" s="228"/>
      <c r="C29" s="303">
        <f>TB损益!I29</f>
        <v>0</v>
      </c>
      <c r="D29" s="305"/>
      <c r="E29" s="303">
        <f>'TB损益(期初)'!I29</f>
        <v>0</v>
      </c>
      <c r="F29" s="230"/>
    </row>
    <row r="30" spans="1:6" s="82" customFormat="1" ht="12.75">
      <c r="A30" s="227" t="str">
        <f>报表格式!L29</f>
        <v>四、营业利润</v>
      </c>
      <c r="B30" s="228"/>
      <c r="C30" s="307">
        <f>C19+C20-C21-C22-C25-C29</f>
        <v>0</v>
      </c>
      <c r="D30" s="309"/>
      <c r="E30" s="307">
        <f>E19+E20-E21-E22-E25-E29</f>
        <v>0</v>
      </c>
      <c r="F30" s="229"/>
    </row>
    <row r="31" spans="1:6" s="82" customFormat="1" ht="12.75">
      <c r="A31" s="231" t="str">
        <f>报表格式!L30</f>
        <v xml:space="preserve">    加：（一）投资收益</v>
      </c>
      <c r="B31" s="228"/>
      <c r="C31" s="303">
        <f>TB损益!I31</f>
        <v>0</v>
      </c>
      <c r="D31" s="305"/>
      <c r="E31" s="303">
        <f>'TB损益(期初)'!I31</f>
        <v>0</v>
      </c>
      <c r="F31" s="230"/>
    </row>
    <row r="32" spans="1:6" s="82" customFormat="1" ht="12.75">
      <c r="A32" s="231" t="str">
        <f>报表格式!L31</f>
        <v xml:space="preserve">        （二）期货收益</v>
      </c>
      <c r="B32" s="228"/>
      <c r="C32" s="303">
        <f>TB损益!I32</f>
        <v>0</v>
      </c>
      <c r="D32" s="305"/>
      <c r="E32" s="303">
        <f>'TB损益(期初)'!I32</f>
        <v>0</v>
      </c>
      <c r="F32" s="230"/>
    </row>
    <row r="33" spans="1:6" s="82" customFormat="1" ht="12.75">
      <c r="A33" s="231" t="str">
        <f>报表格式!L32</f>
        <v xml:space="preserve">        （三）补贴收入</v>
      </c>
      <c r="B33" s="228"/>
      <c r="C33" s="303">
        <f>TB损益!I33</f>
        <v>0</v>
      </c>
      <c r="D33" s="305"/>
      <c r="E33" s="303">
        <f>'TB损益(期初)'!I33</f>
        <v>0</v>
      </c>
      <c r="F33" s="230"/>
    </row>
    <row r="34" spans="1:6" s="82" customFormat="1" ht="12.75">
      <c r="A34" s="231" t="str">
        <f>报表格式!L33</f>
        <v xml:space="preserve">             其中：补贴前亏损的企业补贴收入</v>
      </c>
      <c r="B34" s="228"/>
      <c r="C34" s="303">
        <f>TB损益!I34</f>
        <v>0</v>
      </c>
      <c r="D34" s="305"/>
      <c r="E34" s="303">
        <f>'TB损益(期初)'!I34</f>
        <v>0</v>
      </c>
      <c r="F34" s="230"/>
    </row>
    <row r="35" spans="1:6" s="82" customFormat="1" ht="12.75">
      <c r="A35" s="231" t="str">
        <f>报表格式!L34</f>
        <v xml:space="preserve">        （四）营业外收入</v>
      </c>
      <c r="B35" s="228"/>
      <c r="C35" s="303">
        <f>TB损益!I35</f>
        <v>0</v>
      </c>
      <c r="D35" s="305"/>
      <c r="E35" s="303">
        <f>'TB损益(期初)'!I35</f>
        <v>0</v>
      </c>
      <c r="F35" s="230"/>
    </row>
    <row r="36" spans="1:6" s="82" customFormat="1" ht="12.75">
      <c r="A36" s="231" t="str">
        <f>报表格式!L35</f>
        <v xml:space="preserve">             其中：处置固定资产净收益</v>
      </c>
      <c r="B36" s="228"/>
      <c r="C36" s="303">
        <f>TB损益!I36</f>
        <v>0</v>
      </c>
      <c r="D36" s="305"/>
      <c r="E36" s="303">
        <f>'TB损益(期初)'!I36</f>
        <v>0</v>
      </c>
      <c r="F36" s="230"/>
    </row>
    <row r="37" spans="1:6" s="82" customFormat="1" ht="12.75">
      <c r="A37" s="231" t="str">
        <f>报表格式!L36</f>
        <v xml:space="preserve">                   非货币性交易收益</v>
      </c>
      <c r="B37" s="228"/>
      <c r="C37" s="303">
        <f>TB损益!I37</f>
        <v>0</v>
      </c>
      <c r="D37" s="305"/>
      <c r="E37" s="303">
        <f>'TB损益(期初)'!I37</f>
        <v>0</v>
      </c>
      <c r="F37" s="230"/>
    </row>
    <row r="38" spans="1:6" s="82" customFormat="1" ht="12.75">
      <c r="A38" s="231" t="str">
        <f>报表格式!L37</f>
        <v xml:space="preserve">                   出售无形资产收益</v>
      </c>
      <c r="B38" s="228"/>
      <c r="C38" s="303">
        <f>TB损益!I38</f>
        <v>0</v>
      </c>
      <c r="D38" s="305"/>
      <c r="E38" s="303">
        <f>'TB损益(期初)'!I38</f>
        <v>0</v>
      </c>
      <c r="F38" s="230"/>
    </row>
    <row r="39" spans="1:6" s="82" customFormat="1" ht="12.75">
      <c r="A39" s="231" t="str">
        <f>报表格式!L38</f>
        <v xml:space="preserve">                   罚款净收入</v>
      </c>
      <c r="B39" s="228"/>
      <c r="C39" s="303">
        <f>TB损益!I39</f>
        <v>0</v>
      </c>
      <c r="D39" s="305"/>
      <c r="E39" s="303">
        <f>'TB损益(期初)'!I39</f>
        <v>0</v>
      </c>
      <c r="F39" s="230"/>
    </row>
    <row r="40" spans="1:6" s="82" customFormat="1" ht="12.75">
      <c r="A40" s="231" t="str">
        <f>报表格式!L39</f>
        <v xml:space="preserve">        （五）其他</v>
      </c>
      <c r="B40" s="228"/>
      <c r="C40" s="303">
        <f>TB损益!I40</f>
        <v>0</v>
      </c>
      <c r="D40" s="305"/>
      <c r="E40" s="303">
        <f>'TB损益(期初)'!I40</f>
        <v>0</v>
      </c>
      <c r="F40" s="230"/>
    </row>
    <row r="41" spans="1:6" s="82" customFormat="1" ht="12.75">
      <c r="A41" s="231" t="str">
        <f>报表格式!L40</f>
        <v xml:space="preserve">             其中：用以前年度含量工资结余弥补利润</v>
      </c>
      <c r="B41" s="228"/>
      <c r="C41" s="303">
        <f>TB损益!I41</f>
        <v>0</v>
      </c>
      <c r="D41" s="305"/>
      <c r="E41" s="303">
        <f>'TB损益(期初)'!I41</f>
        <v>0</v>
      </c>
      <c r="F41" s="230"/>
    </row>
    <row r="42" spans="1:6" s="82" customFormat="1" ht="12.75">
      <c r="A42" s="231" t="str">
        <f>报表格式!L41</f>
        <v xml:space="preserve">    减：（一）营业外支出</v>
      </c>
      <c r="B42" s="228"/>
      <c r="C42" s="303">
        <f>TB损益!I42</f>
        <v>0</v>
      </c>
      <c r="D42" s="305"/>
      <c r="E42" s="303">
        <f>'TB损益(期初)'!I42</f>
        <v>0</v>
      </c>
      <c r="F42" s="230"/>
    </row>
    <row r="43" spans="1:6" s="82" customFormat="1" ht="12.75">
      <c r="A43" s="231" t="str">
        <f>报表格式!L42</f>
        <v xml:space="preserve">             其中：处置固定资产净损失</v>
      </c>
      <c r="B43" s="228"/>
      <c r="C43" s="303">
        <f>TB损益!I43</f>
        <v>0</v>
      </c>
      <c r="D43" s="305"/>
      <c r="E43" s="303">
        <f>'TB损益(期初)'!I43</f>
        <v>0</v>
      </c>
      <c r="F43" s="230"/>
    </row>
    <row r="44" spans="1:6" s="82" customFormat="1" ht="12.75">
      <c r="A44" s="231" t="str">
        <f>报表格式!L43</f>
        <v xml:space="preserve">                   出售无形资产损失</v>
      </c>
      <c r="B44" s="228"/>
      <c r="C44" s="303">
        <f>TB损益!I44</f>
        <v>0</v>
      </c>
      <c r="D44" s="305"/>
      <c r="E44" s="303">
        <f>'TB损益(期初)'!I44</f>
        <v>0</v>
      </c>
      <c r="F44" s="230"/>
    </row>
    <row r="45" spans="1:6" s="82" customFormat="1" ht="12.75">
      <c r="A45" s="231" t="str">
        <f>报表格式!L44</f>
        <v xml:space="preserve">                   罚款支出</v>
      </c>
      <c r="B45" s="228"/>
      <c r="C45" s="303">
        <f>TB损益!I45</f>
        <v>0</v>
      </c>
      <c r="D45" s="305"/>
      <c r="E45" s="303">
        <f>'TB损益(期初)'!I45</f>
        <v>0</v>
      </c>
      <c r="F45" s="230"/>
    </row>
    <row r="46" spans="1:6" s="82" customFormat="1" ht="12.75">
      <c r="A46" s="231" t="str">
        <f>报表格式!L45</f>
        <v xml:space="preserve">                   捐赠支出</v>
      </c>
      <c r="B46" s="228"/>
      <c r="C46" s="303">
        <f>TB损益!I46</f>
        <v>0</v>
      </c>
      <c r="D46" s="305"/>
      <c r="E46" s="303">
        <f>'TB损益(期初)'!I46</f>
        <v>0</v>
      </c>
      <c r="F46" s="230"/>
    </row>
    <row r="47" spans="1:6" s="82" customFormat="1" ht="12.75">
      <c r="A47" s="231" t="str">
        <f>报表格式!L46</f>
        <v xml:space="preserve">        （二）其他支出</v>
      </c>
      <c r="B47" s="228"/>
      <c r="C47" s="303">
        <f>TB损益!I47</f>
        <v>0</v>
      </c>
      <c r="D47" s="305"/>
      <c r="E47" s="303">
        <f>'TB损益(期初)'!I47</f>
        <v>0</v>
      </c>
      <c r="F47" s="230"/>
    </row>
    <row r="48" spans="1:6" s="82" customFormat="1" ht="12.75">
      <c r="A48" s="231" t="str">
        <f>报表格式!L47</f>
        <v xml:space="preserve">             其中：结转的含量工资包干结余</v>
      </c>
      <c r="B48" s="228"/>
      <c r="C48" s="303">
        <f>TB损益!I48</f>
        <v>0</v>
      </c>
      <c r="D48" s="305"/>
      <c r="E48" s="303">
        <f>'TB损益(期初)'!I48</f>
        <v>0</v>
      </c>
      <c r="F48" s="230"/>
    </row>
    <row r="49" spans="1:6" s="82" customFormat="1" ht="12.75">
      <c r="A49" s="227" t="str">
        <f>报表格式!L48</f>
        <v>五、利润总额</v>
      </c>
      <c r="B49" s="228"/>
      <c r="C49" s="307">
        <f>C30+C31+C32+C33+C35+C40-C42-C47</f>
        <v>0</v>
      </c>
      <c r="D49" s="309"/>
      <c r="E49" s="307">
        <f>E30+E31+E32+E33+E35+E40-E42-E47</f>
        <v>0</v>
      </c>
      <c r="F49" s="229"/>
    </row>
    <row r="50" spans="1:6" s="82" customFormat="1" ht="12.75">
      <c r="A50" s="231" t="str">
        <f>报表格式!L49</f>
        <v xml:space="preserve">    减：所得税</v>
      </c>
      <c r="B50" s="228"/>
      <c r="C50" s="303">
        <f>TB损益!I50</f>
        <v>0</v>
      </c>
      <c r="D50" s="305"/>
      <c r="E50" s="303">
        <f>'TB损益(期初)'!I50</f>
        <v>0</v>
      </c>
      <c r="F50" s="230"/>
    </row>
    <row r="51" spans="1:6" s="82" customFormat="1" ht="12.75">
      <c r="A51" s="231" t="str">
        <f>报表格式!L50</f>
        <v xml:space="preserve">       *少数股东损益</v>
      </c>
      <c r="B51" s="228"/>
      <c r="C51" s="303">
        <f>TB损益!I51</f>
        <v>0</v>
      </c>
      <c r="D51" s="305"/>
      <c r="E51" s="303">
        <f>'TB损益(期初)'!I51</f>
        <v>0</v>
      </c>
      <c r="F51" s="230"/>
    </row>
    <row r="52" spans="1:6" s="82" customFormat="1" ht="12.75">
      <c r="A52" s="231" t="str">
        <f>报表格式!L51</f>
        <v xml:space="preserve">    加：*未确认的投资损失</v>
      </c>
      <c r="B52" s="228"/>
      <c r="C52" s="303">
        <f>TB损益!I52</f>
        <v>0</v>
      </c>
      <c r="D52" s="305"/>
      <c r="E52" s="303">
        <f>'TB损益(期初)'!I52</f>
        <v>0</v>
      </c>
      <c r="F52" s="230"/>
    </row>
    <row r="53" spans="1:6" s="82" customFormat="1" ht="12.75">
      <c r="A53" s="227" t="str">
        <f>报表格式!L52</f>
        <v>六、净利润</v>
      </c>
      <c r="B53" s="228"/>
      <c r="C53" s="307">
        <f>C49-C50-C51+C52</f>
        <v>0</v>
      </c>
      <c r="D53" s="309"/>
      <c r="E53" s="307">
        <f>E49-E50-E51+E52</f>
        <v>0</v>
      </c>
      <c r="F53" s="229"/>
    </row>
    <row r="54" spans="1:6" s="82" customFormat="1" ht="12.75">
      <c r="A54" s="231" t="str">
        <f>报表格式!L53</f>
        <v xml:space="preserve">    加：（一）年初未分配利润</v>
      </c>
      <c r="B54" s="228"/>
      <c r="C54" s="303">
        <f>TB损益!I54</f>
        <v>0</v>
      </c>
      <c r="D54" s="305"/>
      <c r="E54" s="303">
        <f>'TB损益(期初)'!I54</f>
        <v>0</v>
      </c>
      <c r="F54" s="230"/>
    </row>
    <row r="55" spans="1:6" s="82" customFormat="1" ht="12.75">
      <c r="A55" s="231" t="str">
        <f>报表格式!L54</f>
        <v xml:space="preserve">        （二）盈余公积补亏</v>
      </c>
      <c r="B55" s="228"/>
      <c r="C55" s="303">
        <f>TB损益!I55</f>
        <v>0</v>
      </c>
      <c r="D55" s="305"/>
      <c r="E55" s="303">
        <f>'TB损益(期初)'!I55</f>
        <v>0</v>
      </c>
      <c r="F55" s="230"/>
    </row>
    <row r="56" spans="1:6" s="82" customFormat="1" ht="12.75">
      <c r="A56" s="231" t="str">
        <f>报表格式!L55</f>
        <v xml:space="preserve">        （三）其他调整因素</v>
      </c>
      <c r="B56" s="228"/>
      <c r="C56" s="303">
        <f>TB损益!I56</f>
        <v>0</v>
      </c>
      <c r="D56" s="305"/>
      <c r="E56" s="303">
        <f>'TB损益(期初)'!I56</f>
        <v>0</v>
      </c>
      <c r="F56" s="230"/>
    </row>
    <row r="57" spans="1:6" s="82" customFormat="1" ht="12.75">
      <c r="A57" s="227" t="str">
        <f>报表格式!L56</f>
        <v>七、可供分配的利润</v>
      </c>
      <c r="B57" s="228"/>
      <c r="C57" s="307">
        <f>C53+C54+C55+C56</f>
        <v>0</v>
      </c>
      <c r="D57" s="309"/>
      <c r="E57" s="307">
        <f>E53+E54+E55+E56</f>
        <v>0</v>
      </c>
      <c r="F57" s="229"/>
    </row>
    <row r="58" spans="1:6" s="82" customFormat="1" ht="12.75">
      <c r="A58" s="231" t="str">
        <f>报表格式!L57</f>
        <v xml:space="preserve">    减：（一）提取法定盈余公积</v>
      </c>
      <c r="B58" s="228"/>
      <c r="C58" s="303">
        <f>TB损益!I58</f>
        <v>0</v>
      </c>
      <c r="D58" s="305"/>
      <c r="E58" s="303">
        <f>'TB损益(期初)'!I58</f>
        <v>0</v>
      </c>
      <c r="F58" s="230"/>
    </row>
    <row r="59" spans="1:6" s="82" customFormat="1" ht="12.75">
      <c r="A59" s="231" t="str">
        <f>报表格式!L58</f>
        <v xml:space="preserve">        （二）提取法定公益金</v>
      </c>
      <c r="B59" s="228"/>
      <c r="C59" s="303">
        <f>TB损益!I59</f>
        <v>0</v>
      </c>
      <c r="D59" s="305"/>
      <c r="E59" s="303">
        <f>'TB损益(期初)'!I59</f>
        <v>0</v>
      </c>
      <c r="F59" s="230"/>
    </row>
    <row r="60" spans="1:6" s="82" customFormat="1" ht="12.75">
      <c r="A60" s="231" t="str">
        <f>报表格式!L59</f>
        <v xml:space="preserve">        （三）提取职工奖励及福利基金</v>
      </c>
      <c r="B60" s="228"/>
      <c r="C60" s="303">
        <f>TB损益!I60</f>
        <v>0</v>
      </c>
      <c r="D60" s="305"/>
      <c r="E60" s="303">
        <f>'TB损益(期初)'!I60</f>
        <v>0</v>
      </c>
      <c r="F60" s="230"/>
    </row>
    <row r="61" spans="1:6" s="82" customFormat="1" ht="12.75">
      <c r="A61" s="231" t="str">
        <f>报表格式!L60</f>
        <v xml:space="preserve">        （四）提取储备基金</v>
      </c>
      <c r="B61" s="228"/>
      <c r="C61" s="303">
        <f>TB损益!I61</f>
        <v>0</v>
      </c>
      <c r="D61" s="305"/>
      <c r="E61" s="303">
        <f>'TB损益(期初)'!I61</f>
        <v>0</v>
      </c>
      <c r="F61" s="230"/>
    </row>
    <row r="62" spans="1:6" s="82" customFormat="1" ht="12.75">
      <c r="A62" s="231" t="str">
        <f>报表格式!L61</f>
        <v xml:space="preserve">        （五）提取企业发展基金 </v>
      </c>
      <c r="B62" s="228"/>
      <c r="C62" s="303">
        <f>TB损益!I62</f>
        <v>0</v>
      </c>
      <c r="D62" s="305"/>
      <c r="E62" s="303">
        <f>'TB损益(期初)'!I62</f>
        <v>0</v>
      </c>
      <c r="F62" s="230"/>
    </row>
    <row r="63" spans="1:6" s="82" customFormat="1" ht="12.75">
      <c r="A63" s="231" t="str">
        <f>报表格式!L62</f>
        <v xml:space="preserve">        （六）利润归还投资 </v>
      </c>
      <c r="B63" s="228"/>
      <c r="C63" s="303">
        <f>TB损益!I63</f>
        <v>0</v>
      </c>
      <c r="D63" s="305"/>
      <c r="E63" s="303">
        <f>'TB损益(期初)'!I63</f>
        <v>0</v>
      </c>
      <c r="F63" s="230"/>
    </row>
    <row r="64" spans="1:6" s="82" customFormat="1" ht="12.75">
      <c r="A64" s="231" t="str">
        <f>报表格式!L63</f>
        <v xml:space="preserve">        （七）补充流动资本</v>
      </c>
      <c r="B64" s="228"/>
      <c r="C64" s="303">
        <f>TB损益!I64</f>
        <v>0</v>
      </c>
      <c r="D64" s="305"/>
      <c r="E64" s="303">
        <f>'TB损益(期初)'!I64</f>
        <v>0</v>
      </c>
      <c r="F64" s="230"/>
    </row>
    <row r="65" spans="1:6" s="82" customFormat="1" ht="12.75">
      <c r="A65" s="231" t="str">
        <f>报表格式!L64</f>
        <v xml:space="preserve">        （八）单项留用的利润</v>
      </c>
      <c r="B65" s="228"/>
      <c r="C65" s="303">
        <f>TB损益!I65</f>
        <v>0</v>
      </c>
      <c r="D65" s="305"/>
      <c r="E65" s="303">
        <f>'TB损益(期初)'!I65</f>
        <v>0</v>
      </c>
      <c r="F65" s="230"/>
    </row>
    <row r="66" spans="1:6" s="82" customFormat="1" ht="12.75">
      <c r="A66" s="231" t="str">
        <f>报表格式!L65</f>
        <v xml:space="preserve">        （九）其他</v>
      </c>
      <c r="B66" s="228"/>
      <c r="C66" s="303">
        <f>TB损益!I66</f>
        <v>0</v>
      </c>
      <c r="D66" s="305"/>
      <c r="E66" s="303">
        <f>'TB损益(期初)'!I66</f>
        <v>0</v>
      </c>
      <c r="F66" s="230"/>
    </row>
    <row r="67" spans="1:6" s="82" customFormat="1" ht="12.75">
      <c r="A67" s="227" t="str">
        <f>报表格式!L66</f>
        <v>八、可供投资者分配的利润</v>
      </c>
      <c r="B67" s="228"/>
      <c r="C67" s="307">
        <f>C57-C58-C59-C60-C61-C62-C63-C64-C65-C66</f>
        <v>0</v>
      </c>
      <c r="D67" s="309"/>
      <c r="E67" s="307">
        <f>E57-E58-E59-E60-E61-E62-E63-E64-E65-E66</f>
        <v>0</v>
      </c>
      <c r="F67" s="229"/>
    </row>
    <row r="68" spans="1:6" s="82" customFormat="1" ht="12.75">
      <c r="A68" s="231" t="str">
        <f>报表格式!L67</f>
        <v xml:space="preserve">    减：（一）应付优先股股利</v>
      </c>
      <c r="B68" s="228"/>
      <c r="C68" s="303">
        <f>TB损益!I68</f>
        <v>0</v>
      </c>
      <c r="D68" s="305"/>
      <c r="E68" s="303">
        <f>'TB损益(期初)'!I68</f>
        <v>0</v>
      </c>
      <c r="F68" s="230"/>
    </row>
    <row r="69" spans="1:6" s="82" customFormat="1" ht="12.75">
      <c r="A69" s="231" t="str">
        <f>报表格式!L68</f>
        <v xml:space="preserve">        （二）提取任意盈余公积</v>
      </c>
      <c r="B69" s="228"/>
      <c r="C69" s="303">
        <f>TB损益!I69</f>
        <v>0</v>
      </c>
      <c r="D69" s="305"/>
      <c r="E69" s="303">
        <f>'TB损益(期初)'!I69</f>
        <v>0</v>
      </c>
      <c r="F69" s="230"/>
    </row>
    <row r="70" spans="1:6" s="82" customFormat="1" ht="12.75">
      <c r="A70" s="231" t="str">
        <f>报表格式!L69</f>
        <v xml:space="preserve">        （三）应付普通股股利（应付利润）</v>
      </c>
      <c r="B70" s="228"/>
      <c r="C70" s="303">
        <f>TB损益!I70</f>
        <v>0</v>
      </c>
      <c r="D70" s="305"/>
      <c r="E70" s="303">
        <f>'TB损益(期初)'!I70</f>
        <v>0</v>
      </c>
      <c r="F70" s="230"/>
    </row>
    <row r="71" spans="1:6" s="82" customFormat="1" ht="12.75">
      <c r="A71" s="231" t="str">
        <f>报表格式!L70</f>
        <v xml:space="preserve">        （四）转作资本（股本）的普通股股利</v>
      </c>
      <c r="B71" s="228"/>
      <c r="C71" s="303">
        <f>TB损益!I71</f>
        <v>0</v>
      </c>
      <c r="D71" s="305"/>
      <c r="E71" s="303">
        <f>'TB损益(期初)'!I71</f>
        <v>0</v>
      </c>
      <c r="F71" s="230"/>
    </row>
    <row r="72" spans="1:6" s="82" customFormat="1" ht="12.75">
      <c r="A72" s="231" t="str">
        <f>报表格式!L71</f>
        <v xml:space="preserve">        （五）其他</v>
      </c>
      <c r="B72" s="228"/>
      <c r="C72" s="303">
        <f>TB损益!I72</f>
        <v>0</v>
      </c>
      <c r="D72" s="305"/>
      <c r="E72" s="303">
        <f>'TB损益(期初)'!I72</f>
        <v>0</v>
      </c>
      <c r="F72" s="230"/>
    </row>
    <row r="73" spans="1:6" s="82" customFormat="1" ht="12.75">
      <c r="A73" s="227" t="str">
        <f>报表格式!L72</f>
        <v>九、未分配利润</v>
      </c>
      <c r="B73" s="228"/>
      <c r="C73" s="307">
        <f>C67-C68-C69-C70-C71-C72</f>
        <v>0</v>
      </c>
      <c r="D73" s="309"/>
      <c r="E73" s="307">
        <f>E67-E68-E69-E70-E71-E72</f>
        <v>0</v>
      </c>
      <c r="F73" s="229"/>
    </row>
    <row r="74" spans="1:6" s="82" customFormat="1" ht="12.75">
      <c r="A74" s="232" t="str">
        <f>报表格式!L73</f>
        <v xml:space="preserve">    其中：应由以后年度税前利润弥补的亏损（以“+”号填列）</v>
      </c>
      <c r="B74" s="233"/>
      <c r="C74" s="328">
        <f>TB损益!I74</f>
        <v>0</v>
      </c>
      <c r="D74" s="329"/>
      <c r="E74" s="328">
        <f>'TB损益(期初)'!I74</f>
        <v>0</v>
      </c>
      <c r="F74" s="234"/>
    </row>
    <row r="75" spans="1:6" s="82" customFormat="1" ht="5.25" customHeight="1">
      <c r="A75" s="130"/>
      <c r="B75" s="83"/>
    </row>
    <row r="76" spans="1:6" s="82" customFormat="1" ht="12">
      <c r="A76" s="131" t="s">
        <v>163</v>
      </c>
      <c r="B76" s="83"/>
    </row>
    <row r="77" spans="1:6" s="82" customFormat="1" ht="12.75">
      <c r="A77" s="129" t="s">
        <v>134</v>
      </c>
      <c r="B77" s="129" t="s">
        <v>135</v>
      </c>
      <c r="C77" s="961" t="str">
        <f>C4</f>
        <v>2007年度</v>
      </c>
      <c r="D77" s="961"/>
      <c r="E77" s="961" t="str">
        <f>E4</f>
        <v>2006年度</v>
      </c>
      <c r="F77" s="961"/>
    </row>
    <row r="78" spans="1:6" s="82" customFormat="1" ht="12.75">
      <c r="A78" s="132" t="s">
        <v>842</v>
      </c>
      <c r="B78" s="127"/>
      <c r="C78" s="317"/>
      <c r="D78" s="318"/>
      <c r="E78" s="317"/>
      <c r="F78" s="318"/>
    </row>
    <row r="79" spans="1:6" s="82" customFormat="1" ht="12.75">
      <c r="A79" s="132" t="s">
        <v>843</v>
      </c>
      <c r="B79" s="127"/>
      <c r="C79" s="319"/>
      <c r="D79" s="318"/>
      <c r="E79" s="319"/>
      <c r="F79" s="318"/>
    </row>
    <row r="80" spans="1:6" s="82" customFormat="1" ht="12.75">
      <c r="A80" s="132" t="s">
        <v>844</v>
      </c>
      <c r="B80" s="127"/>
      <c r="C80" s="319"/>
      <c r="D80" s="318"/>
      <c r="E80" s="319"/>
      <c r="F80" s="318"/>
    </row>
    <row r="81" spans="1:6" s="82" customFormat="1" ht="12.75">
      <c r="A81" s="132" t="s">
        <v>845</v>
      </c>
      <c r="B81" s="127"/>
      <c r="C81" s="319"/>
      <c r="D81" s="318"/>
      <c r="E81" s="319"/>
      <c r="F81" s="318"/>
    </row>
    <row r="82" spans="1:6" s="82" customFormat="1" ht="12.75">
      <c r="A82" s="132" t="s">
        <v>846</v>
      </c>
      <c r="B82" s="127"/>
      <c r="C82" s="319"/>
      <c r="D82" s="318"/>
      <c r="E82" s="319"/>
      <c r="F82" s="318"/>
    </row>
    <row r="83" spans="1:6" s="82" customFormat="1" ht="12.75">
      <c r="A83" s="133" t="s">
        <v>847</v>
      </c>
      <c r="B83" s="128"/>
      <c r="C83" s="320"/>
      <c r="D83" s="321"/>
      <c r="E83" s="320"/>
      <c r="F83" s="321"/>
    </row>
    <row r="84" spans="1:6" s="82" customFormat="1" ht="6.75" customHeight="1">
      <c r="B84" s="83"/>
    </row>
    <row r="85" spans="1:6" s="111" customFormat="1" ht="17.100000000000001" customHeight="1">
      <c r="A85" s="112" t="str">
        <f>CONCATENATE(参数!C4,参数!D4,"                           ",参数!C5,参数!D5)</f>
        <v>法定代表人：                           财务负责人：</v>
      </c>
      <c r="B85" s="113"/>
      <c r="C85" s="113"/>
      <c r="D85" s="105"/>
      <c r="E85" s="113" t="str">
        <f>CONCATENATE(参数!C6,参数!D6)</f>
        <v>会计主管：</v>
      </c>
      <c r="F85" s="105"/>
    </row>
    <row r="86" spans="1:6" s="82" customFormat="1" ht="12">
      <c r="B86" s="83"/>
    </row>
    <row r="87" spans="1:6" s="82" customFormat="1">
      <c r="A87" s="821" t="s">
        <v>991</v>
      </c>
      <c r="B87" s="833"/>
      <c r="C87" s="80"/>
      <c r="D87" s="80"/>
      <c r="E87" s="80"/>
      <c r="F87" s="80"/>
    </row>
    <row r="88" spans="1:6" s="82" customFormat="1" ht="12.75">
      <c r="A88" s="823" t="s">
        <v>984</v>
      </c>
      <c r="B88" s="826"/>
      <c r="C88" s="826">
        <f>C6-C9-C10</f>
        <v>0</v>
      </c>
      <c r="D88" s="826"/>
      <c r="E88" s="826">
        <f>E6-E9-E10</f>
        <v>0</v>
      </c>
      <c r="F88" s="831"/>
    </row>
    <row r="89" spans="1:6" s="82" customFormat="1" ht="12.75">
      <c r="A89" s="823" t="s">
        <v>985</v>
      </c>
      <c r="B89" s="826"/>
      <c r="C89" s="826">
        <f>(C10-C11-C13-C14-C15+C16+C17+C18)-C19</f>
        <v>0</v>
      </c>
      <c r="D89" s="826"/>
      <c r="E89" s="826">
        <f>(E10-E11-E13-E14-E15+E16+E17+E18)-E19</f>
        <v>0</v>
      </c>
      <c r="F89" s="831"/>
    </row>
    <row r="90" spans="1:6" s="82" customFormat="1" ht="12.75">
      <c r="A90" s="823" t="s">
        <v>986</v>
      </c>
      <c r="B90" s="826"/>
      <c r="C90" s="826">
        <f>(C19+C20-C21-C22-C25-C29)-C30</f>
        <v>0</v>
      </c>
      <c r="D90" s="826"/>
      <c r="E90" s="826">
        <f>(E19+E20-E21-E22-E25-E29)-E30</f>
        <v>0</v>
      </c>
      <c r="F90" s="831"/>
    </row>
    <row r="91" spans="1:6" s="82" customFormat="1" ht="12.75">
      <c r="A91" s="823" t="s">
        <v>987</v>
      </c>
      <c r="B91" s="826"/>
      <c r="C91" s="826">
        <f>(C30+C31+C32+C33+C35+C40-C42-C47)-C49</f>
        <v>0</v>
      </c>
      <c r="D91" s="826"/>
      <c r="E91" s="826">
        <f>(E30+E31+E32+E33+E35+E40-E42-E47)-E49</f>
        <v>0</v>
      </c>
      <c r="F91" s="832"/>
    </row>
    <row r="92" spans="1:6" s="82" customFormat="1" ht="12.75">
      <c r="A92" s="823" t="s">
        <v>988</v>
      </c>
      <c r="B92" s="826"/>
      <c r="C92" s="826">
        <f>C49-C50-C51+C52-C53</f>
        <v>0</v>
      </c>
      <c r="D92" s="826"/>
      <c r="E92" s="826">
        <f>E49-E50-E51+E52-E53</f>
        <v>0</v>
      </c>
      <c r="F92" s="832"/>
    </row>
    <row r="93" spans="1:6" s="82" customFormat="1" ht="12.75">
      <c r="A93" s="823" t="s">
        <v>989</v>
      </c>
      <c r="B93" s="826"/>
      <c r="C93" s="826">
        <f>SUM(C53:C56)-SUM(C58:C66)-SUM(C68:C72)-C73</f>
        <v>0</v>
      </c>
      <c r="D93" s="826"/>
      <c r="E93" s="826">
        <f>SUM(E53:E56)-SUM(E58:E66)-SUM(E68:E72)-E73</f>
        <v>0</v>
      </c>
      <c r="F93" s="832"/>
    </row>
    <row r="94" spans="1:6" s="82" customFormat="1" ht="12.75">
      <c r="A94" s="823" t="s">
        <v>951</v>
      </c>
      <c r="B94" s="826"/>
      <c r="C94" s="826">
        <f>C54-E73</f>
        <v>0</v>
      </c>
      <c r="D94" s="826"/>
      <c r="E94" s="826"/>
      <c r="F94" s="832"/>
    </row>
  </sheetData>
  <sheetProtection formatCells="0" insertRows="0" autoFilter="0" pivotTables="0"/>
  <mergeCells count="8">
    <mergeCell ref="C77:D77"/>
    <mergeCell ref="E77:F77"/>
    <mergeCell ref="A1:F1"/>
    <mergeCell ref="A3:C3"/>
    <mergeCell ref="A4:A5"/>
    <mergeCell ref="B4:B5"/>
    <mergeCell ref="C4:D5"/>
    <mergeCell ref="E4:F5"/>
  </mergeCells>
  <phoneticPr fontId="9" type="noConversion"/>
  <conditionalFormatting sqref="A3:C3">
    <cfRule type="cellIs" dxfId="38" priority="1" stopIfTrue="1" operator="equal">
      <formula>"            对不起，请到参数表中确定报表类型！"</formula>
    </cfRule>
    <cfRule type="cellIs" dxfId="37" priority="2" stopIfTrue="1" operator="equal">
      <formula>"对不起，试用期已到，请查看系统信息，并与作者联系。"</formula>
    </cfRule>
  </conditionalFormatting>
  <printOptions horizontalCentered="1" verticalCentered="1"/>
  <pageMargins left="0.59055118110236227" right="0.47244094488188981" top="0.32" bottom="0.31" header="0.23" footer="0.2"/>
  <pageSetup paperSize="9" scale="72" orientation="portrait" horizontalDpi="36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2"/>
  </sheetPr>
  <dimension ref="A1:D128"/>
  <sheetViews>
    <sheetView topLeftCell="A88" zoomScaleNormal="100" workbookViewId="0">
      <selection activeCell="A90" sqref="A90"/>
    </sheetView>
  </sheetViews>
  <sheetFormatPr defaultColWidth="16.375" defaultRowHeight="14.1" customHeight="1"/>
  <cols>
    <col min="1" max="1" width="54.875" style="84" customWidth="1"/>
    <col min="2" max="2" width="13.5" style="100" customWidth="1"/>
    <col min="3" max="3" width="25" style="84" customWidth="1"/>
    <col min="4" max="4" width="11" style="84" customWidth="1"/>
    <col min="5" max="5" width="12.875" style="84" customWidth="1"/>
    <col min="6" max="16384" width="16.375" style="84"/>
  </cols>
  <sheetData>
    <row r="1" spans="1:3" ht="29.25" customHeight="1">
      <c r="A1" s="940" t="s">
        <v>434</v>
      </c>
      <c r="B1" s="940"/>
      <c r="C1" s="940"/>
    </row>
    <row r="2" spans="1:3" ht="24" customHeight="1">
      <c r="A2" s="967" t="str">
        <f>参数!D10</f>
        <v>2007年度</v>
      </c>
      <c r="B2" s="967"/>
      <c r="C2" s="967"/>
    </row>
    <row r="3" spans="1:3" s="65" customFormat="1" ht="20.25" customHeight="1">
      <c r="A3" s="291" t="str">
        <f>IF(报表格式!G41="","    对不起，请到参数表中确定报表类型！",CONCATENATE(" 编制单位：",参数!D3))</f>
        <v xml:space="preserve"> 编制单位：</v>
      </c>
      <c r="B3" s="85"/>
      <c r="C3" s="292" t="str">
        <f>CONCATENATE("单位：",参数!$D$13)</f>
        <v>单位：人民币元</v>
      </c>
    </row>
    <row r="4" spans="1:3" s="65" customFormat="1" ht="10.5" customHeight="1">
      <c r="A4" s="938" t="s">
        <v>278</v>
      </c>
      <c r="B4" s="938" t="s">
        <v>3</v>
      </c>
      <c r="C4" s="941" t="s">
        <v>297</v>
      </c>
    </row>
    <row r="5" spans="1:3" s="65" customFormat="1" ht="9.75" customHeight="1">
      <c r="A5" s="939"/>
      <c r="B5" s="939"/>
      <c r="C5" s="942"/>
    </row>
    <row r="6" spans="1:3" s="65" customFormat="1" ht="18" customHeight="1">
      <c r="A6" s="86" t="s">
        <v>833</v>
      </c>
      <c r="B6" s="87"/>
      <c r="C6" s="322"/>
    </row>
    <row r="7" spans="1:3" s="65" customFormat="1" ht="18" customHeight="1">
      <c r="A7" s="88" t="s">
        <v>298</v>
      </c>
      <c r="B7" s="89"/>
      <c r="C7" s="143">
        <f>CF调整!D6</f>
        <v>0</v>
      </c>
    </row>
    <row r="8" spans="1:3" s="65" customFormat="1" ht="18" customHeight="1">
      <c r="A8" s="90" t="s">
        <v>299</v>
      </c>
      <c r="B8" s="89"/>
      <c r="C8" s="143">
        <f>CF调整!D7</f>
        <v>0</v>
      </c>
    </row>
    <row r="9" spans="1:3" s="65" customFormat="1" ht="18" customHeight="1">
      <c r="A9" s="88" t="s">
        <v>279</v>
      </c>
      <c r="B9" s="89"/>
      <c r="C9" s="143">
        <f>CF调整!D8</f>
        <v>0</v>
      </c>
    </row>
    <row r="10" spans="1:3" s="65" customFormat="1" ht="18" customHeight="1">
      <c r="A10" s="88" t="s">
        <v>280</v>
      </c>
      <c r="B10" s="89"/>
      <c r="C10" s="143">
        <f>SUM(C7:C9)</f>
        <v>0</v>
      </c>
    </row>
    <row r="11" spans="1:3" s="65" customFormat="1" ht="18" customHeight="1">
      <c r="A11" s="88" t="s">
        <v>281</v>
      </c>
      <c r="B11" s="89"/>
      <c r="C11" s="143">
        <f>CF调整!D10</f>
        <v>0</v>
      </c>
    </row>
    <row r="12" spans="1:3" s="65" customFormat="1" ht="18" customHeight="1">
      <c r="A12" s="88" t="s">
        <v>282</v>
      </c>
      <c r="B12" s="89"/>
      <c r="C12" s="143">
        <f>CF调整!D11</f>
        <v>0</v>
      </c>
    </row>
    <row r="13" spans="1:3" s="65" customFormat="1" ht="18" customHeight="1">
      <c r="A13" s="88" t="s">
        <v>300</v>
      </c>
      <c r="B13" s="89"/>
      <c r="C13" s="143">
        <f>CF调整!D12</f>
        <v>0</v>
      </c>
    </row>
    <row r="14" spans="1:3" s="65" customFormat="1" ht="18" customHeight="1">
      <c r="A14" s="88" t="s">
        <v>283</v>
      </c>
      <c r="B14" s="91"/>
      <c r="C14" s="143">
        <f>CF调整!D13</f>
        <v>0</v>
      </c>
    </row>
    <row r="15" spans="1:3" s="65" customFormat="1" ht="18" customHeight="1">
      <c r="A15" s="88" t="s">
        <v>284</v>
      </c>
      <c r="B15" s="89"/>
      <c r="C15" s="143">
        <f>C11+C12+C13+C14</f>
        <v>0</v>
      </c>
    </row>
    <row r="16" spans="1:3" s="93" customFormat="1" ht="18" customHeight="1">
      <c r="A16" s="86" t="s">
        <v>301</v>
      </c>
      <c r="B16" s="92"/>
      <c r="C16" s="141">
        <f>C10-C15</f>
        <v>0</v>
      </c>
    </row>
    <row r="17" spans="1:3" s="65" customFormat="1" ht="18" customHeight="1">
      <c r="A17" s="94"/>
      <c r="B17" s="89"/>
      <c r="C17" s="323"/>
    </row>
    <row r="18" spans="1:3" s="93" customFormat="1" ht="18" customHeight="1">
      <c r="A18" s="86" t="s">
        <v>302</v>
      </c>
      <c r="B18" s="92"/>
      <c r="C18" s="324"/>
    </row>
    <row r="19" spans="1:3" s="65" customFormat="1" ht="18" customHeight="1">
      <c r="A19" s="88" t="s">
        <v>303</v>
      </c>
      <c r="B19" s="89"/>
      <c r="C19" s="143">
        <f>CF调整!D18</f>
        <v>0</v>
      </c>
    </row>
    <row r="20" spans="1:3" s="65" customFormat="1" ht="18" customHeight="1">
      <c r="A20" s="88" t="s">
        <v>850</v>
      </c>
      <c r="B20" s="89"/>
      <c r="C20" s="143">
        <f>CF调整!D19</f>
        <v>0</v>
      </c>
    </row>
    <row r="21" spans="1:3" s="65" customFormat="1" ht="18" customHeight="1">
      <c r="A21" s="88" t="s">
        <v>304</v>
      </c>
      <c r="B21" s="89"/>
      <c r="C21" s="143">
        <f>CF调整!D20</f>
        <v>0</v>
      </c>
    </row>
    <row r="22" spans="1:3" s="65" customFormat="1" ht="18" customHeight="1">
      <c r="A22" s="88" t="s">
        <v>305</v>
      </c>
      <c r="B22" s="89"/>
      <c r="C22" s="143">
        <f>CF调整!D21</f>
        <v>0</v>
      </c>
    </row>
    <row r="23" spans="1:3" s="65" customFormat="1" ht="18" customHeight="1">
      <c r="A23" s="88" t="s">
        <v>285</v>
      </c>
      <c r="B23" s="89"/>
      <c r="C23" s="143">
        <f>CF调整!D22</f>
        <v>0</v>
      </c>
    </row>
    <row r="24" spans="1:3" s="65" customFormat="1" ht="18" customHeight="1">
      <c r="A24" s="88" t="s">
        <v>280</v>
      </c>
      <c r="B24" s="89"/>
      <c r="C24" s="143">
        <f>SUM(C19:C23)-C20</f>
        <v>0</v>
      </c>
    </row>
    <row r="25" spans="1:3" s="65" customFormat="1" ht="18" customHeight="1">
      <c r="A25" s="88" t="s">
        <v>306</v>
      </c>
      <c r="B25" s="89"/>
      <c r="C25" s="143">
        <f>CF调整!D24</f>
        <v>0</v>
      </c>
    </row>
    <row r="26" spans="1:3" s="65" customFormat="1" ht="18" customHeight="1">
      <c r="A26" s="88" t="s">
        <v>307</v>
      </c>
      <c r="B26" s="89"/>
      <c r="C26" s="143">
        <f>CF调整!D25</f>
        <v>0</v>
      </c>
    </row>
    <row r="27" spans="1:3" s="65" customFormat="1" ht="18" customHeight="1">
      <c r="A27" s="88" t="s">
        <v>851</v>
      </c>
      <c r="B27" s="89"/>
      <c r="C27" s="143">
        <f>CF调整!D26</f>
        <v>0</v>
      </c>
    </row>
    <row r="28" spans="1:3" s="65" customFormat="1" ht="18" customHeight="1">
      <c r="A28" s="88" t="s">
        <v>286</v>
      </c>
      <c r="B28" s="89"/>
      <c r="C28" s="143">
        <f>CF调整!D27</f>
        <v>0</v>
      </c>
    </row>
    <row r="29" spans="1:3" s="65" customFormat="1" ht="18" customHeight="1">
      <c r="A29" s="88" t="s">
        <v>284</v>
      </c>
      <c r="B29" s="89"/>
      <c r="C29" s="143">
        <f>SUM(C25:C28)-C27</f>
        <v>0</v>
      </c>
    </row>
    <row r="30" spans="1:3" s="93" customFormat="1" ht="18" customHeight="1">
      <c r="A30" s="86" t="s">
        <v>287</v>
      </c>
      <c r="B30" s="92"/>
      <c r="C30" s="142">
        <f>C24-C29</f>
        <v>0</v>
      </c>
    </row>
    <row r="31" spans="1:3" s="65" customFormat="1" ht="18" customHeight="1">
      <c r="A31" s="94"/>
      <c r="B31" s="89"/>
      <c r="C31" s="323"/>
    </row>
    <row r="32" spans="1:3" s="93" customFormat="1" ht="18" customHeight="1">
      <c r="A32" s="86" t="s">
        <v>308</v>
      </c>
      <c r="B32" s="92"/>
      <c r="C32" s="324"/>
    </row>
    <row r="33" spans="1:4" s="65" customFormat="1" ht="18" customHeight="1">
      <c r="A33" s="88" t="s">
        <v>309</v>
      </c>
      <c r="B33" s="89"/>
      <c r="C33" s="143">
        <f>CF调整!D32</f>
        <v>0</v>
      </c>
    </row>
    <row r="34" spans="1:4" s="65" customFormat="1" ht="18" customHeight="1">
      <c r="A34" s="88" t="s">
        <v>288</v>
      </c>
      <c r="B34" s="89"/>
      <c r="C34" s="143">
        <f>CF调整!D33</f>
        <v>0</v>
      </c>
    </row>
    <row r="35" spans="1:4" s="65" customFormat="1" ht="18" customHeight="1">
      <c r="A35" s="88" t="s">
        <v>289</v>
      </c>
      <c r="B35" s="89"/>
      <c r="C35" s="143">
        <f>CF调整!D34</f>
        <v>0</v>
      </c>
    </row>
    <row r="36" spans="1:4" s="65" customFormat="1" ht="18" customHeight="1">
      <c r="A36" s="88" t="s">
        <v>280</v>
      </c>
      <c r="B36" s="89"/>
      <c r="C36" s="143">
        <f>SUM(C33:C35)</f>
        <v>0</v>
      </c>
    </row>
    <row r="37" spans="1:4" s="65" customFormat="1" ht="18" customHeight="1">
      <c r="A37" s="88" t="s">
        <v>290</v>
      </c>
      <c r="B37" s="89"/>
      <c r="C37" s="143">
        <f>CF调整!D36</f>
        <v>0</v>
      </c>
    </row>
    <row r="38" spans="1:4" s="65" customFormat="1" ht="18" customHeight="1">
      <c r="A38" s="88" t="s">
        <v>310</v>
      </c>
      <c r="B38" s="89"/>
      <c r="C38" s="143">
        <f>CF调整!D37</f>
        <v>0</v>
      </c>
    </row>
    <row r="39" spans="1:4" s="65" customFormat="1" ht="18" customHeight="1">
      <c r="A39" s="88" t="s">
        <v>291</v>
      </c>
      <c r="B39" s="89"/>
      <c r="C39" s="143">
        <f>CF调整!D38</f>
        <v>0</v>
      </c>
    </row>
    <row r="40" spans="1:4" s="65" customFormat="1" ht="18" customHeight="1">
      <c r="A40" s="88" t="s">
        <v>284</v>
      </c>
      <c r="B40" s="89"/>
      <c r="C40" s="325">
        <f>C37+C38+C39</f>
        <v>0</v>
      </c>
    </row>
    <row r="41" spans="1:4" s="93" customFormat="1" ht="18" customHeight="1">
      <c r="A41" s="86" t="s">
        <v>292</v>
      </c>
      <c r="B41" s="92"/>
      <c r="C41" s="141">
        <f>C36-C40</f>
        <v>0</v>
      </c>
    </row>
    <row r="42" spans="1:4" s="65" customFormat="1" ht="18" customHeight="1">
      <c r="A42" s="94"/>
      <c r="B42" s="89"/>
      <c r="C42" s="323"/>
    </row>
    <row r="43" spans="1:4" s="65" customFormat="1" ht="18" customHeight="1">
      <c r="A43" s="86" t="s">
        <v>293</v>
      </c>
      <c r="B43" s="89"/>
      <c r="C43" s="143">
        <f>CF调整!D42</f>
        <v>0</v>
      </c>
    </row>
    <row r="44" spans="1:4" s="65" customFormat="1" ht="18" customHeight="1">
      <c r="A44" s="88"/>
      <c r="B44" s="89"/>
      <c r="C44" s="323"/>
    </row>
    <row r="45" spans="1:4" s="93" customFormat="1" ht="18" customHeight="1">
      <c r="A45" s="95" t="s">
        <v>25</v>
      </c>
      <c r="B45" s="96"/>
      <c r="C45" s="326">
        <f>C16+C30+C41+C43</f>
        <v>0</v>
      </c>
    </row>
    <row r="46" spans="1:4" s="93" customFormat="1" ht="18" customHeight="1">
      <c r="A46" s="97"/>
      <c r="B46" s="98"/>
      <c r="C46" s="99"/>
    </row>
    <row r="47" spans="1:4" s="111" customFormat="1" ht="17.100000000000001" customHeight="1">
      <c r="A47" s="112" t="str">
        <f>CONCATENATE(参数!C4,参数!D4,"                       ",参数!C5,参数!D5)</f>
        <v>法定代表人：                       财务负责人：</v>
      </c>
      <c r="B47" s="113"/>
      <c r="C47" s="113" t="str">
        <f>CONCATENATE(参数!C6,参数!D6)</f>
        <v>会计主管：</v>
      </c>
      <c r="D47" s="105"/>
    </row>
    <row r="50" spans="1:3" ht="21.75" customHeight="1">
      <c r="A50" s="940" t="s">
        <v>311</v>
      </c>
      <c r="B50" s="940"/>
      <c r="C50" s="940"/>
    </row>
    <row r="51" spans="1:3" ht="21.75" customHeight="1">
      <c r="A51" s="968" t="str">
        <f>A2</f>
        <v>2007年度</v>
      </c>
      <c r="B51" s="968"/>
      <c r="C51" s="968"/>
    </row>
    <row r="52" spans="1:3" ht="21.75" customHeight="1">
      <c r="A52" s="65" t="str">
        <f>IF(报表格式!G41="","    对不起，请到参数表中确定报表类型！",CONCATENATE(" 编制单位：",参数!D3))</f>
        <v xml:space="preserve"> 编制单位：</v>
      </c>
      <c r="B52" s="65"/>
      <c r="C52" s="101" t="str">
        <f>CONCATENATE("单位：",参数!$D$13)</f>
        <v>单位：人民币元</v>
      </c>
    </row>
    <row r="53" spans="1:3" ht="13.5">
      <c r="A53" s="936" t="s">
        <v>312</v>
      </c>
      <c r="B53" s="936" t="s">
        <v>3</v>
      </c>
      <c r="C53" s="938" t="s">
        <v>297</v>
      </c>
    </row>
    <row r="54" spans="1:3" ht="13.5">
      <c r="A54" s="937"/>
      <c r="B54" s="937"/>
      <c r="C54" s="939"/>
    </row>
    <row r="55" spans="1:3" ht="21.75" customHeight="1">
      <c r="A55" s="86" t="s">
        <v>313</v>
      </c>
      <c r="B55" s="89"/>
      <c r="C55" s="322"/>
    </row>
    <row r="56" spans="1:3" ht="21.75" customHeight="1">
      <c r="A56" s="86" t="s">
        <v>314</v>
      </c>
      <c r="B56" s="89"/>
      <c r="C56" s="142">
        <f>CF调整!D47</f>
        <v>0</v>
      </c>
    </row>
    <row r="57" spans="1:3" ht="21.75" customHeight="1">
      <c r="A57" s="88" t="s">
        <v>315</v>
      </c>
      <c r="B57" s="89"/>
      <c r="C57" s="143">
        <f>CF调整!D48</f>
        <v>0</v>
      </c>
    </row>
    <row r="58" spans="1:3" ht="21.75" customHeight="1">
      <c r="A58" s="88" t="s">
        <v>834</v>
      </c>
      <c r="B58" s="89"/>
      <c r="C58" s="143">
        <f>CF调整!D49</f>
        <v>0</v>
      </c>
    </row>
    <row r="59" spans="1:3" ht="21.75" customHeight="1">
      <c r="A59" s="88" t="s">
        <v>835</v>
      </c>
      <c r="B59" s="89"/>
      <c r="C59" s="143">
        <f>CF调整!D50</f>
        <v>0</v>
      </c>
    </row>
    <row r="60" spans="1:3" ht="21.75" customHeight="1">
      <c r="A60" s="88" t="s">
        <v>316</v>
      </c>
      <c r="B60" s="89"/>
      <c r="C60" s="143">
        <f>CF调整!D51</f>
        <v>0</v>
      </c>
    </row>
    <row r="61" spans="1:3" ht="21.75" customHeight="1">
      <c r="A61" s="88" t="s">
        <v>317</v>
      </c>
      <c r="B61" s="89"/>
      <c r="C61" s="143">
        <f>CF调整!D52</f>
        <v>0</v>
      </c>
    </row>
    <row r="62" spans="1:3" ht="21.75" customHeight="1">
      <c r="A62" s="88" t="s">
        <v>318</v>
      </c>
      <c r="B62" s="89"/>
      <c r="C62" s="143">
        <f>CF调整!D53</f>
        <v>0</v>
      </c>
    </row>
    <row r="63" spans="1:3" ht="21.75" customHeight="1">
      <c r="A63" s="88" t="s">
        <v>319</v>
      </c>
      <c r="B63" s="89"/>
      <c r="C63" s="143">
        <f>CF调整!D54</f>
        <v>0</v>
      </c>
    </row>
    <row r="64" spans="1:3" ht="21.75" customHeight="1">
      <c r="A64" s="90" t="s">
        <v>320</v>
      </c>
      <c r="B64" s="89"/>
      <c r="C64" s="143">
        <f>CF调整!D55</f>
        <v>0</v>
      </c>
    </row>
    <row r="65" spans="1:3" ht="21.75" customHeight="1">
      <c r="A65" s="90" t="s">
        <v>321</v>
      </c>
      <c r="B65" s="89"/>
      <c r="C65" s="143">
        <f>CF调整!D56</f>
        <v>0</v>
      </c>
    </row>
    <row r="66" spans="1:3" ht="21.75" customHeight="1">
      <c r="A66" s="90" t="s">
        <v>322</v>
      </c>
      <c r="B66" s="89"/>
      <c r="C66" s="143">
        <f>CF调整!D57</f>
        <v>0</v>
      </c>
    </row>
    <row r="67" spans="1:3" ht="21.75" customHeight="1">
      <c r="A67" s="90" t="s">
        <v>323</v>
      </c>
      <c r="B67" s="89"/>
      <c r="C67" s="143">
        <f>CF调整!D58</f>
        <v>0</v>
      </c>
    </row>
    <row r="68" spans="1:3" ht="21.75" customHeight="1">
      <c r="A68" s="90" t="s">
        <v>324</v>
      </c>
      <c r="B68" s="89"/>
      <c r="C68" s="143">
        <f>CF调整!D59</f>
        <v>0</v>
      </c>
    </row>
    <row r="69" spans="1:3" ht="21.75" customHeight="1">
      <c r="A69" s="90" t="s">
        <v>325</v>
      </c>
      <c r="B69" s="89"/>
      <c r="C69" s="143">
        <f>CF调整!D60</f>
        <v>0</v>
      </c>
    </row>
    <row r="70" spans="1:3" ht="21.75" customHeight="1">
      <c r="A70" s="90" t="s">
        <v>326</v>
      </c>
      <c r="B70" s="89"/>
      <c r="C70" s="143">
        <f>CF调整!D61</f>
        <v>0</v>
      </c>
    </row>
    <row r="71" spans="1:3" ht="21.75" customHeight="1">
      <c r="A71" s="90" t="s">
        <v>327</v>
      </c>
      <c r="B71" s="89"/>
      <c r="C71" s="143">
        <f>CF调整!D62</f>
        <v>0</v>
      </c>
    </row>
    <row r="72" spans="1:3" ht="21.75" customHeight="1">
      <c r="A72" s="90" t="s">
        <v>328</v>
      </c>
      <c r="B72" s="89"/>
      <c r="C72" s="143">
        <f>CF调整!D63</f>
        <v>0</v>
      </c>
    </row>
    <row r="73" spans="1:3" ht="21.75" customHeight="1">
      <c r="A73" s="90" t="s">
        <v>329</v>
      </c>
      <c r="B73" s="89"/>
      <c r="C73" s="143">
        <f>CF调整!D64</f>
        <v>0</v>
      </c>
    </row>
    <row r="74" spans="1:3" ht="21.75" customHeight="1">
      <c r="A74" s="86" t="s">
        <v>330</v>
      </c>
      <c r="B74" s="89"/>
      <c r="C74" s="142">
        <f>SUM(C56:C57,-C58,C59:C73)</f>
        <v>0</v>
      </c>
    </row>
    <row r="75" spans="1:3" ht="21.75" customHeight="1">
      <c r="A75" s="102"/>
      <c r="B75" s="89"/>
      <c r="C75" s="322"/>
    </row>
    <row r="76" spans="1:3" ht="21.75" customHeight="1">
      <c r="A76" s="103" t="s">
        <v>331</v>
      </c>
      <c r="B76" s="89"/>
      <c r="C76" s="322"/>
    </row>
    <row r="77" spans="1:3" ht="21.75" customHeight="1">
      <c r="A77" s="102" t="s">
        <v>332</v>
      </c>
      <c r="B77" s="89"/>
      <c r="C77" s="322">
        <f>CF调整!D68</f>
        <v>0</v>
      </c>
    </row>
    <row r="78" spans="1:3" ht="21.75" customHeight="1">
      <c r="A78" s="102" t="s">
        <v>333</v>
      </c>
      <c r="B78" s="89"/>
      <c r="C78" s="322">
        <f>CF调整!D69</f>
        <v>0</v>
      </c>
    </row>
    <row r="79" spans="1:3" ht="21.75" customHeight="1">
      <c r="A79" s="102" t="s">
        <v>334</v>
      </c>
      <c r="B79" s="89"/>
      <c r="C79" s="322">
        <f>CF调整!D70</f>
        <v>0</v>
      </c>
    </row>
    <row r="80" spans="1:3" ht="21.75" customHeight="1">
      <c r="A80" s="103"/>
      <c r="B80" s="92"/>
      <c r="C80" s="142"/>
    </row>
    <row r="81" spans="1:4" ht="21.75" customHeight="1">
      <c r="A81" s="86" t="s">
        <v>335</v>
      </c>
      <c r="B81" s="89"/>
      <c r="C81" s="323"/>
    </row>
    <row r="82" spans="1:4" ht="21.75" customHeight="1">
      <c r="A82" s="88" t="s">
        <v>336</v>
      </c>
      <c r="B82" s="89"/>
      <c r="C82" s="322">
        <f>CF调整!D73</f>
        <v>0</v>
      </c>
    </row>
    <row r="83" spans="1:4" ht="21.75" customHeight="1">
      <c r="A83" s="88" t="s">
        <v>337</v>
      </c>
      <c r="B83" s="89"/>
      <c r="C83" s="322">
        <f>CF调整!D74</f>
        <v>0</v>
      </c>
    </row>
    <row r="84" spans="1:4" ht="21.75" customHeight="1">
      <c r="A84" s="88" t="s">
        <v>338</v>
      </c>
      <c r="B84" s="89"/>
      <c r="C84" s="322">
        <f>CF调整!D75</f>
        <v>0</v>
      </c>
    </row>
    <row r="85" spans="1:4" ht="21.75" customHeight="1">
      <c r="A85" s="88" t="s">
        <v>339</v>
      </c>
      <c r="B85" s="89"/>
      <c r="C85" s="322">
        <f>CF调整!D76</f>
        <v>0</v>
      </c>
    </row>
    <row r="86" spans="1:4" ht="21.75" customHeight="1">
      <c r="A86" s="95" t="s">
        <v>340</v>
      </c>
      <c r="B86" s="96"/>
      <c r="C86" s="327">
        <f>C82-C83+C84-C85</f>
        <v>0</v>
      </c>
    </row>
    <row r="87" spans="1:4" ht="21.75" customHeight="1">
      <c r="A87" s="97"/>
      <c r="B87" s="98"/>
      <c r="C87" s="37"/>
    </row>
    <row r="88" spans="1:4" s="111" customFormat="1" ht="17.100000000000001" customHeight="1">
      <c r="A88" s="112" t="str">
        <f>CONCATENATE(参数!C4,参数!D4,"                       ",参数!C5,参数!D5)</f>
        <v>法定代表人：                       财务负责人：</v>
      </c>
      <c r="B88" s="113"/>
      <c r="C88" s="113" t="str">
        <f>CONCATENATE(参数!C6,参数!D6)</f>
        <v>会计主管：</v>
      </c>
      <c r="D88" s="105"/>
    </row>
    <row r="90" spans="1:4" ht="14.1" customHeight="1">
      <c r="A90" s="821" t="s">
        <v>991</v>
      </c>
    </row>
    <row r="91" spans="1:4" ht="14.1" customHeight="1">
      <c r="A91" s="822" t="s">
        <v>992</v>
      </c>
      <c r="B91" s="834"/>
      <c r="C91" s="835">
        <f>SUM(C7:C9)-SUM(C11:C14)-C16</f>
        <v>0</v>
      </c>
    </row>
    <row r="92" spans="1:4" ht="14.1" customHeight="1">
      <c r="A92" s="822" t="s">
        <v>993</v>
      </c>
      <c r="B92" s="834"/>
      <c r="C92" s="835">
        <f>SUM(C19,C21:C23)-SUM(C25:C26,C28)-C30</f>
        <v>0</v>
      </c>
    </row>
    <row r="93" spans="1:4" ht="14.1" customHeight="1">
      <c r="A93" s="822" t="s">
        <v>994</v>
      </c>
      <c r="B93" s="834"/>
      <c r="C93" s="835">
        <f>SUM(C33:C35)-SUM(C37:C39)-C41</f>
        <v>0</v>
      </c>
    </row>
    <row r="94" spans="1:4" ht="14.1" customHeight="1">
      <c r="A94" s="822" t="s">
        <v>995</v>
      </c>
      <c r="B94" s="834"/>
      <c r="C94" s="835">
        <f>SUM(C16,C30,C41,C43)-C45</f>
        <v>0</v>
      </c>
    </row>
    <row r="95" spans="1:4" ht="14.1" customHeight="1">
      <c r="A95" s="824" t="s">
        <v>996</v>
      </c>
      <c r="B95" s="834"/>
      <c r="C95" s="835">
        <f>C56+C57-C58+SUM(C59:C73)-C74</f>
        <v>0</v>
      </c>
    </row>
    <row r="96" spans="1:4" ht="14.1" customHeight="1">
      <c r="A96" s="822" t="s">
        <v>997</v>
      </c>
      <c r="B96" s="834"/>
      <c r="C96" s="835">
        <f>C82-C83+C84-C85-C86</f>
        <v>0</v>
      </c>
    </row>
    <row r="97" spans="1:3" ht="14.1" customHeight="1">
      <c r="A97" s="822" t="s">
        <v>998</v>
      </c>
      <c r="B97" s="834"/>
      <c r="C97" s="835">
        <f>C16-C74</f>
        <v>0</v>
      </c>
    </row>
    <row r="98" spans="1:3" ht="14.1" customHeight="1">
      <c r="A98" s="822" t="s">
        <v>999</v>
      </c>
      <c r="B98" s="834"/>
      <c r="C98" s="835">
        <f>C45-C86</f>
        <v>0</v>
      </c>
    </row>
    <row r="99" spans="1:3" ht="14.1" customHeight="1">
      <c r="A99" s="822" t="s">
        <v>1000</v>
      </c>
      <c r="B99" s="834"/>
      <c r="C99" s="835">
        <f>C56-审定PL!C53</f>
        <v>0</v>
      </c>
    </row>
    <row r="100" spans="1:3" ht="14.1" customHeight="1">
      <c r="A100" s="822" t="s">
        <v>1001</v>
      </c>
      <c r="B100" s="834"/>
      <c r="C100" s="835">
        <f>C57-审定PL!C51</f>
        <v>0</v>
      </c>
    </row>
    <row r="101" spans="1:3" ht="14.1" customHeight="1">
      <c r="A101" s="822" t="s">
        <v>1002</v>
      </c>
      <c r="B101" s="834"/>
      <c r="C101" s="835">
        <f>C58-审定PL!C52</f>
        <v>0</v>
      </c>
    </row>
    <row r="102" spans="1:3" ht="14.1" customHeight="1">
      <c r="A102" s="822" t="s">
        <v>1003</v>
      </c>
      <c r="B102" s="834"/>
      <c r="C102" s="835">
        <f>C63-(审定BS!E21-审定BS!C21)</f>
        <v>0</v>
      </c>
    </row>
    <row r="103" spans="1:3" ht="14.1" customHeight="1">
      <c r="A103" s="822" t="s">
        <v>1004</v>
      </c>
      <c r="B103" s="834"/>
      <c r="C103" s="835">
        <f>C64-(审定BS!C81-审定BS!E81)</f>
        <v>0</v>
      </c>
    </row>
    <row r="104" spans="1:3" ht="14.1" customHeight="1">
      <c r="A104" s="822" t="s">
        <v>1005</v>
      </c>
      <c r="B104" s="834"/>
      <c r="C104" s="835">
        <f>C67-审定PL!C26</f>
        <v>0</v>
      </c>
    </row>
    <row r="105" spans="1:3" ht="14.1" customHeight="1">
      <c r="A105" s="822" t="s">
        <v>1006</v>
      </c>
      <c r="B105" s="834"/>
      <c r="C105" s="835">
        <f>C68+审定PL!C31</f>
        <v>0</v>
      </c>
    </row>
    <row r="106" spans="1:3" ht="14.1" customHeight="1">
      <c r="A106" s="822" t="s">
        <v>1007</v>
      </c>
      <c r="B106" s="834"/>
      <c r="C106" s="835">
        <f>C69-审定BS!C101+审定BS!C60</f>
        <v>0</v>
      </c>
    </row>
    <row r="107" spans="1:3" ht="14.1" customHeight="1">
      <c r="A107" s="822" t="s">
        <v>1008</v>
      </c>
      <c r="B107" s="834"/>
      <c r="C107" s="835">
        <f>C82-审定BS!C7</f>
        <v>0</v>
      </c>
    </row>
    <row r="108" spans="1:3" ht="14.1" customHeight="1">
      <c r="A108" s="822" t="s">
        <v>1009</v>
      </c>
      <c r="B108" s="834"/>
      <c r="C108" s="835">
        <f>C83-审定BS!E7</f>
        <v>0</v>
      </c>
    </row>
    <row r="109" spans="1:3" ht="14.1" customHeight="1">
      <c r="A109" s="830" t="s">
        <v>990</v>
      </c>
      <c r="B109" s="836"/>
      <c r="C109" s="617"/>
    </row>
    <row r="110" spans="1:3" ht="14.1" customHeight="1">
      <c r="A110" s="837" t="s">
        <v>1010</v>
      </c>
      <c r="B110" s="838"/>
      <c r="C110" s="839">
        <f>C34-C37-(审定BS!C70+审定BS!C84+审定BS!C91-审定BS!E70-审定BS!E84-审定BS!E91)</f>
        <v>0</v>
      </c>
    </row>
    <row r="111" spans="1:3" ht="14.1" customHeight="1">
      <c r="A111" s="837" t="s">
        <v>1011</v>
      </c>
      <c r="B111" s="838"/>
      <c r="C111" s="839">
        <f>C38-(审定PL!C26+审定BS!E76-审定BS!C76)</f>
        <v>0</v>
      </c>
    </row>
    <row r="112" spans="1:3" ht="14.1" customHeight="1">
      <c r="A112" s="837" t="s">
        <v>1012</v>
      </c>
      <c r="B112" s="838"/>
      <c r="C112" s="839">
        <f>C70-(审定BS!E18-审定BS!C18)</f>
        <v>0</v>
      </c>
    </row>
    <row r="113" spans="1:3" ht="14.1" customHeight="1">
      <c r="A113" s="837" t="s">
        <v>1013</v>
      </c>
      <c r="B113" s="838"/>
      <c r="C113" s="839">
        <f>C71-SUM(审定BS!E9,-审定BS!C9,审定BS!E12,-审定BS!C12,审定BS!E13,-审定BS!C13,审定BS!C73,-审定BS!E73)</f>
        <v>0</v>
      </c>
    </row>
    <row r="114" spans="1:3" ht="14.1" customHeight="1">
      <c r="A114" s="837" t="s">
        <v>1014</v>
      </c>
      <c r="B114" s="838"/>
      <c r="C114" s="839">
        <f>C72-SUM(审定BS!C71,-审定BS!E71,审定BS!C72,-审定BS!E72,审定BS!C74,-审定BS!E74,审定BS!C75,-审定BS!E75,审定BS!C78,-审定BS!E78,审定BS!C79,-审定BS!E79,审定BS!C80,-审定BS!E80,审定BS!E14,-审定BS!C14)</f>
        <v>0</v>
      </c>
    </row>
    <row r="115" spans="1:3" ht="14.1" customHeight="1">
      <c r="A115" s="840" t="s">
        <v>1015</v>
      </c>
      <c r="B115" s="85"/>
      <c r="C115" s="85" t="s">
        <v>1028</v>
      </c>
    </row>
    <row r="116" spans="1:3" ht="14.1" customHeight="1">
      <c r="A116" s="841" t="s">
        <v>1016</v>
      </c>
      <c r="B116" s="842"/>
      <c r="C116" s="843"/>
    </row>
    <row r="117" spans="1:3" ht="14.1" customHeight="1">
      <c r="A117" s="844" t="s">
        <v>1017</v>
      </c>
      <c r="B117" s="845"/>
      <c r="C117" s="846"/>
    </row>
    <row r="118" spans="1:3" ht="14.1" customHeight="1">
      <c r="A118" s="844" t="s">
        <v>1018</v>
      </c>
      <c r="B118" s="845"/>
      <c r="C118" s="846"/>
    </row>
    <row r="119" spans="1:3" ht="14.1" customHeight="1">
      <c r="A119" s="844" t="s">
        <v>1019</v>
      </c>
      <c r="B119" s="845"/>
      <c r="C119" s="846"/>
    </row>
    <row r="120" spans="1:3" ht="14.1" customHeight="1">
      <c r="A120" s="844" t="s">
        <v>1020</v>
      </c>
      <c r="B120" s="845"/>
      <c r="C120" s="846"/>
    </row>
    <row r="121" spans="1:3" ht="14.1" customHeight="1">
      <c r="A121" s="847" t="s">
        <v>1021</v>
      </c>
      <c r="B121" s="848"/>
      <c r="C121" s="849"/>
    </row>
    <row r="122" spans="1:3" ht="14.1" customHeight="1">
      <c r="A122" s="840" t="s">
        <v>1022</v>
      </c>
    </row>
    <row r="123" spans="1:3" ht="14.1" customHeight="1">
      <c r="A123" s="837" t="s">
        <v>1016</v>
      </c>
      <c r="B123" s="838"/>
      <c r="C123" s="839">
        <f>C59-C116</f>
        <v>0</v>
      </c>
    </row>
    <row r="124" spans="1:3" ht="14.1" customHeight="1">
      <c r="A124" s="837" t="s">
        <v>1023</v>
      </c>
      <c r="B124" s="838"/>
      <c r="C124" s="839">
        <f>C60-C117</f>
        <v>0</v>
      </c>
    </row>
    <row r="125" spans="1:3" ht="14.1" customHeight="1">
      <c r="A125" s="837" t="s">
        <v>1024</v>
      </c>
      <c r="B125" s="838"/>
      <c r="C125" s="839">
        <f>C61-C118</f>
        <v>0</v>
      </c>
    </row>
    <row r="126" spans="1:3" ht="14.1" customHeight="1">
      <c r="A126" s="837" t="s">
        <v>1025</v>
      </c>
      <c r="B126" s="838"/>
      <c r="C126" s="839">
        <f>C62-C119</f>
        <v>0</v>
      </c>
    </row>
    <row r="127" spans="1:3" ht="14.1" customHeight="1">
      <c r="A127" s="837" t="s">
        <v>1026</v>
      </c>
      <c r="B127" s="838"/>
      <c r="C127" s="839">
        <f>C65-C120</f>
        <v>0</v>
      </c>
    </row>
    <row r="128" spans="1:3" ht="14.1" customHeight="1">
      <c r="A128" s="837" t="s">
        <v>1027</v>
      </c>
      <c r="B128" s="838"/>
      <c r="C128" s="839">
        <f>C66-C121</f>
        <v>0</v>
      </c>
    </row>
  </sheetData>
  <mergeCells count="10">
    <mergeCell ref="A51:C51"/>
    <mergeCell ref="A53:A54"/>
    <mergeCell ref="B53:B54"/>
    <mergeCell ref="C53:C54"/>
    <mergeCell ref="A4:A5"/>
    <mergeCell ref="B4:B5"/>
    <mergeCell ref="A1:C1"/>
    <mergeCell ref="C4:C5"/>
    <mergeCell ref="A2:C2"/>
    <mergeCell ref="A50:C50"/>
  </mergeCells>
  <phoneticPr fontId="77" type="noConversion"/>
  <printOptions horizontalCentered="1" verticalCentered="1"/>
  <pageMargins left="0.47244094488188981" right="0.35433070866141736" top="0" bottom="0" header="0.51181102362204722" footer="0.51181102362204722"/>
  <pageSetup paperSize="9" scale="85" orientation="portrait" horizontalDpi="360" r:id="rId1"/>
  <headerFooter alignWithMargins="0"/>
  <rowBreaks count="1" manualBreakCount="1">
    <brk id="49"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39"/>
    <pageSetUpPr fitToPage="1"/>
  </sheetPr>
  <dimension ref="A1:P67"/>
  <sheetViews>
    <sheetView showZeros="0" workbookViewId="0">
      <pane xSplit="2" ySplit="6" topLeftCell="C49" activePane="bottomRight" state="frozen"/>
      <selection sqref="A1:H1"/>
      <selection pane="topRight" sqref="A1:H1"/>
      <selection pane="bottomLeft" sqref="A1:H1"/>
      <selection pane="bottomRight" activeCell="G53" sqref="G53"/>
    </sheetView>
  </sheetViews>
  <sheetFormatPr defaultRowHeight="14.25"/>
  <cols>
    <col min="1" max="1" width="23.125" style="151" customWidth="1"/>
    <col min="2" max="2" width="2.625" style="151" customWidth="1"/>
    <col min="3" max="3" width="12.75" style="152" customWidth="1"/>
    <col min="4" max="4" width="14" style="152" customWidth="1"/>
    <col min="5" max="5" width="13.375" style="152" customWidth="1"/>
    <col min="6" max="6" width="7.5" style="152" customWidth="1"/>
    <col min="7" max="7" width="8.25" style="152" customWidth="1"/>
    <col min="8" max="8" width="12.25" style="152" customWidth="1"/>
    <col min="9" max="9" width="18.375" style="151" customWidth="1"/>
    <col min="10" max="10" width="3.125" style="151" customWidth="1"/>
    <col min="11" max="11" width="13.5" style="152" customWidth="1"/>
    <col min="12" max="12" width="12.5" style="152" customWidth="1"/>
    <col min="13" max="13" width="13.25" style="152" customWidth="1"/>
    <col min="14" max="14" width="8.125" style="152" customWidth="1"/>
    <col min="15" max="15" width="7.5" style="152" customWidth="1"/>
    <col min="16" max="16" width="12.75" style="152" customWidth="1"/>
    <col min="17" max="16384" width="9" style="152"/>
  </cols>
  <sheetData>
    <row r="1" spans="1:16" ht="18.75">
      <c r="A1" s="969" t="s">
        <v>601</v>
      </c>
      <c r="B1" s="969"/>
      <c r="C1" s="969"/>
      <c r="D1" s="969"/>
      <c r="E1" s="969"/>
      <c r="F1" s="969"/>
      <c r="G1" s="969"/>
      <c r="H1" s="969"/>
      <c r="I1" s="969" t="s">
        <v>600</v>
      </c>
      <c r="J1" s="969"/>
      <c r="K1" s="969"/>
      <c r="L1" s="969"/>
      <c r="M1" s="969"/>
      <c r="N1" s="969"/>
      <c r="O1" s="969"/>
      <c r="P1" s="969"/>
    </row>
    <row r="2" spans="1:16" s="61" customFormat="1" ht="15" customHeight="1">
      <c r="A2" s="171" t="str">
        <f>CONCATENATE("客户名称：",参数!D3)</f>
        <v>客户名称：</v>
      </c>
      <c r="D2" s="172" t="str">
        <f>CONCATENATE("编制：",参数!D17)</f>
        <v>编制：</v>
      </c>
      <c r="E2" s="173"/>
      <c r="F2" s="171" t="str">
        <f>CONCATENATE("复核：",参数!D18)</f>
        <v>复核：</v>
      </c>
      <c r="G2" s="174"/>
      <c r="H2" s="172" t="s">
        <v>267</v>
      </c>
      <c r="I2" s="171" t="str">
        <f>CONCATENATE("客户名称：",参数!D3)</f>
        <v>客户名称：</v>
      </c>
      <c r="L2" s="172" t="str">
        <f>CONCATENATE("编制：",参数!D17)</f>
        <v>编制：</v>
      </c>
      <c r="M2" s="173"/>
      <c r="N2" s="171" t="str">
        <f>CONCATENATE("复核：",参数!D18)</f>
        <v>复核：</v>
      </c>
      <c r="O2" s="174"/>
      <c r="P2" s="172" t="s">
        <v>267</v>
      </c>
    </row>
    <row r="3" spans="1:16" s="61" customFormat="1" ht="17.25" customHeight="1" thickBot="1">
      <c r="A3" s="174" t="str">
        <f>CONCATENATE("会计时点：",TEXT(参数!D12,"yyyy.mm.dd"))</f>
        <v>会计时点：2007.12.31</v>
      </c>
      <c r="D3" s="176" t="str">
        <f ca="1">CONCATENATE("日期：",TEXT(NOW(),"yyyy.mm.dd"))</f>
        <v>日期：2023.08.14</v>
      </c>
      <c r="E3" s="174"/>
      <c r="F3" s="172" t="s">
        <v>268</v>
      </c>
      <c r="G3" s="174"/>
      <c r="H3" s="172" t="s">
        <v>269</v>
      </c>
      <c r="I3" s="174" t="str">
        <f>CONCATENATE("会计时点：",TEXT(参数!D12,"yyyy.mm.dd"))</f>
        <v>会计时点：2007.12.31</v>
      </c>
      <c r="L3" s="176" t="str">
        <f ca="1">CONCATENATE("日期：",TEXT(NOW(),"yyyy.mm.dd"))</f>
        <v>日期：2023.08.14</v>
      </c>
      <c r="M3" s="174"/>
      <c r="N3" s="172" t="s">
        <v>268</v>
      </c>
      <c r="O3" s="174"/>
      <c r="P3" s="172" t="s">
        <v>269</v>
      </c>
    </row>
    <row r="4" spans="1:16">
      <c r="A4" s="973" t="s">
        <v>594</v>
      </c>
      <c r="B4" s="987" t="s">
        <v>586</v>
      </c>
      <c r="C4" s="976" t="s">
        <v>587</v>
      </c>
      <c r="D4" s="976" t="s">
        <v>588</v>
      </c>
      <c r="E4" s="336" t="s">
        <v>589</v>
      </c>
      <c r="F4" s="336"/>
      <c r="G4" s="981" t="s">
        <v>704</v>
      </c>
      <c r="H4" s="984" t="s">
        <v>705</v>
      </c>
      <c r="I4" s="978" t="str">
        <f>IF(参数!D8="一般企业（执行统一会计制度）","负债及所有者权益","负债及股东权益")</f>
        <v>负债及所有者权益</v>
      </c>
      <c r="J4" s="970" t="s">
        <v>586</v>
      </c>
      <c r="K4" s="976" t="s">
        <v>587</v>
      </c>
      <c r="L4" s="976" t="s">
        <v>588</v>
      </c>
      <c r="M4" s="336" t="s">
        <v>589</v>
      </c>
      <c r="N4" s="336"/>
      <c r="O4" s="981" t="s">
        <v>704</v>
      </c>
      <c r="P4" s="984" t="s">
        <v>705</v>
      </c>
    </row>
    <row r="5" spans="1:16">
      <c r="A5" s="974"/>
      <c r="B5" s="988"/>
      <c r="C5" s="977"/>
      <c r="D5" s="977"/>
      <c r="E5" s="338" t="s">
        <v>595</v>
      </c>
      <c r="F5" s="338" t="s">
        <v>596</v>
      </c>
      <c r="G5" s="982"/>
      <c r="H5" s="985"/>
      <c r="I5" s="979"/>
      <c r="J5" s="971"/>
      <c r="K5" s="977"/>
      <c r="L5" s="977"/>
      <c r="M5" s="338" t="s">
        <v>595</v>
      </c>
      <c r="N5" s="338" t="s">
        <v>596</v>
      </c>
      <c r="O5" s="982"/>
      <c r="P5" s="985"/>
    </row>
    <row r="6" spans="1:16">
      <c r="A6" s="975"/>
      <c r="B6" s="989"/>
      <c r="C6" s="339" t="s">
        <v>590</v>
      </c>
      <c r="D6" s="339" t="s">
        <v>591</v>
      </c>
      <c r="E6" s="339" t="s">
        <v>592</v>
      </c>
      <c r="F6" s="339" t="s">
        <v>593</v>
      </c>
      <c r="G6" s="983"/>
      <c r="H6" s="986"/>
      <c r="I6" s="980"/>
      <c r="J6" s="972"/>
      <c r="K6" s="339" t="s">
        <v>590</v>
      </c>
      <c r="L6" s="339" t="s">
        <v>591</v>
      </c>
      <c r="M6" s="339" t="s">
        <v>592</v>
      </c>
      <c r="N6" s="339" t="s">
        <v>593</v>
      </c>
      <c r="O6" s="983"/>
      <c r="P6" s="986"/>
    </row>
    <row r="7" spans="1:16" ht="13.9" customHeight="1">
      <c r="A7" s="343" t="str">
        <f>报表格式!B5</f>
        <v>流动资产：</v>
      </c>
      <c r="B7" s="344">
        <v>1</v>
      </c>
      <c r="C7" s="465"/>
      <c r="D7" s="465"/>
      <c r="E7" s="466"/>
      <c r="F7" s="466"/>
      <c r="G7" s="345"/>
      <c r="H7" s="365"/>
      <c r="I7" s="361" t="str">
        <f>报表格式!G5</f>
        <v>流动负债：</v>
      </c>
      <c r="J7" s="474">
        <f>B63+1</f>
        <v>58</v>
      </c>
      <c r="K7" s="445"/>
      <c r="L7" s="445"/>
      <c r="M7" s="345"/>
      <c r="N7" s="485"/>
      <c r="O7" s="485"/>
      <c r="P7" s="864"/>
    </row>
    <row r="8" spans="1:16" ht="13.9" customHeight="1">
      <c r="A8" s="257" t="str">
        <f>报表格式!B6</f>
        <v>货币资金</v>
      </c>
      <c r="B8" s="258">
        <v>2</v>
      </c>
      <c r="C8" s="467">
        <f>审定BS!E7</f>
        <v>0</v>
      </c>
      <c r="D8" s="467">
        <f>未审BS!D7</f>
        <v>0</v>
      </c>
      <c r="E8" s="467">
        <f>D8-C8</f>
        <v>0</v>
      </c>
      <c r="F8" s="468" t="str">
        <f>IF(AND(C8=0,D8=0),"",IF(C8=0,100%,IF(D8=0,-100%,E8/C8)))</f>
        <v/>
      </c>
      <c r="G8" s="447" t="str">
        <f>IF(F8="","",IF(OR(ABS(F8)&gt;=30%,ABS(E8)&gt;=$D$63*5%,ABS(E8)&gt;=未审横向PL!$D$31*10%),"显著",IF(ABS(F8)&gt;=10%,"关注","")))</f>
        <v/>
      </c>
      <c r="H8" s="860"/>
      <c r="I8" s="362" t="str">
        <f>报表格式!G6</f>
        <v>短期借款</v>
      </c>
      <c r="J8" s="259">
        <f t="shared" ref="J8:J43" si="0">J7+1</f>
        <v>59</v>
      </c>
      <c r="K8" s="467">
        <f>审定BS!E70</f>
        <v>0</v>
      </c>
      <c r="L8" s="467">
        <f>未审BS!H7</f>
        <v>0</v>
      </c>
      <c r="M8" s="467">
        <f>L8-K8</f>
        <v>0</v>
      </c>
      <c r="N8" s="468" t="str">
        <f>IF(AND(K8=0,L8=0),"",IF(K8=0,100%,IF(L8=0,-100%,M8/K8)))</f>
        <v/>
      </c>
      <c r="O8" s="447" t="str">
        <f>IF(N8="","",IF(OR(ABS(N8)&gt;=30%,ABS(M8)&gt;=$D$63*5%,ABS(M8)&gt;=未审横向PL!$D$31*10%),"显著",IF(ABS(N8)&gt;=10%,"关注","")))</f>
        <v/>
      </c>
      <c r="P8" s="865"/>
    </row>
    <row r="9" spans="1:16" ht="13.9" customHeight="1">
      <c r="A9" s="257" t="str">
        <f>报表格式!B7</f>
        <v>短期投资</v>
      </c>
      <c r="B9" s="258">
        <v>3</v>
      </c>
      <c r="C9" s="467">
        <f>审定BS!E8</f>
        <v>0</v>
      </c>
      <c r="D9" s="467">
        <f>未审BS!D8</f>
        <v>0</v>
      </c>
      <c r="E9" s="467">
        <f t="shared" ref="E9:E28" si="1">D9-C9</f>
        <v>0</v>
      </c>
      <c r="F9" s="468" t="str">
        <f t="shared" ref="F9:F63" si="2">IF(AND(C9=0,D9=0),"",IF(C9=0,100%,IF(D9=0,-100%,E9/C9)))</f>
        <v/>
      </c>
      <c r="G9" s="447" t="str">
        <f>IF(F9="","",IF(OR(ABS(F9)&gt;=30%,ABS(E9)&gt;=$D$63*5%,ABS(E9)&gt;=未审横向PL!$D$31*10%),"显著",IF(ABS(F9)&gt;=10%,"关注","")))</f>
        <v/>
      </c>
      <c r="H9" s="860"/>
      <c r="I9" s="362" t="str">
        <f>报表格式!G7</f>
        <v>应付票据</v>
      </c>
      <c r="J9" s="259">
        <f t="shared" si="0"/>
        <v>60</v>
      </c>
      <c r="K9" s="467">
        <f>审定BS!E71</f>
        <v>0</v>
      </c>
      <c r="L9" s="467">
        <f>未审BS!H8</f>
        <v>0</v>
      </c>
      <c r="M9" s="467">
        <f t="shared" ref="M9:M27" si="3">L9-K9</f>
        <v>0</v>
      </c>
      <c r="N9" s="468" t="str">
        <f t="shared" ref="N9:N63" si="4">IF(AND(K9=0,L9=0),"",IF(K9=0,100%,IF(L9=0,-100%,M9/K9)))</f>
        <v/>
      </c>
      <c r="O9" s="447" t="str">
        <f>IF(N9="","",IF(OR(ABS(N9)&gt;=30%,ABS(M9)&gt;=$D$63*5%,ABS(M9)&gt;=未审横向PL!$D$31*10%),"显著",IF(ABS(N9)&gt;=10%,"关注","")))</f>
        <v/>
      </c>
      <c r="P9" s="865"/>
    </row>
    <row r="10" spans="1:16" ht="13.9" customHeight="1">
      <c r="A10" s="257" t="str">
        <f>报表格式!B8</f>
        <v>应收票据</v>
      </c>
      <c r="B10" s="258">
        <v>4</v>
      </c>
      <c r="C10" s="467">
        <f>审定BS!E9</f>
        <v>0</v>
      </c>
      <c r="D10" s="467">
        <f>未审BS!D9</f>
        <v>0</v>
      </c>
      <c r="E10" s="467">
        <f t="shared" si="1"/>
        <v>0</v>
      </c>
      <c r="F10" s="468" t="str">
        <f t="shared" si="2"/>
        <v/>
      </c>
      <c r="G10" s="447" t="str">
        <f>IF(F10="","",IF(OR(ABS(F10)&gt;=30%,ABS(E10)&gt;=$D$63*5%,ABS(E10)&gt;=未审横向PL!$D$31*10%),"显著",IF(ABS(F10)&gt;=10%,"关注","")))</f>
        <v/>
      </c>
      <c r="H10" s="860"/>
      <c r="I10" s="362" t="str">
        <f>报表格式!G8</f>
        <v>应付账款</v>
      </c>
      <c r="J10" s="259">
        <f t="shared" si="0"/>
        <v>61</v>
      </c>
      <c r="K10" s="467">
        <f>审定BS!E72</f>
        <v>0</v>
      </c>
      <c r="L10" s="467">
        <f>未审BS!H9</f>
        <v>0</v>
      </c>
      <c r="M10" s="467">
        <f t="shared" si="3"/>
        <v>0</v>
      </c>
      <c r="N10" s="468" t="str">
        <f t="shared" si="4"/>
        <v/>
      </c>
      <c r="O10" s="447" t="str">
        <f>IF(N10="","",IF(OR(ABS(N10)&gt;=30%,ABS(M10)&gt;=$D$63*5%,ABS(M10)&gt;=未审横向PL!$D$31*10%),"显著",IF(ABS(N10)&gt;=10%,"关注","")))</f>
        <v/>
      </c>
      <c r="P10" s="865"/>
    </row>
    <row r="11" spans="1:16" ht="13.9" customHeight="1">
      <c r="A11" s="257" t="str">
        <f>报表格式!B9</f>
        <v>应收股利</v>
      </c>
      <c r="B11" s="258">
        <v>5</v>
      </c>
      <c r="C11" s="467">
        <f>审定BS!E10</f>
        <v>0</v>
      </c>
      <c r="D11" s="467">
        <f>未审BS!D10</f>
        <v>0</v>
      </c>
      <c r="E11" s="467">
        <f t="shared" si="1"/>
        <v>0</v>
      </c>
      <c r="F11" s="468" t="str">
        <f t="shared" si="2"/>
        <v/>
      </c>
      <c r="G11" s="447" t="str">
        <f>IF(F11="","",IF(OR(ABS(F11)&gt;=30%,ABS(E11)&gt;=$D$63*5%,ABS(E11)&gt;=未审横向PL!$D$31*10%),"显著",IF(ABS(F11)&gt;=10%,"关注","")))</f>
        <v/>
      </c>
      <c r="H11" s="860"/>
      <c r="I11" s="362" t="str">
        <f>报表格式!G9</f>
        <v>预收账款</v>
      </c>
      <c r="J11" s="259">
        <f t="shared" si="0"/>
        <v>62</v>
      </c>
      <c r="K11" s="467">
        <f>审定BS!E73</f>
        <v>0</v>
      </c>
      <c r="L11" s="467">
        <f>未审BS!H10</f>
        <v>0</v>
      </c>
      <c r="M11" s="467">
        <f t="shared" si="3"/>
        <v>0</v>
      </c>
      <c r="N11" s="468" t="str">
        <f t="shared" si="4"/>
        <v/>
      </c>
      <c r="O11" s="447" t="str">
        <f>IF(N11="","",IF(OR(ABS(N11)&gt;=30%,ABS(M11)&gt;=$D$63*5%,ABS(M11)&gt;=未审横向PL!$D$31*10%),"显著",IF(ABS(N11)&gt;=10%,"关注","")))</f>
        <v/>
      </c>
      <c r="P11" s="865"/>
    </row>
    <row r="12" spans="1:16" ht="13.9" customHeight="1">
      <c r="A12" s="257" t="str">
        <f>报表格式!B10</f>
        <v>应收利息</v>
      </c>
      <c r="B12" s="258">
        <v>6</v>
      </c>
      <c r="C12" s="467">
        <f>审定BS!E11</f>
        <v>0</v>
      </c>
      <c r="D12" s="467">
        <f>未审BS!D11</f>
        <v>0</v>
      </c>
      <c r="E12" s="467">
        <f t="shared" si="1"/>
        <v>0</v>
      </c>
      <c r="F12" s="468" t="str">
        <f t="shared" si="2"/>
        <v/>
      </c>
      <c r="G12" s="447" t="str">
        <f>IF(F12="","",IF(OR(ABS(F12)&gt;=30%,ABS(E12)&gt;=$D$63*5%,ABS(E12)&gt;=未审横向PL!$D$31*10%),"显著",IF(ABS(F12)&gt;=10%,"关注","")))</f>
        <v/>
      </c>
      <c r="H12" s="860"/>
      <c r="I12" s="362" t="str">
        <f>报表格式!G10</f>
        <v>应付工资</v>
      </c>
      <c r="J12" s="259">
        <f t="shared" si="0"/>
        <v>63</v>
      </c>
      <c r="K12" s="467">
        <f>审定BS!E74</f>
        <v>0</v>
      </c>
      <c r="L12" s="467">
        <f>未审BS!H11</f>
        <v>0</v>
      </c>
      <c r="M12" s="467">
        <f t="shared" si="3"/>
        <v>0</v>
      </c>
      <c r="N12" s="468" t="str">
        <f t="shared" si="4"/>
        <v/>
      </c>
      <c r="O12" s="447" t="str">
        <f>IF(N12="","",IF(OR(ABS(N12)&gt;=30%,ABS(M12)&gt;=$D$63*5%,ABS(M12)&gt;=未审横向PL!$D$31*10%),"显著",IF(ABS(N12)&gt;=10%,"关注","")))</f>
        <v/>
      </c>
      <c r="P12" s="865"/>
    </row>
    <row r="13" spans="1:16" ht="13.9" customHeight="1">
      <c r="A13" s="257" t="str">
        <f>报表格式!B11</f>
        <v>应收账款</v>
      </c>
      <c r="B13" s="258">
        <v>7</v>
      </c>
      <c r="C13" s="467">
        <f>审定BS!E12</f>
        <v>0</v>
      </c>
      <c r="D13" s="467">
        <f>未审BS!D12</f>
        <v>0</v>
      </c>
      <c r="E13" s="467">
        <f t="shared" si="1"/>
        <v>0</v>
      </c>
      <c r="F13" s="468" t="str">
        <f t="shared" si="2"/>
        <v/>
      </c>
      <c r="G13" s="447" t="str">
        <f>IF(F13="","",IF(OR(ABS(F13)&gt;=30%,ABS(E13)&gt;=$D$63*5%,ABS(E13)&gt;=未审横向PL!$D$31*10%),"显著",IF(ABS(F13)&gt;=10%,"关注","")))</f>
        <v/>
      </c>
      <c r="H13" s="860"/>
      <c r="I13" s="362" t="str">
        <f>报表格式!G11</f>
        <v>应付福利费</v>
      </c>
      <c r="J13" s="259">
        <f t="shared" si="0"/>
        <v>64</v>
      </c>
      <c r="K13" s="467">
        <f>审定BS!E75</f>
        <v>0</v>
      </c>
      <c r="L13" s="467">
        <f>未审BS!H12</f>
        <v>0</v>
      </c>
      <c r="M13" s="467">
        <f t="shared" si="3"/>
        <v>0</v>
      </c>
      <c r="N13" s="468" t="str">
        <f t="shared" si="4"/>
        <v/>
      </c>
      <c r="O13" s="447" t="str">
        <f>IF(N13="","",IF(OR(ABS(N13)&gt;=30%,ABS(M13)&gt;=$D$63*5%,ABS(M13)&gt;=未审横向PL!$D$31*10%),"显著",IF(ABS(N13)&gt;=10%,"关注","")))</f>
        <v/>
      </c>
      <c r="P13" s="865"/>
    </row>
    <row r="14" spans="1:16" ht="13.9" customHeight="1">
      <c r="A14" s="257" t="str">
        <f>报表格式!B12</f>
        <v>其他应收款</v>
      </c>
      <c r="B14" s="258">
        <v>8</v>
      </c>
      <c r="C14" s="467">
        <f>审定BS!E13</f>
        <v>0</v>
      </c>
      <c r="D14" s="467">
        <f>未审BS!D13</f>
        <v>0</v>
      </c>
      <c r="E14" s="467">
        <f t="shared" si="1"/>
        <v>0</v>
      </c>
      <c r="F14" s="468" t="str">
        <f t="shared" si="2"/>
        <v/>
      </c>
      <c r="G14" s="447" t="str">
        <f>IF(F14="","",IF(OR(ABS(F14)&gt;=30%,ABS(E14)&gt;=$D$63*5%,ABS(E14)&gt;=未审横向PL!$D$31*10%),"显著",IF(ABS(F14)&gt;=10%,"关注","")))</f>
        <v/>
      </c>
      <c r="H14" s="860"/>
      <c r="I14" s="362" t="str">
        <f>报表格式!G12</f>
        <v>应付股利（利润）</v>
      </c>
      <c r="J14" s="259">
        <f t="shared" si="0"/>
        <v>65</v>
      </c>
      <c r="K14" s="467">
        <f>审定BS!E76</f>
        <v>0</v>
      </c>
      <c r="L14" s="467">
        <f>未审BS!H13</f>
        <v>0</v>
      </c>
      <c r="M14" s="467">
        <f t="shared" si="3"/>
        <v>0</v>
      </c>
      <c r="N14" s="468" t="str">
        <f t="shared" si="4"/>
        <v/>
      </c>
      <c r="O14" s="447" t="str">
        <f>IF(N14="","",IF(OR(ABS(N14)&gt;=30%,ABS(M14)&gt;=$D$63*5%,ABS(M14)&gt;=未审横向PL!$D$31*10%),"显著",IF(ABS(N14)&gt;=10%,"关注","")))</f>
        <v/>
      </c>
      <c r="P14" s="865"/>
    </row>
    <row r="15" spans="1:16" ht="13.9" customHeight="1">
      <c r="A15" s="257" t="str">
        <f>报表格式!B13</f>
        <v>预付账款</v>
      </c>
      <c r="B15" s="258">
        <v>9</v>
      </c>
      <c r="C15" s="467">
        <f>审定BS!E14</f>
        <v>0</v>
      </c>
      <c r="D15" s="467">
        <f>未审BS!D14</f>
        <v>0</v>
      </c>
      <c r="E15" s="467">
        <f t="shared" si="1"/>
        <v>0</v>
      </c>
      <c r="F15" s="468" t="str">
        <f t="shared" si="2"/>
        <v/>
      </c>
      <c r="G15" s="447" t="str">
        <f>IF(F15="","",IF(OR(ABS(F15)&gt;=30%,ABS(E15)&gt;=$D$63*5%,ABS(E15)&gt;=未审横向PL!$D$31*10%),"显著",IF(ABS(F15)&gt;=10%,"关注","")))</f>
        <v/>
      </c>
      <c r="H15" s="860"/>
      <c r="I15" s="362" t="str">
        <f>报表格式!G13</f>
        <v>应付利息</v>
      </c>
      <c r="J15" s="259">
        <f t="shared" si="0"/>
        <v>66</v>
      </c>
      <c r="K15" s="467">
        <f>审定BS!E77</f>
        <v>0</v>
      </c>
      <c r="L15" s="467">
        <f>未审BS!H14</f>
        <v>0</v>
      </c>
      <c r="M15" s="467">
        <f t="shared" si="3"/>
        <v>0</v>
      </c>
      <c r="N15" s="468" t="str">
        <f t="shared" si="4"/>
        <v/>
      </c>
      <c r="O15" s="447" t="str">
        <f>IF(N15="","",IF(OR(ABS(N15)&gt;=30%,ABS(M15)&gt;=$D$63*5%,ABS(M15)&gt;=未审横向PL!$D$31*10%),"显著",IF(ABS(N15)&gt;=10%,"关注","")))</f>
        <v/>
      </c>
      <c r="P15" s="865"/>
    </row>
    <row r="16" spans="1:16" ht="13.9" customHeight="1">
      <c r="A16" s="257" t="str">
        <f>报表格式!B14</f>
        <v>期货保证金</v>
      </c>
      <c r="B16" s="258">
        <v>10</v>
      </c>
      <c r="C16" s="467">
        <f>审定BS!E15</f>
        <v>0</v>
      </c>
      <c r="D16" s="467">
        <f>未审BS!D15</f>
        <v>0</v>
      </c>
      <c r="E16" s="467">
        <f t="shared" si="1"/>
        <v>0</v>
      </c>
      <c r="F16" s="468" t="str">
        <f t="shared" si="2"/>
        <v/>
      </c>
      <c r="G16" s="447" t="str">
        <f>IF(F16="","",IF(OR(ABS(F16)&gt;=30%,ABS(E16)&gt;=$D$63*5%,ABS(E16)&gt;=未审横向PL!$D$31*10%),"显著",IF(ABS(F16)&gt;=10%,"关注","")))</f>
        <v/>
      </c>
      <c r="H16" s="860"/>
      <c r="I16" s="362" t="str">
        <f>报表格式!G14</f>
        <v>应交税金</v>
      </c>
      <c r="J16" s="259">
        <f t="shared" si="0"/>
        <v>67</v>
      </c>
      <c r="K16" s="467">
        <f>审定BS!E78</f>
        <v>0</v>
      </c>
      <c r="L16" s="467">
        <f>未审BS!H15</f>
        <v>0</v>
      </c>
      <c r="M16" s="467">
        <f t="shared" si="3"/>
        <v>0</v>
      </c>
      <c r="N16" s="468" t="str">
        <f t="shared" si="4"/>
        <v/>
      </c>
      <c r="O16" s="447" t="str">
        <f>IF(N16="","",IF(OR(ABS(N16)&gt;=30%,ABS(M16)&gt;=$D$63*5%,ABS(M16)&gt;=未审横向PL!$D$31*10%),"显著",IF(ABS(N16)&gt;=10%,"关注","")))</f>
        <v/>
      </c>
      <c r="P16" s="865"/>
    </row>
    <row r="17" spans="1:16" ht="13.9" customHeight="1">
      <c r="A17" s="257" t="str">
        <f>报表格式!B15</f>
        <v>应收补贴款</v>
      </c>
      <c r="B17" s="258">
        <v>11</v>
      </c>
      <c r="C17" s="467">
        <f>审定BS!E16</f>
        <v>0</v>
      </c>
      <c r="D17" s="467">
        <f>未审BS!D16</f>
        <v>0</v>
      </c>
      <c r="E17" s="467">
        <f t="shared" si="1"/>
        <v>0</v>
      </c>
      <c r="F17" s="468" t="str">
        <f t="shared" si="2"/>
        <v/>
      </c>
      <c r="G17" s="447" t="str">
        <f>IF(F17="","",IF(OR(ABS(F17)&gt;=30%,ABS(E17)&gt;=$D$63*5%,ABS(E17)&gt;=未审横向PL!$D$31*10%),"显著",IF(ABS(F17)&gt;=10%,"关注","")))</f>
        <v/>
      </c>
      <c r="H17" s="860"/>
      <c r="I17" s="362" t="str">
        <f>报表格式!G15</f>
        <v>其他应交款</v>
      </c>
      <c r="J17" s="259">
        <f t="shared" si="0"/>
        <v>68</v>
      </c>
      <c r="K17" s="467">
        <f>审定BS!E79</f>
        <v>0</v>
      </c>
      <c r="L17" s="467">
        <f>未审BS!H16</f>
        <v>0</v>
      </c>
      <c r="M17" s="467">
        <f t="shared" si="3"/>
        <v>0</v>
      </c>
      <c r="N17" s="468" t="str">
        <f t="shared" si="4"/>
        <v/>
      </c>
      <c r="O17" s="447" t="str">
        <f>IF(N17="","",IF(OR(ABS(N17)&gt;=30%,ABS(M17)&gt;=$D$63*5%,ABS(M17)&gt;=未审横向PL!$D$31*10%),"显著",IF(ABS(N17)&gt;=10%,"关注","")))</f>
        <v/>
      </c>
      <c r="P17" s="865"/>
    </row>
    <row r="18" spans="1:16" ht="13.9" customHeight="1">
      <c r="A18" s="257" t="str">
        <f>报表格式!B16</f>
        <v>应收出口退税</v>
      </c>
      <c r="B18" s="258">
        <v>12</v>
      </c>
      <c r="C18" s="467">
        <f>审定BS!E17</f>
        <v>0</v>
      </c>
      <c r="D18" s="467">
        <f>未审BS!D17</f>
        <v>0</v>
      </c>
      <c r="E18" s="467">
        <f t="shared" si="1"/>
        <v>0</v>
      </c>
      <c r="F18" s="468" t="str">
        <f t="shared" si="2"/>
        <v/>
      </c>
      <c r="G18" s="447" t="str">
        <f>IF(F18="","",IF(OR(ABS(F18)&gt;=30%,ABS(E18)&gt;=$D$63*5%,ABS(E18)&gt;=未审横向PL!$D$31*10%),"显著",IF(ABS(F18)&gt;=10%,"关注","")))</f>
        <v/>
      </c>
      <c r="H18" s="860"/>
      <c r="I18" s="362" t="str">
        <f>报表格式!G16</f>
        <v>其他应付款</v>
      </c>
      <c r="J18" s="259">
        <f t="shared" si="0"/>
        <v>69</v>
      </c>
      <c r="K18" s="467">
        <f>审定BS!E80</f>
        <v>0</v>
      </c>
      <c r="L18" s="467">
        <f>未审BS!H17</f>
        <v>0</v>
      </c>
      <c r="M18" s="467">
        <f t="shared" si="3"/>
        <v>0</v>
      </c>
      <c r="N18" s="468" t="str">
        <f t="shared" si="4"/>
        <v/>
      </c>
      <c r="O18" s="447" t="str">
        <f>IF(N18="","",IF(OR(ABS(N18)&gt;=30%,ABS(M18)&gt;=$D$63*5%,ABS(M18)&gt;=未审横向PL!$D$31*10%),"显著",IF(ABS(N18)&gt;=10%,"关注","")))</f>
        <v/>
      </c>
      <c r="P18" s="865"/>
    </row>
    <row r="19" spans="1:16" ht="13.9" customHeight="1">
      <c r="A19" s="257" t="str">
        <f>报表格式!B17</f>
        <v>存货</v>
      </c>
      <c r="B19" s="258">
        <v>13</v>
      </c>
      <c r="C19" s="467">
        <f>审定BS!E18</f>
        <v>0</v>
      </c>
      <c r="D19" s="467">
        <f>未审BS!D18</f>
        <v>0</v>
      </c>
      <c r="E19" s="467">
        <f t="shared" si="1"/>
        <v>0</v>
      </c>
      <c r="F19" s="468" t="str">
        <f t="shared" si="2"/>
        <v/>
      </c>
      <c r="G19" s="447" t="str">
        <f>IF(F19="","",IF(OR(ABS(F19)&gt;=30%,ABS(E19)&gt;=$D$63*5%,ABS(E19)&gt;=未审横向PL!$D$31*10%),"显著",IF(ABS(F19)&gt;=10%,"关注","")))</f>
        <v/>
      </c>
      <c r="H19" s="860"/>
      <c r="I19" s="362" t="str">
        <f>报表格式!G17</f>
        <v>预提费用</v>
      </c>
      <c r="J19" s="259">
        <f t="shared" si="0"/>
        <v>70</v>
      </c>
      <c r="K19" s="467">
        <f>审定BS!E81</f>
        <v>0</v>
      </c>
      <c r="L19" s="467">
        <f>未审BS!H18</f>
        <v>0</v>
      </c>
      <c r="M19" s="467">
        <f t="shared" si="3"/>
        <v>0</v>
      </c>
      <c r="N19" s="468" t="str">
        <f t="shared" si="4"/>
        <v/>
      </c>
      <c r="O19" s="447" t="str">
        <f>IF(N19="","",IF(OR(ABS(N19)&gt;=30%,ABS(M19)&gt;=$D$63*5%,ABS(M19)&gt;=未审横向PL!$D$31*10%),"显著",IF(ABS(N19)&gt;=10%,"关注","")))</f>
        <v/>
      </c>
      <c r="P19" s="865"/>
    </row>
    <row r="20" spans="1:16" ht="13.9" customHeight="1">
      <c r="A20" s="257" t="str">
        <f>报表格式!B18</f>
        <v xml:space="preserve">  其中：原材料</v>
      </c>
      <c r="B20" s="258">
        <v>14</v>
      </c>
      <c r="C20" s="467">
        <f>审定BS!E19</f>
        <v>0</v>
      </c>
      <c r="D20" s="467">
        <f>未审BS!D19</f>
        <v>0</v>
      </c>
      <c r="E20" s="467">
        <f t="shared" si="1"/>
        <v>0</v>
      </c>
      <c r="F20" s="468" t="str">
        <f t="shared" si="2"/>
        <v/>
      </c>
      <c r="G20" s="447" t="str">
        <f>IF(F20="","",IF(OR(ABS(F20)&gt;=30%,ABS(E20)&gt;=$D$63*5%,ABS(E20)&gt;=未审横向PL!$D$31*10%),"显著",IF(ABS(F20)&gt;=10%,"关注","")))</f>
        <v/>
      </c>
      <c r="H20" s="860"/>
      <c r="I20" s="362" t="str">
        <f>报表格式!G18</f>
        <v>预计负债</v>
      </c>
      <c r="J20" s="259">
        <f t="shared" si="0"/>
        <v>71</v>
      </c>
      <c r="K20" s="467">
        <f>审定BS!E82</f>
        <v>0</v>
      </c>
      <c r="L20" s="467">
        <f>未审BS!H19</f>
        <v>0</v>
      </c>
      <c r="M20" s="467">
        <f t="shared" si="3"/>
        <v>0</v>
      </c>
      <c r="N20" s="468" t="str">
        <f t="shared" si="4"/>
        <v/>
      </c>
      <c r="O20" s="447" t="str">
        <f>IF(N20="","",IF(OR(ABS(N20)&gt;=30%,ABS(M20)&gt;=$D$63*5%,ABS(M20)&gt;=未审横向PL!$D$31*10%),"显著",IF(ABS(N20)&gt;=10%,"关注","")))</f>
        <v/>
      </c>
      <c r="P20" s="865"/>
    </row>
    <row r="21" spans="1:16" ht="13.9" customHeight="1">
      <c r="A21" s="257" t="str">
        <f>报表格式!B19</f>
        <v xml:space="preserve">        库存商品（产成品）</v>
      </c>
      <c r="B21" s="258">
        <v>15</v>
      </c>
      <c r="C21" s="467">
        <f>审定BS!E20</f>
        <v>0</v>
      </c>
      <c r="D21" s="467">
        <f>未审BS!D20</f>
        <v>0</v>
      </c>
      <c r="E21" s="467">
        <f>D21-C21</f>
        <v>0</v>
      </c>
      <c r="F21" s="468" t="str">
        <f t="shared" si="2"/>
        <v/>
      </c>
      <c r="G21" s="447" t="str">
        <f>IF(F21="","",IF(OR(ABS(F21)&gt;=30%,ABS(E21)&gt;=$D$63*5%,ABS(E21)&gt;=未审横向PL!$D$31*10%),"显著",IF(ABS(F21)&gt;=10%,"关注","")))</f>
        <v/>
      </c>
      <c r="H21" s="860"/>
      <c r="I21" s="362" t="str">
        <f>报表格式!G19</f>
        <v>递延收益</v>
      </c>
      <c r="J21" s="259">
        <f t="shared" si="0"/>
        <v>72</v>
      </c>
      <c r="K21" s="467">
        <f>审定BS!E83</f>
        <v>0</v>
      </c>
      <c r="L21" s="467">
        <f>未审BS!H20</f>
        <v>0</v>
      </c>
      <c r="M21" s="467">
        <f t="shared" ref="M21:M26" si="5">L21-K21</f>
        <v>0</v>
      </c>
      <c r="N21" s="468" t="str">
        <f t="shared" ref="N21:N26" si="6">IF(AND(K21=0,L21=0),"",IF(K21=0,100%,IF(L21=0,-100%,M21/K21)))</f>
        <v/>
      </c>
      <c r="O21" s="447" t="str">
        <f>IF(N21="","",IF(OR(ABS(N21)&gt;=30%,ABS(M21)&gt;=$D$63*5%,ABS(M21)&gt;=未审横向PL!$D$31*10%),"显著",IF(ABS(N21)&gt;=10%,"关注","")))</f>
        <v/>
      </c>
      <c r="P21" s="865"/>
    </row>
    <row r="22" spans="1:16" ht="13.9" customHeight="1">
      <c r="A22" s="257" t="str">
        <f>报表格式!B20</f>
        <v>待摊费用</v>
      </c>
      <c r="B22" s="258">
        <v>16</v>
      </c>
      <c r="C22" s="467">
        <f>审定BS!E21</f>
        <v>0</v>
      </c>
      <c r="D22" s="467">
        <f>未审BS!D21</f>
        <v>0</v>
      </c>
      <c r="E22" s="467">
        <f t="shared" si="1"/>
        <v>0</v>
      </c>
      <c r="F22" s="468" t="str">
        <f t="shared" si="2"/>
        <v/>
      </c>
      <c r="G22" s="447" t="str">
        <f>IF(F22="","",IF(OR(ABS(F22)&gt;=30%,ABS(E22)&gt;=$D$63*5%,ABS(E22)&gt;=未审横向PL!$D$31*10%),"显著",IF(ABS(F22)&gt;=10%,"关注","")))</f>
        <v/>
      </c>
      <c r="H22" s="860"/>
      <c r="I22" s="362" t="str">
        <f>报表格式!G20</f>
        <v>一年内到期的长期负债</v>
      </c>
      <c r="J22" s="259">
        <f t="shared" si="0"/>
        <v>73</v>
      </c>
      <c r="K22" s="467">
        <f>审定BS!E84</f>
        <v>0</v>
      </c>
      <c r="L22" s="467">
        <f>未审BS!H21</f>
        <v>0</v>
      </c>
      <c r="M22" s="467">
        <f t="shared" si="5"/>
        <v>0</v>
      </c>
      <c r="N22" s="468" t="str">
        <f t="shared" si="6"/>
        <v/>
      </c>
      <c r="O22" s="447" t="str">
        <f>IF(N22="","",IF(OR(ABS(N22)&gt;=30%,ABS(M22)&gt;=$D$63*5%,ABS(M22)&gt;=未审横向PL!$D$31*10%),"显著",IF(ABS(N22)&gt;=10%,"关注","")))</f>
        <v/>
      </c>
      <c r="P22" s="865"/>
    </row>
    <row r="23" spans="1:16" ht="13.9" customHeight="1">
      <c r="A23" s="257" t="str">
        <f>报表格式!B21</f>
        <v>待处理流动资产净损失</v>
      </c>
      <c r="B23" s="258">
        <v>17</v>
      </c>
      <c r="C23" s="467">
        <f>审定BS!E22</f>
        <v>0</v>
      </c>
      <c r="D23" s="467">
        <f>未审BS!D22</f>
        <v>0</v>
      </c>
      <c r="E23" s="467">
        <f t="shared" si="1"/>
        <v>0</v>
      </c>
      <c r="F23" s="468" t="str">
        <f t="shared" si="2"/>
        <v/>
      </c>
      <c r="G23" s="447" t="str">
        <f>IF(F23="","",IF(OR(ABS(F23)&gt;=30%,ABS(E23)&gt;=$D$63*5%,ABS(E23)&gt;=未审横向PL!$D$31*10%),"显著",IF(ABS(F23)&gt;=10%,"关注","")))</f>
        <v/>
      </c>
      <c r="H23" s="860"/>
      <c r="I23" s="362" t="str">
        <f>报表格式!G21</f>
        <v>应付权证</v>
      </c>
      <c r="J23" s="259">
        <f t="shared" si="0"/>
        <v>74</v>
      </c>
      <c r="K23" s="467">
        <f>审定BS!E85</f>
        <v>0</v>
      </c>
      <c r="L23" s="467">
        <f>未审BS!H22</f>
        <v>0</v>
      </c>
      <c r="M23" s="467">
        <f t="shared" si="5"/>
        <v>0</v>
      </c>
      <c r="N23" s="468" t="str">
        <f t="shared" si="6"/>
        <v/>
      </c>
      <c r="O23" s="447" t="str">
        <f>IF(N23="","",IF(OR(ABS(N23)&gt;=30%,ABS(M23)&gt;=$D$63*5%,ABS(M23)&gt;=未审横向PL!$D$31*10%),"显著",IF(ABS(N23)&gt;=10%,"关注","")))</f>
        <v/>
      </c>
      <c r="P23" s="865"/>
    </row>
    <row r="24" spans="1:16" ht="13.9" customHeight="1">
      <c r="A24" s="257" t="str">
        <f>报表格式!B22</f>
        <v>一年内到期的长期债权投资</v>
      </c>
      <c r="B24" s="258">
        <v>18</v>
      </c>
      <c r="C24" s="467">
        <f>审定BS!E23</f>
        <v>0</v>
      </c>
      <c r="D24" s="467">
        <f>未审BS!D23</f>
        <v>0</v>
      </c>
      <c r="E24" s="467">
        <f t="shared" si="1"/>
        <v>0</v>
      </c>
      <c r="F24" s="468" t="str">
        <f t="shared" si="2"/>
        <v/>
      </c>
      <c r="G24" s="447" t="str">
        <f>IF(F24="","",IF(OR(ABS(F24)&gt;=30%,ABS(E24)&gt;=$D$63*5%,ABS(E24)&gt;=未审横向PL!$D$31*10%),"显著",IF(ABS(F24)&gt;=10%,"关注","")))</f>
        <v/>
      </c>
      <c r="H24" s="860"/>
      <c r="I24" s="362" t="str">
        <f>报表格式!G22</f>
        <v>其他流动负债</v>
      </c>
      <c r="J24" s="259">
        <f t="shared" si="0"/>
        <v>75</v>
      </c>
      <c r="K24" s="467">
        <f>审定BS!E86</f>
        <v>0</v>
      </c>
      <c r="L24" s="467">
        <f>未审BS!H23</f>
        <v>0</v>
      </c>
      <c r="M24" s="467">
        <f t="shared" si="5"/>
        <v>0</v>
      </c>
      <c r="N24" s="468" t="str">
        <f t="shared" si="6"/>
        <v/>
      </c>
      <c r="O24" s="447" t="str">
        <f>IF(N24="","",IF(OR(ABS(N24)&gt;=30%,ABS(M24)&gt;=$D$63*5%,ABS(M24)&gt;=未审横向PL!$D$31*10%),"显著",IF(ABS(N24)&gt;=10%,"关注","")))</f>
        <v/>
      </c>
      <c r="P24" s="865"/>
    </row>
    <row r="25" spans="1:16" ht="13.9" customHeight="1">
      <c r="A25" s="257" t="str">
        <f>报表格式!B23</f>
        <v>其他流动资产</v>
      </c>
      <c r="B25" s="258">
        <v>19</v>
      </c>
      <c r="C25" s="467">
        <f>审定BS!E24</f>
        <v>0</v>
      </c>
      <c r="D25" s="467">
        <f>未审BS!D24</f>
        <v>0</v>
      </c>
      <c r="E25" s="467">
        <f t="shared" si="1"/>
        <v>0</v>
      </c>
      <c r="F25" s="468" t="str">
        <f t="shared" si="2"/>
        <v/>
      </c>
      <c r="G25" s="447" t="str">
        <f>IF(F25="","",IF(OR(ABS(F25)&gt;=30%,ABS(E25)&gt;=$D$63*5%,ABS(E25)&gt;=未审横向PL!$D$31*10%),"显著",IF(ABS(F25)&gt;=10%,"关注","")))</f>
        <v/>
      </c>
      <c r="H25" s="860"/>
      <c r="I25" s="362">
        <f>报表格式!G23</f>
        <v>0</v>
      </c>
      <c r="J25" s="259">
        <f t="shared" si="0"/>
        <v>76</v>
      </c>
      <c r="K25" s="467">
        <f>审定BS!E87</f>
        <v>0</v>
      </c>
      <c r="L25" s="467">
        <f>未审BS!H24</f>
        <v>0</v>
      </c>
      <c r="M25" s="467">
        <f t="shared" si="5"/>
        <v>0</v>
      </c>
      <c r="N25" s="468" t="str">
        <f t="shared" si="6"/>
        <v/>
      </c>
      <c r="O25" s="447" t="str">
        <f>IF(N25="","",IF(OR(ABS(N25)&gt;=30%,ABS(M25)&gt;=$D$63*5%,ABS(M25)&gt;=未审横向PL!$D$31*10%),"显著",IF(ABS(N25)&gt;=10%,"关注","")))</f>
        <v/>
      </c>
      <c r="P25" s="865"/>
    </row>
    <row r="26" spans="1:16" ht="13.9" customHeight="1">
      <c r="A26" s="357">
        <f>报表格式!B24</f>
        <v>0</v>
      </c>
      <c r="B26" s="258">
        <v>20</v>
      </c>
      <c r="C26" s="467">
        <f>审定BS!E25</f>
        <v>0</v>
      </c>
      <c r="D26" s="467">
        <f>未审BS!D25</f>
        <v>0</v>
      </c>
      <c r="E26" s="467">
        <f t="shared" si="1"/>
        <v>0</v>
      </c>
      <c r="F26" s="468" t="str">
        <f t="shared" si="2"/>
        <v/>
      </c>
      <c r="G26" s="447" t="str">
        <f>IF(F26="","",IF(OR(ABS(F26)&gt;=30%,ABS(E26)&gt;=$D$63*5%,ABS(E26)&gt;=未审横向PL!$D$31*10%),"显著",IF(ABS(F26)&gt;=10%,"关注","")))</f>
        <v/>
      </c>
      <c r="H26" s="860"/>
      <c r="I26" s="362">
        <f>报表格式!G24</f>
        <v>0</v>
      </c>
      <c r="J26" s="259">
        <f t="shared" si="0"/>
        <v>77</v>
      </c>
      <c r="K26" s="467">
        <f>审定BS!E88</f>
        <v>0</v>
      </c>
      <c r="L26" s="467">
        <f>未审BS!H25</f>
        <v>0</v>
      </c>
      <c r="M26" s="467">
        <f t="shared" si="5"/>
        <v>0</v>
      </c>
      <c r="N26" s="468" t="str">
        <f t="shared" si="6"/>
        <v/>
      </c>
      <c r="O26" s="447" t="str">
        <f>IF(N26="","",IF(OR(ABS(N26)&gt;=30%,ABS(M26)&gt;=$D$63*5%,ABS(M26)&gt;=未审横向PL!$D$31*10%),"显著",IF(ABS(N26)&gt;=10%,"关注","")))</f>
        <v/>
      </c>
      <c r="P26" s="865"/>
    </row>
    <row r="27" spans="1:16" ht="13.9" customHeight="1">
      <c r="A27" s="357">
        <f>报表格式!B25</f>
        <v>0</v>
      </c>
      <c r="B27" s="258">
        <v>21</v>
      </c>
      <c r="C27" s="467">
        <f>审定BS!E26</f>
        <v>0</v>
      </c>
      <c r="D27" s="467">
        <f>未审BS!D26</f>
        <v>0</v>
      </c>
      <c r="E27" s="467">
        <f t="shared" si="1"/>
        <v>0</v>
      </c>
      <c r="F27" s="468" t="str">
        <f t="shared" si="2"/>
        <v/>
      </c>
      <c r="G27" s="447" t="str">
        <f>IF(F27="","",IF(OR(ABS(F27)&gt;=30%,ABS(E27)&gt;=$D$63*5%,ABS(E27)&gt;=未审横向PL!$D$31*10%),"显著",IF(ABS(F27)&gt;=10%,"关注","")))</f>
        <v/>
      </c>
      <c r="H27" s="860"/>
      <c r="I27" s="261" t="str">
        <f>报表格式!G25</f>
        <v>流动负债合计</v>
      </c>
      <c r="J27" s="259">
        <f t="shared" si="0"/>
        <v>78</v>
      </c>
      <c r="K27" s="469">
        <f>SUM(K8:K24)</f>
        <v>0</v>
      </c>
      <c r="L27" s="469">
        <f>SUM(L8:L24)</f>
        <v>0</v>
      </c>
      <c r="M27" s="469">
        <f t="shared" si="3"/>
        <v>0</v>
      </c>
      <c r="N27" s="600" t="str">
        <f t="shared" si="4"/>
        <v/>
      </c>
      <c r="O27" s="447" t="str">
        <f>IF(N27="","",IF(OR(ABS(N27)&gt;=30%,ABS(M27)&gt;=$D$63*5%,ABS(M27)&gt;=未审横向PL!$D$31*10%),"显著",IF(ABS(N27)&gt;=10%,"关注","")))</f>
        <v/>
      </c>
      <c r="P27" s="865"/>
    </row>
    <row r="28" spans="1:16" ht="13.9" customHeight="1">
      <c r="A28" s="261" t="str">
        <f>报表格式!B26</f>
        <v>流动资产合计</v>
      </c>
      <c r="B28" s="258">
        <v>22</v>
      </c>
      <c r="C28" s="469">
        <f>SUM(C8:C27)-C20-C21</f>
        <v>0</v>
      </c>
      <c r="D28" s="469">
        <f>SUM(D8:D27)-D20-D21</f>
        <v>0</v>
      </c>
      <c r="E28" s="469">
        <f t="shared" si="1"/>
        <v>0</v>
      </c>
      <c r="F28" s="600" t="str">
        <f t="shared" si="2"/>
        <v/>
      </c>
      <c r="G28" s="447" t="str">
        <f>IF(F28="","",IF(OR(ABS(F28)&gt;=30%,ABS(E28)&gt;=$D$63*5%,ABS(E28)&gt;=未审横向PL!$D$31*10%),"显著",IF(ABS(F28)&gt;=10%,"关注","")))</f>
        <v/>
      </c>
      <c r="H28" s="861"/>
      <c r="I28" s="363" t="str">
        <f>报表格式!G26</f>
        <v>长期负债：</v>
      </c>
      <c r="J28" s="259">
        <f t="shared" si="0"/>
        <v>79</v>
      </c>
      <c r="K28" s="467"/>
      <c r="L28" s="467"/>
      <c r="M28" s="467"/>
      <c r="N28" s="468" t="str">
        <f t="shared" si="4"/>
        <v/>
      </c>
      <c r="O28" s="447" t="str">
        <f>IF(N28="","",IF(OR(ABS(N28)&gt;=30%,ABS(M28)&gt;=$D$63*5%,ABS(M28)&gt;=未审横向PL!$D$31*10%),"显著",IF(ABS(N28)&gt;=10%,"关注","")))</f>
        <v/>
      </c>
      <c r="P28" s="865"/>
    </row>
    <row r="29" spans="1:16" ht="13.9" customHeight="1">
      <c r="A29" s="257" t="str">
        <f>报表格式!B27</f>
        <v>长期投资</v>
      </c>
      <c r="B29" s="258">
        <v>23</v>
      </c>
      <c r="C29" s="467">
        <f>SUM(C30:C31)</f>
        <v>0</v>
      </c>
      <c r="D29" s="467">
        <f>SUM(D30:D31)</f>
        <v>0</v>
      </c>
      <c r="E29" s="467">
        <f t="shared" ref="E29:E35" si="7">D29-C29</f>
        <v>0</v>
      </c>
      <c r="F29" s="468" t="str">
        <f t="shared" si="2"/>
        <v/>
      </c>
      <c r="G29" s="447" t="str">
        <f>IF(F29="","",IF(OR(ABS(F29)&gt;=30%,ABS(E29)&gt;=$D$63*5%,ABS(E29)&gt;=未审横向PL!$D$31*10%),"显著",IF(ABS(F29)&gt;=10%,"关注","")))</f>
        <v/>
      </c>
      <c r="H29" s="860"/>
      <c r="I29" s="362" t="str">
        <f>报表格式!G27</f>
        <v>长期借款</v>
      </c>
      <c r="J29" s="259">
        <f t="shared" si="0"/>
        <v>80</v>
      </c>
      <c r="K29" s="467">
        <f>审定BS!E91</f>
        <v>0</v>
      </c>
      <c r="L29" s="467">
        <f>未审BS!H28</f>
        <v>0</v>
      </c>
      <c r="M29" s="467">
        <f>L29-K29</f>
        <v>0</v>
      </c>
      <c r="N29" s="468" t="str">
        <f t="shared" si="4"/>
        <v/>
      </c>
      <c r="O29" s="447" t="str">
        <f>IF(N29="","",IF(OR(ABS(N29)&gt;=30%,ABS(M29)&gt;=$D$63*5%,ABS(M29)&gt;=未审横向PL!$D$31*10%),"显著",IF(ABS(N29)&gt;=10%,"关注","")))</f>
        <v/>
      </c>
      <c r="P29" s="865"/>
    </row>
    <row r="30" spans="1:16" ht="13.9" customHeight="1">
      <c r="A30" s="257" t="str">
        <f>报表格式!B28</f>
        <v xml:space="preserve">  其中：长期股权投资</v>
      </c>
      <c r="B30" s="258">
        <v>24</v>
      </c>
      <c r="C30" s="467">
        <f>审定BS!E29</f>
        <v>0</v>
      </c>
      <c r="D30" s="467">
        <f>未审BS!D29</f>
        <v>0</v>
      </c>
      <c r="E30" s="467">
        <f t="shared" si="7"/>
        <v>0</v>
      </c>
      <c r="F30" s="468" t="str">
        <f t="shared" si="2"/>
        <v/>
      </c>
      <c r="G30" s="447" t="str">
        <f>IF(F30="","",IF(OR(ABS(F30)&gt;=30%,ABS(E30)&gt;=$D$63*5%,ABS(E30)&gt;=未审横向PL!$D$31*10%),"显著",IF(ABS(F30)&gt;=10%,"关注","")))</f>
        <v/>
      </c>
      <c r="H30" s="860"/>
      <c r="I30" s="362" t="str">
        <f>报表格式!G28</f>
        <v>应付债券</v>
      </c>
      <c r="J30" s="259">
        <f t="shared" si="0"/>
        <v>81</v>
      </c>
      <c r="K30" s="467">
        <f>审定BS!E92</f>
        <v>0</v>
      </c>
      <c r="L30" s="467">
        <f>未审BS!H29</f>
        <v>0</v>
      </c>
      <c r="M30" s="467">
        <f t="shared" ref="M30:M37" si="8">L30-K30</f>
        <v>0</v>
      </c>
      <c r="N30" s="468" t="str">
        <f t="shared" si="4"/>
        <v/>
      </c>
      <c r="O30" s="447" t="str">
        <f>IF(N30="","",IF(OR(ABS(N30)&gt;=30%,ABS(M30)&gt;=$D$63*5%,ABS(M30)&gt;=未审横向PL!$D$31*10%),"显著",IF(ABS(N30)&gt;=10%,"关注","")))</f>
        <v/>
      </c>
      <c r="P30" s="865"/>
    </row>
    <row r="31" spans="1:16" ht="13.9" customHeight="1">
      <c r="A31" s="257" t="str">
        <f>报表格式!B29</f>
        <v xml:space="preserve">       长期债权投资</v>
      </c>
      <c r="B31" s="258">
        <v>25</v>
      </c>
      <c r="C31" s="467">
        <f>审定BS!E30</f>
        <v>0</v>
      </c>
      <c r="D31" s="467">
        <f>未审BS!D30</f>
        <v>0</v>
      </c>
      <c r="E31" s="467">
        <f t="shared" si="7"/>
        <v>0</v>
      </c>
      <c r="F31" s="468" t="str">
        <f t="shared" si="2"/>
        <v/>
      </c>
      <c r="G31" s="447" t="str">
        <f>IF(F31="","",IF(OR(ABS(F31)&gt;=30%,ABS(E31)&gt;=$D$63*5%,ABS(E31)&gt;=未审横向PL!$D$31*10%),"显著",IF(ABS(F31)&gt;=10%,"关注","")))</f>
        <v/>
      </c>
      <c r="H31" s="860"/>
      <c r="I31" s="362" t="str">
        <f>报表格式!G29</f>
        <v>长期应付款</v>
      </c>
      <c r="J31" s="259">
        <f t="shared" si="0"/>
        <v>82</v>
      </c>
      <c r="K31" s="467">
        <f>审定BS!E93</f>
        <v>0</v>
      </c>
      <c r="L31" s="467">
        <f>未审BS!H30</f>
        <v>0</v>
      </c>
      <c r="M31" s="467">
        <f t="shared" si="8"/>
        <v>0</v>
      </c>
      <c r="N31" s="468" t="str">
        <f t="shared" si="4"/>
        <v/>
      </c>
      <c r="O31" s="447" t="str">
        <f>IF(N31="","",IF(OR(ABS(N31)&gt;=30%,ABS(M31)&gt;=$D$63*5%,ABS(M31)&gt;=未审横向PL!$D$31*10%),"显著",IF(ABS(N31)&gt;=10%,"关注","")))</f>
        <v/>
      </c>
      <c r="P31" s="865"/>
    </row>
    <row r="32" spans="1:16" ht="13.9" customHeight="1">
      <c r="A32" s="257" t="str">
        <f>报表格式!B30</f>
        <v>*合并价差</v>
      </c>
      <c r="B32" s="258">
        <v>26</v>
      </c>
      <c r="C32" s="467">
        <f>审定BS!E31</f>
        <v>0</v>
      </c>
      <c r="D32" s="467">
        <f>未审BS!D31</f>
        <v>0</v>
      </c>
      <c r="E32" s="467">
        <f t="shared" si="7"/>
        <v>0</v>
      </c>
      <c r="F32" s="468" t="str">
        <f t="shared" si="2"/>
        <v/>
      </c>
      <c r="G32" s="447" t="str">
        <f>IF(F32="","",IF(OR(ABS(F32)&gt;=30%,ABS(E32)&gt;=$D$63*5%,ABS(E32)&gt;=未审横向PL!$D$31*10%),"显著",IF(ABS(F32)&gt;=10%,"关注","")))</f>
        <v/>
      </c>
      <c r="H32" s="860"/>
      <c r="I32" s="362" t="str">
        <f>报表格式!G30</f>
        <v>专项应付款</v>
      </c>
      <c r="J32" s="259">
        <f t="shared" si="0"/>
        <v>83</v>
      </c>
      <c r="K32" s="467">
        <f>审定BS!E94</f>
        <v>0</v>
      </c>
      <c r="L32" s="467">
        <f>未审BS!H31</f>
        <v>0</v>
      </c>
      <c r="M32" s="467">
        <f t="shared" si="8"/>
        <v>0</v>
      </c>
      <c r="N32" s="468" t="str">
        <f t="shared" si="4"/>
        <v/>
      </c>
      <c r="O32" s="447" t="str">
        <f>IF(N32="","",IF(OR(ABS(N32)&gt;=30%,ABS(M32)&gt;=$D$63*5%,ABS(M32)&gt;=未审横向PL!$D$31*10%),"显著",IF(ABS(N32)&gt;=10%,"关注","")))</f>
        <v/>
      </c>
      <c r="P32" s="865"/>
    </row>
    <row r="33" spans="1:16" ht="13.9" customHeight="1">
      <c r="A33" s="257">
        <f>报表格式!B31</f>
        <v>0</v>
      </c>
      <c r="B33" s="258">
        <v>27</v>
      </c>
      <c r="C33" s="467">
        <f>审定BS!E32</f>
        <v>0</v>
      </c>
      <c r="D33" s="467">
        <f>未审BS!D32</f>
        <v>0</v>
      </c>
      <c r="E33" s="467">
        <f t="shared" si="7"/>
        <v>0</v>
      </c>
      <c r="F33" s="468" t="str">
        <f t="shared" si="2"/>
        <v/>
      </c>
      <c r="G33" s="447" t="str">
        <f>IF(F33="","",IF(OR(ABS(F33)&gt;=30%,ABS(E33)&gt;=$D$63*5%,ABS(E33)&gt;=未审横向PL!$D$31*10%),"显著",IF(ABS(F33)&gt;=10%,"关注","")))</f>
        <v/>
      </c>
      <c r="H33" s="860"/>
      <c r="I33" s="362" t="str">
        <f>报表格式!G31</f>
        <v>其他长期负债</v>
      </c>
      <c r="J33" s="259">
        <f t="shared" si="0"/>
        <v>84</v>
      </c>
      <c r="K33" s="467">
        <f>审定BS!E95</f>
        <v>0</v>
      </c>
      <c r="L33" s="467">
        <f>未审BS!H32</f>
        <v>0</v>
      </c>
      <c r="M33" s="467">
        <f t="shared" si="8"/>
        <v>0</v>
      </c>
      <c r="N33" s="468" t="str">
        <f t="shared" si="4"/>
        <v/>
      </c>
      <c r="O33" s="447" t="str">
        <f>IF(N33="","",IF(OR(ABS(N33)&gt;=30%,ABS(M33)&gt;=$D$63*5%,ABS(M33)&gt;=未审横向PL!$D$31*10%),"显著",IF(ABS(N33)&gt;=10%,"关注","")))</f>
        <v/>
      </c>
      <c r="P33" s="865"/>
    </row>
    <row r="34" spans="1:16" ht="13.9" customHeight="1">
      <c r="A34" s="257">
        <f>报表格式!B32</f>
        <v>0</v>
      </c>
      <c r="B34" s="258">
        <v>28</v>
      </c>
      <c r="C34" s="467">
        <f>审定BS!E33</f>
        <v>0</v>
      </c>
      <c r="D34" s="467">
        <f>未审BS!D33</f>
        <v>0</v>
      </c>
      <c r="E34" s="467">
        <f t="shared" si="7"/>
        <v>0</v>
      </c>
      <c r="F34" s="468" t="str">
        <f t="shared" si="2"/>
        <v/>
      </c>
      <c r="G34" s="447" t="str">
        <f>IF(F34="","",IF(OR(ABS(F34)&gt;=30%,ABS(E34)&gt;=$D$63*5%,ABS(E34)&gt;=未审横向PL!$D$31*10%),"显著",IF(ABS(F34)&gt;=10%,"关注","")))</f>
        <v/>
      </c>
      <c r="H34" s="860"/>
      <c r="I34" s="362" t="str">
        <f>报表格式!G32</f>
        <v xml:space="preserve">  其中：特准储备资金</v>
      </c>
      <c r="J34" s="259">
        <f t="shared" si="0"/>
        <v>85</v>
      </c>
      <c r="K34" s="467">
        <f>审定BS!E96</f>
        <v>0</v>
      </c>
      <c r="L34" s="467">
        <f>未审BS!H33</f>
        <v>0</v>
      </c>
      <c r="M34" s="467">
        <f t="shared" si="8"/>
        <v>0</v>
      </c>
      <c r="N34" s="468" t="str">
        <f t="shared" si="4"/>
        <v/>
      </c>
      <c r="O34" s="447" t="str">
        <f>IF(N34="","",IF(OR(ABS(N34)&gt;=30%,ABS(M34)&gt;=$D$63*5%,ABS(M34)&gt;=未审横向PL!$D$31*10%),"显著",IF(ABS(N34)&gt;=10%,"关注","")))</f>
        <v/>
      </c>
      <c r="P34" s="865"/>
    </row>
    <row r="35" spans="1:16" ht="13.9" customHeight="1">
      <c r="A35" s="263" t="str">
        <f>报表格式!B33</f>
        <v>长期投资合计</v>
      </c>
      <c r="B35" s="258">
        <v>29</v>
      </c>
      <c r="C35" s="469">
        <f>SUM(C29,C32:C34)</f>
        <v>0</v>
      </c>
      <c r="D35" s="469">
        <f>SUM(D29,D32:D34)</f>
        <v>0</v>
      </c>
      <c r="E35" s="469">
        <f t="shared" si="7"/>
        <v>0</v>
      </c>
      <c r="F35" s="600" t="str">
        <f t="shared" si="2"/>
        <v/>
      </c>
      <c r="G35" s="447" t="str">
        <f>IF(F35="","",IF(OR(ABS(F35)&gt;=30%,ABS(E35)&gt;=$D$63*5%,ABS(E35)&gt;=未审横向PL!$D$31*10%),"显著",IF(ABS(F35)&gt;=10%,"关注","")))</f>
        <v/>
      </c>
      <c r="H35" s="861"/>
      <c r="I35" s="362">
        <f>报表格式!G33</f>
        <v>0</v>
      </c>
      <c r="J35" s="259">
        <f t="shared" si="0"/>
        <v>86</v>
      </c>
      <c r="K35" s="467">
        <f>审定BS!E97</f>
        <v>0</v>
      </c>
      <c r="L35" s="467">
        <f>未审BS!H34</f>
        <v>0</v>
      </c>
      <c r="M35" s="467">
        <f t="shared" si="8"/>
        <v>0</v>
      </c>
      <c r="N35" s="468" t="str">
        <f t="shared" si="4"/>
        <v/>
      </c>
      <c r="O35" s="447" t="str">
        <f>IF(N35="","",IF(OR(ABS(N35)&gt;=30%,ABS(M35)&gt;=$D$63*5%,ABS(M35)&gt;=未审横向PL!$D$31*10%),"显著",IF(ABS(N35)&gt;=10%,"关注","")))</f>
        <v/>
      </c>
      <c r="P35" s="865"/>
    </row>
    <row r="36" spans="1:16" ht="13.9" customHeight="1">
      <c r="A36" s="262" t="str">
        <f>报表格式!B34</f>
        <v>固定资产：</v>
      </c>
      <c r="B36" s="258">
        <v>30</v>
      </c>
      <c r="C36" s="471"/>
      <c r="D36" s="471"/>
      <c r="E36" s="471"/>
      <c r="F36" s="468" t="str">
        <f t="shared" si="2"/>
        <v/>
      </c>
      <c r="G36" s="447" t="str">
        <f>IF(F36="","",IF(OR(ABS(F36)&gt;=30%,ABS(E36)&gt;=$D$63*5%,ABS(E36)&gt;=未审横向PL!$D$31*10%),"显著",IF(ABS(F36)&gt;=10%,"关注","")))</f>
        <v/>
      </c>
      <c r="H36" s="861"/>
      <c r="I36" s="362">
        <f>报表格式!G34</f>
        <v>0</v>
      </c>
      <c r="J36" s="259">
        <f t="shared" si="0"/>
        <v>87</v>
      </c>
      <c r="K36" s="467">
        <f>审定BS!E98</f>
        <v>0</v>
      </c>
      <c r="L36" s="467">
        <f>未审BS!H35</f>
        <v>0</v>
      </c>
      <c r="M36" s="467">
        <f t="shared" si="8"/>
        <v>0</v>
      </c>
      <c r="N36" s="468" t="str">
        <f t="shared" si="4"/>
        <v/>
      </c>
      <c r="O36" s="447" t="str">
        <f>IF(N36="","",IF(OR(ABS(N36)&gt;=30%,ABS(M36)&gt;=$D$63*5%,ABS(M36)&gt;=未审横向PL!$D$31*10%),"显著",IF(ABS(N36)&gt;=10%,"关注","")))</f>
        <v/>
      </c>
      <c r="P36" s="865"/>
    </row>
    <row r="37" spans="1:16" ht="13.9" customHeight="1">
      <c r="A37" s="257" t="str">
        <f>报表格式!B35</f>
        <v>固定资产原价</v>
      </c>
      <c r="B37" s="258">
        <v>31</v>
      </c>
      <c r="C37" s="467">
        <f>审定BS!E36</f>
        <v>0</v>
      </c>
      <c r="D37" s="467">
        <f>未审BS!D36</f>
        <v>0</v>
      </c>
      <c r="E37" s="467">
        <f>D37-C37</f>
        <v>0</v>
      </c>
      <c r="F37" s="468" t="str">
        <f t="shared" si="2"/>
        <v/>
      </c>
      <c r="G37" s="447" t="str">
        <f>IF(F37="","",IF(OR(ABS(F37)&gt;=30%,ABS(E37)&gt;=$D$63*5%,ABS(E37)&gt;=未审横向PL!$D$31*10%),"显著",IF(ABS(F37)&gt;=10%,"关注","")))</f>
        <v/>
      </c>
      <c r="H37" s="860"/>
      <c r="I37" s="261" t="str">
        <f>报表格式!G35</f>
        <v>长期负债合计</v>
      </c>
      <c r="J37" s="259">
        <f t="shared" si="0"/>
        <v>88</v>
      </c>
      <c r="K37" s="469">
        <f>SUM(K29:K34)-K34+SUM(K35:K36)</f>
        <v>0</v>
      </c>
      <c r="L37" s="469">
        <f>SUM(L29:L34)-L34+SUM(L35:L36)</f>
        <v>0</v>
      </c>
      <c r="M37" s="469">
        <f t="shared" si="8"/>
        <v>0</v>
      </c>
      <c r="N37" s="600" t="str">
        <f t="shared" si="4"/>
        <v/>
      </c>
      <c r="O37" s="447" t="str">
        <f>IF(N37="","",IF(OR(ABS(N37)&gt;=30%,ABS(M37)&gt;=$D$63*5%,ABS(M37)&gt;=未审横向PL!$D$31*10%),"显著",IF(ABS(N37)&gt;=10%,"关注","")))</f>
        <v/>
      </c>
      <c r="P37" s="865"/>
    </row>
    <row r="38" spans="1:16" ht="13.9" customHeight="1">
      <c r="A38" s="257" t="str">
        <f>报表格式!B36</f>
        <v xml:space="preserve">  减：累计折旧</v>
      </c>
      <c r="B38" s="258">
        <v>32</v>
      </c>
      <c r="C38" s="467">
        <f>审定BS!E37</f>
        <v>0</v>
      </c>
      <c r="D38" s="467">
        <f>未审BS!D37</f>
        <v>0</v>
      </c>
      <c r="E38" s="467">
        <f t="shared" ref="E38:E47" si="9">D38-C38</f>
        <v>0</v>
      </c>
      <c r="F38" s="468" t="str">
        <f t="shared" si="2"/>
        <v/>
      </c>
      <c r="G38" s="447" t="str">
        <f>IF(F38="","",IF(OR(ABS(F38)&gt;=30%,ABS(E38)&gt;=$D$63*5%,ABS(E38)&gt;=未审横向PL!$D$31*10%),"显著",IF(ABS(F38)&gt;=10%,"关注","")))</f>
        <v/>
      </c>
      <c r="H38" s="860"/>
      <c r="I38" s="363" t="str">
        <f>报表格式!G36</f>
        <v>递延税项：</v>
      </c>
      <c r="J38" s="259">
        <f t="shared" si="0"/>
        <v>89</v>
      </c>
      <c r="K38" s="471"/>
      <c r="L38" s="471"/>
      <c r="M38" s="471"/>
      <c r="N38" s="468" t="str">
        <f t="shared" si="4"/>
        <v/>
      </c>
      <c r="O38" s="447" t="str">
        <f>IF(N38="","",IF(OR(ABS(N38)&gt;=30%,ABS(M38)&gt;=$D$63*5%,ABS(M38)&gt;=未审横向PL!$D$31*10%),"显著",IF(ABS(N38)&gt;=10%,"关注","")))</f>
        <v/>
      </c>
      <c r="P38" s="865"/>
    </row>
    <row r="39" spans="1:16" ht="13.9" customHeight="1">
      <c r="A39" s="257" t="str">
        <f>报表格式!B37</f>
        <v>固定资产净值</v>
      </c>
      <c r="B39" s="258">
        <v>33</v>
      </c>
      <c r="C39" s="471">
        <f>C37-C38</f>
        <v>0</v>
      </c>
      <c r="D39" s="471">
        <f>D37-D38</f>
        <v>0</v>
      </c>
      <c r="E39" s="471">
        <f t="shared" si="9"/>
        <v>0</v>
      </c>
      <c r="F39" s="600" t="str">
        <f t="shared" si="2"/>
        <v/>
      </c>
      <c r="G39" s="447" t="str">
        <f>IF(F39="","",IF(OR(ABS(F39)&gt;=30%,ABS(E39)&gt;=$D$63*5%,ABS(E39)&gt;=未审横向PL!$D$31*10%),"显著",IF(ABS(F39)&gt;=10%,"关注","")))</f>
        <v/>
      </c>
      <c r="H39" s="861"/>
      <c r="I39" s="362" t="str">
        <f>报表格式!G37</f>
        <v>递延税款贷项</v>
      </c>
      <c r="J39" s="259">
        <f t="shared" si="0"/>
        <v>90</v>
      </c>
      <c r="K39" s="467">
        <f>审定BS!E101</f>
        <v>0</v>
      </c>
      <c r="L39" s="467">
        <f>未审BS!H38</f>
        <v>0</v>
      </c>
      <c r="M39" s="467">
        <f>L39-K39</f>
        <v>0</v>
      </c>
      <c r="N39" s="468" t="str">
        <f t="shared" si="4"/>
        <v/>
      </c>
      <c r="O39" s="447" t="str">
        <f>IF(N39="","",IF(OR(ABS(N39)&gt;=30%,ABS(M39)&gt;=$D$63*5%,ABS(M39)&gt;=未审横向PL!$D$31*10%),"显著",IF(ABS(N39)&gt;=10%,"关注","")))</f>
        <v/>
      </c>
      <c r="P39" s="865"/>
    </row>
    <row r="40" spans="1:16" ht="13.9" customHeight="1">
      <c r="A40" s="257" t="str">
        <f>报表格式!B38</f>
        <v xml:space="preserve">  减：固定资产减值准备</v>
      </c>
      <c r="B40" s="258">
        <v>34</v>
      </c>
      <c r="C40" s="467">
        <f>审定BS!E39</f>
        <v>0</v>
      </c>
      <c r="D40" s="467">
        <f>未审BS!D39</f>
        <v>0</v>
      </c>
      <c r="E40" s="467">
        <f t="shared" si="9"/>
        <v>0</v>
      </c>
      <c r="F40" s="468" t="str">
        <f t="shared" si="2"/>
        <v/>
      </c>
      <c r="G40" s="447" t="str">
        <f>IF(F40="","",IF(OR(ABS(F40)&gt;=30%,ABS(E40)&gt;=$D$63*5%,ABS(E40)&gt;=未审横向PL!$D$31*10%),"显著",IF(ABS(F40)&gt;=10%,"关注","")))</f>
        <v/>
      </c>
      <c r="H40" s="860"/>
      <c r="I40" s="261" t="str">
        <f>报表格式!G38</f>
        <v>负 债 合 计</v>
      </c>
      <c r="J40" s="259">
        <f t="shared" si="0"/>
        <v>91</v>
      </c>
      <c r="K40" s="469">
        <f>K27+K37+K39</f>
        <v>0</v>
      </c>
      <c r="L40" s="469">
        <f>L27+L37+L39</f>
        <v>0</v>
      </c>
      <c r="M40" s="469">
        <f>L40-K40</f>
        <v>0</v>
      </c>
      <c r="N40" s="600" t="str">
        <f t="shared" si="4"/>
        <v/>
      </c>
      <c r="O40" s="447" t="str">
        <f>IF(N40="","",IF(OR(ABS(N40)&gt;=30%,ABS(M40)&gt;=$D$63*5%,ABS(M40)&gt;=未审横向PL!$D$31*10%),"显著",IF(ABS(N40)&gt;=10%,"关注","")))</f>
        <v/>
      </c>
      <c r="P40" s="865"/>
    </row>
    <row r="41" spans="1:16" ht="13.9" customHeight="1">
      <c r="A41" s="257" t="str">
        <f>报表格式!B39</f>
        <v>固定资产净额</v>
      </c>
      <c r="B41" s="258">
        <v>35</v>
      </c>
      <c r="C41" s="471">
        <f>C39-C40</f>
        <v>0</v>
      </c>
      <c r="D41" s="471">
        <f>D39-D40</f>
        <v>0</v>
      </c>
      <c r="E41" s="471">
        <f t="shared" si="9"/>
        <v>0</v>
      </c>
      <c r="F41" s="600" t="str">
        <f t="shared" si="2"/>
        <v/>
      </c>
      <c r="G41" s="447" t="str">
        <f>IF(F41="","",IF(OR(ABS(F41)&gt;=30%,ABS(E41)&gt;=$D$63*5%,ABS(E41)&gt;=未审横向PL!$D$31*10%),"显著",IF(ABS(F41)&gt;=10%,"关注","")))</f>
        <v/>
      </c>
      <c r="H41" s="861"/>
      <c r="I41" s="362" t="str">
        <f>报表格式!G39</f>
        <v>*少数股东权益</v>
      </c>
      <c r="J41" s="259">
        <f t="shared" si="0"/>
        <v>92</v>
      </c>
      <c r="K41" s="467">
        <f>审定BS!E103</f>
        <v>0</v>
      </c>
      <c r="L41" s="467">
        <f>未审BS!H40</f>
        <v>0</v>
      </c>
      <c r="M41" s="467">
        <f>L41-K41</f>
        <v>0</v>
      </c>
      <c r="N41" s="468" t="str">
        <f t="shared" si="4"/>
        <v/>
      </c>
      <c r="O41" s="447" t="str">
        <f>IF(N41="","",IF(OR(ABS(N41)&gt;=30%,ABS(M41)&gt;=$D$63*5%,ABS(M41)&gt;=未审横向PL!$D$31*10%),"显著",IF(ABS(N41)&gt;=10%,"关注","")))</f>
        <v/>
      </c>
      <c r="P41" s="865"/>
    </row>
    <row r="42" spans="1:16" ht="13.9" customHeight="1">
      <c r="A42" s="257" t="str">
        <f>报表格式!B40</f>
        <v>工程物资</v>
      </c>
      <c r="B42" s="258">
        <v>36</v>
      </c>
      <c r="C42" s="467">
        <f>审定BS!E41</f>
        <v>0</v>
      </c>
      <c r="D42" s="467">
        <f>未审BS!D41</f>
        <v>0</v>
      </c>
      <c r="E42" s="467">
        <f t="shared" si="9"/>
        <v>0</v>
      </c>
      <c r="F42" s="468" t="str">
        <f t="shared" si="2"/>
        <v/>
      </c>
      <c r="G42" s="447" t="str">
        <f>IF(F42="","",IF(OR(ABS(F42)&gt;=30%,ABS(E42)&gt;=$D$63*5%,ABS(E42)&gt;=未审横向PL!$D$31*10%),"显著",IF(ABS(F42)&gt;=10%,"关注","")))</f>
        <v/>
      </c>
      <c r="H42" s="860"/>
      <c r="I42" s="362"/>
      <c r="J42" s="259">
        <f t="shared" si="0"/>
        <v>93</v>
      </c>
      <c r="K42" s="471"/>
      <c r="L42" s="471"/>
      <c r="M42" s="467"/>
      <c r="N42" s="468" t="str">
        <f t="shared" si="4"/>
        <v/>
      </c>
      <c r="O42" s="447" t="str">
        <f>IF(N42="","",IF(OR(ABS(N42)&gt;=30%,ABS(M42)&gt;=$D$63*5%,ABS(M42)&gt;=未审横向PL!$D$31*10%),"显著",IF(ABS(N42)&gt;=10%,"关注","")))</f>
        <v/>
      </c>
      <c r="P42" s="865"/>
    </row>
    <row r="43" spans="1:16" ht="13.9" customHeight="1">
      <c r="A43" s="257" t="str">
        <f>报表格式!B41</f>
        <v>在建工程</v>
      </c>
      <c r="B43" s="258">
        <v>37</v>
      </c>
      <c r="C43" s="467">
        <f>审定BS!E42</f>
        <v>0</v>
      </c>
      <c r="D43" s="467">
        <f>未审BS!D42</f>
        <v>0</v>
      </c>
      <c r="E43" s="467">
        <f t="shared" si="9"/>
        <v>0</v>
      </c>
      <c r="F43" s="468" t="str">
        <f t="shared" si="2"/>
        <v/>
      </c>
      <c r="G43" s="447" t="str">
        <f>IF(F43="","",IF(OR(ABS(F43)&gt;=30%,ABS(E43)&gt;=$D$63*5%,ABS(E43)&gt;=未审横向PL!$D$31*10%),"显著",IF(ABS(F43)&gt;=10%,"关注","")))</f>
        <v/>
      </c>
      <c r="H43" s="860"/>
      <c r="I43" s="363" t="str">
        <f>报表格式!G41</f>
        <v>所有者权益：</v>
      </c>
      <c r="J43" s="259">
        <f t="shared" si="0"/>
        <v>94</v>
      </c>
      <c r="K43" s="471"/>
      <c r="L43" s="471"/>
      <c r="M43" s="471"/>
      <c r="N43" s="468" t="str">
        <f t="shared" si="4"/>
        <v/>
      </c>
      <c r="O43" s="447" t="str">
        <f>IF(N43="","",IF(OR(ABS(N43)&gt;=30%,ABS(M43)&gt;=$D$63*5%,ABS(M43)&gt;=未审横向PL!$D$31*10%),"显著",IF(ABS(N43)&gt;=10%,"关注","")))</f>
        <v/>
      </c>
      <c r="P43" s="865"/>
    </row>
    <row r="44" spans="1:16" ht="13.9" customHeight="1">
      <c r="A44" s="257" t="str">
        <f>报表格式!B42</f>
        <v>固定资产清理</v>
      </c>
      <c r="B44" s="258">
        <v>38</v>
      </c>
      <c r="C44" s="467">
        <f>审定BS!E43</f>
        <v>0</v>
      </c>
      <c r="D44" s="467">
        <f>未审BS!D43</f>
        <v>0</v>
      </c>
      <c r="E44" s="467">
        <f t="shared" si="9"/>
        <v>0</v>
      </c>
      <c r="F44" s="468" t="str">
        <f t="shared" si="2"/>
        <v/>
      </c>
      <c r="G44" s="447" t="str">
        <f>IF(F44="","",IF(OR(ABS(F44)&gt;=30%,ABS(E44)&gt;=$D$63*5%,ABS(E44)&gt;=未审横向PL!$D$31*10%),"显著",IF(ABS(F44)&gt;=10%,"关注","")))</f>
        <v/>
      </c>
      <c r="H44" s="860"/>
      <c r="I44" s="362" t="str">
        <f>报表格式!G42</f>
        <v>实收资本</v>
      </c>
      <c r="J44" s="259">
        <f t="shared" ref="J44:J63" si="10">J43+1</f>
        <v>95</v>
      </c>
      <c r="K44" s="467">
        <f>审定BS!E106</f>
        <v>0</v>
      </c>
      <c r="L44" s="467">
        <f>未审BS!H43</f>
        <v>0</v>
      </c>
      <c r="M44" s="467">
        <f>L44-K44</f>
        <v>0</v>
      </c>
      <c r="N44" s="468" t="str">
        <f t="shared" si="4"/>
        <v/>
      </c>
      <c r="O44" s="447" t="str">
        <f>IF(N44="","",IF(OR(ABS(N44)&gt;=30%,ABS(M44)&gt;=$D$63*5%,ABS(M44)&gt;=未审横向PL!$D$31*10%),"显著",IF(ABS(N44)&gt;=10%,"关注","")))</f>
        <v/>
      </c>
      <c r="P44" s="865"/>
    </row>
    <row r="45" spans="1:16" ht="13.9" customHeight="1">
      <c r="A45" s="257" t="str">
        <f>报表格式!B43</f>
        <v>待处理固定资产净损失</v>
      </c>
      <c r="B45" s="258">
        <v>39</v>
      </c>
      <c r="C45" s="467">
        <f>审定BS!E44</f>
        <v>0</v>
      </c>
      <c r="D45" s="467">
        <f>未审BS!D44</f>
        <v>0</v>
      </c>
      <c r="E45" s="467">
        <f t="shared" si="9"/>
        <v>0</v>
      </c>
      <c r="F45" s="468" t="str">
        <f t="shared" si="2"/>
        <v/>
      </c>
      <c r="G45" s="447" t="str">
        <f>IF(F45="","",IF(OR(ABS(F45)&gt;=30%,ABS(E45)&gt;=$D$63*5%,ABS(E45)&gt;=未审横向PL!$D$31*10%),"显著",IF(ABS(F45)&gt;=10%,"关注","")))</f>
        <v/>
      </c>
      <c r="H45" s="860"/>
      <c r="I45" s="362" t="str">
        <f>报表格式!G43</f>
        <v xml:space="preserve"> 国家资本</v>
      </c>
      <c r="J45" s="259">
        <f t="shared" si="10"/>
        <v>96</v>
      </c>
      <c r="K45" s="467">
        <f>审定BS!E107</f>
        <v>0</v>
      </c>
      <c r="L45" s="467">
        <f>未审BS!H44</f>
        <v>0</v>
      </c>
      <c r="M45" s="467">
        <f t="shared" ref="M45:M60" si="11">L45-K45</f>
        <v>0</v>
      </c>
      <c r="N45" s="468" t="str">
        <f t="shared" si="4"/>
        <v/>
      </c>
      <c r="O45" s="447" t="str">
        <f>IF(N45="","",IF(OR(ABS(N45)&gt;=30%,ABS(M45)&gt;=$D$63*5%,ABS(M45)&gt;=未审横向PL!$D$31*10%),"显著",IF(ABS(N45)&gt;=10%,"关注","")))</f>
        <v/>
      </c>
      <c r="P45" s="865"/>
    </row>
    <row r="46" spans="1:16" ht="13.9" customHeight="1">
      <c r="A46" s="257">
        <f>报表格式!B44</f>
        <v>0</v>
      </c>
      <c r="B46" s="258">
        <v>40</v>
      </c>
      <c r="C46" s="467">
        <f>审定BS!E45</f>
        <v>0</v>
      </c>
      <c r="D46" s="467">
        <f>未审BS!D45</f>
        <v>0</v>
      </c>
      <c r="E46" s="467">
        <f>D46-C46</f>
        <v>0</v>
      </c>
      <c r="F46" s="468" t="str">
        <f t="shared" si="2"/>
        <v/>
      </c>
      <c r="G46" s="447" t="str">
        <f>IF(F46="","",IF(OR(ABS(F46)&gt;=30%,ABS(E46)&gt;=$D$63*5%,ABS(E46)&gt;=未审横向PL!$D$31*10%),"显著",IF(ABS(F46)&gt;=10%,"关注","")))</f>
        <v/>
      </c>
      <c r="H46" s="860"/>
      <c r="I46" s="362" t="str">
        <f>报表格式!G44</f>
        <v xml:space="preserve"> 集体资本</v>
      </c>
      <c r="J46" s="259">
        <f t="shared" si="10"/>
        <v>97</v>
      </c>
      <c r="K46" s="467">
        <f>审定BS!E108</f>
        <v>0</v>
      </c>
      <c r="L46" s="467">
        <f>未审BS!H45</f>
        <v>0</v>
      </c>
      <c r="M46" s="467">
        <f t="shared" si="11"/>
        <v>0</v>
      </c>
      <c r="N46" s="468" t="str">
        <f t="shared" si="4"/>
        <v/>
      </c>
      <c r="O46" s="447" t="str">
        <f>IF(N46="","",IF(OR(ABS(N46)&gt;=30%,ABS(M46)&gt;=$D$63*5%,ABS(M46)&gt;=未审横向PL!$D$31*10%),"显著",IF(ABS(N46)&gt;=10%,"关注","")))</f>
        <v/>
      </c>
      <c r="P46" s="865"/>
    </row>
    <row r="47" spans="1:16" ht="13.9" customHeight="1">
      <c r="A47" s="257">
        <f>报表格式!B45</f>
        <v>0</v>
      </c>
      <c r="B47" s="258">
        <v>41</v>
      </c>
      <c r="C47" s="467">
        <f>审定BS!E46</f>
        <v>0</v>
      </c>
      <c r="D47" s="467">
        <f>未审BS!D46</f>
        <v>0</v>
      </c>
      <c r="E47" s="467">
        <f t="shared" si="9"/>
        <v>0</v>
      </c>
      <c r="F47" s="468" t="str">
        <f t="shared" si="2"/>
        <v/>
      </c>
      <c r="G47" s="447" t="str">
        <f>IF(F47="","",IF(OR(ABS(F47)&gt;=30%,ABS(E47)&gt;=$D$63*5%,ABS(E47)&gt;=未审横向PL!$D$31*10%),"显著",IF(ABS(F47)&gt;=10%,"关注","")))</f>
        <v/>
      </c>
      <c r="H47" s="860"/>
      <c r="I47" s="362" t="str">
        <f>报表格式!G45</f>
        <v xml:space="preserve"> 法人资本</v>
      </c>
      <c r="J47" s="259">
        <f t="shared" si="10"/>
        <v>98</v>
      </c>
      <c r="K47" s="467">
        <f>审定BS!E109</f>
        <v>0</v>
      </c>
      <c r="L47" s="467">
        <f>未审BS!H46</f>
        <v>0</v>
      </c>
      <c r="M47" s="467">
        <f t="shared" si="11"/>
        <v>0</v>
      </c>
      <c r="N47" s="468" t="str">
        <f t="shared" si="4"/>
        <v/>
      </c>
      <c r="O47" s="447" t="str">
        <f>IF(N47="","",IF(OR(ABS(N47)&gt;=30%,ABS(M47)&gt;=$D$63*5%,ABS(M47)&gt;=未审横向PL!$D$31*10%),"显著",IF(ABS(N47)&gt;=10%,"关注","")))</f>
        <v/>
      </c>
      <c r="P47" s="865"/>
    </row>
    <row r="48" spans="1:16" ht="13.9" customHeight="1">
      <c r="A48" s="263" t="str">
        <f>报表格式!B46</f>
        <v>固定资产合计</v>
      </c>
      <c r="B48" s="258">
        <v>42</v>
      </c>
      <c r="C48" s="469">
        <f>SUM(C41:C47)</f>
        <v>0</v>
      </c>
      <c r="D48" s="469">
        <f>SUM(D41:D47)</f>
        <v>0</v>
      </c>
      <c r="E48" s="469">
        <f>D48-C48</f>
        <v>0</v>
      </c>
      <c r="F48" s="600" t="str">
        <f t="shared" si="2"/>
        <v/>
      </c>
      <c r="G48" s="447" t="str">
        <f>IF(F48="","",IF(OR(ABS(F48)&gt;=30%,ABS(E48)&gt;=$D$63*5%,ABS(E48)&gt;=未审横向PL!$D$31*10%),"显著",IF(ABS(F48)&gt;=10%,"关注","")))</f>
        <v/>
      </c>
      <c r="H48" s="861"/>
      <c r="I48" s="362" t="str">
        <f>报表格式!G46</f>
        <v xml:space="preserve">   其中：国有法人资本</v>
      </c>
      <c r="J48" s="259">
        <f t="shared" si="10"/>
        <v>99</v>
      </c>
      <c r="K48" s="467">
        <f>审定BS!E110</f>
        <v>0</v>
      </c>
      <c r="L48" s="467">
        <f>未审BS!H47</f>
        <v>0</v>
      </c>
      <c r="M48" s="467">
        <f t="shared" si="11"/>
        <v>0</v>
      </c>
      <c r="N48" s="468" t="str">
        <f t="shared" si="4"/>
        <v/>
      </c>
      <c r="O48" s="447" t="str">
        <f>IF(N48="","",IF(OR(ABS(N48)&gt;=30%,ABS(M48)&gt;=$D$63*5%,ABS(M48)&gt;=未审横向PL!$D$31*10%),"显著",IF(ABS(N48)&gt;=10%,"关注","")))</f>
        <v/>
      </c>
      <c r="P48" s="865"/>
    </row>
    <row r="49" spans="1:16" ht="13.9" customHeight="1">
      <c r="A49" s="262" t="str">
        <f>报表格式!B47</f>
        <v>无形资产及其他资产：</v>
      </c>
      <c r="B49" s="258">
        <v>43</v>
      </c>
      <c r="C49" s="471"/>
      <c r="D49" s="471"/>
      <c r="E49" s="471"/>
      <c r="F49" s="468" t="str">
        <f t="shared" si="2"/>
        <v/>
      </c>
      <c r="G49" s="447" t="str">
        <f>IF(F49="","",IF(OR(ABS(F49)&gt;=30%,ABS(E49)&gt;=$D$63*5%,ABS(E49)&gt;=未审横向PL!$D$31*10%),"显著",IF(ABS(F49)&gt;=10%,"关注","")))</f>
        <v/>
      </c>
      <c r="H49" s="861"/>
      <c r="I49" s="362" t="str">
        <f>报表格式!G47</f>
        <v xml:space="preserve">         集体法人资本</v>
      </c>
      <c r="J49" s="259">
        <f t="shared" si="10"/>
        <v>100</v>
      </c>
      <c r="K49" s="467">
        <f>审定BS!E111</f>
        <v>0</v>
      </c>
      <c r="L49" s="467">
        <f>未审BS!H48</f>
        <v>0</v>
      </c>
      <c r="M49" s="467">
        <f t="shared" si="11"/>
        <v>0</v>
      </c>
      <c r="N49" s="468" t="str">
        <f t="shared" si="4"/>
        <v/>
      </c>
      <c r="O49" s="447" t="str">
        <f>IF(N49="","",IF(OR(ABS(N49)&gt;=30%,ABS(M49)&gt;=$D$63*5%,ABS(M49)&gt;=未审横向PL!$D$31*10%),"显著",IF(ABS(N49)&gt;=10%,"关注","")))</f>
        <v/>
      </c>
      <c r="P49" s="865"/>
    </row>
    <row r="50" spans="1:16" ht="13.9" customHeight="1">
      <c r="A50" s="257" t="str">
        <f>报表格式!B48</f>
        <v>无形资产</v>
      </c>
      <c r="B50" s="258">
        <v>44</v>
      </c>
      <c r="C50" s="467">
        <f>审定BS!E49</f>
        <v>0</v>
      </c>
      <c r="D50" s="467">
        <f>未审BS!D49</f>
        <v>0</v>
      </c>
      <c r="E50" s="467">
        <f>D50-C50</f>
        <v>0</v>
      </c>
      <c r="F50" s="468" t="str">
        <f t="shared" si="2"/>
        <v/>
      </c>
      <c r="G50" s="447" t="str">
        <f>IF(F50="","",IF(OR(ABS(F50)&gt;=30%,ABS(E50)&gt;=$D$63*5%,ABS(E50)&gt;=未审横向PL!$D$31*10%),"显著",IF(ABS(F50)&gt;=10%,"关注","")))</f>
        <v/>
      </c>
      <c r="H50" s="860"/>
      <c r="I50" s="362" t="str">
        <f>报表格式!G48</f>
        <v xml:space="preserve"> 个人资本</v>
      </c>
      <c r="J50" s="259">
        <f t="shared" si="10"/>
        <v>101</v>
      </c>
      <c r="K50" s="467">
        <f>审定BS!E112</f>
        <v>0</v>
      </c>
      <c r="L50" s="467">
        <f>未审BS!H49</f>
        <v>0</v>
      </c>
      <c r="M50" s="467">
        <f t="shared" si="11"/>
        <v>0</v>
      </c>
      <c r="N50" s="468" t="str">
        <f t="shared" si="4"/>
        <v/>
      </c>
      <c r="O50" s="447" t="str">
        <f>IF(N50="","",IF(OR(ABS(N50)&gt;=30%,ABS(M50)&gt;=$D$63*5%,ABS(M50)&gt;=未审横向PL!$D$31*10%),"显著",IF(ABS(N50)&gt;=10%,"关注","")))</f>
        <v/>
      </c>
      <c r="P50" s="865"/>
    </row>
    <row r="51" spans="1:16" s="151" customFormat="1" ht="13.9" customHeight="1">
      <c r="A51" s="257" t="str">
        <f>报表格式!B49</f>
        <v xml:space="preserve">  其中：土地使用权</v>
      </c>
      <c r="B51" s="258">
        <v>45</v>
      </c>
      <c r="C51" s="467">
        <f>审定BS!E50</f>
        <v>0</v>
      </c>
      <c r="D51" s="467">
        <f>未审BS!D50</f>
        <v>0</v>
      </c>
      <c r="E51" s="467">
        <f t="shared" ref="E51:E59" si="12">D51-C51</f>
        <v>0</v>
      </c>
      <c r="F51" s="468" t="str">
        <f t="shared" si="2"/>
        <v/>
      </c>
      <c r="G51" s="447" t="str">
        <f>IF(F51="","",IF(OR(ABS(F51)&gt;=30%,ABS(E51)&gt;=$D$63*5%,ABS(E51)&gt;=未审横向PL!$D$31*10%),"显著",IF(ABS(F51)&gt;=10%,"关注","")))</f>
        <v/>
      </c>
      <c r="H51" s="860"/>
      <c r="I51" s="362" t="str">
        <f>报表格式!G49</f>
        <v xml:space="preserve"> 外商资本</v>
      </c>
      <c r="J51" s="259">
        <f t="shared" si="10"/>
        <v>102</v>
      </c>
      <c r="K51" s="467">
        <f>审定BS!E113</f>
        <v>0</v>
      </c>
      <c r="L51" s="467">
        <f>未审BS!H50</f>
        <v>0</v>
      </c>
      <c r="M51" s="467">
        <f t="shared" si="11"/>
        <v>0</v>
      </c>
      <c r="N51" s="468" t="str">
        <f t="shared" si="4"/>
        <v/>
      </c>
      <c r="O51" s="447" t="str">
        <f>IF(N51="","",IF(OR(ABS(N51)&gt;=30%,ABS(M51)&gt;=$D$63*5%,ABS(M51)&gt;=未审横向PL!$D$31*10%),"显著",IF(ABS(N51)&gt;=10%,"关注","")))</f>
        <v/>
      </c>
      <c r="P51" s="865"/>
    </row>
    <row r="52" spans="1:16">
      <c r="A52" s="257" t="str">
        <f>报表格式!B50</f>
        <v>长期待摊费用</v>
      </c>
      <c r="B52" s="258">
        <v>46</v>
      </c>
      <c r="C52" s="467">
        <f>审定BS!E51</f>
        <v>0</v>
      </c>
      <c r="D52" s="467">
        <f>未审BS!D51</f>
        <v>0</v>
      </c>
      <c r="E52" s="467">
        <f t="shared" si="12"/>
        <v>0</v>
      </c>
      <c r="F52" s="468" t="str">
        <f t="shared" si="2"/>
        <v/>
      </c>
      <c r="G52" s="447" t="str">
        <f>IF(F52="","",IF(OR(ABS(F52)&gt;=30%,ABS(E52)&gt;=$D$63*5%,ABS(E52)&gt;=未审横向PL!$D$31*10%),"显著",IF(ABS(F52)&gt;=10%,"关注","")))</f>
        <v/>
      </c>
      <c r="H52" s="860"/>
      <c r="I52" s="362" t="str">
        <f>报表格式!G50</f>
        <v>资本公积</v>
      </c>
      <c r="J52" s="259">
        <f t="shared" si="10"/>
        <v>103</v>
      </c>
      <c r="K52" s="467">
        <f>审定BS!E114</f>
        <v>0</v>
      </c>
      <c r="L52" s="467">
        <f>未审BS!H51</f>
        <v>0</v>
      </c>
      <c r="M52" s="467">
        <f t="shared" si="11"/>
        <v>0</v>
      </c>
      <c r="N52" s="468" t="str">
        <f t="shared" si="4"/>
        <v/>
      </c>
      <c r="O52" s="447" t="str">
        <f>IF(N52="","",IF(OR(ABS(N52)&gt;=30%,ABS(M52)&gt;=$D$63*5%,ABS(M52)&gt;=未审横向PL!$D$31*10%),"显著",IF(ABS(N52)&gt;=10%,"关注","")))</f>
        <v/>
      </c>
      <c r="P52" s="865"/>
    </row>
    <row r="53" spans="1:16">
      <c r="A53" s="257" t="str">
        <f>报表格式!B51</f>
        <v xml:space="preserve">  其中：固定资产修理</v>
      </c>
      <c r="B53" s="258">
        <v>47</v>
      </c>
      <c r="C53" s="467">
        <f>审定BS!E52</f>
        <v>0</v>
      </c>
      <c r="D53" s="467">
        <f>未审BS!D52</f>
        <v>0</v>
      </c>
      <c r="E53" s="467">
        <f t="shared" si="12"/>
        <v>0</v>
      </c>
      <c r="F53" s="468" t="str">
        <f t="shared" si="2"/>
        <v/>
      </c>
      <c r="G53" s="447" t="str">
        <f>IF(F53="","",IF(OR(ABS(F53)&gt;=30%,ABS(E53)&gt;=$D$63*5%,ABS(E53)&gt;=未审横向PL!$D$31*10%),"显著",IF(ABS(F53)&gt;=10%,"关注","")))</f>
        <v/>
      </c>
      <c r="H53" s="860"/>
      <c r="I53" s="362" t="str">
        <f>报表格式!G51</f>
        <v>盈余公积</v>
      </c>
      <c r="J53" s="259">
        <f t="shared" si="10"/>
        <v>104</v>
      </c>
      <c r="K53" s="467">
        <f>审定BS!E115</f>
        <v>0</v>
      </c>
      <c r="L53" s="467">
        <f>未审BS!H52</f>
        <v>0</v>
      </c>
      <c r="M53" s="467">
        <f t="shared" si="11"/>
        <v>0</v>
      </c>
      <c r="N53" s="468" t="str">
        <f t="shared" si="4"/>
        <v/>
      </c>
      <c r="O53" s="447" t="str">
        <f>IF(N53="","",IF(OR(ABS(N53)&gt;=30%,ABS(M53)&gt;=$D$63*5%,ABS(M53)&gt;=未审横向PL!$D$31*10%),"显著",IF(ABS(N53)&gt;=10%,"关注","")))</f>
        <v/>
      </c>
      <c r="P53" s="865"/>
    </row>
    <row r="54" spans="1:16">
      <c r="A54" s="257" t="str">
        <f>报表格式!B52</f>
        <v xml:space="preserve">       固定资产改良支出</v>
      </c>
      <c r="B54" s="258">
        <v>48</v>
      </c>
      <c r="C54" s="467">
        <f>审定BS!E53</f>
        <v>0</v>
      </c>
      <c r="D54" s="467">
        <f>未审BS!D53</f>
        <v>0</v>
      </c>
      <c r="E54" s="467">
        <f t="shared" si="12"/>
        <v>0</v>
      </c>
      <c r="F54" s="468" t="str">
        <f t="shared" si="2"/>
        <v/>
      </c>
      <c r="G54" s="447" t="str">
        <f>IF(F54="","",IF(OR(ABS(F54)&gt;=30%,ABS(E54)&gt;=$D$63*5%,ABS(E54)&gt;=未审横向PL!$D$31*10%),"显著",IF(ABS(F54)&gt;=10%,"关注","")))</f>
        <v/>
      </c>
      <c r="H54" s="860"/>
      <c r="I54" s="362" t="str">
        <f>报表格式!G52</f>
        <v xml:space="preserve">  其中：法定公益金</v>
      </c>
      <c r="J54" s="259">
        <f t="shared" si="10"/>
        <v>105</v>
      </c>
      <c r="K54" s="467">
        <f>审定BS!E116</f>
        <v>0</v>
      </c>
      <c r="L54" s="467">
        <f>未审BS!H53</f>
        <v>0</v>
      </c>
      <c r="M54" s="467">
        <f t="shared" si="11"/>
        <v>0</v>
      </c>
      <c r="N54" s="468" t="str">
        <f t="shared" si="4"/>
        <v/>
      </c>
      <c r="O54" s="447" t="str">
        <f>IF(N54="","",IF(OR(ABS(N54)&gt;=30%,ABS(M54)&gt;=$D$63*5%,ABS(M54)&gt;=未审横向PL!$D$31*10%),"显著",IF(ABS(N54)&gt;=10%,"关注","")))</f>
        <v/>
      </c>
      <c r="P54" s="865"/>
    </row>
    <row r="55" spans="1:16">
      <c r="A55" s="257" t="str">
        <f>报表格式!B53</f>
        <v>股权分置流通权</v>
      </c>
      <c r="B55" s="258">
        <v>49</v>
      </c>
      <c r="C55" s="467">
        <f>审定BS!E54</f>
        <v>0</v>
      </c>
      <c r="D55" s="467">
        <f>未审BS!D54</f>
        <v>0</v>
      </c>
      <c r="E55" s="467">
        <f t="shared" si="12"/>
        <v>0</v>
      </c>
      <c r="F55" s="468" t="str">
        <f t="shared" si="2"/>
        <v/>
      </c>
      <c r="G55" s="447" t="str">
        <f>IF(F55="","",IF(OR(ABS(F55)&gt;=30%,ABS(E55)&gt;=$D$63*5%,ABS(E55)&gt;=未审横向PL!$D$31*10%),"显著",IF(ABS(F55)&gt;=10%,"关注","")))</f>
        <v/>
      </c>
      <c r="H55" s="860"/>
      <c r="I55" s="362" t="str">
        <f>报表格式!G53</f>
        <v>*未确认的投资损失（以“-”号填列）</v>
      </c>
      <c r="J55" s="259">
        <f t="shared" si="10"/>
        <v>106</v>
      </c>
      <c r="K55" s="467">
        <f>审定BS!E117</f>
        <v>0</v>
      </c>
      <c r="L55" s="467">
        <f>未审BS!H54</f>
        <v>0</v>
      </c>
      <c r="M55" s="467">
        <f t="shared" si="11"/>
        <v>0</v>
      </c>
      <c r="N55" s="468" t="str">
        <f t="shared" si="4"/>
        <v/>
      </c>
      <c r="O55" s="447" t="str">
        <f>IF(N55="","",IF(OR(ABS(N55)&gt;=30%,ABS(M55)&gt;=$D$63*5%,ABS(M55)&gt;=未审横向PL!$D$31*10%),"显著",IF(ABS(N55)&gt;=10%,"关注","")))</f>
        <v/>
      </c>
      <c r="P55" s="865"/>
    </row>
    <row r="56" spans="1:16">
      <c r="A56" s="257" t="str">
        <f>报表格式!B54</f>
        <v>其他长期资产</v>
      </c>
      <c r="B56" s="258">
        <v>50</v>
      </c>
      <c r="C56" s="467">
        <f>审定BS!E55</f>
        <v>0</v>
      </c>
      <c r="D56" s="467">
        <f>未审BS!D55</f>
        <v>0</v>
      </c>
      <c r="E56" s="467">
        <f t="shared" si="12"/>
        <v>0</v>
      </c>
      <c r="F56" s="468" t="str">
        <f t="shared" si="2"/>
        <v/>
      </c>
      <c r="G56" s="447" t="str">
        <f>IF(F56="","",IF(OR(ABS(F56)&gt;=30%,ABS(E56)&gt;=$D$63*5%,ABS(E56)&gt;=未审横向PL!$D$31*10%),"显著",IF(ABS(F56)&gt;=10%,"关注","")))</f>
        <v/>
      </c>
      <c r="H56" s="860"/>
      <c r="I56" s="362" t="str">
        <f>报表格式!G54</f>
        <v>未分配利润</v>
      </c>
      <c r="J56" s="259">
        <f t="shared" si="10"/>
        <v>107</v>
      </c>
      <c r="K56" s="467">
        <f>审定BS!E118</f>
        <v>0</v>
      </c>
      <c r="L56" s="467">
        <f>未审BS!H55</f>
        <v>0</v>
      </c>
      <c r="M56" s="467">
        <f t="shared" si="11"/>
        <v>0</v>
      </c>
      <c r="N56" s="468" t="str">
        <f t="shared" si="4"/>
        <v/>
      </c>
      <c r="O56" s="447" t="str">
        <f>IF(N56="","",IF(OR(ABS(N56)&gt;=30%,ABS(M56)&gt;=$D$63*5%,ABS(M56)&gt;=未审横向PL!$D$31*10%),"显著",IF(ABS(N56)&gt;=10%,"关注","")))</f>
        <v/>
      </c>
      <c r="P56" s="866"/>
    </row>
    <row r="57" spans="1:16">
      <c r="A57" s="257" t="str">
        <f>报表格式!B55</f>
        <v xml:space="preserve">  其中：特准储备物资</v>
      </c>
      <c r="B57" s="258">
        <v>51</v>
      </c>
      <c r="C57" s="467">
        <f>审定BS!E56</f>
        <v>0</v>
      </c>
      <c r="D57" s="467">
        <f>未审BS!D56</f>
        <v>0</v>
      </c>
      <c r="E57" s="467">
        <f t="shared" si="12"/>
        <v>0</v>
      </c>
      <c r="F57" s="468" t="str">
        <f t="shared" si="2"/>
        <v/>
      </c>
      <c r="G57" s="447" t="str">
        <f>IF(F57="","",IF(OR(ABS(F57)&gt;=30%,ABS(E57)&gt;=$D$63*5%,ABS(E57)&gt;=未审横向PL!$D$31*10%),"显著",IF(ABS(F57)&gt;=10%,"关注","")))</f>
        <v/>
      </c>
      <c r="H57" s="860"/>
      <c r="I57" s="362" t="str">
        <f>报表格式!G55</f>
        <v xml:space="preserve">  其中：现金股利</v>
      </c>
      <c r="J57" s="259">
        <f t="shared" si="10"/>
        <v>108</v>
      </c>
      <c r="K57" s="467">
        <f>审定BS!E119</f>
        <v>0</v>
      </c>
      <c r="L57" s="467">
        <f>未审BS!H56</f>
        <v>0</v>
      </c>
      <c r="M57" s="467">
        <f>L57-K57</f>
        <v>0</v>
      </c>
      <c r="N57" s="468" t="str">
        <f t="shared" si="4"/>
        <v/>
      </c>
      <c r="O57" s="447" t="str">
        <f>IF(N57="","",IF(OR(ABS(N57)&gt;=30%,ABS(M57)&gt;=$D$63*5%,ABS(M57)&gt;=未审横向PL!$D$31*10%),"显著",IF(ABS(N57)&gt;=10%,"关注","")))</f>
        <v/>
      </c>
      <c r="P57" s="865"/>
    </row>
    <row r="58" spans="1:16">
      <c r="A58" s="257">
        <f>报表格式!B56</f>
        <v>0</v>
      </c>
      <c r="B58" s="258">
        <v>52</v>
      </c>
      <c r="C58" s="467">
        <f>审定BS!E57</f>
        <v>0</v>
      </c>
      <c r="D58" s="467">
        <f>未审BS!D57</f>
        <v>0</v>
      </c>
      <c r="E58" s="467">
        <f t="shared" si="12"/>
        <v>0</v>
      </c>
      <c r="F58" s="468" t="str">
        <f t="shared" si="2"/>
        <v/>
      </c>
      <c r="G58" s="447" t="str">
        <f>IF(F58="","",IF(OR(ABS(F58)&gt;=30%,ABS(E58)&gt;=$D$63*5%,ABS(E58)&gt;=未审横向PL!$D$31*10%),"显著",IF(ABS(F58)&gt;=10%,"关注","")))</f>
        <v/>
      </c>
      <c r="H58" s="860"/>
      <c r="I58" s="362" t="str">
        <f>报表格式!G56</f>
        <v>外币报表折算差额</v>
      </c>
      <c r="J58" s="259">
        <f t="shared" si="10"/>
        <v>109</v>
      </c>
      <c r="K58" s="467">
        <f>审定BS!E120</f>
        <v>0</v>
      </c>
      <c r="L58" s="467">
        <f>未审BS!H57</f>
        <v>0</v>
      </c>
      <c r="M58" s="467">
        <f t="shared" si="11"/>
        <v>0</v>
      </c>
      <c r="N58" s="468" t="str">
        <f t="shared" si="4"/>
        <v/>
      </c>
      <c r="O58" s="447" t="str">
        <f>IF(N58="","",IF(OR(ABS(N58)&gt;=30%,ABS(M58)&gt;=$D$63*5%,ABS(M58)&gt;=未审横向PL!$D$31*10%),"显著",IF(ABS(N58)&gt;=10%,"关注","")))</f>
        <v/>
      </c>
      <c r="P58" s="865"/>
    </row>
    <row r="59" spans="1:16">
      <c r="A59" s="263" t="str">
        <f>报表格式!B57</f>
        <v>无形资产及其他资产合计</v>
      </c>
      <c r="B59" s="258">
        <v>53</v>
      </c>
      <c r="C59" s="469">
        <f>SUM(C50,C52,C55:C56,C58)</f>
        <v>0</v>
      </c>
      <c r="D59" s="469">
        <f>SUM(D50,D52,D55:D56,D58)</f>
        <v>0</v>
      </c>
      <c r="E59" s="469">
        <f t="shared" si="12"/>
        <v>0</v>
      </c>
      <c r="F59" s="600" t="str">
        <f t="shared" si="2"/>
        <v/>
      </c>
      <c r="G59" s="447" t="str">
        <f>IF(F59="","",IF(OR(ABS(F59)&gt;=30%,ABS(E59)&gt;=$D$63*5%,ABS(E59)&gt;=未审横向PL!$D$31*10%),"显著",IF(ABS(F59)&gt;=10%,"关注","")))</f>
        <v/>
      </c>
      <c r="H59" s="861"/>
      <c r="I59" s="362">
        <f>报表格式!G57</f>
        <v>0</v>
      </c>
      <c r="J59" s="259">
        <f t="shared" si="10"/>
        <v>110</v>
      </c>
      <c r="K59" s="467">
        <f>审定BS!E121</f>
        <v>0</v>
      </c>
      <c r="L59" s="467">
        <f>未审BS!H58</f>
        <v>0</v>
      </c>
      <c r="M59" s="467">
        <f t="shared" si="11"/>
        <v>0</v>
      </c>
      <c r="N59" s="468" t="str">
        <f t="shared" si="4"/>
        <v/>
      </c>
      <c r="O59" s="447" t="str">
        <f>IF(N59="","",IF(OR(ABS(N59)&gt;=30%,ABS(M59)&gt;=$D$63*5%,ABS(M59)&gt;=未审横向PL!$D$31*10%),"显著",IF(ABS(N59)&gt;=10%,"关注","")))</f>
        <v/>
      </c>
      <c r="P59" s="865"/>
    </row>
    <row r="60" spans="1:16">
      <c r="A60" s="262" t="str">
        <f>报表格式!B58</f>
        <v>递延税项：</v>
      </c>
      <c r="B60" s="258">
        <v>54</v>
      </c>
      <c r="C60" s="471"/>
      <c r="D60" s="471"/>
      <c r="E60" s="471"/>
      <c r="F60" s="468" t="str">
        <f t="shared" si="2"/>
        <v/>
      </c>
      <c r="G60" s="447" t="str">
        <f>IF(F60="","",IF(OR(ABS(F60)&gt;=30%,ABS(E60)&gt;=$D$63*5%,ABS(E60)&gt;=未审横向PL!$D$31*10%),"显著",IF(ABS(F60)&gt;=10%,"关注","")))</f>
        <v/>
      </c>
      <c r="H60" s="861"/>
      <c r="I60" s="261" t="str">
        <f>报表格式!G58</f>
        <v>所有者权益小计</v>
      </c>
      <c r="J60" s="259">
        <f t="shared" si="10"/>
        <v>111</v>
      </c>
      <c r="K60" s="469">
        <f>SUM(K44,K52,K53,K55,K56,K58:K59)</f>
        <v>0</v>
      </c>
      <c r="L60" s="469">
        <f>SUM(L44,L52,L53,L55,L56,L58:L59)</f>
        <v>0</v>
      </c>
      <c r="M60" s="469">
        <f t="shared" si="11"/>
        <v>0</v>
      </c>
      <c r="N60" s="600" t="str">
        <f t="shared" si="4"/>
        <v/>
      </c>
      <c r="O60" s="447" t="str">
        <f>IF(N60="","",IF(OR(ABS(N60)&gt;=30%,ABS(M60)&gt;=$D$63*5%,ABS(M60)&gt;=未审横向PL!$D$31*10%),"显著",IF(ABS(N60)&gt;=10%,"关注","")))</f>
        <v/>
      </c>
      <c r="P60" s="865"/>
    </row>
    <row r="61" spans="1:16">
      <c r="A61" s="257" t="str">
        <f>报表格式!B59</f>
        <v>递延税款借项</v>
      </c>
      <c r="B61" s="258">
        <v>55</v>
      </c>
      <c r="C61" s="467">
        <f>审定BS!E60</f>
        <v>0</v>
      </c>
      <c r="D61" s="467">
        <f>未审BS!D60</f>
        <v>0</v>
      </c>
      <c r="E61" s="467">
        <f>D61-C61</f>
        <v>0</v>
      </c>
      <c r="F61" s="468" t="str">
        <f t="shared" si="2"/>
        <v/>
      </c>
      <c r="G61" s="447" t="str">
        <f>IF(F61="","",IF(OR(ABS(F61)&gt;=30%,ABS(E61)&gt;=$D$63*5%,ABS(E61)&gt;=未审横向PL!$D$31*10%),"显著",IF(ABS(F61)&gt;=10%,"关注","")))</f>
        <v/>
      </c>
      <c r="H61" s="860"/>
      <c r="I61" s="362" t="str">
        <f>报表格式!G59</f>
        <v>减：未处理资产损失</v>
      </c>
      <c r="J61" s="259">
        <f t="shared" si="10"/>
        <v>112</v>
      </c>
      <c r="K61" s="467">
        <f>审定BS!E123</f>
        <v>0</v>
      </c>
      <c r="L61" s="467">
        <f>未审BS!H60</f>
        <v>0</v>
      </c>
      <c r="M61" s="467">
        <f>L61-K61</f>
        <v>0</v>
      </c>
      <c r="N61" s="468" t="str">
        <f t="shared" si="4"/>
        <v/>
      </c>
      <c r="O61" s="447" t="str">
        <f>IF(N61="","",IF(OR(ABS(N61)&gt;=30%,ABS(M61)&gt;=$D$63*5%,ABS(M61)&gt;=未审横向PL!$D$31*10%),"显著",IF(ABS(N61)&gt;=10%,"关注","")))</f>
        <v/>
      </c>
      <c r="P61" s="865"/>
    </row>
    <row r="62" spans="1:16">
      <c r="A62" s="257">
        <f>报表格式!B60</f>
        <v>0</v>
      </c>
      <c r="B62" s="346">
        <v>56</v>
      </c>
      <c r="C62" s="467">
        <f>审定BS!E61</f>
        <v>0</v>
      </c>
      <c r="D62" s="467">
        <f>未审BS!D61</f>
        <v>0</v>
      </c>
      <c r="E62" s="467">
        <f>D62-C62</f>
        <v>0</v>
      </c>
      <c r="F62" s="468" t="str">
        <f t="shared" si="2"/>
        <v/>
      </c>
      <c r="G62" s="447" t="str">
        <f>IF(F62="","",IF(OR(ABS(F62)&gt;=30%,ABS(E62)&gt;=$D$63*5%,ABS(E62)&gt;=未审横向PL!$D$31*10%),"显著",IF(ABS(F62)&gt;=10%,"关注","")))</f>
        <v/>
      </c>
      <c r="H62" s="862"/>
      <c r="I62" s="360" t="str">
        <f>报表格式!G60</f>
        <v>所有者权益合计(剔除未处理资产损失后的金额)</v>
      </c>
      <c r="J62" s="259">
        <f t="shared" si="10"/>
        <v>113</v>
      </c>
      <c r="K62" s="476">
        <f>K60-K61</f>
        <v>0</v>
      </c>
      <c r="L62" s="476">
        <f>L60-L61</f>
        <v>0</v>
      </c>
      <c r="M62" s="469">
        <f>L62-K62</f>
        <v>0</v>
      </c>
      <c r="N62" s="600" t="str">
        <f t="shared" si="4"/>
        <v/>
      </c>
      <c r="O62" s="447" t="str">
        <f>IF(N62="","",IF(OR(ABS(N62)&gt;=30%,ABS(M62)&gt;=$D$63*5%,ABS(M62)&gt;=未审横向PL!$D$31*10%),"显著",IF(ABS(N62)&gt;=10%,"关注","")))</f>
        <v/>
      </c>
      <c r="P62" s="867"/>
    </row>
    <row r="63" spans="1:16" ht="15" thickBot="1">
      <c r="A63" s="264" t="str">
        <f>报表格式!B73</f>
        <v>资 产 总 计</v>
      </c>
      <c r="B63" s="265">
        <v>57</v>
      </c>
      <c r="C63" s="472">
        <f>SUM(C61:C62,C59,C48,C35,C28)</f>
        <v>0</v>
      </c>
      <c r="D63" s="472">
        <f>SUM(D61:D62,D59,D48,D35,D28)</f>
        <v>0</v>
      </c>
      <c r="E63" s="472">
        <f>D63-C63</f>
        <v>0</v>
      </c>
      <c r="F63" s="473" t="str">
        <f t="shared" si="2"/>
        <v/>
      </c>
      <c r="G63" s="448" t="str">
        <f>IF(F63="","",IF(OR(ABS(F63)&gt;=30%,ABS(E63)&gt;=$D$63*5%,ABS(E63)&gt;=未审横向PL!$D$31*10%),"显著",IF(ABS(F63)&gt;=10%,"关注","")))</f>
        <v/>
      </c>
      <c r="H63" s="863"/>
      <c r="I63" s="364" t="str">
        <f>报表格式!G73</f>
        <v>负债及所有者权益合计</v>
      </c>
      <c r="J63" s="266">
        <f t="shared" si="10"/>
        <v>114</v>
      </c>
      <c r="K63" s="472">
        <f>K40+K41+K42+K62</f>
        <v>0</v>
      </c>
      <c r="L63" s="472">
        <f>L40+L41+L42+L62</f>
        <v>0</v>
      </c>
      <c r="M63" s="477">
        <f>L63-K63</f>
        <v>0</v>
      </c>
      <c r="N63" s="475" t="str">
        <f t="shared" si="4"/>
        <v/>
      </c>
      <c r="O63" s="448" t="str">
        <f>IF(N63="","",IF(OR(ABS(N63)&gt;=30%,ABS(M63)&gt;=$D$63*5%,ABS(M63)&gt;=未审横向PL!$D$31*10%),"显著",IF(ABS(N63)&gt;=10%,"关注","")))</f>
        <v/>
      </c>
      <c r="P63" s="868"/>
    </row>
    <row r="64" spans="1:16">
      <c r="A64" s="104"/>
      <c r="B64" s="154"/>
      <c r="C64" s="155"/>
      <c r="D64" s="104"/>
      <c r="E64" s="104"/>
      <c r="F64" s="104"/>
      <c r="G64" s="104"/>
      <c r="H64" s="104"/>
      <c r="I64" s="107"/>
      <c r="J64" s="335"/>
      <c r="K64" s="335"/>
      <c r="L64" s="335"/>
      <c r="M64" s="104"/>
    </row>
    <row r="65" spans="4:12">
      <c r="D65" s="356"/>
    </row>
    <row r="66" spans="4:12">
      <c r="L66" s="330"/>
    </row>
    <row r="67" spans="4:12">
      <c r="L67" s="330"/>
    </row>
  </sheetData>
  <sheetProtection formatCells="0" insertRows="0" autoFilter="0" pivotTables="0"/>
  <mergeCells count="14">
    <mergeCell ref="K4:K5"/>
    <mergeCell ref="L4:L5"/>
    <mergeCell ref="O4:O6"/>
    <mergeCell ref="P4:P6"/>
    <mergeCell ref="I1:P1"/>
    <mergeCell ref="J4:J6"/>
    <mergeCell ref="A4:A6"/>
    <mergeCell ref="C4:C5"/>
    <mergeCell ref="D4:D5"/>
    <mergeCell ref="I4:I6"/>
    <mergeCell ref="G4:G6"/>
    <mergeCell ref="H4:H6"/>
    <mergeCell ref="B4:B6"/>
    <mergeCell ref="A1:H1"/>
  </mergeCells>
  <phoneticPr fontId="3" type="noConversion"/>
  <conditionalFormatting sqref="H7:M7 C7:F7">
    <cfRule type="cellIs" dxfId="36" priority="1" stopIfTrue="1" operator="equal">
      <formula>"            对不起，请到参数表中确定报表类型！"</formula>
    </cfRule>
    <cfRule type="cellIs" dxfId="35" priority="2" stopIfTrue="1" operator="equal">
      <formula>"对不起，试用期已到，请查看系统信息，并与作者联系。"</formula>
    </cfRule>
  </conditionalFormatting>
  <conditionalFormatting sqref="G7">
    <cfRule type="cellIs" dxfId="34" priority="3" stopIfTrue="1" operator="equal">
      <formula>"异常"</formula>
    </cfRule>
  </conditionalFormatting>
  <conditionalFormatting sqref="G8:G63 O8:O63">
    <cfRule type="cellIs" dxfId="33" priority="4" stopIfTrue="1" operator="equal">
      <formula>"显著"</formula>
    </cfRule>
  </conditionalFormatting>
  <printOptions horizontalCentered="1"/>
  <pageMargins left="0.35" right="0.23622047244094491" top="0.38" bottom="0.27" header="0.23" footer="0.2"/>
  <pageSetup paperSize="9" scale="87" fitToWidth="2" orientation="portrait" blackAndWhite="1" r:id="rId1"/>
  <headerFooter alignWithMargins="0"/>
  <colBreaks count="1" manualBreakCount="1">
    <brk id="8" max="1048575" man="1"/>
  </col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indexed="39"/>
    <pageSetUpPr fitToPage="1"/>
  </sheetPr>
  <dimension ref="A1:O79"/>
  <sheetViews>
    <sheetView workbookViewId="0">
      <pane xSplit="2" ySplit="6" topLeftCell="C19" activePane="bottomRight" state="frozen"/>
      <selection sqref="A1:H1"/>
      <selection pane="topRight" sqref="A1:H1"/>
      <selection pane="bottomLeft" sqref="A1:H1"/>
      <selection pane="bottomRight" activeCell="D31" sqref="D31"/>
    </sheetView>
  </sheetViews>
  <sheetFormatPr defaultRowHeight="14.25"/>
  <cols>
    <col min="1" max="1" width="42.625" style="152" customWidth="1"/>
    <col min="2" max="2" width="5.625" style="152" customWidth="1"/>
    <col min="3" max="3" width="10.625" style="152" customWidth="1"/>
    <col min="4" max="5" width="11.5" style="152" customWidth="1"/>
    <col min="6" max="6" width="8" style="152" customWidth="1"/>
    <col min="7" max="7" width="7.625" style="152" customWidth="1"/>
    <col min="8" max="8" width="12.875" style="152" customWidth="1"/>
    <col min="9" max="16384" width="9" style="152"/>
  </cols>
  <sheetData>
    <row r="1" spans="1:15" ht="18.75">
      <c r="A1" s="969" t="s">
        <v>602</v>
      </c>
      <c r="B1" s="969"/>
      <c r="C1" s="969"/>
      <c r="D1" s="969"/>
      <c r="E1" s="969"/>
      <c r="F1" s="969"/>
      <c r="G1" s="969"/>
      <c r="H1" s="969"/>
    </row>
    <row r="2" spans="1:15" s="61" customFormat="1" ht="15" customHeight="1">
      <c r="A2" s="171" t="str">
        <f>CONCATENATE("客户名称：",参数!D3)</f>
        <v>客户名称：</v>
      </c>
      <c r="B2" s="172" t="str">
        <f>CONCATENATE("编制：",参数!D17)</f>
        <v>编制：</v>
      </c>
      <c r="E2" s="171" t="str">
        <f>CONCATENATE("复核：",参数!D18)</f>
        <v>复核：</v>
      </c>
      <c r="H2" s="172" t="s">
        <v>598</v>
      </c>
      <c r="I2" s="174"/>
      <c r="J2" s="175"/>
      <c r="M2" s="188"/>
      <c r="N2" s="42"/>
      <c r="O2" s="189"/>
    </row>
    <row r="3" spans="1:15" s="61" customFormat="1" ht="17.25" customHeight="1" thickBot="1">
      <c r="A3" s="174" t="str">
        <f>CONCATENATE("会计期间：",TEXT(参数!D10,"yyyy.mm.dd"))</f>
        <v>会计期间：2007年度</v>
      </c>
      <c r="B3" s="176" t="str">
        <f ca="1">CONCATENATE("日期：",TEXT(NOW(),"yyyy.mm.dd"))</f>
        <v>日期：2023.08.14</v>
      </c>
      <c r="E3" s="172" t="s">
        <v>268</v>
      </c>
      <c r="H3" s="172" t="s">
        <v>599</v>
      </c>
      <c r="I3" s="174"/>
      <c r="J3" s="174"/>
      <c r="M3" s="188"/>
      <c r="N3" s="42"/>
      <c r="O3" s="189"/>
    </row>
    <row r="4" spans="1:15" s="340" customFormat="1" ht="12">
      <c r="A4" s="990" t="s">
        <v>134</v>
      </c>
      <c r="B4" s="993" t="s">
        <v>625</v>
      </c>
      <c r="C4" s="976" t="s">
        <v>587</v>
      </c>
      <c r="D4" s="976" t="s">
        <v>588</v>
      </c>
      <c r="E4" s="336" t="s">
        <v>589</v>
      </c>
      <c r="F4" s="336"/>
      <c r="G4" s="981" t="s">
        <v>704</v>
      </c>
      <c r="H4" s="984" t="s">
        <v>705</v>
      </c>
    </row>
    <row r="5" spans="1:15" s="340" customFormat="1" ht="12">
      <c r="A5" s="991"/>
      <c r="B5" s="994"/>
      <c r="C5" s="977"/>
      <c r="D5" s="977"/>
      <c r="E5" s="338" t="s">
        <v>595</v>
      </c>
      <c r="F5" s="338" t="s">
        <v>596</v>
      </c>
      <c r="G5" s="982"/>
      <c r="H5" s="985"/>
    </row>
    <row r="6" spans="1:15" s="340" customFormat="1" ht="12">
      <c r="A6" s="992"/>
      <c r="B6" s="995"/>
      <c r="C6" s="339" t="s">
        <v>590</v>
      </c>
      <c r="D6" s="339" t="s">
        <v>591</v>
      </c>
      <c r="E6" s="339" t="s">
        <v>592</v>
      </c>
      <c r="F6" s="339" t="s">
        <v>593</v>
      </c>
      <c r="G6" s="983"/>
      <c r="H6" s="986"/>
    </row>
    <row r="7" spans="1:15" s="340" customFormat="1" ht="12.75">
      <c r="A7" s="354" t="str">
        <f>报表格式!L5</f>
        <v>一、主营业务收入</v>
      </c>
      <c r="B7" s="355">
        <v>1</v>
      </c>
      <c r="C7" s="478">
        <f>审定PL!E6</f>
        <v>0</v>
      </c>
      <c r="D7" s="478">
        <f>未审PL!D6</f>
        <v>0</v>
      </c>
      <c r="E7" s="478">
        <f>D7-C7</f>
        <v>0</v>
      </c>
      <c r="F7" s="446" t="str">
        <f>IF(AND(C7=0,D7=0),"",IF(C7=0,100%,IF(D7=0,-100%,E7/C7)))</f>
        <v/>
      </c>
      <c r="G7" s="449" t="str">
        <f>IF(F7="","",IF(OR(ABS(F7)&gt;=30%,ABS(E7)&gt;=未审横向BS!$D$63*5%,ABS(E7)&gt;=$D$31*10%),"显著",IF(ABS(F7)&gt;=10%,"关注","")))</f>
        <v/>
      </c>
      <c r="H7" s="869"/>
    </row>
    <row r="8" spans="1:15" s="340" customFormat="1" ht="12.75">
      <c r="A8" s="349" t="str">
        <f>报表格式!L6</f>
        <v xml:space="preserve">    其中：进口产品（商品）销售收入</v>
      </c>
      <c r="B8" s="348">
        <v>2</v>
      </c>
      <c r="C8" s="479">
        <f>审定PL!E7</f>
        <v>0</v>
      </c>
      <c r="D8" s="480">
        <f>未审PL!D7</f>
        <v>0</v>
      </c>
      <c r="E8" s="480">
        <f t="shared" ref="E8:E73" si="0">D8-C8</f>
        <v>0</v>
      </c>
      <c r="F8" s="446" t="str">
        <f>IF(C8=0,"",E8/C8)</f>
        <v/>
      </c>
      <c r="G8" s="449" t="str">
        <f>IF(F8="","",IF(OR(ABS(F8)&gt;=30%,ABS(E8)&gt;=未审横向BS!$D$63*5%,ABS(E8)&gt;=$D$31*10%),"显著",IF(ABS(F8)&gt;=10%,"关注","")))</f>
        <v/>
      </c>
      <c r="H8" s="860"/>
    </row>
    <row r="9" spans="1:15" s="340" customFormat="1" ht="12.75">
      <c r="A9" s="349" t="str">
        <f>报表格式!L7</f>
        <v xml:space="preserve">          出口产品（商品）销售收入</v>
      </c>
      <c r="B9" s="348">
        <v>3</v>
      </c>
      <c r="C9" s="479">
        <f>审定PL!E8</f>
        <v>0</v>
      </c>
      <c r="D9" s="480">
        <f>未审PL!D8</f>
        <v>0</v>
      </c>
      <c r="E9" s="480">
        <f t="shared" si="0"/>
        <v>0</v>
      </c>
      <c r="F9" s="446" t="str">
        <f t="shared" ref="F9:F16" si="1">IF(C9=0,"",E9/C9)</f>
        <v/>
      </c>
      <c r="G9" s="449" t="str">
        <f>IF(F9="","",IF(OR(ABS(F9)&gt;=30%,ABS(E9)&gt;=未审横向BS!$D$63*5%,ABS(E9)&gt;=$D$31*10%),"显著",IF(ABS(F9)&gt;=10%,"关注","")))</f>
        <v/>
      </c>
      <c r="H9" s="870"/>
    </row>
    <row r="10" spans="1:15" s="340" customFormat="1" ht="12.75">
      <c r="A10" s="349" t="str">
        <f>报表格式!L8</f>
        <v xml:space="preserve">    减：折扣与折让</v>
      </c>
      <c r="B10" s="348">
        <v>4</v>
      </c>
      <c r="C10" s="479">
        <f>审定PL!E9</f>
        <v>0</v>
      </c>
      <c r="D10" s="480">
        <f>未审PL!D9</f>
        <v>0</v>
      </c>
      <c r="E10" s="480">
        <f t="shared" si="0"/>
        <v>0</v>
      </c>
      <c r="F10" s="446" t="str">
        <f t="shared" si="1"/>
        <v/>
      </c>
      <c r="G10" s="449" t="str">
        <f>IF(F10="","",IF(OR(ABS(F10)&gt;=30%,ABS(E10)&gt;=未审横向BS!$D$63*5%,ABS(E10)&gt;=$D$31*10%),"显著",IF(ABS(F10)&gt;=10%,"关注","")))</f>
        <v/>
      </c>
      <c r="H10" s="870"/>
    </row>
    <row r="11" spans="1:15" s="340" customFormat="1" ht="12.75">
      <c r="A11" s="347" t="str">
        <f>报表格式!L9</f>
        <v>二、主营业务收入净额</v>
      </c>
      <c r="B11" s="348">
        <v>5</v>
      </c>
      <c r="C11" s="601">
        <f>C7-C10</f>
        <v>0</v>
      </c>
      <c r="D11" s="601">
        <f>D7-D10</f>
        <v>0</v>
      </c>
      <c r="E11" s="601">
        <f t="shared" si="0"/>
        <v>0</v>
      </c>
      <c r="F11" s="602" t="str">
        <f t="shared" si="1"/>
        <v/>
      </c>
      <c r="G11" s="449" t="str">
        <f>IF(F11="","",IF(OR(ABS(F11)&gt;=30%,ABS(E11)&gt;=未审横向BS!$D$63*5%,ABS(E11)&gt;=$D$31*10%),"显著",IF(ABS(F11)&gt;=10%,"关注","")))</f>
        <v/>
      </c>
      <c r="H11" s="870"/>
    </row>
    <row r="12" spans="1:15" s="340" customFormat="1" ht="12.75">
      <c r="A12" s="349" t="str">
        <f>报表格式!L10</f>
        <v xml:space="preserve">    减：（一）主营业务成本</v>
      </c>
      <c r="B12" s="348">
        <v>6</v>
      </c>
      <c r="C12" s="480">
        <f>审定PL!E11</f>
        <v>0</v>
      </c>
      <c r="D12" s="480">
        <f>未审PL!D11</f>
        <v>0</v>
      </c>
      <c r="E12" s="480">
        <f t="shared" si="0"/>
        <v>0</v>
      </c>
      <c r="F12" s="446" t="str">
        <f t="shared" si="1"/>
        <v/>
      </c>
      <c r="G12" s="449" t="str">
        <f>IF(F12="","",IF(OR(ABS(F12)&gt;=30%,ABS(E12)&gt;=未审横向BS!$D$63*5%,ABS(E12)&gt;=$D$31*10%),"显著",IF(ABS(F12)&gt;=10%,"关注","")))</f>
        <v/>
      </c>
      <c r="H12" s="870"/>
    </row>
    <row r="13" spans="1:15" s="340" customFormat="1" ht="12.75">
      <c r="A13" s="349" t="str">
        <f>报表格式!L11</f>
        <v xml:space="preserve">              其中：出口产品（商品）销售成本</v>
      </c>
      <c r="B13" s="348">
        <v>7</v>
      </c>
      <c r="C13" s="480">
        <f>审定PL!E12</f>
        <v>0</v>
      </c>
      <c r="D13" s="480">
        <f>未审PL!D12</f>
        <v>0</v>
      </c>
      <c r="E13" s="480">
        <f t="shared" si="0"/>
        <v>0</v>
      </c>
      <c r="F13" s="446" t="str">
        <f t="shared" si="1"/>
        <v/>
      </c>
      <c r="G13" s="449" t="str">
        <f>IF(F13="","",IF(OR(ABS(F13)&gt;=30%,ABS(E13)&gt;=未审横向BS!$D$63*5%,ABS(E13)&gt;=$D$31*10%),"显著",IF(ABS(F13)&gt;=10%,"关注","")))</f>
        <v/>
      </c>
      <c r="H13" s="870"/>
    </row>
    <row r="14" spans="1:15" s="340" customFormat="1" ht="12.75">
      <c r="A14" s="349" t="str">
        <f>报表格式!L12</f>
        <v xml:space="preserve">        （二）主营业务税金及附加</v>
      </c>
      <c r="B14" s="348">
        <v>8</v>
      </c>
      <c r="C14" s="480">
        <f>审定PL!E13</f>
        <v>0</v>
      </c>
      <c r="D14" s="480">
        <f>未审PL!D13</f>
        <v>0</v>
      </c>
      <c r="E14" s="480">
        <f t="shared" si="0"/>
        <v>0</v>
      </c>
      <c r="F14" s="446" t="str">
        <f t="shared" si="1"/>
        <v/>
      </c>
      <c r="G14" s="449" t="str">
        <f>IF(F14="","",IF(OR(ABS(F14)&gt;=30%,ABS(E14)&gt;=未审横向BS!$D$63*5%,ABS(E14)&gt;=$D$31*10%),"显著",IF(ABS(F14)&gt;=10%,"关注","")))</f>
        <v/>
      </c>
      <c r="H14" s="870"/>
    </row>
    <row r="15" spans="1:15" s="340" customFormat="1" ht="12.75">
      <c r="A15" s="349" t="str">
        <f>报表格式!L13</f>
        <v xml:space="preserve">        （三）经营费用</v>
      </c>
      <c r="B15" s="348">
        <v>9</v>
      </c>
      <c r="C15" s="480">
        <f>审定PL!E14</f>
        <v>0</v>
      </c>
      <c r="D15" s="480">
        <f>未审PL!D14</f>
        <v>0</v>
      </c>
      <c r="E15" s="480">
        <f t="shared" si="0"/>
        <v>0</v>
      </c>
      <c r="F15" s="446" t="str">
        <f t="shared" si="1"/>
        <v/>
      </c>
      <c r="G15" s="449" t="str">
        <f>IF(F15="","",IF(OR(ABS(F15)&gt;=30%,ABS(E15)&gt;=未审横向BS!$D$63*5%,ABS(E15)&gt;=$D$31*10%),"显著",IF(ABS(F15)&gt;=10%,"关注","")))</f>
        <v/>
      </c>
      <c r="H15" s="870"/>
    </row>
    <row r="16" spans="1:15" s="340" customFormat="1" ht="12.75">
      <c r="A16" s="349" t="str">
        <f>报表格式!L14</f>
        <v xml:space="preserve">        （四）其他</v>
      </c>
      <c r="B16" s="348">
        <v>10</v>
      </c>
      <c r="C16" s="480">
        <f>审定PL!E15</f>
        <v>0</v>
      </c>
      <c r="D16" s="480">
        <f>未审PL!D15</f>
        <v>0</v>
      </c>
      <c r="E16" s="480">
        <f t="shared" si="0"/>
        <v>0</v>
      </c>
      <c r="F16" s="446" t="str">
        <f t="shared" si="1"/>
        <v/>
      </c>
      <c r="G16" s="449" t="str">
        <f>IF(F16="","",IF(OR(ABS(F16)&gt;=30%,ABS(E16)&gt;=未审横向BS!$D$63*5%,ABS(E16)&gt;=$D$31*10%),"显著",IF(ABS(F16)&gt;=10%,"关注","")))</f>
        <v/>
      </c>
      <c r="H16" s="870"/>
    </row>
    <row r="17" spans="1:8" s="340" customFormat="1" ht="12.75">
      <c r="A17" s="349" t="str">
        <f>报表格式!L15</f>
        <v xml:space="preserve">    加：（一）递延收益</v>
      </c>
      <c r="B17" s="348">
        <v>11</v>
      </c>
      <c r="C17" s="480">
        <f>审定PL!E16</f>
        <v>0</v>
      </c>
      <c r="D17" s="480">
        <f>未审PL!D16</f>
        <v>0</v>
      </c>
      <c r="E17" s="480">
        <f t="shared" si="0"/>
        <v>0</v>
      </c>
      <c r="F17" s="446" t="str">
        <f>IF(C17=0,"",E17/C17)</f>
        <v/>
      </c>
      <c r="G17" s="449" t="str">
        <f>IF(F17="","",IF(OR(ABS(F17)&gt;=30%,ABS(E17)&gt;=未审横向BS!$D$63*5%,ABS(E17)&gt;=$D$31*10%),"显著",IF(ABS(F17)&gt;=10%,"关注","")))</f>
        <v/>
      </c>
      <c r="H17" s="870"/>
    </row>
    <row r="18" spans="1:8" s="340" customFormat="1" ht="12.75">
      <c r="A18" s="349" t="str">
        <f>报表格式!L16</f>
        <v xml:space="preserve">        （二）代购代销收入</v>
      </c>
      <c r="B18" s="348">
        <v>12</v>
      </c>
      <c r="C18" s="480">
        <f>审定PL!E17</f>
        <v>0</v>
      </c>
      <c r="D18" s="480">
        <f>未审PL!D17</f>
        <v>0</v>
      </c>
      <c r="E18" s="480">
        <f t="shared" si="0"/>
        <v>0</v>
      </c>
      <c r="F18" s="446" t="str">
        <f>IF(C18=0,"",E18/C18)</f>
        <v/>
      </c>
      <c r="G18" s="449" t="str">
        <f>IF(F18="","",IF(OR(ABS(F18)&gt;=30%,ABS(E18)&gt;=未审横向BS!$D$63*5%,ABS(E18)&gt;=$D$31*10%),"显著",IF(ABS(F18)&gt;=10%,"关注","")))</f>
        <v/>
      </c>
      <c r="H18" s="870"/>
    </row>
    <row r="19" spans="1:8" s="340" customFormat="1" ht="12.75">
      <c r="A19" s="349" t="str">
        <f>报表格式!L17</f>
        <v xml:space="preserve">        （三）其他</v>
      </c>
      <c r="B19" s="348">
        <v>13</v>
      </c>
      <c r="C19" s="480">
        <f>审定PL!E18</f>
        <v>0</v>
      </c>
      <c r="D19" s="480">
        <f>未审PL!D18</f>
        <v>0</v>
      </c>
      <c r="E19" s="480">
        <f t="shared" si="0"/>
        <v>0</v>
      </c>
      <c r="F19" s="446" t="str">
        <f t="shared" ref="F19:F27" si="2">IF(C19=0,"",E19/C19)</f>
        <v/>
      </c>
      <c r="G19" s="449" t="str">
        <f>IF(F19="","",IF(OR(ABS(F19)&gt;=30%,ABS(E19)&gt;=未审横向BS!$D$63*5%,ABS(E19)&gt;=$D$31*10%),"显著",IF(ABS(F19)&gt;=10%,"关注","")))</f>
        <v/>
      </c>
      <c r="H19" s="870"/>
    </row>
    <row r="20" spans="1:8" s="340" customFormat="1" ht="12.75">
      <c r="A20" s="347" t="str">
        <f>报表格式!L18</f>
        <v>三、主营业务利润</v>
      </c>
      <c r="B20" s="348">
        <v>14</v>
      </c>
      <c r="C20" s="601">
        <f>C11-C12-C14-C15-C16+C17+C18+C19</f>
        <v>0</v>
      </c>
      <c r="D20" s="601">
        <f>D11-D12-D14-D15-D16+D17+D18+D19</f>
        <v>0</v>
      </c>
      <c r="E20" s="601">
        <f t="shared" si="0"/>
        <v>0</v>
      </c>
      <c r="F20" s="602" t="str">
        <f t="shared" si="2"/>
        <v/>
      </c>
      <c r="G20" s="449" t="str">
        <f>IF(F20="","",IF(OR(ABS(F20)&gt;=30%,ABS(E20)&gt;=未审横向BS!$D$63*5%,ABS(E20)&gt;=$D$31*10%),"显著",IF(ABS(F20)&gt;=10%,"关注","")))</f>
        <v/>
      </c>
      <c r="H20" s="870"/>
    </row>
    <row r="21" spans="1:8" s="340" customFormat="1" ht="12.75">
      <c r="A21" s="349" t="str">
        <f>报表格式!L19</f>
        <v xml:space="preserve">    加：其他业务利润</v>
      </c>
      <c r="B21" s="348">
        <v>15</v>
      </c>
      <c r="C21" s="480">
        <f>审定PL!E20</f>
        <v>0</v>
      </c>
      <c r="D21" s="480">
        <f>未审PL!D20</f>
        <v>0</v>
      </c>
      <c r="E21" s="480">
        <f t="shared" si="0"/>
        <v>0</v>
      </c>
      <c r="F21" s="446" t="str">
        <f t="shared" si="2"/>
        <v/>
      </c>
      <c r="G21" s="449" t="str">
        <f>IF(F21="","",IF(OR(ABS(F21)&gt;=30%,ABS(E21)&gt;=未审横向BS!$D$63*5%,ABS(E21)&gt;=$D$31*10%),"显著",IF(ABS(F21)&gt;=10%,"关注","")))</f>
        <v/>
      </c>
      <c r="H21" s="870"/>
    </row>
    <row r="22" spans="1:8" s="340" customFormat="1" ht="12.75">
      <c r="A22" s="349" t="str">
        <f>报表格式!L20</f>
        <v xml:space="preserve">    减：（一）营业费用</v>
      </c>
      <c r="B22" s="348">
        <v>16</v>
      </c>
      <c r="C22" s="480">
        <f>审定PL!E21</f>
        <v>0</v>
      </c>
      <c r="D22" s="480">
        <f>未审PL!D21</f>
        <v>0</v>
      </c>
      <c r="E22" s="480">
        <f t="shared" si="0"/>
        <v>0</v>
      </c>
      <c r="F22" s="446" t="str">
        <f t="shared" si="2"/>
        <v/>
      </c>
      <c r="G22" s="449" t="str">
        <f>IF(F22="","",IF(OR(ABS(F22)&gt;=30%,ABS(E22)&gt;=未审横向BS!$D$63*5%,ABS(E22)&gt;=$D$31*10%),"显著",IF(ABS(F22)&gt;=10%,"关注","")))</f>
        <v/>
      </c>
      <c r="H22" s="870"/>
    </row>
    <row r="23" spans="1:8" s="340" customFormat="1" ht="12.75">
      <c r="A23" s="349" t="str">
        <f>报表格式!L21</f>
        <v xml:space="preserve">        （二）管理费用</v>
      </c>
      <c r="B23" s="348">
        <v>17</v>
      </c>
      <c r="C23" s="480">
        <f>审定PL!E22</f>
        <v>0</v>
      </c>
      <c r="D23" s="480">
        <f>未审PL!D22</f>
        <v>0</v>
      </c>
      <c r="E23" s="480">
        <f t="shared" si="0"/>
        <v>0</v>
      </c>
      <c r="F23" s="446" t="str">
        <f t="shared" si="2"/>
        <v/>
      </c>
      <c r="G23" s="449" t="str">
        <f>IF(F23="","",IF(OR(ABS(F23)&gt;=30%,ABS(E23)&gt;=未审横向BS!$D$63*5%,ABS(E23)&gt;=$D$31*10%),"显著",IF(ABS(F23)&gt;=10%,"关注","")))</f>
        <v/>
      </c>
      <c r="H23" s="870"/>
    </row>
    <row r="24" spans="1:8" s="340" customFormat="1" ht="12.75">
      <c r="A24" s="349" t="str">
        <f>报表格式!L22</f>
        <v xml:space="preserve">         其中：业务招待费</v>
      </c>
      <c r="B24" s="348">
        <v>18</v>
      </c>
      <c r="C24" s="480">
        <f>审定PL!E23</f>
        <v>0</v>
      </c>
      <c r="D24" s="480">
        <f>未审PL!D23</f>
        <v>0</v>
      </c>
      <c r="E24" s="480">
        <f>D24-C24</f>
        <v>0</v>
      </c>
      <c r="F24" s="446" t="str">
        <f>IF(C24=0,"",E24/C24)</f>
        <v/>
      </c>
      <c r="G24" s="449" t="str">
        <f>IF(F24="","",IF(OR(ABS(F24)&gt;=30%,ABS(E24)&gt;=未审横向BS!$D$63*5%,ABS(E24)&gt;=$D$31*10%),"显著",IF(ABS(F24)&gt;=10%,"关注","")))</f>
        <v/>
      </c>
      <c r="H24" s="870"/>
    </row>
    <row r="25" spans="1:8" s="340" customFormat="1" ht="12.75">
      <c r="A25" s="349" t="str">
        <f>报表格式!L23</f>
        <v xml:space="preserve">               研究与开发费</v>
      </c>
      <c r="B25" s="348">
        <v>19</v>
      </c>
      <c r="C25" s="480">
        <f>审定PL!E24</f>
        <v>0</v>
      </c>
      <c r="D25" s="480">
        <f>未审PL!D24</f>
        <v>0</v>
      </c>
      <c r="E25" s="480">
        <f>D25-C25</f>
        <v>0</v>
      </c>
      <c r="F25" s="446" t="str">
        <f>IF(C25=0,"",E25/C25)</f>
        <v/>
      </c>
      <c r="G25" s="449" t="str">
        <f>IF(F25="","",IF(OR(ABS(F25)&gt;=30%,ABS(E25)&gt;=未审横向BS!$D$63*5%,ABS(E25)&gt;=$D$31*10%),"显著",IF(ABS(F25)&gt;=10%,"关注","")))</f>
        <v/>
      </c>
      <c r="H25" s="870"/>
    </row>
    <row r="26" spans="1:8" s="340" customFormat="1" ht="12.75">
      <c r="A26" s="349" t="str">
        <f>报表格式!L24</f>
        <v xml:space="preserve">        （三）财务费用</v>
      </c>
      <c r="B26" s="348">
        <v>20</v>
      </c>
      <c r="C26" s="480">
        <f>审定PL!E25</f>
        <v>0</v>
      </c>
      <c r="D26" s="480">
        <f>未审PL!D25</f>
        <v>0</v>
      </c>
      <c r="E26" s="480">
        <f t="shared" si="0"/>
        <v>0</v>
      </c>
      <c r="F26" s="446" t="str">
        <f t="shared" si="2"/>
        <v/>
      </c>
      <c r="G26" s="449" t="str">
        <f>IF(F26="","",IF(OR(ABS(F26)&gt;=30%,ABS(E26)&gt;=未审横向BS!$D$63*5%,ABS(E26)&gt;=$D$31*10%),"显著",IF(ABS(F26)&gt;=10%,"关注","")))</f>
        <v/>
      </c>
      <c r="H26" s="870"/>
    </row>
    <row r="27" spans="1:8" s="340" customFormat="1" ht="12.75">
      <c r="A27" s="349" t="str">
        <f>报表格式!L25</f>
        <v xml:space="preserve">         其中：利息支出</v>
      </c>
      <c r="B27" s="348">
        <v>21</v>
      </c>
      <c r="C27" s="480">
        <f>审定PL!E26</f>
        <v>0</v>
      </c>
      <c r="D27" s="480">
        <f>未审PL!D26</f>
        <v>0</v>
      </c>
      <c r="E27" s="480">
        <f t="shared" si="0"/>
        <v>0</v>
      </c>
      <c r="F27" s="446" t="str">
        <f t="shared" si="2"/>
        <v/>
      </c>
      <c r="G27" s="449" t="str">
        <f>IF(F27="","",IF(OR(ABS(F27)&gt;=30%,ABS(E27)&gt;=未审横向BS!$D$63*5%,ABS(E27)&gt;=$D$31*10%),"显著",IF(ABS(F27)&gt;=10%,"关注","")))</f>
        <v/>
      </c>
      <c r="H27" s="870"/>
    </row>
    <row r="28" spans="1:8" s="340" customFormat="1" ht="12.75">
      <c r="A28" s="349" t="str">
        <f>报表格式!L26</f>
        <v xml:space="preserve">               利息收入</v>
      </c>
      <c r="B28" s="348">
        <v>22</v>
      </c>
      <c r="C28" s="480">
        <f>审定PL!E27</f>
        <v>0</v>
      </c>
      <c r="D28" s="480">
        <f>未审PL!D27</f>
        <v>0</v>
      </c>
      <c r="E28" s="480">
        <f t="shared" si="0"/>
        <v>0</v>
      </c>
      <c r="F28" s="446" t="str">
        <f>IF(C28=0,"",E28/C28)</f>
        <v/>
      </c>
      <c r="G28" s="449" t="str">
        <f>IF(F28="","",IF(OR(ABS(F28)&gt;=30%,ABS(E28)&gt;=未审横向BS!$D$63*5%,ABS(E28)&gt;=$D$31*10%),"显著",IF(ABS(F28)&gt;=10%,"关注","")))</f>
        <v/>
      </c>
      <c r="H28" s="870"/>
    </row>
    <row r="29" spans="1:8" s="340" customFormat="1" ht="12.75">
      <c r="A29" s="349" t="str">
        <f>报表格式!L27</f>
        <v xml:space="preserve">               汇兑净损失</v>
      </c>
      <c r="B29" s="348">
        <v>23</v>
      </c>
      <c r="C29" s="480">
        <f>审定PL!E28</f>
        <v>0</v>
      </c>
      <c r="D29" s="480">
        <f>未审PL!D28</f>
        <v>0</v>
      </c>
      <c r="E29" s="480">
        <f t="shared" si="0"/>
        <v>0</v>
      </c>
      <c r="F29" s="446" t="str">
        <f>IF(C29=0,"",E29/C29)</f>
        <v/>
      </c>
      <c r="G29" s="449" t="str">
        <f>IF(F29="","",IF(OR(ABS(F29)&gt;=30%,ABS(E29)&gt;=未审横向BS!$D$63*5%,ABS(E29)&gt;=$D$31*10%),"显著",IF(ABS(F29)&gt;=10%,"关注","")))</f>
        <v/>
      </c>
      <c r="H29" s="870"/>
    </row>
    <row r="30" spans="1:8" s="340" customFormat="1" ht="12.75">
      <c r="A30" s="349" t="str">
        <f>报表格式!L28</f>
        <v xml:space="preserve">        （四）其他</v>
      </c>
      <c r="B30" s="348">
        <v>24</v>
      </c>
      <c r="C30" s="480">
        <f>审定PL!E29</f>
        <v>0</v>
      </c>
      <c r="D30" s="480">
        <f>未审PL!D29</f>
        <v>0</v>
      </c>
      <c r="E30" s="480">
        <f t="shared" si="0"/>
        <v>0</v>
      </c>
      <c r="F30" s="446" t="str">
        <f t="shared" ref="F30:F37" si="3">IF(C30=0,"",E30/C30)</f>
        <v/>
      </c>
      <c r="G30" s="449" t="str">
        <f>IF(F30="","",IF(OR(ABS(F30)&gt;=30%,ABS(E30)&gt;=未审横向BS!$D$63*5%,ABS(E30)&gt;=$D$31*10%),"显著",IF(ABS(F30)&gt;=10%,"关注","")))</f>
        <v/>
      </c>
      <c r="H30" s="870"/>
    </row>
    <row r="31" spans="1:8" s="340" customFormat="1" ht="12.75">
      <c r="A31" s="347" t="str">
        <f>报表格式!L29</f>
        <v>四、营业利润</v>
      </c>
      <c r="B31" s="348">
        <v>25</v>
      </c>
      <c r="C31" s="601">
        <f>C20+C21-C22-C23-C26-C30</f>
        <v>0</v>
      </c>
      <c r="D31" s="601">
        <f>D20+D21-D22-D23-D26-D30</f>
        <v>0</v>
      </c>
      <c r="E31" s="601">
        <f t="shared" si="0"/>
        <v>0</v>
      </c>
      <c r="F31" s="602" t="str">
        <f t="shared" si="3"/>
        <v/>
      </c>
      <c r="G31" s="449" t="str">
        <f>IF(F31="","",IF(OR(ABS(F31)&gt;=30%,ABS(E31)&gt;=未审横向BS!$D$63*5%,ABS(E31)&gt;=$D$31*10%),"显著",IF(ABS(F31)&gt;=10%,"关注","")))</f>
        <v/>
      </c>
      <c r="H31" s="870"/>
    </row>
    <row r="32" spans="1:8" s="340" customFormat="1" ht="12.75">
      <c r="A32" s="349" t="str">
        <f>报表格式!L30</f>
        <v xml:space="preserve">    加：（一）投资收益</v>
      </c>
      <c r="B32" s="348">
        <v>26</v>
      </c>
      <c r="C32" s="480">
        <f>审定PL!E31</f>
        <v>0</v>
      </c>
      <c r="D32" s="480">
        <f>未审PL!D31</f>
        <v>0</v>
      </c>
      <c r="E32" s="480">
        <f t="shared" si="0"/>
        <v>0</v>
      </c>
      <c r="F32" s="446" t="str">
        <f t="shared" si="3"/>
        <v/>
      </c>
      <c r="G32" s="449" t="str">
        <f>IF(F32="","",IF(OR(ABS(F32)&gt;=30%,ABS(E32)&gt;=未审横向BS!$D$63*5%,ABS(E32)&gt;=$D$31*10%),"显著",IF(ABS(F32)&gt;=10%,"关注","")))</f>
        <v/>
      </c>
      <c r="H32" s="870"/>
    </row>
    <row r="33" spans="1:8" s="340" customFormat="1" ht="12.75">
      <c r="A33" s="349" t="str">
        <f>报表格式!L31</f>
        <v xml:space="preserve">        （二）期货收益</v>
      </c>
      <c r="B33" s="348">
        <v>27</v>
      </c>
      <c r="C33" s="480">
        <f>审定PL!E32</f>
        <v>0</v>
      </c>
      <c r="D33" s="480">
        <f>未审PL!D32</f>
        <v>0</v>
      </c>
      <c r="E33" s="480">
        <f t="shared" si="0"/>
        <v>0</v>
      </c>
      <c r="F33" s="446" t="str">
        <f t="shared" si="3"/>
        <v/>
      </c>
      <c r="G33" s="449" t="str">
        <f>IF(F33="","",IF(OR(ABS(F33)&gt;=30%,ABS(E33)&gt;=未审横向BS!$D$63*5%,ABS(E33)&gt;=$D$31*10%),"显著",IF(ABS(F33)&gt;=10%,"关注","")))</f>
        <v/>
      </c>
      <c r="H33" s="870"/>
    </row>
    <row r="34" spans="1:8" s="340" customFormat="1" ht="12.75">
      <c r="A34" s="349" t="str">
        <f>报表格式!L32</f>
        <v xml:space="preserve">        （三）补贴收入</v>
      </c>
      <c r="B34" s="348">
        <v>28</v>
      </c>
      <c r="C34" s="480">
        <f>审定PL!E33</f>
        <v>0</v>
      </c>
      <c r="D34" s="480">
        <f>未审PL!D33</f>
        <v>0</v>
      </c>
      <c r="E34" s="480">
        <f t="shared" si="0"/>
        <v>0</v>
      </c>
      <c r="F34" s="446" t="str">
        <f t="shared" si="3"/>
        <v/>
      </c>
      <c r="G34" s="449" t="str">
        <f>IF(F34="","",IF(OR(ABS(F34)&gt;=30%,ABS(E34)&gt;=未审横向BS!$D$63*5%,ABS(E34)&gt;=$D$31*10%),"显著",IF(ABS(F34)&gt;=10%,"关注","")))</f>
        <v/>
      </c>
      <c r="H34" s="870"/>
    </row>
    <row r="35" spans="1:8" s="340" customFormat="1" ht="12.75">
      <c r="A35" s="349" t="str">
        <f>报表格式!L33</f>
        <v xml:space="preserve">             其中：补贴前亏损的企业补贴收入</v>
      </c>
      <c r="B35" s="348">
        <v>29</v>
      </c>
      <c r="C35" s="480">
        <f>审定PL!E34</f>
        <v>0</v>
      </c>
      <c r="D35" s="480">
        <f>未审PL!D34</f>
        <v>0</v>
      </c>
      <c r="E35" s="480">
        <f t="shared" si="0"/>
        <v>0</v>
      </c>
      <c r="F35" s="446" t="str">
        <f t="shared" si="3"/>
        <v/>
      </c>
      <c r="G35" s="449" t="str">
        <f>IF(F35="","",IF(OR(ABS(F35)&gt;=30%,ABS(E35)&gt;=未审横向BS!$D$63*5%,ABS(E35)&gt;=$D$31*10%),"显著",IF(ABS(F35)&gt;=10%,"关注","")))</f>
        <v/>
      </c>
      <c r="H35" s="870"/>
    </row>
    <row r="36" spans="1:8" s="340" customFormat="1" ht="12.75">
      <c r="A36" s="349" t="str">
        <f>报表格式!L34</f>
        <v xml:space="preserve">        （四）营业外收入</v>
      </c>
      <c r="B36" s="348">
        <v>30</v>
      </c>
      <c r="C36" s="480">
        <f>审定PL!E35</f>
        <v>0</v>
      </c>
      <c r="D36" s="480">
        <f>未审PL!D35</f>
        <v>0</v>
      </c>
      <c r="E36" s="480">
        <f t="shared" si="0"/>
        <v>0</v>
      </c>
      <c r="F36" s="446" t="str">
        <f t="shared" si="3"/>
        <v/>
      </c>
      <c r="G36" s="449" t="str">
        <f>IF(F36="","",IF(OR(ABS(F36)&gt;=30%,ABS(E36)&gt;=未审横向BS!$D$63*5%,ABS(E36)&gt;=$D$31*10%),"显著",IF(ABS(F36)&gt;=10%,"关注","")))</f>
        <v/>
      </c>
      <c r="H36" s="870"/>
    </row>
    <row r="37" spans="1:8" s="340" customFormat="1" ht="12.75">
      <c r="A37" s="349" t="str">
        <f>报表格式!L35</f>
        <v xml:space="preserve">             其中：处置固定资产净收益</v>
      </c>
      <c r="B37" s="348">
        <v>31</v>
      </c>
      <c r="C37" s="480">
        <f>审定PL!E36</f>
        <v>0</v>
      </c>
      <c r="D37" s="480">
        <f>未审PL!D36</f>
        <v>0</v>
      </c>
      <c r="E37" s="480">
        <f t="shared" si="0"/>
        <v>0</v>
      </c>
      <c r="F37" s="446" t="str">
        <f t="shared" si="3"/>
        <v/>
      </c>
      <c r="G37" s="449" t="str">
        <f>IF(F37="","",IF(OR(ABS(F37)&gt;=30%,ABS(E37)&gt;=未审横向BS!$D$63*5%,ABS(E37)&gt;=$D$31*10%),"显著",IF(ABS(F37)&gt;=10%,"关注","")))</f>
        <v/>
      </c>
      <c r="H37" s="870"/>
    </row>
    <row r="38" spans="1:8" s="340" customFormat="1" ht="12.75">
      <c r="A38" s="349" t="str">
        <f>报表格式!L36</f>
        <v xml:space="preserve">                   非货币性交易收益</v>
      </c>
      <c r="B38" s="348">
        <v>32</v>
      </c>
      <c r="C38" s="480">
        <f>审定PL!E37</f>
        <v>0</v>
      </c>
      <c r="D38" s="480">
        <f>未审PL!D37</f>
        <v>0</v>
      </c>
      <c r="E38" s="480">
        <f t="shared" si="0"/>
        <v>0</v>
      </c>
      <c r="F38" s="446" t="str">
        <f>IF(C38=0,"",E38/C38)</f>
        <v/>
      </c>
      <c r="G38" s="449" t="str">
        <f>IF(F38="","",IF(OR(ABS(F38)&gt;=30%,ABS(E38)&gt;=未审横向BS!$D$63*5%,ABS(E38)&gt;=$D$31*10%),"显著",IF(ABS(F38)&gt;=10%,"关注","")))</f>
        <v/>
      </c>
      <c r="H38" s="870"/>
    </row>
    <row r="39" spans="1:8" s="340" customFormat="1" ht="12.75">
      <c r="A39" s="349" t="str">
        <f>报表格式!L37</f>
        <v xml:space="preserve">                   出售无形资产收益</v>
      </c>
      <c r="B39" s="348">
        <v>33</v>
      </c>
      <c r="C39" s="480">
        <f>审定PL!E38</f>
        <v>0</v>
      </c>
      <c r="D39" s="480">
        <f>未审PL!D38</f>
        <v>0</v>
      </c>
      <c r="E39" s="480">
        <f t="shared" si="0"/>
        <v>0</v>
      </c>
      <c r="F39" s="446" t="str">
        <f>IF(C39=0,"",E39/C39)</f>
        <v/>
      </c>
      <c r="G39" s="449" t="str">
        <f>IF(F39="","",IF(OR(ABS(F39)&gt;=30%,ABS(E39)&gt;=未审横向BS!$D$63*5%,ABS(E39)&gt;=$D$31*10%),"显著",IF(ABS(F39)&gt;=10%,"关注","")))</f>
        <v/>
      </c>
      <c r="H39" s="870"/>
    </row>
    <row r="40" spans="1:8" s="340" customFormat="1" ht="12.75">
      <c r="A40" s="349" t="str">
        <f>报表格式!L38</f>
        <v xml:space="preserve">                   罚款净收入</v>
      </c>
      <c r="B40" s="348">
        <v>34</v>
      </c>
      <c r="C40" s="480">
        <f>审定PL!E39</f>
        <v>0</v>
      </c>
      <c r="D40" s="480">
        <f>未审PL!D39</f>
        <v>0</v>
      </c>
      <c r="E40" s="480">
        <f t="shared" si="0"/>
        <v>0</v>
      </c>
      <c r="F40" s="446" t="str">
        <f>IF(C40=0,"",E40/C40)</f>
        <v/>
      </c>
      <c r="G40" s="449" t="str">
        <f>IF(F40="","",IF(OR(ABS(F40)&gt;=30%,ABS(E40)&gt;=未审横向BS!$D$63*5%,ABS(E40)&gt;=$D$31*10%),"显著",IF(ABS(F40)&gt;=10%,"关注","")))</f>
        <v/>
      </c>
      <c r="H40" s="870"/>
    </row>
    <row r="41" spans="1:8" s="340" customFormat="1" ht="12.75">
      <c r="A41" s="349" t="str">
        <f>报表格式!L39</f>
        <v xml:space="preserve">        （五）其他</v>
      </c>
      <c r="B41" s="348">
        <v>35</v>
      </c>
      <c r="C41" s="480">
        <f>审定PL!E40</f>
        <v>0</v>
      </c>
      <c r="D41" s="480">
        <f>未审PL!D40</f>
        <v>0</v>
      </c>
      <c r="E41" s="480">
        <f t="shared" si="0"/>
        <v>0</v>
      </c>
      <c r="F41" s="446" t="str">
        <f>IF(C41=0,"",E41/C41)</f>
        <v/>
      </c>
      <c r="G41" s="449" t="str">
        <f>IF(F41="","",IF(OR(ABS(F41)&gt;=30%,ABS(E41)&gt;=未审横向BS!$D$63*5%,ABS(E41)&gt;=$D$31*10%),"显著",IF(ABS(F41)&gt;=10%,"关注","")))</f>
        <v/>
      </c>
      <c r="H41" s="870"/>
    </row>
    <row r="42" spans="1:8" s="340" customFormat="1" ht="12.75">
      <c r="A42" s="349" t="str">
        <f>报表格式!L40</f>
        <v xml:space="preserve">             其中：用以前年度含量工资结余弥补利润</v>
      </c>
      <c r="B42" s="348">
        <v>36</v>
      </c>
      <c r="C42" s="480">
        <f>审定PL!E41</f>
        <v>0</v>
      </c>
      <c r="D42" s="480">
        <f>未审PL!D41</f>
        <v>0</v>
      </c>
      <c r="E42" s="480">
        <f t="shared" si="0"/>
        <v>0</v>
      </c>
      <c r="F42" s="446" t="str">
        <f t="shared" ref="F42:F49" si="4">IF(C42=0,"",E42/C42)</f>
        <v/>
      </c>
      <c r="G42" s="449" t="str">
        <f>IF(F42="","",IF(OR(ABS(F42)&gt;=30%,ABS(E42)&gt;=未审横向BS!$D$63*5%,ABS(E42)&gt;=$D$31*10%),"显著",IF(ABS(F42)&gt;=10%,"关注","")))</f>
        <v/>
      </c>
      <c r="H42" s="870"/>
    </row>
    <row r="43" spans="1:8" s="340" customFormat="1" ht="12.75">
      <c r="A43" s="349" t="str">
        <f>报表格式!L41</f>
        <v xml:space="preserve">    减：（一）营业外支出</v>
      </c>
      <c r="B43" s="348">
        <v>37</v>
      </c>
      <c r="C43" s="480">
        <f>审定PL!E42</f>
        <v>0</v>
      </c>
      <c r="D43" s="480">
        <f>未审PL!D42</f>
        <v>0</v>
      </c>
      <c r="E43" s="480">
        <f t="shared" si="0"/>
        <v>0</v>
      </c>
      <c r="F43" s="446" t="str">
        <f t="shared" si="4"/>
        <v/>
      </c>
      <c r="G43" s="449" t="str">
        <f>IF(F43="","",IF(OR(ABS(F43)&gt;=30%,ABS(E43)&gt;=未审横向BS!$D$63*5%,ABS(E43)&gt;=$D$31*10%),"显著",IF(ABS(F43)&gt;=10%,"关注","")))</f>
        <v/>
      </c>
      <c r="H43" s="870"/>
    </row>
    <row r="44" spans="1:8" s="340" customFormat="1" ht="12.75">
      <c r="A44" s="349" t="str">
        <f>报表格式!L42</f>
        <v xml:space="preserve">             其中：处置固定资产净损失</v>
      </c>
      <c r="B44" s="348">
        <v>38</v>
      </c>
      <c r="C44" s="480">
        <f>审定PL!E43</f>
        <v>0</v>
      </c>
      <c r="D44" s="480">
        <f>未审PL!D43</f>
        <v>0</v>
      </c>
      <c r="E44" s="480">
        <f t="shared" si="0"/>
        <v>0</v>
      </c>
      <c r="F44" s="446" t="str">
        <f t="shared" si="4"/>
        <v/>
      </c>
      <c r="G44" s="449" t="str">
        <f>IF(F44="","",IF(OR(ABS(F44)&gt;=30%,ABS(E44)&gt;=未审横向BS!$D$63*5%,ABS(E44)&gt;=$D$31*10%),"显著",IF(ABS(F44)&gt;=10%,"关注","")))</f>
        <v/>
      </c>
      <c r="H44" s="870"/>
    </row>
    <row r="45" spans="1:8" s="340" customFormat="1" ht="12.75">
      <c r="A45" s="349" t="str">
        <f>报表格式!L43</f>
        <v xml:space="preserve">                   出售无形资产损失</v>
      </c>
      <c r="B45" s="348">
        <v>39</v>
      </c>
      <c r="C45" s="480">
        <f>审定PL!E44</f>
        <v>0</v>
      </c>
      <c r="D45" s="480">
        <f>未审PL!D44</f>
        <v>0</v>
      </c>
      <c r="E45" s="480">
        <f t="shared" si="0"/>
        <v>0</v>
      </c>
      <c r="F45" s="446" t="str">
        <f t="shared" si="4"/>
        <v/>
      </c>
      <c r="G45" s="449" t="str">
        <f>IF(F45="","",IF(OR(ABS(F45)&gt;=30%,ABS(E45)&gt;=未审横向BS!$D$63*5%,ABS(E45)&gt;=$D$31*10%),"显著",IF(ABS(F45)&gt;=10%,"关注","")))</f>
        <v/>
      </c>
      <c r="H45" s="870"/>
    </row>
    <row r="46" spans="1:8" s="340" customFormat="1" ht="12.75">
      <c r="A46" s="349" t="str">
        <f>报表格式!L44</f>
        <v xml:space="preserve">                   罚款支出</v>
      </c>
      <c r="B46" s="348">
        <v>40</v>
      </c>
      <c r="C46" s="480">
        <f>审定PL!E45</f>
        <v>0</v>
      </c>
      <c r="D46" s="480">
        <f>未审PL!D45</f>
        <v>0</v>
      </c>
      <c r="E46" s="480">
        <f t="shared" si="0"/>
        <v>0</v>
      </c>
      <c r="F46" s="446" t="str">
        <f t="shared" si="4"/>
        <v/>
      </c>
      <c r="G46" s="449" t="str">
        <f>IF(F46="","",IF(OR(ABS(F46)&gt;=30%,ABS(E46)&gt;=未审横向BS!$D$63*5%,ABS(E46)&gt;=$D$31*10%),"显著",IF(ABS(F46)&gt;=10%,"关注","")))</f>
        <v/>
      </c>
      <c r="H46" s="870"/>
    </row>
    <row r="47" spans="1:8" s="340" customFormat="1" ht="12.75">
      <c r="A47" s="349" t="str">
        <f>报表格式!L45</f>
        <v xml:space="preserve">                   捐赠支出</v>
      </c>
      <c r="B47" s="348">
        <v>41</v>
      </c>
      <c r="C47" s="480">
        <f>审定PL!E46</f>
        <v>0</v>
      </c>
      <c r="D47" s="480">
        <f>未审PL!D46</f>
        <v>0</v>
      </c>
      <c r="E47" s="480">
        <f t="shared" si="0"/>
        <v>0</v>
      </c>
      <c r="F47" s="446" t="str">
        <f t="shared" si="4"/>
        <v/>
      </c>
      <c r="G47" s="449" t="str">
        <f>IF(F47="","",IF(OR(ABS(F47)&gt;=30%,ABS(E47)&gt;=未审横向BS!$D$63*5%,ABS(E47)&gt;=$D$31*10%),"显著",IF(ABS(F47)&gt;=10%,"关注","")))</f>
        <v/>
      </c>
      <c r="H47" s="870"/>
    </row>
    <row r="48" spans="1:8" s="340" customFormat="1" ht="12.75">
      <c r="A48" s="349" t="str">
        <f>报表格式!L46</f>
        <v xml:space="preserve">        （二）其他支出</v>
      </c>
      <c r="B48" s="348">
        <v>42</v>
      </c>
      <c r="C48" s="480">
        <f>审定PL!E47</f>
        <v>0</v>
      </c>
      <c r="D48" s="480">
        <f>未审PL!D47</f>
        <v>0</v>
      </c>
      <c r="E48" s="480">
        <f t="shared" si="0"/>
        <v>0</v>
      </c>
      <c r="F48" s="446" t="str">
        <f t="shared" si="4"/>
        <v/>
      </c>
      <c r="G48" s="449" t="str">
        <f>IF(F48="","",IF(OR(ABS(F48)&gt;=30%,ABS(E48)&gt;=未审横向BS!$D$63*5%,ABS(E48)&gt;=$D$31*10%),"显著",IF(ABS(F48)&gt;=10%,"关注","")))</f>
        <v/>
      </c>
      <c r="H48" s="870"/>
    </row>
    <row r="49" spans="1:8" s="340" customFormat="1" ht="12.75">
      <c r="A49" s="349" t="str">
        <f>报表格式!L47</f>
        <v xml:space="preserve">             其中：结转的含量工资包干结余</v>
      </c>
      <c r="B49" s="348">
        <v>43</v>
      </c>
      <c r="C49" s="480">
        <f>审定PL!E48</f>
        <v>0</v>
      </c>
      <c r="D49" s="480">
        <f>未审PL!D48</f>
        <v>0</v>
      </c>
      <c r="E49" s="480">
        <f t="shared" si="0"/>
        <v>0</v>
      </c>
      <c r="F49" s="446" t="str">
        <f t="shared" si="4"/>
        <v/>
      </c>
      <c r="G49" s="449" t="str">
        <f>IF(F49="","",IF(OR(ABS(F49)&gt;=30%,ABS(E49)&gt;=未审横向BS!$D$63*5%,ABS(E49)&gt;=$D$31*10%),"显著",IF(ABS(F49)&gt;=10%,"关注","")))</f>
        <v/>
      </c>
      <c r="H49" s="870"/>
    </row>
    <row r="50" spans="1:8" s="340" customFormat="1" ht="12.75">
      <c r="A50" s="347" t="str">
        <f>报表格式!L48</f>
        <v>五、利润总额</v>
      </c>
      <c r="B50" s="348">
        <v>44</v>
      </c>
      <c r="C50" s="601">
        <f>C31+C32+C33+C34+C36+C41-C43-C48</f>
        <v>0</v>
      </c>
      <c r="D50" s="601">
        <f>D31+D32+D33+D34+D36+D41-D43-D48</f>
        <v>0</v>
      </c>
      <c r="E50" s="601">
        <f t="shared" si="0"/>
        <v>0</v>
      </c>
      <c r="F50" s="602" t="str">
        <f>IF(C50=0,"",E50/C50)</f>
        <v/>
      </c>
      <c r="G50" s="449" t="str">
        <f>IF(F50="","",IF(OR(ABS(F50)&gt;=30%,ABS(E50)&gt;=未审横向BS!$D$63*5%,ABS(E50)&gt;=$D$31*10%),"显著",IF(ABS(F50)&gt;=10%,"关注","")))</f>
        <v/>
      </c>
      <c r="H50" s="870"/>
    </row>
    <row r="51" spans="1:8" s="340" customFormat="1" ht="12.75">
      <c r="A51" s="349" t="str">
        <f>报表格式!L49</f>
        <v xml:space="preserve">    减：所得税</v>
      </c>
      <c r="B51" s="348">
        <v>45</v>
      </c>
      <c r="C51" s="480">
        <f>审定PL!E50</f>
        <v>0</v>
      </c>
      <c r="D51" s="480">
        <f>未审PL!D50</f>
        <v>0</v>
      </c>
      <c r="E51" s="480">
        <f t="shared" si="0"/>
        <v>0</v>
      </c>
      <c r="F51" s="446" t="str">
        <f>IF(C51=0,"",E51/C51)</f>
        <v/>
      </c>
      <c r="G51" s="449" t="str">
        <f>IF(F51="","",IF(OR(ABS(F51)&gt;=30%,ABS(E51)&gt;=未审横向BS!$D$63*5%,ABS(E51)&gt;=$D$31*10%),"显著",IF(ABS(F51)&gt;=10%,"关注","")))</f>
        <v/>
      </c>
      <c r="H51" s="870"/>
    </row>
    <row r="52" spans="1:8" s="340" customFormat="1" ht="12.75">
      <c r="A52" s="349" t="str">
        <f>报表格式!L50</f>
        <v xml:space="preserve">       *少数股东损益</v>
      </c>
      <c r="B52" s="348">
        <v>46</v>
      </c>
      <c r="C52" s="480">
        <f>审定PL!E51</f>
        <v>0</v>
      </c>
      <c r="D52" s="480">
        <f>未审PL!D51</f>
        <v>0</v>
      </c>
      <c r="E52" s="480">
        <f t="shared" si="0"/>
        <v>0</v>
      </c>
      <c r="F52" s="446" t="str">
        <f>IF(C52=0,"",E52/C52)</f>
        <v/>
      </c>
      <c r="G52" s="449" t="str">
        <f>IF(F52="","",IF(OR(ABS(F52)&gt;=30%,ABS(E52)&gt;=未审横向BS!$D$63*5%,ABS(E52)&gt;=$D$31*10%),"显著",IF(ABS(F52)&gt;=10%,"关注","")))</f>
        <v/>
      </c>
      <c r="H52" s="870"/>
    </row>
    <row r="53" spans="1:8" s="340" customFormat="1" ht="12.75">
      <c r="A53" s="349" t="str">
        <f>报表格式!L51</f>
        <v xml:space="preserve">    加：*未确认的投资损失</v>
      </c>
      <c r="B53" s="348">
        <v>47</v>
      </c>
      <c r="C53" s="480">
        <f>审定PL!E52</f>
        <v>0</v>
      </c>
      <c r="D53" s="480">
        <f>未审PL!D52</f>
        <v>0</v>
      </c>
      <c r="E53" s="480">
        <f t="shared" si="0"/>
        <v>0</v>
      </c>
      <c r="F53" s="446" t="str">
        <f>IF(C53=0,"",E53/C53)</f>
        <v/>
      </c>
      <c r="G53" s="449" t="str">
        <f>IF(F53="","",IF(OR(ABS(F53)&gt;=30%,ABS(E53)&gt;=未审横向BS!$D$63*5%,ABS(E53)&gt;=$D$31*10%),"显著",IF(ABS(F53)&gt;=10%,"关注","")))</f>
        <v/>
      </c>
      <c r="H53" s="870"/>
    </row>
    <row r="54" spans="1:8" s="340" customFormat="1" ht="12.75">
      <c r="A54" s="347" t="str">
        <f>报表格式!L52</f>
        <v>六、净利润</v>
      </c>
      <c r="B54" s="348">
        <v>48</v>
      </c>
      <c r="C54" s="601">
        <f>C50-C51-C52+C53</f>
        <v>0</v>
      </c>
      <c r="D54" s="601">
        <f>D50-D51-D52+D53</f>
        <v>0</v>
      </c>
      <c r="E54" s="601">
        <f t="shared" si="0"/>
        <v>0</v>
      </c>
      <c r="F54" s="602" t="str">
        <f t="shared" ref="F54:F61" si="5">IF(C54=0,"",E54/C54)</f>
        <v/>
      </c>
      <c r="G54" s="449" t="str">
        <f>IF(F54="","",IF(OR(ABS(F54)&gt;=30%,ABS(E54)&gt;=未审横向BS!$D$63*5%,ABS(E54)&gt;=$D$31*10%),"显著",IF(ABS(F54)&gt;=10%,"关注","")))</f>
        <v/>
      </c>
      <c r="H54" s="870"/>
    </row>
    <row r="55" spans="1:8" s="340" customFormat="1" ht="12.75">
      <c r="A55" s="349" t="str">
        <f>报表格式!L53</f>
        <v xml:space="preserve">    加：（一）年初未分配利润</v>
      </c>
      <c r="B55" s="348">
        <v>49</v>
      </c>
      <c r="C55" s="480">
        <f>审定PL!E54</f>
        <v>0</v>
      </c>
      <c r="D55" s="480">
        <f>未审PL!D54</f>
        <v>0</v>
      </c>
      <c r="E55" s="480">
        <f t="shared" si="0"/>
        <v>0</v>
      </c>
      <c r="F55" s="446" t="str">
        <f t="shared" si="5"/>
        <v/>
      </c>
      <c r="G55" s="449" t="str">
        <f>IF(F55="","",IF(OR(ABS(F55)&gt;=30%,ABS(E55)&gt;=未审横向BS!$D$63*5%,ABS(E55)&gt;=$D$31*10%),"显著",IF(ABS(F55)&gt;=10%,"关注","")))</f>
        <v/>
      </c>
      <c r="H55" s="870"/>
    </row>
    <row r="56" spans="1:8" s="340" customFormat="1" ht="12.75">
      <c r="A56" s="349" t="str">
        <f>报表格式!L54</f>
        <v xml:space="preserve">        （二）盈余公积补亏</v>
      </c>
      <c r="B56" s="348">
        <v>50</v>
      </c>
      <c r="C56" s="480">
        <f>审定PL!E55</f>
        <v>0</v>
      </c>
      <c r="D56" s="480">
        <f>未审PL!D55</f>
        <v>0</v>
      </c>
      <c r="E56" s="480">
        <f t="shared" si="0"/>
        <v>0</v>
      </c>
      <c r="F56" s="446" t="str">
        <f t="shared" si="5"/>
        <v/>
      </c>
      <c r="G56" s="449" t="str">
        <f>IF(F56="","",IF(OR(ABS(F56)&gt;=30%,ABS(E56)&gt;=未审横向BS!$D$63*5%,ABS(E56)&gt;=$D$31*10%),"显著",IF(ABS(F56)&gt;=10%,"关注","")))</f>
        <v/>
      </c>
      <c r="H56" s="870"/>
    </row>
    <row r="57" spans="1:8" s="340" customFormat="1" ht="12.75">
      <c r="A57" s="349" t="str">
        <f>报表格式!L55</f>
        <v xml:space="preserve">        （三）其他调整因素</v>
      </c>
      <c r="B57" s="348">
        <v>51</v>
      </c>
      <c r="C57" s="480">
        <f>审定PL!E56</f>
        <v>0</v>
      </c>
      <c r="D57" s="480">
        <f>未审PL!D56</f>
        <v>0</v>
      </c>
      <c r="E57" s="480">
        <f t="shared" si="0"/>
        <v>0</v>
      </c>
      <c r="F57" s="446" t="str">
        <f t="shared" si="5"/>
        <v/>
      </c>
      <c r="G57" s="449" t="str">
        <f>IF(F57="","",IF(OR(ABS(F57)&gt;=30%,ABS(E57)&gt;=未审横向BS!$D$63*5%,ABS(E57)&gt;=$D$31*10%),"显著",IF(ABS(F57)&gt;=10%,"关注","")))</f>
        <v/>
      </c>
      <c r="H57" s="870"/>
    </row>
    <row r="58" spans="1:8" s="340" customFormat="1" ht="12.75">
      <c r="A58" s="347" t="str">
        <f>报表格式!L56</f>
        <v>七、可供分配的利润</v>
      </c>
      <c r="B58" s="348">
        <v>52</v>
      </c>
      <c r="C58" s="601">
        <f>C54+C55+C56+C57</f>
        <v>0</v>
      </c>
      <c r="D58" s="601">
        <f>D54+D55+D56+D57</f>
        <v>0</v>
      </c>
      <c r="E58" s="601">
        <f t="shared" si="0"/>
        <v>0</v>
      </c>
      <c r="F58" s="602" t="str">
        <f t="shared" si="5"/>
        <v/>
      </c>
      <c r="G58" s="449" t="str">
        <f>IF(F58="","",IF(OR(ABS(F58)&gt;=30%,ABS(E58)&gt;=未审横向BS!$D$63*5%,ABS(E58)&gt;=$D$31*10%),"显著",IF(ABS(F58)&gt;=10%,"关注","")))</f>
        <v/>
      </c>
      <c r="H58" s="870"/>
    </row>
    <row r="59" spans="1:8" s="340" customFormat="1" ht="12.75">
      <c r="A59" s="349" t="str">
        <f>报表格式!L57</f>
        <v xml:space="preserve">    减：（一）提取法定盈余公积</v>
      </c>
      <c r="B59" s="348">
        <v>53</v>
      </c>
      <c r="C59" s="480">
        <f>审定PL!E58</f>
        <v>0</v>
      </c>
      <c r="D59" s="480">
        <f>未审PL!D58</f>
        <v>0</v>
      </c>
      <c r="E59" s="480">
        <f t="shared" si="0"/>
        <v>0</v>
      </c>
      <c r="F59" s="446" t="str">
        <f t="shared" si="5"/>
        <v/>
      </c>
      <c r="G59" s="449" t="str">
        <f>IF(F59="","",IF(OR(ABS(F59)&gt;=30%,ABS(E59)&gt;=未审横向BS!$D$63*5%,ABS(E59)&gt;=$D$31*10%),"显著",IF(ABS(F59)&gt;=10%,"关注","")))</f>
        <v/>
      </c>
      <c r="H59" s="870"/>
    </row>
    <row r="60" spans="1:8" s="340" customFormat="1" ht="12.75">
      <c r="A60" s="349" t="str">
        <f>报表格式!L58</f>
        <v xml:space="preserve">        （二）提取法定公益金</v>
      </c>
      <c r="B60" s="348">
        <v>54</v>
      </c>
      <c r="C60" s="480">
        <f>审定PL!E59</f>
        <v>0</v>
      </c>
      <c r="D60" s="480">
        <f>未审PL!D59</f>
        <v>0</v>
      </c>
      <c r="E60" s="480">
        <f t="shared" si="0"/>
        <v>0</v>
      </c>
      <c r="F60" s="446" t="str">
        <f t="shared" si="5"/>
        <v/>
      </c>
      <c r="G60" s="449" t="str">
        <f>IF(F60="","",IF(OR(ABS(F60)&gt;=30%,ABS(E60)&gt;=未审横向BS!$D$63*5%,ABS(E60)&gt;=$D$31*10%),"显著",IF(ABS(F60)&gt;=10%,"关注","")))</f>
        <v/>
      </c>
      <c r="H60" s="870"/>
    </row>
    <row r="61" spans="1:8" s="340" customFormat="1" ht="12.75">
      <c r="A61" s="349" t="str">
        <f>报表格式!L59</f>
        <v xml:space="preserve">        （三）提取职工奖励及福利基金</v>
      </c>
      <c r="B61" s="348">
        <v>55</v>
      </c>
      <c r="C61" s="480">
        <f>审定PL!E60</f>
        <v>0</v>
      </c>
      <c r="D61" s="480">
        <f>未审PL!D60</f>
        <v>0</v>
      </c>
      <c r="E61" s="480">
        <f t="shared" si="0"/>
        <v>0</v>
      </c>
      <c r="F61" s="446" t="str">
        <f t="shared" si="5"/>
        <v/>
      </c>
      <c r="G61" s="449" t="str">
        <f>IF(F61="","",IF(OR(ABS(F61)&gt;=30%,ABS(E61)&gt;=未审横向BS!$D$63*5%,ABS(E61)&gt;=$D$31*10%),"显著",IF(ABS(F61)&gt;=10%,"关注","")))</f>
        <v/>
      </c>
      <c r="H61" s="870"/>
    </row>
    <row r="62" spans="1:8" s="340" customFormat="1" ht="12.75">
      <c r="A62" s="349" t="str">
        <f>报表格式!L60</f>
        <v xml:space="preserve">        （四）提取储备基金</v>
      </c>
      <c r="B62" s="348">
        <v>56</v>
      </c>
      <c r="C62" s="480">
        <f>审定PL!E61</f>
        <v>0</v>
      </c>
      <c r="D62" s="480">
        <f>未审PL!D61</f>
        <v>0</v>
      </c>
      <c r="E62" s="480">
        <f t="shared" si="0"/>
        <v>0</v>
      </c>
      <c r="F62" s="446" t="str">
        <f>IF(C62=0,"",E62/C62)</f>
        <v/>
      </c>
      <c r="G62" s="449" t="str">
        <f>IF(F62="","",IF(OR(ABS(F62)&gt;=30%,ABS(E62)&gt;=未审横向BS!$D$63*5%,ABS(E62)&gt;=$D$31*10%),"显著",IF(ABS(F62)&gt;=10%,"关注","")))</f>
        <v/>
      </c>
      <c r="H62" s="870"/>
    </row>
    <row r="63" spans="1:8" s="340" customFormat="1" ht="12.75">
      <c r="A63" s="349" t="str">
        <f>报表格式!L61</f>
        <v xml:space="preserve">        （五）提取企业发展基金 </v>
      </c>
      <c r="B63" s="348">
        <v>57</v>
      </c>
      <c r="C63" s="480">
        <f>审定PL!E62</f>
        <v>0</v>
      </c>
      <c r="D63" s="480">
        <f>未审PL!D62</f>
        <v>0</v>
      </c>
      <c r="E63" s="480">
        <f t="shared" si="0"/>
        <v>0</v>
      </c>
      <c r="F63" s="446" t="str">
        <f>IF(C63=0,"",E63/C63)</f>
        <v/>
      </c>
      <c r="G63" s="449" t="str">
        <f>IF(F63="","",IF(OR(ABS(F63)&gt;=30%,ABS(E63)&gt;=未审横向BS!$D$63*5%,ABS(E63)&gt;=$D$31*10%),"显著",IF(ABS(F63)&gt;=10%,"关注","")))</f>
        <v/>
      </c>
      <c r="H63" s="870"/>
    </row>
    <row r="64" spans="1:8" s="340" customFormat="1" ht="12.75">
      <c r="A64" s="349" t="str">
        <f>报表格式!L62</f>
        <v xml:space="preserve">        （六）利润归还投资 </v>
      </c>
      <c r="B64" s="348">
        <v>58</v>
      </c>
      <c r="C64" s="480">
        <f>审定PL!E63</f>
        <v>0</v>
      </c>
      <c r="D64" s="480">
        <f>未审PL!D63</f>
        <v>0</v>
      </c>
      <c r="E64" s="480">
        <f t="shared" si="0"/>
        <v>0</v>
      </c>
      <c r="F64" s="446" t="str">
        <f t="shared" ref="F64:F71" si="6">IF(C64=0,"",E64/C64)</f>
        <v/>
      </c>
      <c r="G64" s="449" t="str">
        <f>IF(F64="","",IF(OR(ABS(F64)&gt;=30%,ABS(E64)&gt;=未审横向BS!$D$63*5%,ABS(E64)&gt;=$D$31*10%),"显著",IF(ABS(F64)&gt;=10%,"关注","")))</f>
        <v/>
      </c>
      <c r="H64" s="870"/>
    </row>
    <row r="65" spans="1:8" s="340" customFormat="1" ht="12.75">
      <c r="A65" s="349" t="str">
        <f>报表格式!L63</f>
        <v xml:space="preserve">        （七）补充流动资本</v>
      </c>
      <c r="B65" s="348">
        <v>59</v>
      </c>
      <c r="C65" s="480">
        <f>审定PL!E64</f>
        <v>0</v>
      </c>
      <c r="D65" s="480">
        <f>未审PL!D64</f>
        <v>0</v>
      </c>
      <c r="E65" s="480">
        <f t="shared" si="0"/>
        <v>0</v>
      </c>
      <c r="F65" s="446" t="str">
        <f t="shared" si="6"/>
        <v/>
      </c>
      <c r="G65" s="449" t="str">
        <f>IF(F65="","",IF(OR(ABS(F65)&gt;=30%,ABS(E65)&gt;=未审横向BS!$D$63*5%,ABS(E65)&gt;=$D$31*10%),"显著",IF(ABS(F65)&gt;=10%,"关注","")))</f>
        <v/>
      </c>
      <c r="H65" s="870"/>
    </row>
    <row r="66" spans="1:8" s="340" customFormat="1" ht="12.75">
      <c r="A66" s="349" t="str">
        <f>报表格式!L64</f>
        <v xml:space="preserve">        （八）单项留用的利润</v>
      </c>
      <c r="B66" s="348">
        <v>60</v>
      </c>
      <c r="C66" s="480">
        <f>审定PL!E65</f>
        <v>0</v>
      </c>
      <c r="D66" s="480">
        <f>未审PL!D65</f>
        <v>0</v>
      </c>
      <c r="E66" s="480">
        <f t="shared" si="0"/>
        <v>0</v>
      </c>
      <c r="F66" s="446" t="str">
        <f t="shared" si="6"/>
        <v/>
      </c>
      <c r="G66" s="449" t="str">
        <f>IF(F66="","",IF(OR(ABS(F66)&gt;=30%,ABS(E66)&gt;=未审横向BS!$D$63*5%,ABS(E66)&gt;=$D$31*10%),"显著",IF(ABS(F66)&gt;=10%,"关注","")))</f>
        <v/>
      </c>
      <c r="H66" s="870"/>
    </row>
    <row r="67" spans="1:8" s="340" customFormat="1" ht="12.75">
      <c r="A67" s="349" t="str">
        <f>报表格式!L65</f>
        <v xml:space="preserve">        （九）其他</v>
      </c>
      <c r="B67" s="348">
        <v>61</v>
      </c>
      <c r="C67" s="480">
        <f>审定PL!E66</f>
        <v>0</v>
      </c>
      <c r="D67" s="480">
        <f>未审PL!D66</f>
        <v>0</v>
      </c>
      <c r="E67" s="480">
        <f t="shared" si="0"/>
        <v>0</v>
      </c>
      <c r="F67" s="446" t="str">
        <f t="shared" si="6"/>
        <v/>
      </c>
      <c r="G67" s="449" t="str">
        <f>IF(F67="","",IF(OR(ABS(F67)&gt;=30%,ABS(E67)&gt;=未审横向BS!$D$63*5%,ABS(E67)&gt;=$D$31*10%),"显著",IF(ABS(F67)&gt;=10%,"关注","")))</f>
        <v/>
      </c>
      <c r="H67" s="870"/>
    </row>
    <row r="68" spans="1:8" s="340" customFormat="1" ht="12.75">
      <c r="A68" s="347" t="str">
        <f>报表格式!L66</f>
        <v>八、可供投资者分配的利润</v>
      </c>
      <c r="B68" s="348">
        <v>62</v>
      </c>
      <c r="C68" s="601">
        <f>C58-C59-C60-C61-C62-C63-C64-C65-C66-C67</f>
        <v>0</v>
      </c>
      <c r="D68" s="601">
        <f>D58-D59-D60-D61-D62-D63-D64-D65-D66-D67</f>
        <v>0</v>
      </c>
      <c r="E68" s="601">
        <f t="shared" si="0"/>
        <v>0</v>
      </c>
      <c r="F68" s="602" t="str">
        <f t="shared" si="6"/>
        <v/>
      </c>
      <c r="G68" s="449" t="str">
        <f>IF(F68="","",IF(OR(ABS(F68)&gt;=30%,ABS(E68)&gt;=未审横向BS!$D$63*5%,ABS(E68)&gt;=$D$31*10%),"显著",IF(ABS(F68)&gt;=10%,"关注","")))</f>
        <v/>
      </c>
      <c r="H68" s="870"/>
    </row>
    <row r="69" spans="1:8" s="340" customFormat="1" ht="12.75">
      <c r="A69" s="349" t="str">
        <f>报表格式!L67</f>
        <v xml:space="preserve">    减：（一）应付优先股股利</v>
      </c>
      <c r="B69" s="348">
        <v>63</v>
      </c>
      <c r="C69" s="480">
        <f>审定PL!E68</f>
        <v>0</v>
      </c>
      <c r="D69" s="480">
        <f>未审PL!D68</f>
        <v>0</v>
      </c>
      <c r="E69" s="480">
        <f t="shared" si="0"/>
        <v>0</v>
      </c>
      <c r="F69" s="446" t="str">
        <f t="shared" si="6"/>
        <v/>
      </c>
      <c r="G69" s="449" t="str">
        <f>IF(F69="","",IF(OR(ABS(F69)&gt;=30%,ABS(E69)&gt;=未审横向BS!$D$63*5%,ABS(E69)&gt;=$D$31*10%),"显著",IF(ABS(F69)&gt;=10%,"关注","")))</f>
        <v/>
      </c>
      <c r="H69" s="870"/>
    </row>
    <row r="70" spans="1:8" s="340" customFormat="1" ht="12.75">
      <c r="A70" s="349" t="str">
        <f>报表格式!L68</f>
        <v xml:space="preserve">        （二）提取任意盈余公积</v>
      </c>
      <c r="B70" s="348">
        <v>64</v>
      </c>
      <c r="C70" s="480">
        <f>审定PL!E69</f>
        <v>0</v>
      </c>
      <c r="D70" s="480">
        <f>未审PL!D69</f>
        <v>0</v>
      </c>
      <c r="E70" s="480">
        <f t="shared" si="0"/>
        <v>0</v>
      </c>
      <c r="F70" s="446" t="str">
        <f t="shared" si="6"/>
        <v/>
      </c>
      <c r="G70" s="449" t="str">
        <f>IF(F70="","",IF(OR(ABS(F70)&gt;=30%,ABS(E70)&gt;=未审横向BS!$D$63*5%,ABS(E70)&gt;=$D$31*10%),"显著",IF(ABS(F70)&gt;=10%,"关注","")))</f>
        <v/>
      </c>
      <c r="H70" s="870"/>
    </row>
    <row r="71" spans="1:8" s="340" customFormat="1" ht="12.75">
      <c r="A71" s="349" t="str">
        <f>报表格式!L69</f>
        <v xml:space="preserve">        （三）应付普通股股利（应付利润）</v>
      </c>
      <c r="B71" s="348">
        <v>65</v>
      </c>
      <c r="C71" s="480">
        <f>审定PL!E70</f>
        <v>0</v>
      </c>
      <c r="D71" s="480">
        <f>未审PL!D70</f>
        <v>0</v>
      </c>
      <c r="E71" s="480">
        <f t="shared" si="0"/>
        <v>0</v>
      </c>
      <c r="F71" s="446" t="str">
        <f t="shared" si="6"/>
        <v/>
      </c>
      <c r="G71" s="449" t="str">
        <f>IF(F71="","",IF(OR(ABS(F71)&gt;=30%,ABS(E71)&gt;=未审横向BS!$D$63*5%,ABS(E71)&gt;=$D$31*10%),"显著",IF(ABS(F71)&gt;=10%,"关注","")))</f>
        <v/>
      </c>
      <c r="H71" s="870"/>
    </row>
    <row r="72" spans="1:8" s="340" customFormat="1" ht="12.75">
      <c r="A72" s="349" t="str">
        <f>报表格式!L70</f>
        <v xml:space="preserve">        （四）转作资本（股本）的普通股股利</v>
      </c>
      <c r="B72" s="348">
        <v>66</v>
      </c>
      <c r="C72" s="480">
        <f>审定PL!E71</f>
        <v>0</v>
      </c>
      <c r="D72" s="480">
        <f>未审PL!D71</f>
        <v>0</v>
      </c>
      <c r="E72" s="480">
        <f t="shared" si="0"/>
        <v>0</v>
      </c>
      <c r="F72" s="446" t="str">
        <f>IF(C72=0,"",E72/C72)</f>
        <v/>
      </c>
      <c r="G72" s="449" t="str">
        <f>IF(F72="","",IF(OR(ABS(F72)&gt;=30%,ABS(E72)&gt;=未审横向BS!$D$63*5%,ABS(E72)&gt;=$D$31*10%),"显著",IF(ABS(F72)&gt;=10%,"关注","")))</f>
        <v/>
      </c>
      <c r="H72" s="870"/>
    </row>
    <row r="73" spans="1:8">
      <c r="A73" s="349" t="str">
        <f>报表格式!L71</f>
        <v xml:space="preserve">        （五）其他</v>
      </c>
      <c r="B73" s="348">
        <v>67</v>
      </c>
      <c r="C73" s="480">
        <f>审定PL!E72</f>
        <v>0</v>
      </c>
      <c r="D73" s="480">
        <f>未审PL!D72</f>
        <v>0</v>
      </c>
      <c r="E73" s="480">
        <f t="shared" si="0"/>
        <v>0</v>
      </c>
      <c r="F73" s="450" t="str">
        <f>IF(C73=0,"",E73/C73)</f>
        <v/>
      </c>
      <c r="G73" s="449" t="str">
        <f>IF(F73="","",IF(OR(ABS(F73)&gt;=30%,ABS(E73)&gt;=未审横向BS!$D$63*5%,ABS(E73)&gt;=$D$31*10%),"显著",IF(ABS(F73)&gt;=10%,"关注","")))</f>
        <v/>
      </c>
      <c r="H73" s="871"/>
    </row>
    <row r="74" spans="1:8">
      <c r="A74" s="350" t="str">
        <f>报表格式!L72</f>
        <v>九、未分配利润</v>
      </c>
      <c r="B74" s="351">
        <v>68</v>
      </c>
      <c r="C74" s="604">
        <f>C68-C69-C70-C71-C72-C73</f>
        <v>0</v>
      </c>
      <c r="D74" s="604">
        <f>D68-D69-D70-D71-D72-D73</f>
        <v>0</v>
      </c>
      <c r="E74" s="604">
        <f>D74-C74</f>
        <v>0</v>
      </c>
      <c r="F74" s="605" t="str">
        <f>IF(C74=0,"",E74/C74)</f>
        <v/>
      </c>
      <c r="G74" s="482" t="str">
        <f>IF(F74="","",IF(OR(ABS(F74)&gt;=30%,ABS(E74)&gt;=未审横向BS!$D$63*5%,ABS(E74)&gt;=$D$31*10%),"显著",IF(ABS(F74)&gt;=10%,"关注","")))</f>
        <v/>
      </c>
      <c r="H74" s="872"/>
    </row>
    <row r="75" spans="1:8" ht="15" thickBot="1">
      <c r="A75" s="352" t="str">
        <f>报表格式!L73</f>
        <v xml:space="preserve">    其中：应由以后年度税前利润弥补的亏损（以“+”号填列）</v>
      </c>
      <c r="B75" s="353">
        <v>69</v>
      </c>
      <c r="C75" s="481">
        <f>审定PL!E74</f>
        <v>0</v>
      </c>
      <c r="D75" s="481">
        <f>未审PL!D74</f>
        <v>0</v>
      </c>
      <c r="E75" s="481">
        <f>D75-C75</f>
        <v>0</v>
      </c>
      <c r="F75" s="483" t="str">
        <f>IF(C75=0,"",E75/C75)</f>
        <v/>
      </c>
      <c r="G75" s="484" t="str">
        <f>IF(F75="","",IF(OR(ABS(F75)&gt;=30%,ABS(E75)&gt;=未审横向BS!$D$63*5%,ABS(E75)&gt;=$D$31*10%),"显著",IF(ABS(F75)&gt;=10%,"关注","")))</f>
        <v/>
      </c>
      <c r="H75" s="873"/>
    </row>
    <row r="78" spans="1:8">
      <c r="F78" s="341"/>
    </row>
    <row r="79" spans="1:8">
      <c r="F79" s="342"/>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32" priority="1" stopIfTrue="1" operator="equal">
      <formula>"异常"</formula>
    </cfRule>
  </conditionalFormatting>
  <conditionalFormatting sqref="G7:G75">
    <cfRule type="cellIs" dxfId="31" priority="2" stopIfTrue="1" operator="equal">
      <formula>"显著"</formula>
    </cfRule>
  </conditionalFormatting>
  <printOptions horizontalCentered="1"/>
  <pageMargins left="0.71" right="0.23622047244094491" top="0.38" bottom="0.25" header="0.2" footer="0.2"/>
  <pageSetup paperSize="9" scale="79" orientation="portrait" blackAndWhite="1"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indexed="39"/>
    <pageSetUpPr fitToPage="1"/>
  </sheetPr>
  <dimension ref="A1:R67"/>
  <sheetViews>
    <sheetView showZeros="0" workbookViewId="0">
      <pane xSplit="2" ySplit="6" topLeftCell="C49" activePane="bottomRight" state="frozen"/>
      <selection sqref="A1:H1"/>
      <selection pane="topRight" sqref="A1:H1"/>
      <selection pane="bottomLeft" sqref="A1:H1"/>
      <selection pane="bottomRight" sqref="A1:I1"/>
    </sheetView>
  </sheetViews>
  <sheetFormatPr defaultRowHeight="14.25"/>
  <cols>
    <col min="1" max="1" width="23.125" style="151" customWidth="1"/>
    <col min="2" max="2" width="2.625" style="151" customWidth="1"/>
    <col min="3" max="3" width="12.25" style="152" customWidth="1"/>
    <col min="4" max="4" width="7" style="152" customWidth="1"/>
    <col min="5" max="5" width="11.5" style="152" customWidth="1"/>
    <col min="6" max="6" width="7.75" style="152" customWidth="1"/>
    <col min="7" max="7" width="11" style="152" customWidth="1"/>
    <col min="8" max="8" width="9.375" style="152" customWidth="1"/>
    <col min="9" max="9" width="10.25" style="152" customWidth="1"/>
    <col min="10" max="10" width="18.375" style="151" customWidth="1"/>
    <col min="11" max="11" width="3.125" style="151" customWidth="1"/>
    <col min="12" max="12" width="12.75" style="152" customWidth="1"/>
    <col min="13" max="13" width="6.375" style="152" customWidth="1"/>
    <col min="14" max="14" width="13" style="152" customWidth="1"/>
    <col min="15" max="15" width="7.875" style="152" customWidth="1"/>
    <col min="16" max="16" width="13.75" style="152" customWidth="1"/>
    <col min="17" max="17" width="9" style="152"/>
    <col min="18" max="18" width="11.25" style="152" customWidth="1"/>
    <col min="19" max="16384" width="9" style="152"/>
  </cols>
  <sheetData>
    <row r="1" spans="1:18" ht="18.75">
      <c r="A1" s="969" t="s">
        <v>605</v>
      </c>
      <c r="B1" s="969"/>
      <c r="C1" s="969"/>
      <c r="D1" s="969"/>
      <c r="E1" s="969"/>
      <c r="F1" s="969"/>
      <c r="G1" s="969"/>
      <c r="H1" s="969"/>
      <c r="I1" s="969"/>
      <c r="J1" s="969" t="s">
        <v>615</v>
      </c>
      <c r="K1" s="969"/>
      <c r="L1" s="969"/>
      <c r="M1" s="969"/>
      <c r="N1" s="969"/>
      <c r="O1" s="969"/>
      <c r="P1" s="969"/>
      <c r="Q1" s="969"/>
      <c r="R1" s="969"/>
    </row>
    <row r="2" spans="1:18" s="61" customFormat="1" ht="15" customHeight="1">
      <c r="A2" s="171" t="str">
        <f>CONCATENATE("客户名称：",参数!D3)</f>
        <v>客户名称：</v>
      </c>
      <c r="E2" s="172" t="str">
        <f>CONCATENATE("编制：",参数!D17)</f>
        <v>编制：</v>
      </c>
      <c r="F2" s="172"/>
      <c r="G2" s="171" t="str">
        <f>CONCATENATE("复核：",参数!D18)</f>
        <v>复核：</v>
      </c>
      <c r="H2" s="174"/>
      <c r="I2" s="172" t="s">
        <v>267</v>
      </c>
      <c r="J2" s="171" t="str">
        <f>CONCATENATE("客户名称：",参数!D3)</f>
        <v>客户名称：</v>
      </c>
      <c r="N2" s="172" t="str">
        <f>CONCATENATE("编制：",参数!D17)</f>
        <v>编制：</v>
      </c>
      <c r="O2" s="172"/>
      <c r="P2" s="171" t="str">
        <f>CONCATENATE("复核：",参数!D18)</f>
        <v>复核：</v>
      </c>
      <c r="Q2" s="174"/>
      <c r="R2" s="172" t="s">
        <v>267</v>
      </c>
    </row>
    <row r="3" spans="1:18" s="61" customFormat="1" ht="17.25" customHeight="1" thickBot="1">
      <c r="A3" s="174" t="str">
        <f>CONCATENATE("会计时点：",TEXT(参数!D12,"yyyy.mm.dd"))</f>
        <v>会计时点：2007.12.31</v>
      </c>
      <c r="E3" s="176" t="str">
        <f ca="1">CONCATENATE("日期：",TEXT(NOW(),"yyyy.mm.dd"))</f>
        <v>日期：2023.08.14</v>
      </c>
      <c r="F3" s="176"/>
      <c r="G3" s="172" t="s">
        <v>268</v>
      </c>
      <c r="H3" s="174"/>
      <c r="I3" s="172" t="s">
        <v>269</v>
      </c>
      <c r="J3" s="174" t="str">
        <f>CONCATENATE("会计时点：",TEXT(参数!D12,"yyyy.mm.dd"))</f>
        <v>会计时点：2007.12.31</v>
      </c>
      <c r="N3" s="176" t="str">
        <f ca="1">CONCATENATE("日期：",TEXT(NOW(),"yyyy.mm.dd"))</f>
        <v>日期：2023.08.14</v>
      </c>
      <c r="O3" s="176"/>
      <c r="P3" s="172" t="s">
        <v>268</v>
      </c>
      <c r="Q3" s="174"/>
      <c r="R3" s="172" t="s">
        <v>269</v>
      </c>
    </row>
    <row r="4" spans="1:18" ht="14.25" customHeight="1">
      <c r="A4" s="973" t="s">
        <v>594</v>
      </c>
      <c r="B4" s="987" t="s">
        <v>366</v>
      </c>
      <c r="C4" s="998" t="s">
        <v>587</v>
      </c>
      <c r="D4" s="999"/>
      <c r="E4" s="998" t="s">
        <v>588</v>
      </c>
      <c r="F4" s="999"/>
      <c r="G4" s="996" t="s">
        <v>614</v>
      </c>
      <c r="H4" s="981" t="s">
        <v>704</v>
      </c>
      <c r="I4" s="1000" t="s">
        <v>705</v>
      </c>
      <c r="J4" s="978" t="str">
        <f>IF(参数!D8="一般企业（执行统一会计制度）","负债及所有者权益","负债及股东权益")</f>
        <v>负债及所有者权益</v>
      </c>
      <c r="K4" s="970" t="s">
        <v>366</v>
      </c>
      <c r="L4" s="998" t="s">
        <v>587</v>
      </c>
      <c r="M4" s="999"/>
      <c r="N4" s="998" t="s">
        <v>588</v>
      </c>
      <c r="O4" s="999"/>
      <c r="P4" s="996" t="s">
        <v>614</v>
      </c>
      <c r="Q4" s="981" t="s">
        <v>704</v>
      </c>
      <c r="R4" s="1000" t="s">
        <v>705</v>
      </c>
    </row>
    <row r="5" spans="1:18">
      <c r="A5" s="974"/>
      <c r="B5" s="988"/>
      <c r="C5" s="358" t="s">
        <v>606</v>
      </c>
      <c r="D5" s="337" t="s">
        <v>607</v>
      </c>
      <c r="E5" s="358" t="s">
        <v>610</v>
      </c>
      <c r="F5" s="337" t="s">
        <v>607</v>
      </c>
      <c r="G5" s="997"/>
      <c r="H5" s="982"/>
      <c r="I5" s="1001"/>
      <c r="J5" s="979"/>
      <c r="K5" s="971"/>
      <c r="L5" s="358" t="s">
        <v>606</v>
      </c>
      <c r="M5" s="337" t="s">
        <v>607</v>
      </c>
      <c r="N5" s="358" t="s">
        <v>610</v>
      </c>
      <c r="O5" s="337" t="s">
        <v>607</v>
      </c>
      <c r="P5" s="997"/>
      <c r="Q5" s="982"/>
      <c r="R5" s="1001"/>
    </row>
    <row r="6" spans="1:18">
      <c r="A6" s="975"/>
      <c r="B6" s="989"/>
      <c r="C6" s="339" t="s">
        <v>590</v>
      </c>
      <c r="D6" s="359" t="s">
        <v>608</v>
      </c>
      <c r="E6" s="359" t="s">
        <v>609</v>
      </c>
      <c r="F6" s="359" t="s">
        <v>611</v>
      </c>
      <c r="G6" s="359" t="s">
        <v>612</v>
      </c>
      <c r="H6" s="983"/>
      <c r="I6" s="1002"/>
      <c r="J6" s="980"/>
      <c r="K6" s="972"/>
      <c r="L6" s="339" t="s">
        <v>590</v>
      </c>
      <c r="M6" s="359" t="s">
        <v>608</v>
      </c>
      <c r="N6" s="359" t="s">
        <v>609</v>
      </c>
      <c r="O6" s="359" t="s">
        <v>611</v>
      </c>
      <c r="P6" s="359" t="s">
        <v>612</v>
      </c>
      <c r="Q6" s="983"/>
      <c r="R6" s="1002"/>
    </row>
    <row r="7" spans="1:18" ht="13.9" customHeight="1">
      <c r="A7" s="343" t="str">
        <f>报表格式!B5</f>
        <v>流动资产：</v>
      </c>
      <c r="B7" s="344">
        <v>1</v>
      </c>
      <c r="C7" s="465"/>
      <c r="D7" s="465"/>
      <c r="E7" s="465"/>
      <c r="F7" s="465"/>
      <c r="G7" s="466"/>
      <c r="H7" s="345"/>
      <c r="I7" s="365"/>
      <c r="J7" s="361" t="str">
        <f>报表格式!G5</f>
        <v>流动负债：</v>
      </c>
      <c r="K7" s="474">
        <f>B63+1</f>
        <v>58</v>
      </c>
      <c r="L7" s="465"/>
      <c r="M7" s="465"/>
      <c r="N7" s="465"/>
      <c r="O7" s="465"/>
      <c r="P7" s="491"/>
      <c r="Q7" s="485"/>
      <c r="R7" s="874"/>
    </row>
    <row r="8" spans="1:18" ht="13.9" customHeight="1">
      <c r="A8" s="257" t="str">
        <f>报表格式!B6</f>
        <v>货币资金</v>
      </c>
      <c r="B8" s="258">
        <v>2</v>
      </c>
      <c r="C8" s="467">
        <f>未审横向BS!C8</f>
        <v>0</v>
      </c>
      <c r="D8" s="488" t="str">
        <f t="shared" ref="D8:D21" si="0">IF(AND(C8&lt;&gt;0,$C$63&lt;&gt;0),C8/$C$63,"")</f>
        <v/>
      </c>
      <c r="E8" s="467">
        <f>未审横向BS!D8</f>
        <v>0</v>
      </c>
      <c r="F8" s="488" t="str">
        <f t="shared" ref="F8:F39" si="1">IF(AND(E8&lt;&gt;0,$E$63&lt;&gt;0),E8/$E$63,"")</f>
        <v/>
      </c>
      <c r="G8" s="468" t="str">
        <f>IF(AND(D8="",F8=""),"",IF(D8="",F8,IF(F8="",-D8,F8-D8)))</f>
        <v/>
      </c>
      <c r="H8" s="447" t="str">
        <f>IF(G8="","",IF(ABS(G8)&gt;=30%,"显著",IF(ABS(G8)&gt;=10%,"关注","")))</f>
        <v/>
      </c>
      <c r="I8" s="260"/>
      <c r="J8" s="362" t="str">
        <f>报表格式!G6</f>
        <v>短期借款</v>
      </c>
      <c r="K8" s="259">
        <f t="shared" ref="K8:K43" si="2">K7+1</f>
        <v>59</v>
      </c>
      <c r="L8" s="467">
        <f>未审横向BS!K8</f>
        <v>0</v>
      </c>
      <c r="M8" s="488" t="str">
        <f t="shared" ref="M8:M20" si="3">IF(AND(L8&lt;&gt;0,$L$63&lt;&gt;0),L8/$L$63,"")</f>
        <v/>
      </c>
      <c r="N8" s="467">
        <f>未审横向BS!L8</f>
        <v>0</v>
      </c>
      <c r="O8" s="488" t="str">
        <f t="shared" ref="O8:O20" si="4">IF(AND(N8&lt;&gt;0,$N$63&lt;&gt;0),N8/$N$63,"")</f>
        <v/>
      </c>
      <c r="P8" s="468" t="str">
        <f>IF(AND(M8="",O8=""),"",IF(M8="",O8,IF(O8="",-M8,O8-M8)))</f>
        <v/>
      </c>
      <c r="Q8" s="447" t="str">
        <f>IF(P8="","",IF(ABS(P8)&gt;=30%,"显著",IF(ABS(P8)&gt;=10%,"关注","")))</f>
        <v/>
      </c>
      <c r="R8" s="875"/>
    </row>
    <row r="9" spans="1:18" ht="13.9" customHeight="1">
      <c r="A9" s="257" t="str">
        <f>报表格式!B7</f>
        <v>短期投资</v>
      </c>
      <c r="B9" s="258">
        <v>3</v>
      </c>
      <c r="C9" s="467">
        <f>未审横向BS!C9</f>
        <v>0</v>
      </c>
      <c r="D9" s="488" t="str">
        <f t="shared" si="0"/>
        <v/>
      </c>
      <c r="E9" s="467">
        <f>未审横向BS!D9</f>
        <v>0</v>
      </c>
      <c r="F9" s="488" t="str">
        <f t="shared" si="1"/>
        <v/>
      </c>
      <c r="G9" s="468" t="str">
        <f t="shared" ref="G9:G29" si="5">IF(AND(D9="",F9=""),"",IF(D9="",F9,IF(F9="",-D9,F9-D9)))</f>
        <v/>
      </c>
      <c r="H9" s="447" t="str">
        <f t="shared" ref="H9:H63" si="6">IF(G9="","",IF(ABS(G9)&gt;=30%,"显著",IF(ABS(G9)&gt;=10%,"关注","")))</f>
        <v/>
      </c>
      <c r="I9" s="260"/>
      <c r="J9" s="362" t="str">
        <f>报表格式!G7</f>
        <v>应付票据</v>
      </c>
      <c r="K9" s="259">
        <f t="shared" si="2"/>
        <v>60</v>
      </c>
      <c r="L9" s="467">
        <f>未审横向BS!K9</f>
        <v>0</v>
      </c>
      <c r="M9" s="488" t="str">
        <f t="shared" si="3"/>
        <v/>
      </c>
      <c r="N9" s="467">
        <f>未审横向BS!L9</f>
        <v>0</v>
      </c>
      <c r="O9" s="488" t="str">
        <f t="shared" si="4"/>
        <v/>
      </c>
      <c r="P9" s="468" t="str">
        <f t="shared" ref="P9:P16" si="7">IF(AND(M9="",O9=""),"",IF(M9="",O9,IF(O9="",-M9,O9-M9)))</f>
        <v/>
      </c>
      <c r="Q9" s="447" t="str">
        <f t="shared" ref="Q9:Q41" si="8">IF(P9="","",IF(ABS(P9)&gt;=30%,"显著",IF(ABS(P9)&gt;=10%,"关注","")))</f>
        <v/>
      </c>
      <c r="R9" s="875"/>
    </row>
    <row r="10" spans="1:18" ht="13.9" customHeight="1">
      <c r="A10" s="257" t="str">
        <f>报表格式!B8</f>
        <v>应收票据</v>
      </c>
      <c r="B10" s="258">
        <v>4</v>
      </c>
      <c r="C10" s="467">
        <f>未审横向BS!C10</f>
        <v>0</v>
      </c>
      <c r="D10" s="488" t="str">
        <f t="shared" si="0"/>
        <v/>
      </c>
      <c r="E10" s="467">
        <f>未审横向BS!D10</f>
        <v>0</v>
      </c>
      <c r="F10" s="488" t="str">
        <f t="shared" si="1"/>
        <v/>
      </c>
      <c r="G10" s="468" t="str">
        <f t="shared" si="5"/>
        <v/>
      </c>
      <c r="H10" s="447" t="str">
        <f t="shared" si="6"/>
        <v/>
      </c>
      <c r="I10" s="260"/>
      <c r="J10" s="362" t="str">
        <f>报表格式!G8</f>
        <v>应付账款</v>
      </c>
      <c r="K10" s="259">
        <f t="shared" si="2"/>
        <v>61</v>
      </c>
      <c r="L10" s="467">
        <f>未审横向BS!K10</f>
        <v>0</v>
      </c>
      <c r="M10" s="488" t="str">
        <f t="shared" si="3"/>
        <v/>
      </c>
      <c r="N10" s="467">
        <f>未审横向BS!L10</f>
        <v>0</v>
      </c>
      <c r="O10" s="488" t="str">
        <f t="shared" si="4"/>
        <v/>
      </c>
      <c r="P10" s="468" t="str">
        <f t="shared" si="7"/>
        <v/>
      </c>
      <c r="Q10" s="447" t="str">
        <f t="shared" si="8"/>
        <v/>
      </c>
      <c r="R10" s="875"/>
    </row>
    <row r="11" spans="1:18" ht="13.9" customHeight="1">
      <c r="A11" s="257" t="str">
        <f>报表格式!B9</f>
        <v>应收股利</v>
      </c>
      <c r="B11" s="258">
        <v>5</v>
      </c>
      <c r="C11" s="467">
        <f>未审横向BS!C11</f>
        <v>0</v>
      </c>
      <c r="D11" s="488" t="str">
        <f t="shared" si="0"/>
        <v/>
      </c>
      <c r="E11" s="467">
        <f>未审横向BS!D11</f>
        <v>0</v>
      </c>
      <c r="F11" s="488" t="str">
        <f t="shared" si="1"/>
        <v/>
      </c>
      <c r="G11" s="468" t="str">
        <f t="shared" si="5"/>
        <v/>
      </c>
      <c r="H11" s="447" t="str">
        <f t="shared" si="6"/>
        <v/>
      </c>
      <c r="I11" s="260"/>
      <c r="J11" s="362" t="str">
        <f>报表格式!G9</f>
        <v>预收账款</v>
      </c>
      <c r="K11" s="259">
        <f t="shared" si="2"/>
        <v>62</v>
      </c>
      <c r="L11" s="467">
        <f>未审横向BS!K11</f>
        <v>0</v>
      </c>
      <c r="M11" s="488" t="str">
        <f t="shared" si="3"/>
        <v/>
      </c>
      <c r="N11" s="467">
        <f>未审横向BS!L11</f>
        <v>0</v>
      </c>
      <c r="O11" s="488" t="str">
        <f t="shared" si="4"/>
        <v/>
      </c>
      <c r="P11" s="468" t="str">
        <f t="shared" si="7"/>
        <v/>
      </c>
      <c r="Q11" s="447" t="str">
        <f t="shared" si="8"/>
        <v/>
      </c>
      <c r="R11" s="875"/>
    </row>
    <row r="12" spans="1:18" ht="13.9" customHeight="1">
      <c r="A12" s="257" t="str">
        <f>报表格式!B10</f>
        <v>应收利息</v>
      </c>
      <c r="B12" s="258">
        <v>6</v>
      </c>
      <c r="C12" s="467">
        <f>未审横向BS!C12</f>
        <v>0</v>
      </c>
      <c r="D12" s="488" t="str">
        <f t="shared" si="0"/>
        <v/>
      </c>
      <c r="E12" s="467">
        <f>未审横向BS!D12</f>
        <v>0</v>
      </c>
      <c r="F12" s="488" t="str">
        <f t="shared" si="1"/>
        <v/>
      </c>
      <c r="G12" s="468" t="str">
        <f t="shared" si="5"/>
        <v/>
      </c>
      <c r="H12" s="447" t="str">
        <f t="shared" si="6"/>
        <v/>
      </c>
      <c r="I12" s="260"/>
      <c r="J12" s="362" t="str">
        <f>报表格式!G10</f>
        <v>应付工资</v>
      </c>
      <c r="K12" s="259">
        <f t="shared" si="2"/>
        <v>63</v>
      </c>
      <c r="L12" s="467">
        <f>未审横向BS!K12</f>
        <v>0</v>
      </c>
      <c r="M12" s="488" t="str">
        <f t="shared" si="3"/>
        <v/>
      </c>
      <c r="N12" s="467">
        <f>未审横向BS!L12</f>
        <v>0</v>
      </c>
      <c r="O12" s="488" t="str">
        <f t="shared" si="4"/>
        <v/>
      </c>
      <c r="P12" s="468" t="str">
        <f t="shared" si="7"/>
        <v/>
      </c>
      <c r="Q12" s="447" t="str">
        <f t="shared" si="8"/>
        <v/>
      </c>
      <c r="R12" s="875"/>
    </row>
    <row r="13" spans="1:18" ht="13.9" customHeight="1">
      <c r="A13" s="257" t="str">
        <f>报表格式!B11</f>
        <v>应收账款</v>
      </c>
      <c r="B13" s="258">
        <v>7</v>
      </c>
      <c r="C13" s="467">
        <f>未审横向BS!C13</f>
        <v>0</v>
      </c>
      <c r="D13" s="488" t="str">
        <f t="shared" si="0"/>
        <v/>
      </c>
      <c r="E13" s="467">
        <f>未审横向BS!D13</f>
        <v>0</v>
      </c>
      <c r="F13" s="488" t="str">
        <f t="shared" si="1"/>
        <v/>
      </c>
      <c r="G13" s="468" t="str">
        <f t="shared" si="5"/>
        <v/>
      </c>
      <c r="H13" s="447" t="str">
        <f t="shared" si="6"/>
        <v/>
      </c>
      <c r="I13" s="260"/>
      <c r="J13" s="362" t="str">
        <f>报表格式!G11</f>
        <v>应付福利费</v>
      </c>
      <c r="K13" s="259">
        <f t="shared" si="2"/>
        <v>64</v>
      </c>
      <c r="L13" s="467">
        <f>未审横向BS!K13</f>
        <v>0</v>
      </c>
      <c r="M13" s="488" t="str">
        <f t="shared" si="3"/>
        <v/>
      </c>
      <c r="N13" s="467">
        <f>未审横向BS!L13</f>
        <v>0</v>
      </c>
      <c r="O13" s="488" t="str">
        <f t="shared" si="4"/>
        <v/>
      </c>
      <c r="P13" s="468" t="str">
        <f t="shared" si="7"/>
        <v/>
      </c>
      <c r="Q13" s="447" t="str">
        <f t="shared" si="8"/>
        <v/>
      </c>
      <c r="R13" s="875"/>
    </row>
    <row r="14" spans="1:18" ht="13.9" customHeight="1">
      <c r="A14" s="257" t="str">
        <f>报表格式!B12</f>
        <v>其他应收款</v>
      </c>
      <c r="B14" s="258">
        <v>8</v>
      </c>
      <c r="C14" s="467">
        <f>未审横向BS!C14</f>
        <v>0</v>
      </c>
      <c r="D14" s="488" t="str">
        <f t="shared" si="0"/>
        <v/>
      </c>
      <c r="E14" s="467">
        <f>未审横向BS!D14</f>
        <v>0</v>
      </c>
      <c r="F14" s="488" t="str">
        <f t="shared" si="1"/>
        <v/>
      </c>
      <c r="G14" s="468" t="str">
        <f t="shared" si="5"/>
        <v/>
      </c>
      <c r="H14" s="447" t="str">
        <f t="shared" si="6"/>
        <v/>
      </c>
      <c r="I14" s="260"/>
      <c r="J14" s="362" t="str">
        <f>报表格式!G12</f>
        <v>应付股利（利润）</v>
      </c>
      <c r="K14" s="259">
        <f t="shared" si="2"/>
        <v>65</v>
      </c>
      <c r="L14" s="467">
        <f>未审横向BS!K14</f>
        <v>0</v>
      </c>
      <c r="M14" s="488" t="str">
        <f t="shared" si="3"/>
        <v/>
      </c>
      <c r="N14" s="467">
        <f>未审横向BS!L14</f>
        <v>0</v>
      </c>
      <c r="O14" s="488" t="str">
        <f t="shared" si="4"/>
        <v/>
      </c>
      <c r="P14" s="468" t="str">
        <f t="shared" si="7"/>
        <v/>
      </c>
      <c r="Q14" s="447" t="str">
        <f t="shared" si="8"/>
        <v/>
      </c>
      <c r="R14" s="875"/>
    </row>
    <row r="15" spans="1:18" ht="13.9" customHeight="1">
      <c r="A15" s="257" t="str">
        <f>报表格式!B13</f>
        <v>预付账款</v>
      </c>
      <c r="B15" s="258">
        <v>9</v>
      </c>
      <c r="C15" s="467">
        <f>未审横向BS!C15</f>
        <v>0</v>
      </c>
      <c r="D15" s="488" t="str">
        <f t="shared" si="0"/>
        <v/>
      </c>
      <c r="E15" s="467">
        <f>未审横向BS!D15</f>
        <v>0</v>
      </c>
      <c r="F15" s="488" t="str">
        <f t="shared" si="1"/>
        <v/>
      </c>
      <c r="G15" s="468" t="str">
        <f t="shared" si="5"/>
        <v/>
      </c>
      <c r="H15" s="447" t="str">
        <f t="shared" si="6"/>
        <v/>
      </c>
      <c r="I15" s="260"/>
      <c r="J15" s="362" t="str">
        <f>报表格式!G13</f>
        <v>应付利息</v>
      </c>
      <c r="K15" s="259">
        <f t="shared" si="2"/>
        <v>66</v>
      </c>
      <c r="L15" s="467">
        <f>未审横向BS!K15</f>
        <v>0</v>
      </c>
      <c r="M15" s="488" t="str">
        <f t="shared" si="3"/>
        <v/>
      </c>
      <c r="N15" s="467">
        <f>未审横向BS!L15</f>
        <v>0</v>
      </c>
      <c r="O15" s="488" t="str">
        <f t="shared" si="4"/>
        <v/>
      </c>
      <c r="P15" s="468" t="str">
        <f t="shared" si="7"/>
        <v/>
      </c>
      <c r="Q15" s="447" t="str">
        <f t="shared" si="8"/>
        <v/>
      </c>
      <c r="R15" s="875"/>
    </row>
    <row r="16" spans="1:18" ht="13.9" customHeight="1">
      <c r="A16" s="257" t="str">
        <f>报表格式!B14</f>
        <v>期货保证金</v>
      </c>
      <c r="B16" s="258">
        <v>10</v>
      </c>
      <c r="C16" s="467">
        <f>未审横向BS!C16</f>
        <v>0</v>
      </c>
      <c r="D16" s="488" t="str">
        <f t="shared" si="0"/>
        <v/>
      </c>
      <c r="E16" s="467">
        <f>未审横向BS!D16</f>
        <v>0</v>
      </c>
      <c r="F16" s="488" t="str">
        <f t="shared" si="1"/>
        <v/>
      </c>
      <c r="G16" s="468" t="str">
        <f t="shared" si="5"/>
        <v/>
      </c>
      <c r="H16" s="447" t="str">
        <f t="shared" si="6"/>
        <v/>
      </c>
      <c r="I16" s="260"/>
      <c r="J16" s="362" t="str">
        <f>报表格式!G14</f>
        <v>应交税金</v>
      </c>
      <c r="K16" s="259">
        <f t="shared" si="2"/>
        <v>67</v>
      </c>
      <c r="L16" s="467">
        <f>未审横向BS!K16</f>
        <v>0</v>
      </c>
      <c r="M16" s="488" t="str">
        <f t="shared" si="3"/>
        <v/>
      </c>
      <c r="N16" s="467">
        <f>未审横向BS!L16</f>
        <v>0</v>
      </c>
      <c r="O16" s="488" t="str">
        <f t="shared" si="4"/>
        <v/>
      </c>
      <c r="P16" s="468" t="str">
        <f t="shared" si="7"/>
        <v/>
      </c>
      <c r="Q16" s="447" t="str">
        <f t="shared" si="8"/>
        <v/>
      </c>
      <c r="R16" s="875"/>
    </row>
    <row r="17" spans="1:18" ht="13.9" customHeight="1">
      <c r="A17" s="257" t="str">
        <f>报表格式!B15</f>
        <v>应收补贴款</v>
      </c>
      <c r="B17" s="258">
        <v>11</v>
      </c>
      <c r="C17" s="467">
        <f>未审横向BS!C17</f>
        <v>0</v>
      </c>
      <c r="D17" s="488" t="str">
        <f t="shared" si="0"/>
        <v/>
      </c>
      <c r="E17" s="467">
        <f>未审横向BS!D17</f>
        <v>0</v>
      </c>
      <c r="F17" s="488" t="str">
        <f t="shared" si="1"/>
        <v/>
      </c>
      <c r="G17" s="468" t="str">
        <f t="shared" si="5"/>
        <v/>
      </c>
      <c r="H17" s="447" t="str">
        <f t="shared" si="6"/>
        <v/>
      </c>
      <c r="I17" s="260"/>
      <c r="J17" s="362" t="str">
        <f>报表格式!G15</f>
        <v>其他应交款</v>
      </c>
      <c r="K17" s="259">
        <f t="shared" si="2"/>
        <v>68</v>
      </c>
      <c r="L17" s="467">
        <f>未审横向BS!K17</f>
        <v>0</v>
      </c>
      <c r="M17" s="488" t="str">
        <f t="shared" si="3"/>
        <v/>
      </c>
      <c r="N17" s="467">
        <f>未审横向BS!L17</f>
        <v>0</v>
      </c>
      <c r="O17" s="488" t="str">
        <f t="shared" si="4"/>
        <v/>
      </c>
      <c r="P17" s="468" t="str">
        <f t="shared" ref="P17:P53" si="9">IF(AND(M17="",O17=""),"",IF(M17="",O17,IF(O17="",-M17,O17-M17)))</f>
        <v/>
      </c>
      <c r="Q17" s="447" t="str">
        <f t="shared" si="8"/>
        <v/>
      </c>
      <c r="R17" s="875"/>
    </row>
    <row r="18" spans="1:18" ht="13.9" customHeight="1">
      <c r="A18" s="257" t="str">
        <f>报表格式!B16</f>
        <v>应收出口退税</v>
      </c>
      <c r="B18" s="258">
        <v>12</v>
      </c>
      <c r="C18" s="467">
        <f>未审横向BS!C18</f>
        <v>0</v>
      </c>
      <c r="D18" s="488" t="str">
        <f t="shared" si="0"/>
        <v/>
      </c>
      <c r="E18" s="467">
        <f>未审横向BS!D18</f>
        <v>0</v>
      </c>
      <c r="F18" s="488" t="str">
        <f t="shared" si="1"/>
        <v/>
      </c>
      <c r="G18" s="468" t="str">
        <f t="shared" si="5"/>
        <v/>
      </c>
      <c r="H18" s="447" t="str">
        <f t="shared" si="6"/>
        <v/>
      </c>
      <c r="I18" s="260"/>
      <c r="J18" s="362" t="str">
        <f>报表格式!G16</f>
        <v>其他应付款</v>
      </c>
      <c r="K18" s="259">
        <f t="shared" si="2"/>
        <v>69</v>
      </c>
      <c r="L18" s="467">
        <f>未审横向BS!K18</f>
        <v>0</v>
      </c>
      <c r="M18" s="488" t="str">
        <f t="shared" si="3"/>
        <v/>
      </c>
      <c r="N18" s="467">
        <f>未审横向BS!L18</f>
        <v>0</v>
      </c>
      <c r="O18" s="488" t="str">
        <f t="shared" si="4"/>
        <v/>
      </c>
      <c r="P18" s="468" t="str">
        <f t="shared" si="9"/>
        <v/>
      </c>
      <c r="Q18" s="447" t="str">
        <f t="shared" si="8"/>
        <v/>
      </c>
      <c r="R18" s="875"/>
    </row>
    <row r="19" spans="1:18" ht="13.9" customHeight="1">
      <c r="A19" s="257" t="str">
        <f>报表格式!B17</f>
        <v>存货</v>
      </c>
      <c r="B19" s="258">
        <v>13</v>
      </c>
      <c r="C19" s="467">
        <f>未审横向BS!C19</f>
        <v>0</v>
      </c>
      <c r="D19" s="488" t="str">
        <f t="shared" si="0"/>
        <v/>
      </c>
      <c r="E19" s="467">
        <f>未审横向BS!D19</f>
        <v>0</v>
      </c>
      <c r="F19" s="488" t="str">
        <f t="shared" si="1"/>
        <v/>
      </c>
      <c r="G19" s="468" t="str">
        <f t="shared" si="5"/>
        <v/>
      </c>
      <c r="H19" s="447" t="str">
        <f t="shared" si="6"/>
        <v/>
      </c>
      <c r="I19" s="260"/>
      <c r="J19" s="362" t="str">
        <f>报表格式!G17</f>
        <v>预提费用</v>
      </c>
      <c r="K19" s="259">
        <f t="shared" si="2"/>
        <v>70</v>
      </c>
      <c r="L19" s="467">
        <f>未审横向BS!K19</f>
        <v>0</v>
      </c>
      <c r="M19" s="488" t="str">
        <f t="shared" si="3"/>
        <v/>
      </c>
      <c r="N19" s="467">
        <f>未审横向BS!L19</f>
        <v>0</v>
      </c>
      <c r="O19" s="488" t="str">
        <f t="shared" si="4"/>
        <v/>
      </c>
      <c r="P19" s="468" t="str">
        <f t="shared" si="9"/>
        <v/>
      </c>
      <c r="Q19" s="447" t="str">
        <f t="shared" si="8"/>
        <v/>
      </c>
      <c r="R19" s="875"/>
    </row>
    <row r="20" spans="1:18" ht="13.9" customHeight="1">
      <c r="A20" s="257" t="str">
        <f>报表格式!B18</f>
        <v xml:space="preserve">  其中：原材料</v>
      </c>
      <c r="B20" s="258">
        <v>14</v>
      </c>
      <c r="C20" s="467">
        <f>未审横向BS!C20</f>
        <v>0</v>
      </c>
      <c r="D20" s="488" t="str">
        <f t="shared" si="0"/>
        <v/>
      </c>
      <c r="E20" s="467">
        <f>未审横向BS!D20</f>
        <v>0</v>
      </c>
      <c r="F20" s="488" t="str">
        <f t="shared" si="1"/>
        <v/>
      </c>
      <c r="G20" s="468" t="str">
        <f t="shared" si="5"/>
        <v/>
      </c>
      <c r="H20" s="447" t="str">
        <f t="shared" si="6"/>
        <v/>
      </c>
      <c r="I20" s="260"/>
      <c r="J20" s="362" t="str">
        <f>报表格式!G18</f>
        <v>预计负债</v>
      </c>
      <c r="K20" s="259">
        <f t="shared" si="2"/>
        <v>71</v>
      </c>
      <c r="L20" s="467">
        <f>未审横向BS!K20</f>
        <v>0</v>
      </c>
      <c r="M20" s="488" t="str">
        <f t="shared" si="3"/>
        <v/>
      </c>
      <c r="N20" s="467">
        <f>未审横向BS!L20</f>
        <v>0</v>
      </c>
      <c r="O20" s="488" t="str">
        <f t="shared" si="4"/>
        <v/>
      </c>
      <c r="P20" s="468" t="str">
        <f t="shared" si="9"/>
        <v/>
      </c>
      <c r="Q20" s="447" t="str">
        <f t="shared" si="8"/>
        <v/>
      </c>
      <c r="R20" s="875"/>
    </row>
    <row r="21" spans="1:18" ht="13.9" customHeight="1">
      <c r="A21" s="257" t="str">
        <f>报表格式!B19</f>
        <v xml:space="preserve">        库存商品（产成品）</v>
      </c>
      <c r="B21" s="258">
        <v>15</v>
      </c>
      <c r="C21" s="467">
        <f>未审横向BS!C21</f>
        <v>0</v>
      </c>
      <c r="D21" s="488" t="str">
        <f t="shared" si="0"/>
        <v/>
      </c>
      <c r="E21" s="467">
        <f>未审横向BS!D21</f>
        <v>0</v>
      </c>
      <c r="F21" s="488" t="str">
        <f t="shared" si="1"/>
        <v/>
      </c>
      <c r="G21" s="468" t="str">
        <f t="shared" si="5"/>
        <v/>
      </c>
      <c r="H21" s="447" t="str">
        <f t="shared" si="6"/>
        <v/>
      </c>
      <c r="I21" s="260"/>
      <c r="J21" s="362" t="str">
        <f>报表格式!G19</f>
        <v>递延收益</v>
      </c>
      <c r="K21" s="259">
        <f t="shared" si="2"/>
        <v>72</v>
      </c>
      <c r="L21" s="467">
        <f>未审横向BS!K21</f>
        <v>0</v>
      </c>
      <c r="M21" s="488" t="str">
        <f t="shared" ref="M21:M26" si="10">IF(AND(L21&lt;&gt;0,$L$63&lt;&gt;0),L21/$L$63,"")</f>
        <v/>
      </c>
      <c r="N21" s="467">
        <f>未审横向BS!L21</f>
        <v>0</v>
      </c>
      <c r="O21" s="488" t="str">
        <f t="shared" ref="O21:O26" si="11">IF(AND(N21&lt;&gt;0,$N$63&lt;&gt;0),N21/$N$63,"")</f>
        <v/>
      </c>
      <c r="P21" s="468" t="str">
        <f t="shared" ref="P21:P26" si="12">IF(AND(M21="",O21=""),"",IF(M21="",O21,IF(O21="",-M21,O21-M21)))</f>
        <v/>
      </c>
      <c r="Q21" s="447" t="str">
        <f t="shared" si="8"/>
        <v/>
      </c>
      <c r="R21" s="875"/>
    </row>
    <row r="22" spans="1:18" ht="13.9" customHeight="1">
      <c r="A22" s="257" t="str">
        <f>报表格式!B20</f>
        <v>待摊费用</v>
      </c>
      <c r="B22" s="258">
        <v>16</v>
      </c>
      <c r="C22" s="467">
        <f>未审横向BS!C22</f>
        <v>0</v>
      </c>
      <c r="D22" s="488" t="str">
        <f t="shared" ref="D22:D27" si="13">IF(AND(C22&lt;&gt;0,$C$63&lt;&gt;0),C22/$C$63,"")</f>
        <v/>
      </c>
      <c r="E22" s="467">
        <f>未审横向BS!D22</f>
        <v>0</v>
      </c>
      <c r="F22" s="488" t="str">
        <f t="shared" si="1"/>
        <v/>
      </c>
      <c r="G22" s="468" t="str">
        <f t="shared" si="5"/>
        <v/>
      </c>
      <c r="H22" s="447" t="str">
        <f t="shared" si="6"/>
        <v/>
      </c>
      <c r="I22" s="260"/>
      <c r="J22" s="362" t="str">
        <f>报表格式!G20</f>
        <v>一年内到期的长期负债</v>
      </c>
      <c r="K22" s="259">
        <f t="shared" si="2"/>
        <v>73</v>
      </c>
      <c r="L22" s="467">
        <f>未审横向BS!K22</f>
        <v>0</v>
      </c>
      <c r="M22" s="488" t="str">
        <f t="shared" si="10"/>
        <v/>
      </c>
      <c r="N22" s="467">
        <f>未审横向BS!L22</f>
        <v>0</v>
      </c>
      <c r="O22" s="488" t="str">
        <f t="shared" si="11"/>
        <v/>
      </c>
      <c r="P22" s="468" t="str">
        <f t="shared" si="12"/>
        <v/>
      </c>
      <c r="Q22" s="447" t="str">
        <f t="shared" si="8"/>
        <v/>
      </c>
      <c r="R22" s="875"/>
    </row>
    <row r="23" spans="1:18" ht="13.9" customHeight="1">
      <c r="A23" s="257" t="str">
        <f>报表格式!B21</f>
        <v>待处理流动资产净损失</v>
      </c>
      <c r="B23" s="258">
        <v>17</v>
      </c>
      <c r="C23" s="467">
        <f>未审横向BS!C23</f>
        <v>0</v>
      </c>
      <c r="D23" s="488" t="str">
        <f t="shared" si="13"/>
        <v/>
      </c>
      <c r="E23" s="467">
        <f>未审横向BS!D23</f>
        <v>0</v>
      </c>
      <c r="F23" s="488" t="str">
        <f t="shared" si="1"/>
        <v/>
      </c>
      <c r="G23" s="468" t="str">
        <f t="shared" si="5"/>
        <v/>
      </c>
      <c r="H23" s="447" t="str">
        <f t="shared" si="6"/>
        <v/>
      </c>
      <c r="I23" s="260"/>
      <c r="J23" s="362" t="str">
        <f>报表格式!G21</f>
        <v>应付权证</v>
      </c>
      <c r="K23" s="259">
        <f t="shared" si="2"/>
        <v>74</v>
      </c>
      <c r="L23" s="467">
        <f>未审横向BS!K23</f>
        <v>0</v>
      </c>
      <c r="M23" s="488" t="str">
        <f t="shared" si="10"/>
        <v/>
      </c>
      <c r="N23" s="467">
        <f>未审横向BS!L23</f>
        <v>0</v>
      </c>
      <c r="O23" s="488" t="str">
        <f t="shared" si="11"/>
        <v/>
      </c>
      <c r="P23" s="468" t="str">
        <f t="shared" si="12"/>
        <v/>
      </c>
      <c r="Q23" s="447" t="str">
        <f t="shared" si="8"/>
        <v/>
      </c>
      <c r="R23" s="875"/>
    </row>
    <row r="24" spans="1:18" ht="13.9" customHeight="1">
      <c r="A24" s="257" t="str">
        <f>报表格式!B22</f>
        <v>一年内到期的长期债权投资</v>
      </c>
      <c r="B24" s="258">
        <v>18</v>
      </c>
      <c r="C24" s="467">
        <f>未审横向BS!C24</f>
        <v>0</v>
      </c>
      <c r="D24" s="488" t="str">
        <f t="shared" si="13"/>
        <v/>
      </c>
      <c r="E24" s="467">
        <f>未审横向BS!D24</f>
        <v>0</v>
      </c>
      <c r="F24" s="488" t="str">
        <f t="shared" si="1"/>
        <v/>
      </c>
      <c r="G24" s="468" t="str">
        <f t="shared" si="5"/>
        <v/>
      </c>
      <c r="H24" s="447" t="str">
        <f t="shared" si="6"/>
        <v/>
      </c>
      <c r="I24" s="260"/>
      <c r="J24" s="362" t="str">
        <f>报表格式!G22</f>
        <v>其他流动负债</v>
      </c>
      <c r="K24" s="259">
        <f t="shared" si="2"/>
        <v>75</v>
      </c>
      <c r="L24" s="467">
        <f>未审横向BS!K24</f>
        <v>0</v>
      </c>
      <c r="M24" s="488" t="str">
        <f t="shared" si="10"/>
        <v/>
      </c>
      <c r="N24" s="467">
        <f>未审横向BS!L24</f>
        <v>0</v>
      </c>
      <c r="O24" s="488" t="str">
        <f t="shared" si="11"/>
        <v/>
      </c>
      <c r="P24" s="468" t="str">
        <f t="shared" si="12"/>
        <v/>
      </c>
      <c r="Q24" s="447" t="str">
        <f t="shared" si="8"/>
        <v/>
      </c>
      <c r="R24" s="875"/>
    </row>
    <row r="25" spans="1:18" ht="13.9" customHeight="1">
      <c r="A25" s="257" t="str">
        <f>报表格式!B23</f>
        <v>其他流动资产</v>
      </c>
      <c r="B25" s="258">
        <v>19</v>
      </c>
      <c r="C25" s="467">
        <f>未审横向BS!C25</f>
        <v>0</v>
      </c>
      <c r="D25" s="488" t="str">
        <f t="shared" si="13"/>
        <v/>
      </c>
      <c r="E25" s="467">
        <f>未审横向BS!D25</f>
        <v>0</v>
      </c>
      <c r="F25" s="488" t="str">
        <f t="shared" si="1"/>
        <v/>
      </c>
      <c r="G25" s="468" t="str">
        <f t="shared" si="5"/>
        <v/>
      </c>
      <c r="H25" s="447" t="str">
        <f>IF(G25="","",IF(ABS(G25)&gt;=30%,"显著",IF(ABS(G25)&gt;=10%,"关注","")))</f>
        <v/>
      </c>
      <c r="I25" s="260"/>
      <c r="J25" s="362">
        <f>报表格式!G23</f>
        <v>0</v>
      </c>
      <c r="K25" s="259">
        <f t="shared" si="2"/>
        <v>76</v>
      </c>
      <c r="L25" s="467">
        <f>未审横向BS!K25</f>
        <v>0</v>
      </c>
      <c r="M25" s="488" t="str">
        <f t="shared" si="10"/>
        <v/>
      </c>
      <c r="N25" s="467">
        <f>未审横向BS!L25</f>
        <v>0</v>
      </c>
      <c r="O25" s="488" t="str">
        <f t="shared" si="11"/>
        <v/>
      </c>
      <c r="P25" s="468" t="str">
        <f t="shared" si="12"/>
        <v/>
      </c>
      <c r="Q25" s="447" t="str">
        <f t="shared" si="8"/>
        <v/>
      </c>
      <c r="R25" s="875"/>
    </row>
    <row r="26" spans="1:18" ht="13.9" customHeight="1">
      <c r="A26" s="257">
        <f>报表格式!B24</f>
        <v>0</v>
      </c>
      <c r="B26" s="258">
        <v>20</v>
      </c>
      <c r="C26" s="467">
        <f>未审横向BS!C26</f>
        <v>0</v>
      </c>
      <c r="D26" s="488" t="str">
        <f t="shared" si="13"/>
        <v/>
      </c>
      <c r="E26" s="467">
        <f>未审横向BS!D26</f>
        <v>0</v>
      </c>
      <c r="F26" s="488" t="str">
        <f t="shared" si="1"/>
        <v/>
      </c>
      <c r="G26" s="468" t="str">
        <f t="shared" si="5"/>
        <v/>
      </c>
      <c r="H26" s="447" t="str">
        <f t="shared" si="6"/>
        <v/>
      </c>
      <c r="I26" s="260"/>
      <c r="J26" s="362">
        <f>报表格式!G24</f>
        <v>0</v>
      </c>
      <c r="K26" s="259">
        <f t="shared" si="2"/>
        <v>77</v>
      </c>
      <c r="L26" s="467">
        <f>未审横向BS!K26</f>
        <v>0</v>
      </c>
      <c r="M26" s="488" t="str">
        <f t="shared" si="10"/>
        <v/>
      </c>
      <c r="N26" s="467">
        <f>未审横向BS!L26</f>
        <v>0</v>
      </c>
      <c r="O26" s="488" t="str">
        <f t="shared" si="11"/>
        <v/>
      </c>
      <c r="P26" s="468" t="str">
        <f t="shared" si="12"/>
        <v/>
      </c>
      <c r="Q26" s="447" t="str">
        <f t="shared" si="8"/>
        <v/>
      </c>
      <c r="R26" s="875"/>
    </row>
    <row r="27" spans="1:18" ht="13.9" customHeight="1">
      <c r="A27" s="257">
        <f>报表格式!B25</f>
        <v>0</v>
      </c>
      <c r="B27" s="258">
        <v>21</v>
      </c>
      <c r="C27" s="467">
        <f>未审横向BS!C27</f>
        <v>0</v>
      </c>
      <c r="D27" s="488" t="str">
        <f t="shared" si="13"/>
        <v/>
      </c>
      <c r="E27" s="467">
        <f>未审横向BS!D27</f>
        <v>0</v>
      </c>
      <c r="F27" s="488" t="str">
        <f t="shared" si="1"/>
        <v/>
      </c>
      <c r="G27" s="468" t="str">
        <f t="shared" si="5"/>
        <v/>
      </c>
      <c r="H27" s="447" t="str">
        <f t="shared" si="6"/>
        <v/>
      </c>
      <c r="I27" s="260"/>
      <c r="J27" s="261" t="str">
        <f>报表格式!G25</f>
        <v>流动负债合计</v>
      </c>
      <c r="K27" s="259">
        <f t="shared" si="2"/>
        <v>78</v>
      </c>
      <c r="L27" s="469">
        <f>SUM(L8:L26)</f>
        <v>0</v>
      </c>
      <c r="M27" s="606" t="str">
        <f t="shared" ref="M27:M63" si="14">IF(AND(L27&lt;&gt;0,$L$63&lt;&gt;0),L27/$L$63,"")</f>
        <v/>
      </c>
      <c r="N27" s="469">
        <f>SUM(N8:N26)</f>
        <v>0</v>
      </c>
      <c r="O27" s="606" t="str">
        <f t="shared" ref="O27:O63" si="15">IF(AND(N27&lt;&gt;0,$N$63&lt;&gt;0),N27/$N$63,"")</f>
        <v/>
      </c>
      <c r="P27" s="607" t="str">
        <f t="shared" si="9"/>
        <v/>
      </c>
      <c r="Q27" s="447" t="str">
        <f t="shared" si="8"/>
        <v/>
      </c>
      <c r="R27" s="875"/>
    </row>
    <row r="28" spans="1:18" ht="13.9" customHeight="1">
      <c r="A28" s="261" t="str">
        <f>报表格式!B26</f>
        <v>流动资产合计</v>
      </c>
      <c r="B28" s="258">
        <v>22</v>
      </c>
      <c r="C28" s="469">
        <f>SUM(C8:C27)-C20-C21</f>
        <v>0</v>
      </c>
      <c r="D28" s="606" t="str">
        <f t="shared" ref="D28:D56" si="16">IF(AND(C28&lt;&gt;0,$C$63&lt;&gt;0),C28/$C$63,"")</f>
        <v/>
      </c>
      <c r="E28" s="469">
        <f>SUM(E8:E27)-E20-E21</f>
        <v>0</v>
      </c>
      <c r="F28" s="606" t="str">
        <f t="shared" si="1"/>
        <v/>
      </c>
      <c r="G28" s="607" t="str">
        <f t="shared" si="5"/>
        <v/>
      </c>
      <c r="H28" s="447" t="str">
        <f t="shared" si="6"/>
        <v/>
      </c>
      <c r="I28" s="331"/>
      <c r="J28" s="363" t="str">
        <f>报表格式!G26</f>
        <v>长期负债：</v>
      </c>
      <c r="K28" s="259">
        <f t="shared" si="2"/>
        <v>79</v>
      </c>
      <c r="L28" s="467"/>
      <c r="M28" s="488" t="str">
        <f t="shared" si="14"/>
        <v/>
      </c>
      <c r="N28" s="467"/>
      <c r="O28" s="488" t="str">
        <f t="shared" si="15"/>
        <v/>
      </c>
      <c r="P28" s="468" t="str">
        <f t="shared" si="9"/>
        <v/>
      </c>
      <c r="Q28" s="447" t="str">
        <f t="shared" si="8"/>
        <v/>
      </c>
      <c r="R28" s="875"/>
    </row>
    <row r="29" spans="1:18" ht="13.9" customHeight="1">
      <c r="A29" s="257" t="str">
        <f>报表格式!B27</f>
        <v>长期投资</v>
      </c>
      <c r="B29" s="258">
        <v>23</v>
      </c>
      <c r="C29" s="467">
        <f>SUM(C30:C31)</f>
        <v>0</v>
      </c>
      <c r="D29" s="488" t="str">
        <f t="shared" si="16"/>
        <v/>
      </c>
      <c r="E29" s="467">
        <f>SUM(E30:E31)</f>
        <v>0</v>
      </c>
      <c r="F29" s="488" t="str">
        <f t="shared" si="1"/>
        <v/>
      </c>
      <c r="G29" s="468" t="str">
        <f t="shared" si="5"/>
        <v/>
      </c>
      <c r="H29" s="447" t="str">
        <f t="shared" si="6"/>
        <v/>
      </c>
      <c r="I29" s="260"/>
      <c r="J29" s="362" t="str">
        <f>报表格式!G27</f>
        <v>长期借款</v>
      </c>
      <c r="K29" s="259">
        <f t="shared" si="2"/>
        <v>80</v>
      </c>
      <c r="L29" s="467">
        <f>未审横向BS!K29</f>
        <v>0</v>
      </c>
      <c r="M29" s="488" t="str">
        <f t="shared" si="14"/>
        <v/>
      </c>
      <c r="N29" s="467">
        <f>未审横向BS!L29</f>
        <v>0</v>
      </c>
      <c r="O29" s="488" t="str">
        <f t="shared" si="15"/>
        <v/>
      </c>
      <c r="P29" s="468" t="str">
        <f t="shared" si="9"/>
        <v/>
      </c>
      <c r="Q29" s="447" t="str">
        <f t="shared" si="8"/>
        <v/>
      </c>
      <c r="R29" s="875"/>
    </row>
    <row r="30" spans="1:18" ht="13.9" customHeight="1">
      <c r="A30" s="257" t="str">
        <f>报表格式!B28</f>
        <v xml:space="preserve">  其中：长期股权投资</v>
      </c>
      <c r="B30" s="258">
        <v>24</v>
      </c>
      <c r="C30" s="467">
        <f>未审横向BS!C30</f>
        <v>0</v>
      </c>
      <c r="D30" s="488" t="str">
        <f t="shared" si="16"/>
        <v/>
      </c>
      <c r="E30" s="467">
        <f>未审横向BS!D30</f>
        <v>0</v>
      </c>
      <c r="F30" s="488" t="str">
        <f t="shared" si="1"/>
        <v/>
      </c>
      <c r="G30" s="468" t="str">
        <f t="shared" ref="G30:G56" si="17">IF(AND(D30="",F30=""),"",IF(D30="",F30,IF(F30="",-D30,F30-D30)))</f>
        <v/>
      </c>
      <c r="H30" s="447" t="str">
        <f t="shared" si="6"/>
        <v/>
      </c>
      <c r="I30" s="260"/>
      <c r="J30" s="362" t="str">
        <f>报表格式!G28</f>
        <v>应付债券</v>
      </c>
      <c r="K30" s="259">
        <f t="shared" si="2"/>
        <v>81</v>
      </c>
      <c r="L30" s="467">
        <f>未审横向BS!K30</f>
        <v>0</v>
      </c>
      <c r="M30" s="488" t="str">
        <f t="shared" si="14"/>
        <v/>
      </c>
      <c r="N30" s="467">
        <f>未审横向BS!L30</f>
        <v>0</v>
      </c>
      <c r="O30" s="488" t="str">
        <f t="shared" si="15"/>
        <v/>
      </c>
      <c r="P30" s="468" t="str">
        <f t="shared" si="9"/>
        <v/>
      </c>
      <c r="Q30" s="447" t="str">
        <f>IF(P30="","",IF(ABS(P30)&gt;=30%,"显著",IF(ABS(P30)&gt;=10%,"关注","")))</f>
        <v/>
      </c>
      <c r="R30" s="875"/>
    </row>
    <row r="31" spans="1:18" ht="13.9" customHeight="1">
      <c r="A31" s="257" t="str">
        <f>报表格式!B29</f>
        <v xml:space="preserve">       长期债权投资</v>
      </c>
      <c r="B31" s="258">
        <v>25</v>
      </c>
      <c r="C31" s="467">
        <f>未审横向BS!C31</f>
        <v>0</v>
      </c>
      <c r="D31" s="488" t="str">
        <f t="shared" si="16"/>
        <v/>
      </c>
      <c r="E31" s="467">
        <f>未审横向BS!D31</f>
        <v>0</v>
      </c>
      <c r="F31" s="488" t="str">
        <f t="shared" si="1"/>
        <v/>
      </c>
      <c r="G31" s="468" t="str">
        <f t="shared" si="17"/>
        <v/>
      </c>
      <c r="H31" s="447" t="str">
        <f t="shared" si="6"/>
        <v/>
      </c>
      <c r="I31" s="260"/>
      <c r="J31" s="362" t="str">
        <f>报表格式!G29</f>
        <v>长期应付款</v>
      </c>
      <c r="K31" s="259">
        <f t="shared" si="2"/>
        <v>82</v>
      </c>
      <c r="L31" s="467">
        <f>未审横向BS!K31</f>
        <v>0</v>
      </c>
      <c r="M31" s="488" t="str">
        <f t="shared" si="14"/>
        <v/>
      </c>
      <c r="N31" s="467">
        <f>未审横向BS!L31</f>
        <v>0</v>
      </c>
      <c r="O31" s="488" t="str">
        <f t="shared" si="15"/>
        <v/>
      </c>
      <c r="P31" s="468" t="str">
        <f t="shared" si="9"/>
        <v/>
      </c>
      <c r="Q31" s="447" t="str">
        <f t="shared" si="8"/>
        <v/>
      </c>
      <c r="R31" s="875"/>
    </row>
    <row r="32" spans="1:18" ht="13.9" customHeight="1">
      <c r="A32" s="257" t="str">
        <f>报表格式!B30</f>
        <v>*合并价差</v>
      </c>
      <c r="B32" s="258">
        <v>26</v>
      </c>
      <c r="C32" s="467">
        <f>未审横向BS!C32</f>
        <v>0</v>
      </c>
      <c r="D32" s="488" t="str">
        <f t="shared" si="16"/>
        <v/>
      </c>
      <c r="E32" s="467">
        <f>未审横向BS!D32</f>
        <v>0</v>
      </c>
      <c r="F32" s="488" t="str">
        <f t="shared" si="1"/>
        <v/>
      </c>
      <c r="G32" s="468" t="str">
        <f>IF(AND(D32="",F32=""),"",IF(D32="",F32,IF(F32="",-D32,F32-D32)))</f>
        <v/>
      </c>
      <c r="H32" s="447" t="str">
        <f t="shared" si="6"/>
        <v/>
      </c>
      <c r="I32" s="260"/>
      <c r="J32" s="362" t="str">
        <f>报表格式!G30</f>
        <v>专项应付款</v>
      </c>
      <c r="K32" s="259">
        <f t="shared" si="2"/>
        <v>83</v>
      </c>
      <c r="L32" s="467">
        <f>未审横向BS!K32</f>
        <v>0</v>
      </c>
      <c r="M32" s="488" t="str">
        <f t="shared" si="14"/>
        <v/>
      </c>
      <c r="N32" s="467">
        <f>未审横向BS!L32</f>
        <v>0</v>
      </c>
      <c r="O32" s="488" t="str">
        <f t="shared" si="15"/>
        <v/>
      </c>
      <c r="P32" s="468" t="str">
        <f t="shared" si="9"/>
        <v/>
      </c>
      <c r="Q32" s="447" t="str">
        <f t="shared" si="8"/>
        <v/>
      </c>
      <c r="R32" s="875"/>
    </row>
    <row r="33" spans="1:18" ht="13.9" customHeight="1">
      <c r="A33" s="257">
        <f>报表格式!B31</f>
        <v>0</v>
      </c>
      <c r="B33" s="258">
        <v>27</v>
      </c>
      <c r="C33" s="467">
        <f>未审横向BS!C33</f>
        <v>0</v>
      </c>
      <c r="D33" s="488" t="str">
        <f t="shared" si="16"/>
        <v/>
      </c>
      <c r="E33" s="467">
        <f>未审横向BS!D33</f>
        <v>0</v>
      </c>
      <c r="F33" s="488" t="str">
        <f t="shared" si="1"/>
        <v/>
      </c>
      <c r="G33" s="468" t="str">
        <f>IF(AND(D33="",F33=""),"",IF(D33="",F33,IF(F33="",-D33,F33-D33)))</f>
        <v/>
      </c>
      <c r="H33" s="447" t="str">
        <f t="shared" si="6"/>
        <v/>
      </c>
      <c r="I33" s="260"/>
      <c r="J33" s="362" t="str">
        <f>报表格式!G31</f>
        <v>其他长期负债</v>
      </c>
      <c r="K33" s="259">
        <f t="shared" si="2"/>
        <v>84</v>
      </c>
      <c r="L33" s="467">
        <f>未审横向BS!K33</f>
        <v>0</v>
      </c>
      <c r="M33" s="488" t="str">
        <f t="shared" si="14"/>
        <v/>
      </c>
      <c r="N33" s="467">
        <f>未审横向BS!L33</f>
        <v>0</v>
      </c>
      <c r="O33" s="488" t="str">
        <f t="shared" si="15"/>
        <v/>
      </c>
      <c r="P33" s="468" t="str">
        <f t="shared" si="9"/>
        <v/>
      </c>
      <c r="Q33" s="447" t="str">
        <f t="shared" si="8"/>
        <v/>
      </c>
      <c r="R33" s="875"/>
    </row>
    <row r="34" spans="1:18" ht="13.9" customHeight="1">
      <c r="A34" s="257">
        <f>报表格式!B32</f>
        <v>0</v>
      </c>
      <c r="B34" s="258">
        <v>28</v>
      </c>
      <c r="C34" s="467">
        <f>未审横向BS!C34</f>
        <v>0</v>
      </c>
      <c r="D34" s="488" t="str">
        <f t="shared" si="16"/>
        <v/>
      </c>
      <c r="E34" s="467">
        <f>未审横向BS!D34</f>
        <v>0</v>
      </c>
      <c r="F34" s="488" t="str">
        <f t="shared" si="1"/>
        <v/>
      </c>
      <c r="G34" s="468" t="str">
        <f>IF(AND(D34="",F34=""),"",IF(D34="",F34,IF(F34="",-D34,F34-D34)))</f>
        <v/>
      </c>
      <c r="H34" s="447" t="str">
        <f t="shared" si="6"/>
        <v/>
      </c>
      <c r="I34" s="260"/>
      <c r="J34" s="362" t="str">
        <f>报表格式!G32</f>
        <v xml:space="preserve">  其中：特准储备资金</v>
      </c>
      <c r="K34" s="259">
        <f t="shared" si="2"/>
        <v>85</v>
      </c>
      <c r="L34" s="467">
        <f>未审横向BS!K34</f>
        <v>0</v>
      </c>
      <c r="M34" s="488" t="str">
        <f t="shared" si="14"/>
        <v/>
      </c>
      <c r="N34" s="467">
        <f>未审横向BS!L34</f>
        <v>0</v>
      </c>
      <c r="O34" s="488" t="str">
        <f t="shared" si="15"/>
        <v/>
      </c>
      <c r="P34" s="468" t="str">
        <f>IF(AND(M34="",O34=""),"",IF(M34="",O34,IF(O34="",-M34,O34-M34)))</f>
        <v/>
      </c>
      <c r="Q34" s="447" t="str">
        <f t="shared" si="8"/>
        <v/>
      </c>
      <c r="R34" s="875"/>
    </row>
    <row r="35" spans="1:18" ht="13.9" customHeight="1">
      <c r="A35" s="263" t="str">
        <f>报表格式!B33</f>
        <v>长期投资合计</v>
      </c>
      <c r="B35" s="258">
        <v>29</v>
      </c>
      <c r="C35" s="469">
        <f>SUM(C29,C32:C34)</f>
        <v>0</v>
      </c>
      <c r="D35" s="606" t="str">
        <f t="shared" si="16"/>
        <v/>
      </c>
      <c r="E35" s="469">
        <f>SUM(E29,E32:E34)</f>
        <v>0</v>
      </c>
      <c r="F35" s="606" t="str">
        <f t="shared" si="1"/>
        <v/>
      </c>
      <c r="G35" s="607" t="str">
        <f>IF(AND(D35="",F35=""),"",IF(D35="",F35,IF(F35="",-D35,F35-D35)))</f>
        <v/>
      </c>
      <c r="H35" s="447" t="str">
        <f t="shared" si="6"/>
        <v/>
      </c>
      <c r="I35" s="331"/>
      <c r="J35" s="362">
        <f>报表格式!G33</f>
        <v>0</v>
      </c>
      <c r="K35" s="259">
        <f t="shared" si="2"/>
        <v>86</v>
      </c>
      <c r="L35" s="467">
        <f>未审横向BS!K35</f>
        <v>0</v>
      </c>
      <c r="M35" s="488" t="str">
        <f t="shared" si="14"/>
        <v/>
      </c>
      <c r="N35" s="467">
        <f>未审横向BS!L35</f>
        <v>0</v>
      </c>
      <c r="O35" s="488" t="str">
        <f t="shared" si="15"/>
        <v/>
      </c>
      <c r="P35" s="468" t="str">
        <f>IF(AND(M35="",O35=""),"",IF(M35="",O35,IF(O35="",-M35,O35-M35)))</f>
        <v/>
      </c>
      <c r="Q35" s="447" t="str">
        <f t="shared" si="8"/>
        <v/>
      </c>
      <c r="R35" s="875"/>
    </row>
    <row r="36" spans="1:18" ht="13.9" customHeight="1">
      <c r="A36" s="262" t="str">
        <f>报表格式!B34</f>
        <v>固定资产：</v>
      </c>
      <c r="B36" s="258">
        <v>30</v>
      </c>
      <c r="C36" s="471"/>
      <c r="D36" s="488" t="str">
        <f t="shared" si="16"/>
        <v/>
      </c>
      <c r="E36" s="471"/>
      <c r="F36" s="488" t="str">
        <f t="shared" si="1"/>
        <v/>
      </c>
      <c r="G36" s="468" t="str">
        <f t="shared" si="17"/>
        <v/>
      </c>
      <c r="H36" s="447" t="str">
        <f t="shared" si="6"/>
        <v/>
      </c>
      <c r="I36" s="331"/>
      <c r="J36" s="362">
        <f>报表格式!G34</f>
        <v>0</v>
      </c>
      <c r="K36" s="259">
        <f t="shared" si="2"/>
        <v>87</v>
      </c>
      <c r="L36" s="467">
        <f>未审横向BS!K36</f>
        <v>0</v>
      </c>
      <c r="M36" s="488" t="str">
        <f t="shared" si="14"/>
        <v/>
      </c>
      <c r="N36" s="467">
        <f>未审横向BS!L36</f>
        <v>0</v>
      </c>
      <c r="O36" s="488" t="str">
        <f t="shared" si="15"/>
        <v/>
      </c>
      <c r="P36" s="468" t="str">
        <f>IF(AND(M36="",O36=""),"",IF(M36="",O36,IF(O36="",-M36,O36-M36)))</f>
        <v/>
      </c>
      <c r="Q36" s="447" t="str">
        <f t="shared" si="8"/>
        <v/>
      </c>
      <c r="R36" s="875"/>
    </row>
    <row r="37" spans="1:18" ht="13.9" customHeight="1">
      <c r="A37" s="257" t="str">
        <f>报表格式!B35</f>
        <v>固定资产原价</v>
      </c>
      <c r="B37" s="258">
        <v>31</v>
      </c>
      <c r="C37" s="467">
        <f>未审横向BS!C37</f>
        <v>0</v>
      </c>
      <c r="D37" s="488" t="str">
        <f t="shared" si="16"/>
        <v/>
      </c>
      <c r="E37" s="467">
        <f>未审横向BS!D37</f>
        <v>0</v>
      </c>
      <c r="F37" s="488" t="str">
        <f t="shared" si="1"/>
        <v/>
      </c>
      <c r="G37" s="468" t="str">
        <f t="shared" si="17"/>
        <v/>
      </c>
      <c r="H37" s="447" t="str">
        <f t="shared" si="6"/>
        <v/>
      </c>
      <c r="I37" s="260"/>
      <c r="J37" s="261" t="str">
        <f>报表格式!G35</f>
        <v>长期负债合计</v>
      </c>
      <c r="K37" s="259">
        <f t="shared" si="2"/>
        <v>88</v>
      </c>
      <c r="L37" s="469">
        <f>SUM(L29:L34)-L34+SUM(L35:L36)</f>
        <v>0</v>
      </c>
      <c r="M37" s="606" t="str">
        <f t="shared" si="14"/>
        <v/>
      </c>
      <c r="N37" s="469">
        <f>SUM(N29:N34)-N34+SUM(N35:N36)</f>
        <v>0</v>
      </c>
      <c r="O37" s="606" t="str">
        <f t="shared" si="15"/>
        <v/>
      </c>
      <c r="P37" s="607" t="str">
        <f>IF(AND(M37="",O37=""),"",IF(M37="",O37,IF(O37="",-M37,O37-M37)))</f>
        <v/>
      </c>
      <c r="Q37" s="447" t="str">
        <f t="shared" si="8"/>
        <v/>
      </c>
      <c r="R37" s="875"/>
    </row>
    <row r="38" spans="1:18" ht="13.9" customHeight="1">
      <c r="A38" s="257" t="str">
        <f>报表格式!B36</f>
        <v xml:space="preserve">  减：累计折旧</v>
      </c>
      <c r="B38" s="258">
        <v>32</v>
      </c>
      <c r="C38" s="467">
        <f>未审横向BS!C38</f>
        <v>0</v>
      </c>
      <c r="D38" s="488" t="str">
        <f t="shared" si="16"/>
        <v/>
      </c>
      <c r="E38" s="467">
        <f>未审横向BS!D38</f>
        <v>0</v>
      </c>
      <c r="F38" s="488" t="str">
        <f t="shared" si="1"/>
        <v/>
      </c>
      <c r="G38" s="468" t="str">
        <f t="shared" si="17"/>
        <v/>
      </c>
      <c r="H38" s="447" t="str">
        <f t="shared" si="6"/>
        <v/>
      </c>
      <c r="I38" s="260"/>
      <c r="J38" s="363" t="str">
        <f>报表格式!G36</f>
        <v>递延税项：</v>
      </c>
      <c r="K38" s="259">
        <f t="shared" si="2"/>
        <v>89</v>
      </c>
      <c r="L38" s="471"/>
      <c r="M38" s="488" t="str">
        <f t="shared" si="14"/>
        <v/>
      </c>
      <c r="N38" s="471"/>
      <c r="O38" s="488" t="str">
        <f t="shared" si="15"/>
        <v/>
      </c>
      <c r="P38" s="468" t="str">
        <f t="shared" si="9"/>
        <v/>
      </c>
      <c r="Q38" s="447" t="str">
        <f t="shared" si="8"/>
        <v/>
      </c>
      <c r="R38" s="875"/>
    </row>
    <row r="39" spans="1:18" ht="13.9" customHeight="1">
      <c r="A39" s="257" t="str">
        <f>报表格式!B37</f>
        <v>固定资产净值</v>
      </c>
      <c r="B39" s="258">
        <v>33</v>
      </c>
      <c r="C39" s="471">
        <f>C37-C38</f>
        <v>0</v>
      </c>
      <c r="D39" s="608" t="str">
        <f t="shared" si="16"/>
        <v/>
      </c>
      <c r="E39" s="471">
        <f>E37-E38</f>
        <v>0</v>
      </c>
      <c r="F39" s="608" t="str">
        <f t="shared" si="1"/>
        <v/>
      </c>
      <c r="G39" s="600" t="str">
        <f t="shared" si="17"/>
        <v/>
      </c>
      <c r="H39" s="447" t="str">
        <f t="shared" si="6"/>
        <v/>
      </c>
      <c r="I39" s="331"/>
      <c r="J39" s="362" t="str">
        <f>报表格式!G37</f>
        <v>递延税款贷项</v>
      </c>
      <c r="K39" s="259">
        <f t="shared" si="2"/>
        <v>90</v>
      </c>
      <c r="L39" s="467">
        <f>未审横向BS!K39</f>
        <v>0</v>
      </c>
      <c r="M39" s="488" t="str">
        <f t="shared" si="14"/>
        <v/>
      </c>
      <c r="N39" s="467">
        <f>未审横向BS!L39</f>
        <v>0</v>
      </c>
      <c r="O39" s="488" t="str">
        <f t="shared" si="15"/>
        <v/>
      </c>
      <c r="P39" s="468" t="str">
        <f t="shared" si="9"/>
        <v/>
      </c>
      <c r="Q39" s="447" t="str">
        <f t="shared" si="8"/>
        <v/>
      </c>
      <c r="R39" s="875"/>
    </row>
    <row r="40" spans="1:18" ht="13.9" customHeight="1">
      <c r="A40" s="257" t="str">
        <f>报表格式!B38</f>
        <v xml:space="preserve">  减：固定资产减值准备</v>
      </c>
      <c r="B40" s="258">
        <v>34</v>
      </c>
      <c r="C40" s="467">
        <f>未审横向BS!C40</f>
        <v>0</v>
      </c>
      <c r="D40" s="488" t="str">
        <f t="shared" si="16"/>
        <v/>
      </c>
      <c r="E40" s="467">
        <f>未审横向BS!D40</f>
        <v>0</v>
      </c>
      <c r="F40" s="488" t="str">
        <f t="shared" ref="F40:F56" si="18">IF(AND(E40&lt;&gt;0,$E$63&lt;&gt;0),E40/$E$63,"")</f>
        <v/>
      </c>
      <c r="G40" s="468" t="str">
        <f t="shared" si="17"/>
        <v/>
      </c>
      <c r="H40" s="447" t="str">
        <f t="shared" si="6"/>
        <v/>
      </c>
      <c r="I40" s="260"/>
      <c r="J40" s="261" t="str">
        <f>报表格式!G38</f>
        <v>负 债 合 计</v>
      </c>
      <c r="K40" s="259">
        <f t="shared" si="2"/>
        <v>91</v>
      </c>
      <c r="L40" s="469">
        <f>L27+L37+L39</f>
        <v>0</v>
      </c>
      <c r="M40" s="606" t="str">
        <f t="shared" si="14"/>
        <v/>
      </c>
      <c r="N40" s="469">
        <f>N27+N37+N39</f>
        <v>0</v>
      </c>
      <c r="O40" s="606" t="str">
        <f t="shared" si="15"/>
        <v/>
      </c>
      <c r="P40" s="607" t="str">
        <f>IF(AND(M40="",O40=""),"",IF(M40="",O40,IF(O40="",-M40,O40-M40)))</f>
        <v/>
      </c>
      <c r="Q40" s="447" t="str">
        <f t="shared" si="8"/>
        <v/>
      </c>
      <c r="R40" s="875"/>
    </row>
    <row r="41" spans="1:18" ht="13.9" customHeight="1">
      <c r="A41" s="257" t="str">
        <f>报表格式!B39</f>
        <v>固定资产净额</v>
      </c>
      <c r="B41" s="258">
        <v>35</v>
      </c>
      <c r="C41" s="471">
        <f>C39-C40</f>
        <v>0</v>
      </c>
      <c r="D41" s="608" t="str">
        <f t="shared" si="16"/>
        <v/>
      </c>
      <c r="E41" s="471">
        <f>E39-E40</f>
        <v>0</v>
      </c>
      <c r="F41" s="608" t="str">
        <f t="shared" si="18"/>
        <v/>
      </c>
      <c r="G41" s="600" t="str">
        <f t="shared" si="17"/>
        <v/>
      </c>
      <c r="H41" s="447" t="str">
        <f t="shared" si="6"/>
        <v/>
      </c>
      <c r="I41" s="331"/>
      <c r="J41" s="362" t="str">
        <f>报表格式!G39</f>
        <v>*少数股东权益</v>
      </c>
      <c r="K41" s="259">
        <f t="shared" si="2"/>
        <v>92</v>
      </c>
      <c r="L41" s="467">
        <f>未审横向BS!K41</f>
        <v>0</v>
      </c>
      <c r="M41" s="488" t="str">
        <f t="shared" si="14"/>
        <v/>
      </c>
      <c r="N41" s="467">
        <f>未审横向BS!L41</f>
        <v>0</v>
      </c>
      <c r="O41" s="488" t="str">
        <f t="shared" si="15"/>
        <v/>
      </c>
      <c r="P41" s="468" t="str">
        <f t="shared" si="9"/>
        <v/>
      </c>
      <c r="Q41" s="447" t="str">
        <f t="shared" si="8"/>
        <v/>
      </c>
      <c r="R41" s="875"/>
    </row>
    <row r="42" spans="1:18" ht="13.9" customHeight="1">
      <c r="A42" s="257" t="str">
        <f>报表格式!B40</f>
        <v>工程物资</v>
      </c>
      <c r="B42" s="258">
        <v>36</v>
      </c>
      <c r="C42" s="467">
        <f>未审横向BS!C42</f>
        <v>0</v>
      </c>
      <c r="D42" s="488" t="str">
        <f t="shared" si="16"/>
        <v/>
      </c>
      <c r="E42" s="467">
        <f>未审横向BS!D42</f>
        <v>0</v>
      </c>
      <c r="F42" s="488" t="str">
        <f t="shared" si="18"/>
        <v/>
      </c>
      <c r="G42" s="468" t="str">
        <f t="shared" si="17"/>
        <v/>
      </c>
      <c r="H42" s="447" t="str">
        <f t="shared" si="6"/>
        <v/>
      </c>
      <c r="I42" s="260"/>
      <c r="J42" s="362"/>
      <c r="K42" s="259">
        <f t="shared" si="2"/>
        <v>93</v>
      </c>
      <c r="L42" s="471"/>
      <c r="M42" s="488" t="str">
        <f t="shared" si="14"/>
        <v/>
      </c>
      <c r="N42" s="471"/>
      <c r="O42" s="488" t="str">
        <f t="shared" si="15"/>
        <v/>
      </c>
      <c r="P42" s="468" t="str">
        <f t="shared" si="9"/>
        <v/>
      </c>
      <c r="Q42" s="447" t="str">
        <f>IF(P42="","",IF(ABS(P42)&gt;=30%,"异常",IF(ABS(P42)&gt;=10%,"关注","")))</f>
        <v/>
      </c>
      <c r="R42" s="875"/>
    </row>
    <row r="43" spans="1:18" ht="13.9" customHeight="1">
      <c r="A43" s="257" t="str">
        <f>报表格式!B41</f>
        <v>在建工程</v>
      </c>
      <c r="B43" s="258">
        <v>37</v>
      </c>
      <c r="C43" s="467">
        <f>未审横向BS!C43</f>
        <v>0</v>
      </c>
      <c r="D43" s="488" t="str">
        <f t="shared" si="16"/>
        <v/>
      </c>
      <c r="E43" s="467">
        <f>未审横向BS!D43</f>
        <v>0</v>
      </c>
      <c r="F43" s="488" t="str">
        <f t="shared" si="18"/>
        <v/>
      </c>
      <c r="G43" s="468" t="str">
        <f t="shared" si="17"/>
        <v/>
      </c>
      <c r="H43" s="447" t="str">
        <f t="shared" si="6"/>
        <v/>
      </c>
      <c r="I43" s="260"/>
      <c r="J43" s="363" t="str">
        <f>报表格式!G41</f>
        <v>所有者权益：</v>
      </c>
      <c r="K43" s="259">
        <f t="shared" si="2"/>
        <v>94</v>
      </c>
      <c r="L43" s="471"/>
      <c r="M43" s="488" t="str">
        <f t="shared" si="14"/>
        <v/>
      </c>
      <c r="N43" s="471"/>
      <c r="O43" s="488" t="str">
        <f t="shared" si="15"/>
        <v/>
      </c>
      <c r="P43" s="468" t="str">
        <f t="shared" si="9"/>
        <v/>
      </c>
      <c r="Q43" s="447" t="str">
        <f>IF(P43="","",IF(ABS(P43)&gt;=30%,"异常",IF(ABS(P43)&gt;=10%,"关注","")))</f>
        <v/>
      </c>
      <c r="R43" s="875"/>
    </row>
    <row r="44" spans="1:18" ht="13.9" customHeight="1">
      <c r="A44" s="257" t="str">
        <f>报表格式!B42</f>
        <v>固定资产清理</v>
      </c>
      <c r="B44" s="258">
        <v>38</v>
      </c>
      <c r="C44" s="467">
        <f>未审横向BS!C44</f>
        <v>0</v>
      </c>
      <c r="D44" s="488" t="str">
        <f t="shared" si="16"/>
        <v/>
      </c>
      <c r="E44" s="467">
        <f>未审横向BS!D44</f>
        <v>0</v>
      </c>
      <c r="F44" s="488" t="str">
        <f t="shared" si="18"/>
        <v/>
      </c>
      <c r="G44" s="468" t="str">
        <f t="shared" si="17"/>
        <v/>
      </c>
      <c r="H44" s="447" t="str">
        <f>IF(G44="","",IF(ABS(G44)&gt;=30%,"显著",IF(ABS(G44)&gt;=10%,"关注","")))</f>
        <v/>
      </c>
      <c r="I44" s="260"/>
      <c r="J44" s="362" t="str">
        <f>报表格式!G42</f>
        <v>实收资本</v>
      </c>
      <c r="K44" s="259">
        <f t="shared" ref="K44:K63" si="19">K43+1</f>
        <v>95</v>
      </c>
      <c r="L44" s="467">
        <f>未审横向BS!K44</f>
        <v>0</v>
      </c>
      <c r="M44" s="488" t="str">
        <f t="shared" si="14"/>
        <v/>
      </c>
      <c r="N44" s="467">
        <f>未审横向BS!L44</f>
        <v>0</v>
      </c>
      <c r="O44" s="488" t="str">
        <f t="shared" si="15"/>
        <v/>
      </c>
      <c r="P44" s="468" t="str">
        <f t="shared" si="9"/>
        <v/>
      </c>
      <c r="Q44" s="447" t="str">
        <f t="shared" ref="Q44:Q63" si="20">IF(P44="","",IF(ABS(P44)&gt;=30%,"显著",IF(ABS(P44)&gt;=10%,"关注","")))</f>
        <v/>
      </c>
      <c r="R44" s="875"/>
    </row>
    <row r="45" spans="1:18" ht="13.9" customHeight="1">
      <c r="A45" s="257" t="str">
        <f>报表格式!B43</f>
        <v>待处理固定资产净损失</v>
      </c>
      <c r="B45" s="258">
        <v>39</v>
      </c>
      <c r="C45" s="467">
        <f>未审横向BS!C45</f>
        <v>0</v>
      </c>
      <c r="D45" s="488" t="str">
        <f t="shared" si="16"/>
        <v/>
      </c>
      <c r="E45" s="467">
        <f>未审横向BS!D45</f>
        <v>0</v>
      </c>
      <c r="F45" s="488" t="str">
        <f t="shared" si="18"/>
        <v/>
      </c>
      <c r="G45" s="468" t="str">
        <f t="shared" si="17"/>
        <v/>
      </c>
      <c r="H45" s="447" t="str">
        <f t="shared" si="6"/>
        <v/>
      </c>
      <c r="I45" s="260"/>
      <c r="J45" s="362" t="str">
        <f>报表格式!G43</f>
        <v xml:space="preserve"> 国家资本</v>
      </c>
      <c r="K45" s="259">
        <f t="shared" si="19"/>
        <v>96</v>
      </c>
      <c r="L45" s="467">
        <f>未审横向BS!K45</f>
        <v>0</v>
      </c>
      <c r="M45" s="488" t="str">
        <f t="shared" si="14"/>
        <v/>
      </c>
      <c r="N45" s="467">
        <f>未审横向BS!L45</f>
        <v>0</v>
      </c>
      <c r="O45" s="488" t="str">
        <f t="shared" si="15"/>
        <v/>
      </c>
      <c r="P45" s="468" t="str">
        <f t="shared" si="9"/>
        <v/>
      </c>
      <c r="Q45" s="447" t="str">
        <f t="shared" si="20"/>
        <v/>
      </c>
      <c r="R45" s="875"/>
    </row>
    <row r="46" spans="1:18" ht="13.9" customHeight="1">
      <c r="A46" s="257">
        <f>报表格式!B44</f>
        <v>0</v>
      </c>
      <c r="B46" s="258">
        <v>40</v>
      </c>
      <c r="C46" s="467">
        <f>未审横向BS!C46</f>
        <v>0</v>
      </c>
      <c r="D46" s="488" t="str">
        <f t="shared" si="16"/>
        <v/>
      </c>
      <c r="E46" s="467">
        <f>未审横向BS!D46</f>
        <v>0</v>
      </c>
      <c r="F46" s="488" t="str">
        <f t="shared" si="18"/>
        <v/>
      </c>
      <c r="G46" s="468" t="str">
        <f>IF(AND(D46="",F46=""),"",IF(D46="",F46,IF(F46="",-D46,F46-D46)))</f>
        <v/>
      </c>
      <c r="H46" s="447" t="str">
        <f t="shared" si="6"/>
        <v/>
      </c>
      <c r="I46" s="260"/>
      <c r="J46" s="362" t="str">
        <f>报表格式!G44</f>
        <v xml:space="preserve"> 集体资本</v>
      </c>
      <c r="K46" s="259">
        <f t="shared" si="19"/>
        <v>97</v>
      </c>
      <c r="L46" s="467">
        <f>未审横向BS!K46</f>
        <v>0</v>
      </c>
      <c r="M46" s="488" t="str">
        <f t="shared" si="14"/>
        <v/>
      </c>
      <c r="N46" s="467">
        <f>未审横向BS!L46</f>
        <v>0</v>
      </c>
      <c r="O46" s="488" t="str">
        <f t="shared" si="15"/>
        <v/>
      </c>
      <c r="P46" s="468" t="str">
        <f t="shared" si="9"/>
        <v/>
      </c>
      <c r="Q46" s="447" t="str">
        <f t="shared" si="20"/>
        <v/>
      </c>
      <c r="R46" s="875"/>
    </row>
    <row r="47" spans="1:18" ht="13.9" customHeight="1">
      <c r="A47" s="257">
        <f>报表格式!B45</f>
        <v>0</v>
      </c>
      <c r="B47" s="258">
        <v>41</v>
      </c>
      <c r="C47" s="467">
        <f>未审横向BS!C47</f>
        <v>0</v>
      </c>
      <c r="D47" s="488" t="str">
        <f t="shared" si="16"/>
        <v/>
      </c>
      <c r="E47" s="467">
        <f>未审横向BS!D47</f>
        <v>0</v>
      </c>
      <c r="F47" s="488" t="str">
        <f t="shared" si="18"/>
        <v/>
      </c>
      <c r="G47" s="468" t="str">
        <f>IF(AND(D47="",F47=""),"",IF(D47="",F47,IF(F47="",-D47,F47-D47)))</f>
        <v/>
      </c>
      <c r="H47" s="447" t="str">
        <f t="shared" si="6"/>
        <v/>
      </c>
      <c r="I47" s="260"/>
      <c r="J47" s="362" t="str">
        <f>报表格式!G45</f>
        <v xml:space="preserve"> 法人资本</v>
      </c>
      <c r="K47" s="259">
        <f t="shared" si="19"/>
        <v>98</v>
      </c>
      <c r="L47" s="467">
        <f>未审横向BS!K47</f>
        <v>0</v>
      </c>
      <c r="M47" s="488" t="str">
        <f t="shared" si="14"/>
        <v/>
      </c>
      <c r="N47" s="467">
        <f>未审横向BS!L47</f>
        <v>0</v>
      </c>
      <c r="O47" s="488" t="str">
        <f t="shared" si="15"/>
        <v/>
      </c>
      <c r="P47" s="468" t="str">
        <f t="shared" si="9"/>
        <v/>
      </c>
      <c r="Q47" s="447" t="str">
        <f t="shared" si="20"/>
        <v/>
      </c>
      <c r="R47" s="875"/>
    </row>
    <row r="48" spans="1:18" ht="13.9" customHeight="1">
      <c r="A48" s="263" t="str">
        <f>报表格式!B46</f>
        <v>固定资产合计</v>
      </c>
      <c r="B48" s="258">
        <v>42</v>
      </c>
      <c r="C48" s="469">
        <f>SUM(C41:C47)</f>
        <v>0</v>
      </c>
      <c r="D48" s="606" t="str">
        <f t="shared" si="16"/>
        <v/>
      </c>
      <c r="E48" s="469">
        <f>SUM(E41:E47)</f>
        <v>0</v>
      </c>
      <c r="F48" s="606" t="str">
        <f t="shared" si="18"/>
        <v/>
      </c>
      <c r="G48" s="607" t="str">
        <f>IF(AND(D48="",F48=""),"",IF(D48="",F48,IF(F48="",-D48,F48-D48)))</f>
        <v/>
      </c>
      <c r="H48" s="447" t="str">
        <f t="shared" si="6"/>
        <v/>
      </c>
      <c r="I48" s="331"/>
      <c r="J48" s="362" t="str">
        <f>报表格式!G46</f>
        <v xml:space="preserve">   其中：国有法人资本</v>
      </c>
      <c r="K48" s="259">
        <f t="shared" si="19"/>
        <v>99</v>
      </c>
      <c r="L48" s="467">
        <f>未审横向BS!K48</f>
        <v>0</v>
      </c>
      <c r="M48" s="488" t="str">
        <f t="shared" si="14"/>
        <v/>
      </c>
      <c r="N48" s="467">
        <f>未审横向BS!L48</f>
        <v>0</v>
      </c>
      <c r="O48" s="488" t="str">
        <f t="shared" si="15"/>
        <v/>
      </c>
      <c r="P48" s="468" t="str">
        <f t="shared" si="9"/>
        <v/>
      </c>
      <c r="Q48" s="447" t="str">
        <f t="shared" si="20"/>
        <v/>
      </c>
      <c r="R48" s="875"/>
    </row>
    <row r="49" spans="1:18" ht="13.9" customHeight="1">
      <c r="A49" s="262" t="str">
        <f>报表格式!B47</f>
        <v>无形资产及其他资产：</v>
      </c>
      <c r="B49" s="258">
        <v>43</v>
      </c>
      <c r="C49" s="471"/>
      <c r="D49" s="488" t="str">
        <f t="shared" si="16"/>
        <v/>
      </c>
      <c r="E49" s="471"/>
      <c r="F49" s="488" t="str">
        <f t="shared" si="18"/>
        <v/>
      </c>
      <c r="G49" s="468" t="str">
        <f t="shared" si="17"/>
        <v/>
      </c>
      <c r="H49" s="447" t="str">
        <f t="shared" si="6"/>
        <v/>
      </c>
      <c r="I49" s="331"/>
      <c r="J49" s="362" t="str">
        <f>报表格式!G47</f>
        <v xml:space="preserve">         集体法人资本</v>
      </c>
      <c r="K49" s="259">
        <f t="shared" si="19"/>
        <v>100</v>
      </c>
      <c r="L49" s="467">
        <f>未审横向BS!K49</f>
        <v>0</v>
      </c>
      <c r="M49" s="488" t="str">
        <f t="shared" si="14"/>
        <v/>
      </c>
      <c r="N49" s="467">
        <f>未审横向BS!L49</f>
        <v>0</v>
      </c>
      <c r="O49" s="488" t="str">
        <f t="shared" si="15"/>
        <v/>
      </c>
      <c r="P49" s="468" t="str">
        <f t="shared" si="9"/>
        <v/>
      </c>
      <c r="Q49" s="447" t="str">
        <f t="shared" si="20"/>
        <v/>
      </c>
      <c r="R49" s="875"/>
    </row>
    <row r="50" spans="1:18" ht="13.9" customHeight="1">
      <c r="A50" s="257" t="str">
        <f>报表格式!B48</f>
        <v>无形资产</v>
      </c>
      <c r="B50" s="258">
        <v>44</v>
      </c>
      <c r="C50" s="467">
        <f>未审横向BS!C50</f>
        <v>0</v>
      </c>
      <c r="D50" s="488" t="str">
        <f t="shared" si="16"/>
        <v/>
      </c>
      <c r="E50" s="467">
        <f>未审横向BS!D50</f>
        <v>0</v>
      </c>
      <c r="F50" s="488" t="str">
        <f t="shared" si="18"/>
        <v/>
      </c>
      <c r="G50" s="468" t="str">
        <f t="shared" si="17"/>
        <v/>
      </c>
      <c r="H50" s="447" t="str">
        <f t="shared" si="6"/>
        <v/>
      </c>
      <c r="I50" s="260"/>
      <c r="J50" s="362" t="str">
        <f>报表格式!G48</f>
        <v xml:space="preserve"> 个人资本</v>
      </c>
      <c r="K50" s="259">
        <f t="shared" si="19"/>
        <v>101</v>
      </c>
      <c r="L50" s="467">
        <f>未审横向BS!K50</f>
        <v>0</v>
      </c>
      <c r="M50" s="488" t="str">
        <f t="shared" si="14"/>
        <v/>
      </c>
      <c r="N50" s="467">
        <f>未审横向BS!L50</f>
        <v>0</v>
      </c>
      <c r="O50" s="488" t="str">
        <f t="shared" si="15"/>
        <v/>
      </c>
      <c r="P50" s="468" t="str">
        <f t="shared" si="9"/>
        <v/>
      </c>
      <c r="Q50" s="447" t="str">
        <f t="shared" si="20"/>
        <v/>
      </c>
      <c r="R50" s="875"/>
    </row>
    <row r="51" spans="1:18" s="151" customFormat="1" ht="13.9" customHeight="1">
      <c r="A51" s="257" t="str">
        <f>报表格式!B49</f>
        <v xml:space="preserve">  其中：土地使用权</v>
      </c>
      <c r="B51" s="258">
        <v>45</v>
      </c>
      <c r="C51" s="467">
        <f>未审横向BS!C51</f>
        <v>0</v>
      </c>
      <c r="D51" s="488" t="str">
        <f t="shared" si="16"/>
        <v/>
      </c>
      <c r="E51" s="467">
        <f>未审横向BS!D51</f>
        <v>0</v>
      </c>
      <c r="F51" s="488" t="str">
        <f t="shared" si="18"/>
        <v/>
      </c>
      <c r="G51" s="468" t="str">
        <f t="shared" si="17"/>
        <v/>
      </c>
      <c r="H51" s="447" t="str">
        <f t="shared" si="6"/>
        <v/>
      </c>
      <c r="I51" s="260"/>
      <c r="J51" s="362" t="str">
        <f>报表格式!G49</f>
        <v xml:space="preserve"> 外商资本</v>
      </c>
      <c r="K51" s="259">
        <f t="shared" si="19"/>
        <v>102</v>
      </c>
      <c r="L51" s="467">
        <f>未审横向BS!K51</f>
        <v>0</v>
      </c>
      <c r="M51" s="488" t="str">
        <f t="shared" si="14"/>
        <v/>
      </c>
      <c r="N51" s="467">
        <f>未审横向BS!L51</f>
        <v>0</v>
      </c>
      <c r="O51" s="488" t="str">
        <f t="shared" si="15"/>
        <v/>
      </c>
      <c r="P51" s="468" t="str">
        <f t="shared" si="9"/>
        <v/>
      </c>
      <c r="Q51" s="447" t="str">
        <f t="shared" si="20"/>
        <v/>
      </c>
      <c r="R51" s="875"/>
    </row>
    <row r="52" spans="1:18">
      <c r="A52" s="257" t="str">
        <f>报表格式!B50</f>
        <v>长期待摊费用</v>
      </c>
      <c r="B52" s="258">
        <v>46</v>
      </c>
      <c r="C52" s="467">
        <f>未审横向BS!C52</f>
        <v>0</v>
      </c>
      <c r="D52" s="488" t="str">
        <f t="shared" si="16"/>
        <v/>
      </c>
      <c r="E52" s="467">
        <f>未审横向BS!D52</f>
        <v>0</v>
      </c>
      <c r="F52" s="488" t="str">
        <f t="shared" si="18"/>
        <v/>
      </c>
      <c r="G52" s="468" t="str">
        <f t="shared" si="17"/>
        <v/>
      </c>
      <c r="H52" s="447" t="str">
        <f t="shared" si="6"/>
        <v/>
      </c>
      <c r="I52" s="260"/>
      <c r="J52" s="362" t="str">
        <f>报表格式!G50</f>
        <v>资本公积</v>
      </c>
      <c r="K52" s="259">
        <f t="shared" si="19"/>
        <v>103</v>
      </c>
      <c r="L52" s="467">
        <f>未审横向BS!K52</f>
        <v>0</v>
      </c>
      <c r="M52" s="488" t="str">
        <f t="shared" si="14"/>
        <v/>
      </c>
      <c r="N52" s="467">
        <f>未审横向BS!L52</f>
        <v>0</v>
      </c>
      <c r="O52" s="488" t="str">
        <f t="shared" si="15"/>
        <v/>
      </c>
      <c r="P52" s="468" t="str">
        <f t="shared" si="9"/>
        <v/>
      </c>
      <c r="Q52" s="447" t="str">
        <f t="shared" si="20"/>
        <v/>
      </c>
      <c r="R52" s="875"/>
    </row>
    <row r="53" spans="1:18">
      <c r="A53" s="257" t="str">
        <f>报表格式!B51</f>
        <v xml:space="preserve">  其中：固定资产修理</v>
      </c>
      <c r="B53" s="258">
        <v>47</v>
      </c>
      <c r="C53" s="467">
        <f>未审横向BS!C53</f>
        <v>0</v>
      </c>
      <c r="D53" s="488" t="str">
        <f t="shared" si="16"/>
        <v/>
      </c>
      <c r="E53" s="467">
        <f>未审横向BS!D53</f>
        <v>0</v>
      </c>
      <c r="F53" s="488" t="str">
        <f t="shared" si="18"/>
        <v/>
      </c>
      <c r="G53" s="468" t="str">
        <f t="shared" si="17"/>
        <v/>
      </c>
      <c r="H53" s="447" t="str">
        <f t="shared" si="6"/>
        <v/>
      </c>
      <c r="I53" s="260"/>
      <c r="J53" s="362" t="str">
        <f>报表格式!G51</f>
        <v>盈余公积</v>
      </c>
      <c r="K53" s="259">
        <f t="shared" si="19"/>
        <v>104</v>
      </c>
      <c r="L53" s="467">
        <f>未审横向BS!K53</f>
        <v>0</v>
      </c>
      <c r="M53" s="488" t="str">
        <f t="shared" si="14"/>
        <v/>
      </c>
      <c r="N53" s="467">
        <f>未审横向BS!L53</f>
        <v>0</v>
      </c>
      <c r="O53" s="488" t="str">
        <f t="shared" si="15"/>
        <v/>
      </c>
      <c r="P53" s="468" t="str">
        <f t="shared" si="9"/>
        <v/>
      </c>
      <c r="Q53" s="447" t="str">
        <f t="shared" si="20"/>
        <v/>
      </c>
      <c r="R53" s="875"/>
    </row>
    <row r="54" spans="1:18">
      <c r="A54" s="257" t="str">
        <f>报表格式!B52</f>
        <v xml:space="preserve">       固定资产改良支出</v>
      </c>
      <c r="B54" s="258">
        <v>48</v>
      </c>
      <c r="C54" s="467">
        <f>未审横向BS!C54</f>
        <v>0</v>
      </c>
      <c r="D54" s="488" t="str">
        <f t="shared" si="16"/>
        <v/>
      </c>
      <c r="E54" s="467">
        <f>未审横向BS!D54</f>
        <v>0</v>
      </c>
      <c r="F54" s="488" t="str">
        <f t="shared" si="18"/>
        <v/>
      </c>
      <c r="G54" s="468" t="str">
        <f t="shared" si="17"/>
        <v/>
      </c>
      <c r="H54" s="447" t="str">
        <f t="shared" si="6"/>
        <v/>
      </c>
      <c r="I54" s="260"/>
      <c r="J54" s="362" t="str">
        <f>报表格式!G52</f>
        <v xml:space="preserve">  其中：法定公益金</v>
      </c>
      <c r="K54" s="259">
        <f t="shared" si="19"/>
        <v>105</v>
      </c>
      <c r="L54" s="467">
        <f>未审横向BS!K54</f>
        <v>0</v>
      </c>
      <c r="M54" s="488" t="str">
        <f t="shared" si="14"/>
        <v/>
      </c>
      <c r="N54" s="467">
        <f>未审横向BS!L54</f>
        <v>0</v>
      </c>
      <c r="O54" s="488" t="str">
        <f t="shared" si="15"/>
        <v/>
      </c>
      <c r="P54" s="468" t="str">
        <f t="shared" ref="P54:P63" si="21">IF(AND(M54="",O54=""),"",IF(M54="",O54,IF(O54="",-M54,O54-M54)))</f>
        <v/>
      </c>
      <c r="Q54" s="447" t="str">
        <f t="shared" si="20"/>
        <v/>
      </c>
      <c r="R54" s="875"/>
    </row>
    <row r="55" spans="1:18">
      <c r="A55" s="257" t="str">
        <f>报表格式!B53</f>
        <v>股权分置流通权</v>
      </c>
      <c r="B55" s="258">
        <v>49</v>
      </c>
      <c r="C55" s="467">
        <f>未审横向BS!C55</f>
        <v>0</v>
      </c>
      <c r="D55" s="488" t="str">
        <f t="shared" si="16"/>
        <v/>
      </c>
      <c r="E55" s="467">
        <f>未审横向BS!D55</f>
        <v>0</v>
      </c>
      <c r="F55" s="488" t="str">
        <f t="shared" si="18"/>
        <v/>
      </c>
      <c r="G55" s="468" t="str">
        <f t="shared" si="17"/>
        <v/>
      </c>
      <c r="H55" s="447" t="str">
        <f t="shared" si="6"/>
        <v/>
      </c>
      <c r="I55" s="260"/>
      <c r="J55" s="362" t="str">
        <f>报表格式!G53</f>
        <v>*未确认的投资损失（以“-”号填列）</v>
      </c>
      <c r="K55" s="259">
        <f t="shared" si="19"/>
        <v>106</v>
      </c>
      <c r="L55" s="467">
        <f>未审横向BS!K55</f>
        <v>0</v>
      </c>
      <c r="M55" s="488" t="str">
        <f t="shared" si="14"/>
        <v/>
      </c>
      <c r="N55" s="467">
        <f>未审横向BS!L55</f>
        <v>0</v>
      </c>
      <c r="O55" s="488" t="str">
        <f t="shared" si="15"/>
        <v/>
      </c>
      <c r="P55" s="468" t="str">
        <f t="shared" si="21"/>
        <v/>
      </c>
      <c r="Q55" s="447" t="str">
        <f t="shared" si="20"/>
        <v/>
      </c>
      <c r="R55" s="876"/>
    </row>
    <row r="56" spans="1:18">
      <c r="A56" s="257" t="str">
        <f>报表格式!B54</f>
        <v>其他长期资产</v>
      </c>
      <c r="B56" s="258">
        <v>50</v>
      </c>
      <c r="C56" s="467">
        <f>未审横向BS!C56</f>
        <v>0</v>
      </c>
      <c r="D56" s="488" t="str">
        <f t="shared" si="16"/>
        <v/>
      </c>
      <c r="E56" s="467">
        <f>未审横向BS!D56</f>
        <v>0</v>
      </c>
      <c r="F56" s="488" t="str">
        <f t="shared" si="18"/>
        <v/>
      </c>
      <c r="G56" s="468" t="str">
        <f t="shared" si="17"/>
        <v/>
      </c>
      <c r="H56" s="447" t="str">
        <f t="shared" si="6"/>
        <v/>
      </c>
      <c r="I56" s="260"/>
      <c r="J56" s="362" t="str">
        <f>报表格式!G54</f>
        <v>未分配利润</v>
      </c>
      <c r="K56" s="259">
        <f t="shared" si="19"/>
        <v>107</v>
      </c>
      <c r="L56" s="467">
        <f>未审横向BS!K56</f>
        <v>0</v>
      </c>
      <c r="M56" s="488" t="str">
        <f t="shared" si="14"/>
        <v/>
      </c>
      <c r="N56" s="467">
        <f>未审横向BS!L56</f>
        <v>0</v>
      </c>
      <c r="O56" s="488" t="str">
        <f t="shared" si="15"/>
        <v/>
      </c>
      <c r="P56" s="468" t="str">
        <f t="shared" si="21"/>
        <v/>
      </c>
      <c r="Q56" s="447" t="str">
        <f t="shared" si="20"/>
        <v/>
      </c>
      <c r="R56" s="875"/>
    </row>
    <row r="57" spans="1:18">
      <c r="A57" s="257" t="str">
        <f>报表格式!B55</f>
        <v xml:space="preserve">  其中：特准储备物资</v>
      </c>
      <c r="B57" s="258">
        <v>51</v>
      </c>
      <c r="C57" s="467">
        <f>未审横向BS!C57</f>
        <v>0</v>
      </c>
      <c r="D57" s="488" t="str">
        <f t="shared" ref="D57:D63" si="22">IF(AND(C57&lt;&gt;0,$C$63&lt;&gt;0),C57/$C$63,"")</f>
        <v/>
      </c>
      <c r="E57" s="467">
        <f>未审横向BS!D57</f>
        <v>0</v>
      </c>
      <c r="F57" s="488" t="str">
        <f t="shared" ref="F57:F63" si="23">IF(AND(E57&lt;&gt;0,$E$63&lt;&gt;0),E57/$E$63,"")</f>
        <v/>
      </c>
      <c r="G57" s="468" t="str">
        <f t="shared" ref="G57:G63" si="24">IF(AND(D57="",F57=""),"",IF(D57="",F57,IF(F57="",-D57,F57-D57)))</f>
        <v/>
      </c>
      <c r="H57" s="447" t="str">
        <f t="shared" si="6"/>
        <v/>
      </c>
      <c r="I57" s="260"/>
      <c r="J57" s="362" t="str">
        <f>报表格式!G55</f>
        <v xml:space="preserve">  其中：现金股利</v>
      </c>
      <c r="K57" s="259">
        <f t="shared" si="19"/>
        <v>108</v>
      </c>
      <c r="L57" s="467">
        <f>未审横向BS!K57</f>
        <v>0</v>
      </c>
      <c r="M57" s="488" t="str">
        <f t="shared" si="14"/>
        <v/>
      </c>
      <c r="N57" s="467">
        <f>未审横向BS!L57</f>
        <v>0</v>
      </c>
      <c r="O57" s="488" t="str">
        <f t="shared" si="15"/>
        <v/>
      </c>
      <c r="P57" s="468" t="str">
        <f t="shared" si="21"/>
        <v/>
      </c>
      <c r="Q57" s="447" t="str">
        <f t="shared" si="20"/>
        <v/>
      </c>
      <c r="R57" s="875"/>
    </row>
    <row r="58" spans="1:18">
      <c r="A58" s="257">
        <f>报表格式!B56</f>
        <v>0</v>
      </c>
      <c r="B58" s="258">
        <v>52</v>
      </c>
      <c r="C58" s="467">
        <f>未审横向BS!C58</f>
        <v>0</v>
      </c>
      <c r="D58" s="488" t="str">
        <f t="shared" si="22"/>
        <v/>
      </c>
      <c r="E58" s="467">
        <f>未审横向BS!D58</f>
        <v>0</v>
      </c>
      <c r="F58" s="488" t="str">
        <f t="shared" si="23"/>
        <v/>
      </c>
      <c r="G58" s="468" t="str">
        <f t="shared" si="24"/>
        <v/>
      </c>
      <c r="H58" s="447" t="str">
        <f t="shared" si="6"/>
        <v/>
      </c>
      <c r="I58" s="260"/>
      <c r="J58" s="362" t="str">
        <f>报表格式!G56</f>
        <v>外币报表折算差额</v>
      </c>
      <c r="K58" s="259">
        <f t="shared" si="19"/>
        <v>109</v>
      </c>
      <c r="L58" s="467">
        <f>未审横向BS!K58</f>
        <v>0</v>
      </c>
      <c r="M58" s="488" t="str">
        <f t="shared" si="14"/>
        <v/>
      </c>
      <c r="N58" s="467">
        <f>未审横向BS!L58</f>
        <v>0</v>
      </c>
      <c r="O58" s="488" t="str">
        <f t="shared" si="15"/>
        <v/>
      </c>
      <c r="P58" s="468" t="str">
        <f t="shared" si="21"/>
        <v/>
      </c>
      <c r="Q58" s="447" t="str">
        <f t="shared" si="20"/>
        <v/>
      </c>
      <c r="R58" s="875"/>
    </row>
    <row r="59" spans="1:18">
      <c r="A59" s="263" t="str">
        <f>报表格式!B57</f>
        <v>无形资产及其他资产合计</v>
      </c>
      <c r="B59" s="258">
        <v>53</v>
      </c>
      <c r="C59" s="469">
        <f>SUM(C50,C52,C55:C56,C58)</f>
        <v>0</v>
      </c>
      <c r="D59" s="606" t="str">
        <f t="shared" si="22"/>
        <v/>
      </c>
      <c r="E59" s="469">
        <f>SUM(E50,E52,E55:E56,E58)</f>
        <v>0</v>
      </c>
      <c r="F59" s="606" t="str">
        <f t="shared" si="23"/>
        <v/>
      </c>
      <c r="G59" s="607" t="str">
        <f t="shared" si="24"/>
        <v/>
      </c>
      <c r="H59" s="447" t="str">
        <f t="shared" si="6"/>
        <v/>
      </c>
      <c r="I59" s="331"/>
      <c r="J59" s="362">
        <f>报表格式!G57</f>
        <v>0</v>
      </c>
      <c r="K59" s="259">
        <f t="shared" si="19"/>
        <v>110</v>
      </c>
      <c r="L59" s="467">
        <f>未审横向BS!K59</f>
        <v>0</v>
      </c>
      <c r="M59" s="488" t="str">
        <f t="shared" si="14"/>
        <v/>
      </c>
      <c r="N59" s="467">
        <f>未审横向BS!L59</f>
        <v>0</v>
      </c>
      <c r="O59" s="488" t="str">
        <f t="shared" si="15"/>
        <v/>
      </c>
      <c r="P59" s="468" t="str">
        <f t="shared" si="21"/>
        <v/>
      </c>
      <c r="Q59" s="447" t="str">
        <f t="shared" si="20"/>
        <v/>
      </c>
      <c r="R59" s="875"/>
    </row>
    <row r="60" spans="1:18">
      <c r="A60" s="262" t="str">
        <f>报表格式!B58</f>
        <v>递延税项：</v>
      </c>
      <c r="B60" s="258">
        <v>54</v>
      </c>
      <c r="C60" s="471"/>
      <c r="D60" s="488" t="str">
        <f>IF(AND(C60&lt;&gt;0,$C$63&lt;&gt;0),C60/$C$63,"")</f>
        <v/>
      </c>
      <c r="E60" s="471"/>
      <c r="F60" s="488" t="str">
        <f t="shared" si="23"/>
        <v/>
      </c>
      <c r="G60" s="468" t="str">
        <f t="shared" si="24"/>
        <v/>
      </c>
      <c r="H60" s="447" t="str">
        <f t="shared" si="6"/>
        <v/>
      </c>
      <c r="I60" s="331"/>
      <c r="J60" s="261" t="str">
        <f>报表格式!G58</f>
        <v>所有者权益小计</v>
      </c>
      <c r="K60" s="259">
        <f t="shared" si="19"/>
        <v>111</v>
      </c>
      <c r="L60" s="469">
        <f>SUM(L44,L52,L53,L55,L56,L58:L59)</f>
        <v>0</v>
      </c>
      <c r="M60" s="606" t="str">
        <f t="shared" si="14"/>
        <v/>
      </c>
      <c r="N60" s="469">
        <f>SUM(N44,N52,N53,N55,N56,N58:N59)</f>
        <v>0</v>
      </c>
      <c r="O60" s="606" t="str">
        <f t="shared" si="15"/>
        <v/>
      </c>
      <c r="P60" s="607" t="str">
        <f t="shared" si="21"/>
        <v/>
      </c>
      <c r="Q60" s="447" t="str">
        <f t="shared" si="20"/>
        <v/>
      </c>
      <c r="R60" s="875"/>
    </row>
    <row r="61" spans="1:18">
      <c r="A61" s="257" t="str">
        <f>报表格式!B59</f>
        <v>递延税款借项</v>
      </c>
      <c r="B61" s="258">
        <v>55</v>
      </c>
      <c r="C61" s="467">
        <f>未审横向BS!C61</f>
        <v>0</v>
      </c>
      <c r="D61" s="488" t="str">
        <f t="shared" si="22"/>
        <v/>
      </c>
      <c r="E61" s="467">
        <f>未审横向BS!D61</f>
        <v>0</v>
      </c>
      <c r="F61" s="488" t="str">
        <f t="shared" si="23"/>
        <v/>
      </c>
      <c r="G61" s="468" t="str">
        <f t="shared" si="24"/>
        <v/>
      </c>
      <c r="H61" s="447" t="str">
        <f t="shared" si="6"/>
        <v/>
      </c>
      <c r="I61" s="260"/>
      <c r="J61" s="362" t="str">
        <f>报表格式!G59</f>
        <v>减：未处理资产损失</v>
      </c>
      <c r="K61" s="259">
        <f t="shared" si="19"/>
        <v>112</v>
      </c>
      <c r="L61" s="467">
        <f>未审横向BS!K61</f>
        <v>0</v>
      </c>
      <c r="M61" s="488" t="str">
        <f t="shared" si="14"/>
        <v/>
      </c>
      <c r="N61" s="467">
        <f>未审横向BS!L61</f>
        <v>0</v>
      </c>
      <c r="O61" s="488" t="str">
        <f t="shared" si="15"/>
        <v/>
      </c>
      <c r="P61" s="468" t="str">
        <f t="shared" si="21"/>
        <v/>
      </c>
      <c r="Q61" s="447" t="str">
        <f t="shared" si="20"/>
        <v/>
      </c>
      <c r="R61" s="875"/>
    </row>
    <row r="62" spans="1:18">
      <c r="A62" s="257">
        <f>报表格式!B60</f>
        <v>0</v>
      </c>
      <c r="B62" s="258">
        <v>56</v>
      </c>
      <c r="C62" s="467">
        <f>未审横向BS!C62</f>
        <v>0</v>
      </c>
      <c r="D62" s="488" t="str">
        <f t="shared" si="22"/>
        <v/>
      </c>
      <c r="E62" s="467">
        <f>未审横向BS!D62</f>
        <v>0</v>
      </c>
      <c r="F62" s="488" t="str">
        <f t="shared" si="23"/>
        <v/>
      </c>
      <c r="G62" s="468" t="str">
        <f t="shared" si="24"/>
        <v/>
      </c>
      <c r="H62" s="447" t="str">
        <f t="shared" si="6"/>
        <v/>
      </c>
      <c r="I62" s="260"/>
      <c r="J62" s="360" t="str">
        <f>报表格式!G60</f>
        <v>所有者权益合计(剔除未处理资产损失后的金额)</v>
      </c>
      <c r="K62" s="259">
        <f t="shared" si="19"/>
        <v>113</v>
      </c>
      <c r="L62" s="476">
        <f>L60-L61</f>
        <v>0</v>
      </c>
      <c r="M62" s="606" t="str">
        <f t="shared" si="14"/>
        <v/>
      </c>
      <c r="N62" s="476">
        <f>N60-N61</f>
        <v>0</v>
      </c>
      <c r="O62" s="606" t="str">
        <f t="shared" si="15"/>
        <v/>
      </c>
      <c r="P62" s="607" t="str">
        <f t="shared" si="21"/>
        <v/>
      </c>
      <c r="Q62" s="447" t="str">
        <f t="shared" si="20"/>
        <v/>
      </c>
      <c r="R62" s="877"/>
    </row>
    <row r="63" spans="1:18" ht="15" thickBot="1">
      <c r="A63" s="264" t="str">
        <f>报表格式!B73</f>
        <v>资 产 总 计</v>
      </c>
      <c r="B63" s="265">
        <v>57</v>
      </c>
      <c r="C63" s="472">
        <f>SUM(C61:C62,C59,C48,C35,C28)</f>
        <v>0</v>
      </c>
      <c r="D63" s="609" t="str">
        <f t="shared" si="22"/>
        <v/>
      </c>
      <c r="E63" s="472">
        <f>SUM(E61:E62,E59,E48,E35,E28)</f>
        <v>0</v>
      </c>
      <c r="F63" s="609" t="str">
        <f t="shared" si="23"/>
        <v/>
      </c>
      <c r="G63" s="609" t="str">
        <f t="shared" si="24"/>
        <v/>
      </c>
      <c r="H63" s="452" t="str">
        <f t="shared" si="6"/>
        <v/>
      </c>
      <c r="I63" s="332"/>
      <c r="J63" s="364" t="str">
        <f>报表格式!G73</f>
        <v>负债及所有者权益合计</v>
      </c>
      <c r="K63" s="266">
        <f t="shared" si="19"/>
        <v>114</v>
      </c>
      <c r="L63" s="472">
        <f>L40+L41+L42+L62</f>
        <v>0</v>
      </c>
      <c r="M63" s="610" t="str">
        <f t="shared" si="14"/>
        <v/>
      </c>
      <c r="N63" s="472">
        <f>N40+N41+N42+N62</f>
        <v>0</v>
      </c>
      <c r="O63" s="610" t="str">
        <f t="shared" si="15"/>
        <v/>
      </c>
      <c r="P63" s="609" t="str">
        <f t="shared" si="21"/>
        <v/>
      </c>
      <c r="Q63" s="452" t="str">
        <f t="shared" si="20"/>
        <v/>
      </c>
      <c r="R63" s="878"/>
    </row>
    <row r="64" spans="1:18">
      <c r="A64" s="104"/>
      <c r="B64" s="154"/>
      <c r="C64" s="155"/>
      <c r="D64" s="155"/>
      <c r="E64" s="104"/>
      <c r="F64" s="104"/>
      <c r="G64" s="104"/>
      <c r="H64" s="104"/>
      <c r="I64" s="104"/>
      <c r="J64" s="107"/>
      <c r="K64" s="335"/>
      <c r="L64" s="335"/>
      <c r="M64" s="335"/>
      <c r="N64" s="335"/>
      <c r="O64" s="335"/>
    </row>
    <row r="65" spans="5:15">
      <c r="E65" s="356"/>
      <c r="F65" s="356"/>
    </row>
    <row r="66" spans="5:15">
      <c r="N66" s="330"/>
      <c r="O66" s="330"/>
    </row>
    <row r="67" spans="5:15">
      <c r="N67" s="330"/>
      <c r="O67" s="330"/>
    </row>
  </sheetData>
  <sheetProtection formatCells="0" insertRows="0" autoFilter="0" pivotTables="0"/>
  <mergeCells count="16">
    <mergeCell ref="J1:R1"/>
    <mergeCell ref="A4:A6"/>
    <mergeCell ref="J4:J6"/>
    <mergeCell ref="H4:H6"/>
    <mergeCell ref="I4:I6"/>
    <mergeCell ref="B4:B6"/>
    <mergeCell ref="A1:I1"/>
    <mergeCell ref="Q4:Q6"/>
    <mergeCell ref="R4:R6"/>
    <mergeCell ref="N4:O4"/>
    <mergeCell ref="P4:P5"/>
    <mergeCell ref="C4:D4"/>
    <mergeCell ref="E4:F4"/>
    <mergeCell ref="G4:G5"/>
    <mergeCell ref="L4:M4"/>
    <mergeCell ref="K4:K6"/>
  </mergeCells>
  <phoneticPr fontId="3" type="noConversion"/>
  <conditionalFormatting sqref="H7">
    <cfRule type="cellIs" dxfId="30" priority="1" stopIfTrue="1" operator="equal">
      <formula>"异常"</formula>
    </cfRule>
  </conditionalFormatting>
  <conditionalFormatting sqref="I7:O7 C7:G7">
    <cfRule type="cellIs" dxfId="29" priority="2" stopIfTrue="1" operator="equal">
      <formula>"            对不起，请到参数表中确定报表类型！"</formula>
    </cfRule>
    <cfRule type="cellIs" dxfId="28" priority="3" stopIfTrue="1" operator="equal">
      <formula>"对不起，试用期已到，请查看系统信息，并与作者联系。"</formula>
    </cfRule>
  </conditionalFormatting>
  <conditionalFormatting sqref="H8:H63 Q8:Q63">
    <cfRule type="cellIs" dxfId="27" priority="4" stopIfTrue="1" operator="equal">
      <formula>"显著"</formula>
    </cfRule>
  </conditionalFormatting>
  <printOptions horizontalCentered="1"/>
  <pageMargins left="0.35" right="0.23622047244094491" top="0.43" bottom="0.27" header="0.23" footer="0.2"/>
  <pageSetup paperSize="9" scale="86" fitToWidth="2" orientation="portrait" blackAndWhite="1" r:id="rId1"/>
  <headerFooter alignWithMargins="0"/>
  <colBreaks count="1" manualBreakCount="1">
    <brk id="9" max="1048575" man="1"/>
  </col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39"/>
    <pageSetUpPr fitToPage="1"/>
  </sheetPr>
  <dimension ref="A1:P79"/>
  <sheetViews>
    <sheetView workbookViewId="0">
      <pane xSplit="2" ySplit="6" topLeftCell="C7" activePane="bottomRight" state="frozen"/>
      <selection sqref="A1:H1"/>
      <selection pane="topRight" sqref="A1:H1"/>
      <selection pane="bottomLeft" sqref="A1:H1"/>
      <selection pane="bottomRight" sqref="A1:I1"/>
    </sheetView>
  </sheetViews>
  <sheetFormatPr defaultRowHeight="14.25"/>
  <cols>
    <col min="1" max="1" width="42.625" style="152" customWidth="1"/>
    <col min="2" max="2" width="4.125" style="152" customWidth="1"/>
    <col min="3" max="3" width="10.75" style="152" customWidth="1"/>
    <col min="4" max="4" width="6.75" style="152" customWidth="1"/>
    <col min="5" max="5" width="11.375" style="152" customWidth="1"/>
    <col min="6" max="6" width="6.625" style="152" customWidth="1"/>
    <col min="7" max="7" width="9.375" style="152" customWidth="1"/>
    <col min="8" max="8" width="7.625" style="152" customWidth="1"/>
    <col min="9" max="9" width="12.875" style="152" customWidth="1"/>
    <col min="10" max="16384" width="9" style="152"/>
  </cols>
  <sheetData>
    <row r="1" spans="1:16" ht="18.75">
      <c r="A1" s="969" t="s">
        <v>618</v>
      </c>
      <c r="B1" s="969"/>
      <c r="C1" s="969"/>
      <c r="D1" s="969"/>
      <c r="E1" s="969"/>
      <c r="F1" s="969"/>
      <c r="G1" s="969"/>
      <c r="H1" s="969"/>
      <c r="I1" s="969"/>
    </row>
    <row r="2" spans="1:16" s="61" customFormat="1" ht="15" customHeight="1">
      <c r="A2" s="171" t="str">
        <f>CONCATENATE("客户名称：",参数!D3)</f>
        <v>客户名称：</v>
      </c>
      <c r="B2" s="172" t="str">
        <f>CONCATENATE("编制：",参数!D17)</f>
        <v>编制：</v>
      </c>
      <c r="F2" s="171" t="str">
        <f>CONCATENATE("复核：",参数!D18)</f>
        <v>复核：</v>
      </c>
      <c r="I2" s="172" t="s">
        <v>616</v>
      </c>
      <c r="J2" s="174"/>
      <c r="K2" s="175"/>
      <c r="N2" s="188"/>
      <c r="O2" s="42"/>
      <c r="P2" s="189"/>
    </row>
    <row r="3" spans="1:16" s="61" customFormat="1" ht="17.25" customHeight="1" thickBot="1">
      <c r="A3" s="174" t="str">
        <f>CONCATENATE("会计期间：",TEXT(参数!D10,"yyyy.mm.dd"))</f>
        <v>会计期间：2007年度</v>
      </c>
      <c r="B3" s="176" t="str">
        <f ca="1">CONCATENATE("日期：",TEXT(NOW(),"yyyy.mm.dd"))</f>
        <v>日期：2023.08.14</v>
      </c>
      <c r="F3" s="172" t="s">
        <v>268</v>
      </c>
      <c r="I3" s="172" t="s">
        <v>617</v>
      </c>
      <c r="J3" s="174"/>
      <c r="K3" s="174"/>
      <c r="N3" s="188"/>
      <c r="O3" s="42"/>
      <c r="P3" s="189"/>
    </row>
    <row r="4" spans="1:16" s="340" customFormat="1" ht="12" customHeight="1">
      <c r="A4" s="990" t="s">
        <v>134</v>
      </c>
      <c r="B4" s="993" t="s">
        <v>625</v>
      </c>
      <c r="C4" s="998" t="s">
        <v>587</v>
      </c>
      <c r="D4" s="999"/>
      <c r="E4" s="998" t="s">
        <v>588</v>
      </c>
      <c r="F4" s="999"/>
      <c r="G4" s="996" t="s">
        <v>614</v>
      </c>
      <c r="H4" s="981" t="s">
        <v>704</v>
      </c>
      <c r="I4" s="1000" t="s">
        <v>705</v>
      </c>
    </row>
    <row r="5" spans="1:16" s="340" customFormat="1" ht="12.75">
      <c r="A5" s="991"/>
      <c r="B5" s="994"/>
      <c r="C5" s="358" t="s">
        <v>606</v>
      </c>
      <c r="D5" s="337" t="s">
        <v>607</v>
      </c>
      <c r="E5" s="358" t="s">
        <v>610</v>
      </c>
      <c r="F5" s="337" t="s">
        <v>607</v>
      </c>
      <c r="G5" s="997"/>
      <c r="H5" s="982"/>
      <c r="I5" s="1001"/>
    </row>
    <row r="6" spans="1:16" s="340" customFormat="1" ht="12.75">
      <c r="A6" s="992"/>
      <c r="B6" s="995"/>
      <c r="C6" s="339" t="s">
        <v>590</v>
      </c>
      <c r="D6" s="359" t="s">
        <v>608</v>
      </c>
      <c r="E6" s="359" t="s">
        <v>609</v>
      </c>
      <c r="F6" s="359" t="s">
        <v>611</v>
      </c>
      <c r="G6" s="359" t="s">
        <v>612</v>
      </c>
      <c r="H6" s="983"/>
      <c r="I6" s="1002"/>
    </row>
    <row r="7" spans="1:16" s="340" customFormat="1" ht="12.75">
      <c r="A7" s="354" t="str">
        <f>报表格式!L5</f>
        <v>一、主营业务收入</v>
      </c>
      <c r="B7" s="355">
        <v>1</v>
      </c>
      <c r="C7" s="478">
        <f>未审横向PL!C7</f>
        <v>0</v>
      </c>
      <c r="D7" s="486" t="str">
        <f>IF(AND(C7&lt;&gt;0,$C$7&lt;&gt;0),C7/$C$7,"")</f>
        <v/>
      </c>
      <c r="E7" s="478">
        <f>未审横向PL!D7</f>
        <v>0</v>
      </c>
      <c r="F7" s="486" t="str">
        <f>IF(AND(E7&lt;&gt;0,$E$7&lt;&gt;0),E7/$E$7,"")</f>
        <v/>
      </c>
      <c r="G7" s="487" t="str">
        <f>IF(AND(D7="",F7=""),"",IF(D7="",F7,IF(F7="",-D7,F7-D7)))</f>
        <v/>
      </c>
      <c r="H7" s="447" t="str">
        <f>IF(G7="","",IF(ABS(G7)&gt;=30%,"显著",IF(ABS(G7)&gt;=10%,"关注","")))</f>
        <v/>
      </c>
      <c r="I7" s="869"/>
    </row>
    <row r="8" spans="1:16" s="340" customFormat="1" ht="12.75">
      <c r="A8" s="349" t="str">
        <f>报表格式!L6</f>
        <v xml:space="preserve">    其中：进口产品（商品）销售收入</v>
      </c>
      <c r="B8" s="348">
        <v>2</v>
      </c>
      <c r="C8" s="479">
        <f>未审横向PL!C8</f>
        <v>0</v>
      </c>
      <c r="D8" s="451" t="str">
        <f t="shared" ref="D8:D74" si="0">IF(AND(C8&lt;&gt;0,$C$7&lt;&gt;0),C8/$C$7,"")</f>
        <v/>
      </c>
      <c r="E8" s="480">
        <f>未审横向PL!D8</f>
        <v>0</v>
      </c>
      <c r="F8" s="451" t="str">
        <f t="shared" ref="F8:F74" si="1">IF(AND(E8&lt;&gt;0,$E$7&lt;&gt;0),E8/$E$7,"")</f>
        <v/>
      </c>
      <c r="G8" s="446" t="str">
        <f>IF(AND(D8="",F8=""),"",IF(D8="",F8,IF(F8="",-D8,F8-D8)))</f>
        <v/>
      </c>
      <c r="H8" s="447" t="str">
        <f t="shared" ref="H8:H73" si="2">IF(G8="","",IF(ABS(G8)&gt;=30%,"显著",IF(ABS(G8)&gt;=10%,"关注","")))</f>
        <v/>
      </c>
      <c r="I8" s="860"/>
    </row>
    <row r="9" spans="1:16" s="340" customFormat="1" ht="12.75">
      <c r="A9" s="349" t="str">
        <f>报表格式!L7</f>
        <v xml:space="preserve">          出口产品（商品）销售收入</v>
      </c>
      <c r="B9" s="348">
        <v>3</v>
      </c>
      <c r="C9" s="479">
        <f>未审横向PL!C9</f>
        <v>0</v>
      </c>
      <c r="D9" s="451" t="str">
        <f t="shared" si="0"/>
        <v/>
      </c>
      <c r="E9" s="480">
        <f>未审横向PL!D9</f>
        <v>0</v>
      </c>
      <c r="F9" s="451" t="str">
        <f t="shared" si="1"/>
        <v/>
      </c>
      <c r="G9" s="446" t="str">
        <f>IF(AND(D9="",F9=""),"",IF(D9="",F9,IF(F9="",-D9,F9-D9)))</f>
        <v/>
      </c>
      <c r="H9" s="447" t="str">
        <f t="shared" si="2"/>
        <v/>
      </c>
      <c r="I9" s="870"/>
    </row>
    <row r="10" spans="1:16" s="340" customFormat="1" ht="12.75">
      <c r="A10" s="349" t="str">
        <f>报表格式!L8</f>
        <v xml:space="preserve">    减：折扣与折让</v>
      </c>
      <c r="B10" s="348">
        <v>4</v>
      </c>
      <c r="C10" s="479">
        <f>未审横向PL!C10</f>
        <v>0</v>
      </c>
      <c r="D10" s="451" t="str">
        <f t="shared" si="0"/>
        <v/>
      </c>
      <c r="E10" s="480">
        <f>未审横向PL!D10</f>
        <v>0</v>
      </c>
      <c r="F10" s="451" t="str">
        <f t="shared" si="1"/>
        <v/>
      </c>
      <c r="G10" s="446" t="str">
        <f>IF(AND(D10="",F10=""),"",IF(D10="",F10,IF(F10="",-D10,F10-D10)))</f>
        <v/>
      </c>
      <c r="H10" s="447" t="str">
        <f t="shared" si="2"/>
        <v/>
      </c>
      <c r="I10" s="870"/>
    </row>
    <row r="11" spans="1:16" s="340" customFormat="1" ht="12.75">
      <c r="A11" s="347" t="str">
        <f>报表格式!L9</f>
        <v>二、主营业务收入净额</v>
      </c>
      <c r="B11" s="348">
        <v>5</v>
      </c>
      <c r="C11" s="601">
        <f>C7-C10</f>
        <v>0</v>
      </c>
      <c r="D11" s="611" t="str">
        <f t="shared" si="0"/>
        <v/>
      </c>
      <c r="E11" s="601">
        <f>E7-E10</f>
        <v>0</v>
      </c>
      <c r="F11" s="611" t="str">
        <f t="shared" si="1"/>
        <v/>
      </c>
      <c r="G11" s="603" t="str">
        <f>IF(AND(D11="",F11=""),"",IF(D11="",F11,IF(F11="",-D11,F11-D11)))</f>
        <v/>
      </c>
      <c r="H11" s="447" t="str">
        <f t="shared" si="2"/>
        <v/>
      </c>
      <c r="I11" s="870"/>
    </row>
    <row r="12" spans="1:16" s="340" customFormat="1" ht="12.75">
      <c r="A12" s="349" t="str">
        <f>报表格式!L10</f>
        <v xml:space="preserve">    减：（一）主营业务成本</v>
      </c>
      <c r="B12" s="348">
        <v>6</v>
      </c>
      <c r="C12" s="480">
        <f>未审横向PL!C12</f>
        <v>0</v>
      </c>
      <c r="D12" s="451" t="str">
        <f t="shared" si="0"/>
        <v/>
      </c>
      <c r="E12" s="480">
        <f>未审横向PL!D12</f>
        <v>0</v>
      </c>
      <c r="F12" s="451" t="str">
        <f t="shared" si="1"/>
        <v/>
      </c>
      <c r="G12" s="446" t="str">
        <f t="shared" ref="G12:G28" si="3">IF(AND(D12="",F12=""),"",IF(D12="",F12,IF(F12="",-D12,F12-D12)))</f>
        <v/>
      </c>
      <c r="H12" s="447" t="str">
        <f t="shared" si="2"/>
        <v/>
      </c>
      <c r="I12" s="870"/>
    </row>
    <row r="13" spans="1:16" s="340" customFormat="1" ht="12.75">
      <c r="A13" s="349" t="str">
        <f>报表格式!L11</f>
        <v xml:space="preserve">              其中：出口产品（商品）销售成本</v>
      </c>
      <c r="B13" s="348">
        <v>7</v>
      </c>
      <c r="C13" s="480">
        <f>未审横向PL!C13</f>
        <v>0</v>
      </c>
      <c r="D13" s="451" t="str">
        <f t="shared" si="0"/>
        <v/>
      </c>
      <c r="E13" s="480">
        <f>未审横向PL!D13</f>
        <v>0</v>
      </c>
      <c r="F13" s="451" t="str">
        <f t="shared" si="1"/>
        <v/>
      </c>
      <c r="G13" s="446" t="str">
        <f t="shared" si="3"/>
        <v/>
      </c>
      <c r="H13" s="447" t="str">
        <f t="shared" si="2"/>
        <v/>
      </c>
      <c r="I13" s="870"/>
    </row>
    <row r="14" spans="1:16" s="340" customFormat="1" ht="12.75">
      <c r="A14" s="349" t="str">
        <f>报表格式!L12</f>
        <v xml:space="preserve">        （二）主营业务税金及附加</v>
      </c>
      <c r="B14" s="348">
        <v>8</v>
      </c>
      <c r="C14" s="480">
        <f>未审横向PL!C14</f>
        <v>0</v>
      </c>
      <c r="D14" s="451" t="str">
        <f t="shared" si="0"/>
        <v/>
      </c>
      <c r="E14" s="480">
        <f>未审横向PL!D14</f>
        <v>0</v>
      </c>
      <c r="F14" s="451" t="str">
        <f t="shared" si="1"/>
        <v/>
      </c>
      <c r="G14" s="446" t="str">
        <f t="shared" si="3"/>
        <v/>
      </c>
      <c r="H14" s="447" t="str">
        <f t="shared" si="2"/>
        <v/>
      </c>
      <c r="I14" s="870"/>
    </row>
    <row r="15" spans="1:16" s="340" customFormat="1" ht="12.75">
      <c r="A15" s="349" t="str">
        <f>报表格式!L13</f>
        <v xml:space="preserve">        （三）经营费用</v>
      </c>
      <c r="B15" s="348">
        <v>9</v>
      </c>
      <c r="C15" s="480">
        <f>未审横向PL!C15</f>
        <v>0</v>
      </c>
      <c r="D15" s="451" t="str">
        <f t="shared" si="0"/>
        <v/>
      </c>
      <c r="E15" s="480">
        <f>未审横向PL!D15</f>
        <v>0</v>
      </c>
      <c r="F15" s="451" t="str">
        <f t="shared" si="1"/>
        <v/>
      </c>
      <c r="G15" s="446" t="str">
        <f t="shared" si="3"/>
        <v/>
      </c>
      <c r="H15" s="447" t="str">
        <f t="shared" si="2"/>
        <v/>
      </c>
      <c r="I15" s="870"/>
    </row>
    <row r="16" spans="1:16" s="340" customFormat="1" ht="12.75">
      <c r="A16" s="349" t="str">
        <f>报表格式!L14</f>
        <v xml:space="preserve">        （四）其他</v>
      </c>
      <c r="B16" s="348">
        <v>10</v>
      </c>
      <c r="C16" s="480">
        <f>未审横向PL!C16</f>
        <v>0</v>
      </c>
      <c r="D16" s="451" t="str">
        <f t="shared" si="0"/>
        <v/>
      </c>
      <c r="E16" s="480">
        <f>未审横向PL!D16</f>
        <v>0</v>
      </c>
      <c r="F16" s="451" t="str">
        <f t="shared" si="1"/>
        <v/>
      </c>
      <c r="G16" s="446" t="str">
        <f t="shared" si="3"/>
        <v/>
      </c>
      <c r="H16" s="447" t="str">
        <f t="shared" si="2"/>
        <v/>
      </c>
      <c r="I16" s="870"/>
    </row>
    <row r="17" spans="1:9" s="340" customFormat="1" ht="12.75">
      <c r="A17" s="349" t="str">
        <f>报表格式!L15</f>
        <v xml:space="preserve">    加：（一）递延收益</v>
      </c>
      <c r="B17" s="348">
        <v>11</v>
      </c>
      <c r="C17" s="480">
        <f>未审横向PL!C17</f>
        <v>0</v>
      </c>
      <c r="D17" s="451" t="str">
        <f t="shared" si="0"/>
        <v/>
      </c>
      <c r="E17" s="480">
        <f>未审横向PL!D17</f>
        <v>0</v>
      </c>
      <c r="F17" s="451" t="str">
        <f t="shared" si="1"/>
        <v/>
      </c>
      <c r="G17" s="446" t="str">
        <f t="shared" si="3"/>
        <v/>
      </c>
      <c r="H17" s="447" t="str">
        <f t="shared" si="2"/>
        <v/>
      </c>
      <c r="I17" s="870"/>
    </row>
    <row r="18" spans="1:9" s="340" customFormat="1" ht="12.75">
      <c r="A18" s="349" t="str">
        <f>报表格式!L16</f>
        <v xml:space="preserve">        （二）代购代销收入</v>
      </c>
      <c r="B18" s="348">
        <v>12</v>
      </c>
      <c r="C18" s="480">
        <f>未审横向PL!C18</f>
        <v>0</v>
      </c>
      <c r="D18" s="451" t="str">
        <f t="shared" si="0"/>
        <v/>
      </c>
      <c r="E18" s="480">
        <f>未审横向PL!D18</f>
        <v>0</v>
      </c>
      <c r="F18" s="451" t="str">
        <f t="shared" si="1"/>
        <v/>
      </c>
      <c r="G18" s="446" t="str">
        <f t="shared" si="3"/>
        <v/>
      </c>
      <c r="H18" s="447" t="str">
        <f t="shared" si="2"/>
        <v/>
      </c>
      <c r="I18" s="870"/>
    </row>
    <row r="19" spans="1:9" s="340" customFormat="1" ht="12.75">
      <c r="A19" s="349" t="str">
        <f>报表格式!L17</f>
        <v xml:space="preserve">        （三）其他</v>
      </c>
      <c r="B19" s="348">
        <v>13</v>
      </c>
      <c r="C19" s="480">
        <f>未审横向PL!C19</f>
        <v>0</v>
      </c>
      <c r="D19" s="451" t="str">
        <f t="shared" si="0"/>
        <v/>
      </c>
      <c r="E19" s="480">
        <f>未审横向PL!D19</f>
        <v>0</v>
      </c>
      <c r="F19" s="451" t="str">
        <f t="shared" si="1"/>
        <v/>
      </c>
      <c r="G19" s="446" t="str">
        <f t="shared" si="3"/>
        <v/>
      </c>
      <c r="H19" s="447" t="str">
        <f t="shared" si="2"/>
        <v/>
      </c>
      <c r="I19" s="870"/>
    </row>
    <row r="20" spans="1:9" s="340" customFormat="1" ht="12.75">
      <c r="A20" s="347" t="str">
        <f>报表格式!L18</f>
        <v>三、主营业务利润</v>
      </c>
      <c r="B20" s="348">
        <v>14</v>
      </c>
      <c r="C20" s="601">
        <f>C11-C12-C14-C15-C16+C17+C18+C19</f>
        <v>0</v>
      </c>
      <c r="D20" s="611" t="str">
        <f t="shared" si="0"/>
        <v/>
      </c>
      <c r="E20" s="601">
        <f>E11-E12-E14-E15-E16+E17+E18+E19</f>
        <v>0</v>
      </c>
      <c r="F20" s="611" t="str">
        <f t="shared" si="1"/>
        <v/>
      </c>
      <c r="G20" s="603" t="str">
        <f t="shared" si="3"/>
        <v/>
      </c>
      <c r="H20" s="447" t="str">
        <f t="shared" si="2"/>
        <v/>
      </c>
      <c r="I20" s="870"/>
    </row>
    <row r="21" spans="1:9" s="340" customFormat="1" ht="12.75">
      <c r="A21" s="349" t="str">
        <f>报表格式!L19</f>
        <v xml:space="preserve">    加：其他业务利润</v>
      </c>
      <c r="B21" s="348">
        <v>15</v>
      </c>
      <c r="C21" s="480">
        <f>未审横向PL!C21</f>
        <v>0</v>
      </c>
      <c r="D21" s="451" t="str">
        <f t="shared" si="0"/>
        <v/>
      </c>
      <c r="E21" s="480">
        <f>未审横向PL!D21</f>
        <v>0</v>
      </c>
      <c r="F21" s="451" t="str">
        <f t="shared" si="1"/>
        <v/>
      </c>
      <c r="G21" s="446" t="str">
        <f t="shared" si="3"/>
        <v/>
      </c>
      <c r="H21" s="447" t="str">
        <f t="shared" si="2"/>
        <v/>
      </c>
      <c r="I21" s="870"/>
    </row>
    <row r="22" spans="1:9" s="340" customFormat="1" ht="12.75">
      <c r="A22" s="349" t="str">
        <f>报表格式!L20</f>
        <v xml:space="preserve">    减：（一）营业费用</v>
      </c>
      <c r="B22" s="348">
        <v>16</v>
      </c>
      <c r="C22" s="480">
        <f>未审横向PL!C22</f>
        <v>0</v>
      </c>
      <c r="D22" s="451" t="str">
        <f t="shared" si="0"/>
        <v/>
      </c>
      <c r="E22" s="480">
        <f>未审横向PL!D22</f>
        <v>0</v>
      </c>
      <c r="F22" s="451" t="str">
        <f t="shared" si="1"/>
        <v/>
      </c>
      <c r="G22" s="446" t="str">
        <f t="shared" si="3"/>
        <v/>
      </c>
      <c r="H22" s="447" t="str">
        <f t="shared" si="2"/>
        <v/>
      </c>
      <c r="I22" s="870"/>
    </row>
    <row r="23" spans="1:9" s="340" customFormat="1" ht="12.75">
      <c r="A23" s="349" t="str">
        <f>报表格式!L21</f>
        <v xml:space="preserve">        （二）管理费用</v>
      </c>
      <c r="B23" s="348">
        <v>17</v>
      </c>
      <c r="C23" s="480">
        <f>未审横向PL!C23</f>
        <v>0</v>
      </c>
      <c r="D23" s="451" t="str">
        <f t="shared" si="0"/>
        <v/>
      </c>
      <c r="E23" s="480">
        <f>未审横向PL!D23</f>
        <v>0</v>
      </c>
      <c r="F23" s="451" t="str">
        <f t="shared" si="1"/>
        <v/>
      </c>
      <c r="G23" s="446" t="str">
        <f t="shared" si="3"/>
        <v/>
      </c>
      <c r="H23" s="447" t="str">
        <f t="shared" si="2"/>
        <v/>
      </c>
      <c r="I23" s="870"/>
    </row>
    <row r="24" spans="1:9" s="340" customFormat="1" ht="12.75">
      <c r="A24" s="349" t="str">
        <f>报表格式!L22</f>
        <v xml:space="preserve">         其中：业务招待费</v>
      </c>
      <c r="B24" s="348">
        <v>18</v>
      </c>
      <c r="C24" s="480">
        <f>未审横向PL!C24</f>
        <v>0</v>
      </c>
      <c r="D24" s="451" t="str">
        <f t="shared" si="0"/>
        <v/>
      </c>
      <c r="E24" s="480">
        <f>未审横向PL!D24</f>
        <v>0</v>
      </c>
      <c r="F24" s="451" t="str">
        <f t="shared" si="1"/>
        <v/>
      </c>
      <c r="G24" s="446" t="str">
        <f>IF(AND(D24="",F24=""),"",IF(D24="",F24,IF(F24="",-D24,F24-D24)))</f>
        <v/>
      </c>
      <c r="H24" s="447" t="str">
        <f t="shared" si="2"/>
        <v/>
      </c>
      <c r="I24" s="870"/>
    </row>
    <row r="25" spans="1:9" s="340" customFormat="1" ht="12.75">
      <c r="A25" s="349" t="str">
        <f>报表格式!L23</f>
        <v xml:space="preserve">               研究与开发费</v>
      </c>
      <c r="B25" s="348">
        <v>19</v>
      </c>
      <c r="C25" s="480">
        <f>未审横向PL!C25</f>
        <v>0</v>
      </c>
      <c r="D25" s="451" t="str">
        <f t="shared" si="0"/>
        <v/>
      </c>
      <c r="E25" s="480">
        <f>未审横向PL!D25</f>
        <v>0</v>
      </c>
      <c r="F25" s="451" t="str">
        <f t="shared" si="1"/>
        <v/>
      </c>
      <c r="G25" s="446" t="str">
        <f>IF(AND(D25="",F25=""),"",IF(D25="",F25,IF(F25="",-D25,F25-D25)))</f>
        <v/>
      </c>
      <c r="H25" s="447" t="str">
        <f t="shared" si="2"/>
        <v/>
      </c>
      <c r="I25" s="870"/>
    </row>
    <row r="26" spans="1:9" s="340" customFormat="1" ht="12.75">
      <c r="A26" s="349" t="str">
        <f>报表格式!L24</f>
        <v xml:space="preserve">        （三）财务费用</v>
      </c>
      <c r="B26" s="348">
        <v>20</v>
      </c>
      <c r="C26" s="480">
        <f>未审横向PL!C26</f>
        <v>0</v>
      </c>
      <c r="D26" s="451" t="str">
        <f t="shared" si="0"/>
        <v/>
      </c>
      <c r="E26" s="480">
        <f>未审横向PL!D26</f>
        <v>0</v>
      </c>
      <c r="F26" s="451" t="str">
        <f t="shared" si="1"/>
        <v/>
      </c>
      <c r="G26" s="446" t="str">
        <f t="shared" si="3"/>
        <v/>
      </c>
      <c r="H26" s="447" t="str">
        <f t="shared" si="2"/>
        <v/>
      </c>
      <c r="I26" s="870"/>
    </row>
    <row r="27" spans="1:9" s="340" customFormat="1" ht="12.75">
      <c r="A27" s="349" t="str">
        <f>报表格式!L25</f>
        <v xml:space="preserve">         其中：利息支出</v>
      </c>
      <c r="B27" s="348">
        <v>21</v>
      </c>
      <c r="C27" s="480">
        <f>未审横向PL!C27</f>
        <v>0</v>
      </c>
      <c r="D27" s="451" t="str">
        <f t="shared" si="0"/>
        <v/>
      </c>
      <c r="E27" s="480">
        <f>未审横向PL!D27</f>
        <v>0</v>
      </c>
      <c r="F27" s="451" t="str">
        <f>IF(AND(E27&lt;&gt;0,$E$7&lt;&gt;0),E27/$E$7,"")</f>
        <v/>
      </c>
      <c r="G27" s="446" t="str">
        <f t="shared" si="3"/>
        <v/>
      </c>
      <c r="H27" s="447" t="str">
        <f t="shared" si="2"/>
        <v/>
      </c>
      <c r="I27" s="870"/>
    </row>
    <row r="28" spans="1:9" s="340" customFormat="1" ht="12.75">
      <c r="A28" s="349" t="str">
        <f>报表格式!L26</f>
        <v xml:space="preserve">               利息收入</v>
      </c>
      <c r="B28" s="348">
        <v>22</v>
      </c>
      <c r="C28" s="480">
        <f>未审横向PL!C28</f>
        <v>0</v>
      </c>
      <c r="D28" s="451" t="str">
        <f t="shared" si="0"/>
        <v/>
      </c>
      <c r="E28" s="480">
        <f>未审横向PL!D28</f>
        <v>0</v>
      </c>
      <c r="F28" s="451" t="str">
        <f t="shared" si="1"/>
        <v/>
      </c>
      <c r="G28" s="446" t="str">
        <f t="shared" si="3"/>
        <v/>
      </c>
      <c r="H28" s="447" t="str">
        <f t="shared" si="2"/>
        <v/>
      </c>
      <c r="I28" s="870"/>
    </row>
    <row r="29" spans="1:9" s="340" customFormat="1" ht="12.75">
      <c r="A29" s="349" t="str">
        <f>报表格式!L27</f>
        <v xml:space="preserve">               汇兑净损失</v>
      </c>
      <c r="B29" s="348">
        <v>23</v>
      </c>
      <c r="C29" s="480">
        <f>未审横向PL!C29</f>
        <v>0</v>
      </c>
      <c r="D29" s="451" t="str">
        <f t="shared" si="0"/>
        <v/>
      </c>
      <c r="E29" s="480">
        <f>未审横向PL!D29</f>
        <v>0</v>
      </c>
      <c r="F29" s="451" t="str">
        <f t="shared" si="1"/>
        <v/>
      </c>
      <c r="G29" s="446" t="str">
        <f t="shared" ref="G29:G61" si="4">IF(AND(D29="",F29=""),"",IF(D29="",F29,IF(F29="",-D29,F29-D29)))</f>
        <v/>
      </c>
      <c r="H29" s="447" t="str">
        <f t="shared" si="2"/>
        <v/>
      </c>
      <c r="I29" s="870"/>
    </row>
    <row r="30" spans="1:9" s="340" customFormat="1" ht="12.75">
      <c r="A30" s="349" t="str">
        <f>报表格式!L28</f>
        <v xml:space="preserve">        （四）其他</v>
      </c>
      <c r="B30" s="348">
        <v>24</v>
      </c>
      <c r="C30" s="480">
        <f>未审横向PL!C30</f>
        <v>0</v>
      </c>
      <c r="D30" s="451" t="str">
        <f t="shared" si="0"/>
        <v/>
      </c>
      <c r="E30" s="480">
        <f>未审横向PL!D30</f>
        <v>0</v>
      </c>
      <c r="F30" s="451" t="str">
        <f t="shared" si="1"/>
        <v/>
      </c>
      <c r="G30" s="446" t="str">
        <f t="shared" si="4"/>
        <v/>
      </c>
      <c r="H30" s="447" t="str">
        <f t="shared" si="2"/>
        <v/>
      </c>
      <c r="I30" s="870"/>
    </row>
    <row r="31" spans="1:9" s="340" customFormat="1" ht="12.75">
      <c r="A31" s="347" t="str">
        <f>报表格式!L29</f>
        <v>四、营业利润</v>
      </c>
      <c r="B31" s="348">
        <v>25</v>
      </c>
      <c r="C31" s="601">
        <f>C20+C21-C22-C23-C26-C30</f>
        <v>0</v>
      </c>
      <c r="D31" s="611" t="str">
        <f t="shared" si="0"/>
        <v/>
      </c>
      <c r="E31" s="601">
        <f>E20+E21-E22-E23-E26-E30</f>
        <v>0</v>
      </c>
      <c r="F31" s="611" t="str">
        <f t="shared" si="1"/>
        <v/>
      </c>
      <c r="G31" s="603" t="str">
        <f t="shared" si="4"/>
        <v/>
      </c>
      <c r="H31" s="447" t="str">
        <f t="shared" si="2"/>
        <v/>
      </c>
      <c r="I31" s="870"/>
    </row>
    <row r="32" spans="1:9" s="340" customFormat="1" ht="12.75">
      <c r="A32" s="349" t="str">
        <f>报表格式!L30</f>
        <v xml:space="preserve">    加：（一）投资收益</v>
      </c>
      <c r="B32" s="348">
        <v>26</v>
      </c>
      <c r="C32" s="480">
        <f>未审横向PL!C32</f>
        <v>0</v>
      </c>
      <c r="D32" s="451" t="str">
        <f t="shared" si="0"/>
        <v/>
      </c>
      <c r="E32" s="480">
        <f>未审横向PL!D32</f>
        <v>0</v>
      </c>
      <c r="F32" s="451" t="str">
        <f t="shared" si="1"/>
        <v/>
      </c>
      <c r="G32" s="446" t="str">
        <f t="shared" si="4"/>
        <v/>
      </c>
      <c r="H32" s="447" t="str">
        <f t="shared" si="2"/>
        <v/>
      </c>
      <c r="I32" s="870"/>
    </row>
    <row r="33" spans="1:9" s="340" customFormat="1" ht="12.75">
      <c r="A33" s="349" t="str">
        <f>报表格式!L31</f>
        <v xml:space="preserve">        （二）期货收益</v>
      </c>
      <c r="B33" s="348">
        <v>27</v>
      </c>
      <c r="C33" s="480">
        <f>未审横向PL!C33</f>
        <v>0</v>
      </c>
      <c r="D33" s="451" t="str">
        <f t="shared" si="0"/>
        <v/>
      </c>
      <c r="E33" s="480">
        <f>未审横向PL!D33</f>
        <v>0</v>
      </c>
      <c r="F33" s="451" t="str">
        <f t="shared" si="1"/>
        <v/>
      </c>
      <c r="G33" s="446" t="str">
        <f t="shared" si="4"/>
        <v/>
      </c>
      <c r="H33" s="447" t="str">
        <f t="shared" si="2"/>
        <v/>
      </c>
      <c r="I33" s="870"/>
    </row>
    <row r="34" spans="1:9" s="340" customFormat="1" ht="12.75">
      <c r="A34" s="349" t="str">
        <f>报表格式!L32</f>
        <v xml:space="preserve">        （三）补贴收入</v>
      </c>
      <c r="B34" s="348">
        <v>28</v>
      </c>
      <c r="C34" s="480">
        <f>未审横向PL!C34</f>
        <v>0</v>
      </c>
      <c r="D34" s="451" t="str">
        <f t="shared" si="0"/>
        <v/>
      </c>
      <c r="E34" s="480">
        <f>未审横向PL!D34</f>
        <v>0</v>
      </c>
      <c r="F34" s="451" t="str">
        <f t="shared" si="1"/>
        <v/>
      </c>
      <c r="G34" s="446" t="str">
        <f t="shared" si="4"/>
        <v/>
      </c>
      <c r="H34" s="447" t="str">
        <f t="shared" si="2"/>
        <v/>
      </c>
      <c r="I34" s="870"/>
    </row>
    <row r="35" spans="1:9" s="340" customFormat="1" ht="12.75">
      <c r="A35" s="349" t="str">
        <f>报表格式!L33</f>
        <v xml:space="preserve">             其中：补贴前亏损的企业补贴收入</v>
      </c>
      <c r="B35" s="348">
        <v>29</v>
      </c>
      <c r="C35" s="480">
        <f>未审横向PL!C35</f>
        <v>0</v>
      </c>
      <c r="D35" s="451" t="str">
        <f t="shared" si="0"/>
        <v/>
      </c>
      <c r="E35" s="480">
        <f>未审横向PL!D35</f>
        <v>0</v>
      </c>
      <c r="F35" s="451" t="str">
        <f t="shared" si="1"/>
        <v/>
      </c>
      <c r="G35" s="446" t="str">
        <f t="shared" si="4"/>
        <v/>
      </c>
      <c r="H35" s="447" t="str">
        <f t="shared" si="2"/>
        <v/>
      </c>
      <c r="I35" s="870"/>
    </row>
    <row r="36" spans="1:9" s="340" customFormat="1" ht="12.75">
      <c r="A36" s="349" t="str">
        <f>报表格式!L34</f>
        <v xml:space="preserve">        （四）营业外收入</v>
      </c>
      <c r="B36" s="348">
        <v>30</v>
      </c>
      <c r="C36" s="480">
        <f>未审横向PL!C36</f>
        <v>0</v>
      </c>
      <c r="D36" s="451" t="str">
        <f t="shared" si="0"/>
        <v/>
      </c>
      <c r="E36" s="480">
        <f>未审横向PL!D36</f>
        <v>0</v>
      </c>
      <c r="F36" s="451" t="str">
        <f t="shared" si="1"/>
        <v/>
      </c>
      <c r="G36" s="446" t="str">
        <f t="shared" si="4"/>
        <v/>
      </c>
      <c r="H36" s="447" t="str">
        <f t="shared" si="2"/>
        <v/>
      </c>
      <c r="I36" s="870"/>
    </row>
    <row r="37" spans="1:9" s="340" customFormat="1" ht="12.75">
      <c r="A37" s="349" t="str">
        <f>报表格式!L35</f>
        <v xml:space="preserve">             其中：处置固定资产净收益</v>
      </c>
      <c r="B37" s="348">
        <v>31</v>
      </c>
      <c r="C37" s="480">
        <f>未审横向PL!C37</f>
        <v>0</v>
      </c>
      <c r="D37" s="451" t="str">
        <f t="shared" si="0"/>
        <v/>
      </c>
      <c r="E37" s="480">
        <f>未审横向PL!D37</f>
        <v>0</v>
      </c>
      <c r="F37" s="451" t="str">
        <f t="shared" si="1"/>
        <v/>
      </c>
      <c r="G37" s="446" t="str">
        <f t="shared" si="4"/>
        <v/>
      </c>
      <c r="H37" s="447" t="str">
        <f t="shared" si="2"/>
        <v/>
      </c>
      <c r="I37" s="870"/>
    </row>
    <row r="38" spans="1:9" s="340" customFormat="1" ht="12.75">
      <c r="A38" s="349" t="str">
        <f>报表格式!L36</f>
        <v xml:space="preserve">                   非货币性交易收益</v>
      </c>
      <c r="B38" s="348">
        <v>32</v>
      </c>
      <c r="C38" s="480">
        <f>未审横向PL!C38</f>
        <v>0</v>
      </c>
      <c r="D38" s="451" t="str">
        <f t="shared" si="0"/>
        <v/>
      </c>
      <c r="E38" s="480">
        <f>未审横向PL!D38</f>
        <v>0</v>
      </c>
      <c r="F38" s="451" t="str">
        <f>IF(AND(E38&lt;&gt;0,$E$7&lt;&gt;0),E38/$E$7,"")</f>
        <v/>
      </c>
      <c r="G38" s="446" t="str">
        <f t="shared" si="4"/>
        <v/>
      </c>
      <c r="H38" s="447" t="str">
        <f t="shared" si="2"/>
        <v/>
      </c>
      <c r="I38" s="870"/>
    </row>
    <row r="39" spans="1:9" s="340" customFormat="1" ht="12.75">
      <c r="A39" s="349" t="str">
        <f>报表格式!L37</f>
        <v xml:space="preserve">                   出售无形资产收益</v>
      </c>
      <c r="B39" s="348">
        <v>33</v>
      </c>
      <c r="C39" s="480">
        <f>未审横向PL!C39</f>
        <v>0</v>
      </c>
      <c r="D39" s="451" t="str">
        <f t="shared" si="0"/>
        <v/>
      </c>
      <c r="E39" s="480">
        <f>未审横向PL!D39</f>
        <v>0</v>
      </c>
      <c r="F39" s="451" t="str">
        <f t="shared" si="1"/>
        <v/>
      </c>
      <c r="G39" s="446" t="str">
        <f t="shared" si="4"/>
        <v/>
      </c>
      <c r="H39" s="447" t="str">
        <f t="shared" si="2"/>
        <v/>
      </c>
      <c r="I39" s="870"/>
    </row>
    <row r="40" spans="1:9" s="340" customFormat="1" ht="12.75">
      <c r="A40" s="349" t="str">
        <f>报表格式!L38</f>
        <v xml:space="preserve">                   罚款净收入</v>
      </c>
      <c r="B40" s="348">
        <v>34</v>
      </c>
      <c r="C40" s="480">
        <f>未审横向PL!C40</f>
        <v>0</v>
      </c>
      <c r="D40" s="451" t="str">
        <f t="shared" si="0"/>
        <v/>
      </c>
      <c r="E40" s="480">
        <f>未审横向PL!D40</f>
        <v>0</v>
      </c>
      <c r="F40" s="451" t="str">
        <f t="shared" si="1"/>
        <v/>
      </c>
      <c r="G40" s="446" t="str">
        <f t="shared" si="4"/>
        <v/>
      </c>
      <c r="H40" s="447" t="str">
        <f t="shared" si="2"/>
        <v/>
      </c>
      <c r="I40" s="870"/>
    </row>
    <row r="41" spans="1:9" s="340" customFormat="1" ht="12.75">
      <c r="A41" s="349" t="str">
        <f>报表格式!L39</f>
        <v xml:space="preserve">        （五）其他</v>
      </c>
      <c r="B41" s="348">
        <v>35</v>
      </c>
      <c r="C41" s="480">
        <f>未审横向PL!C41</f>
        <v>0</v>
      </c>
      <c r="D41" s="451" t="str">
        <f t="shared" si="0"/>
        <v/>
      </c>
      <c r="E41" s="480">
        <f>未审横向PL!D41</f>
        <v>0</v>
      </c>
      <c r="F41" s="451" t="str">
        <f t="shared" si="1"/>
        <v/>
      </c>
      <c r="G41" s="446" t="str">
        <f t="shared" si="4"/>
        <v/>
      </c>
      <c r="H41" s="447" t="str">
        <f t="shared" si="2"/>
        <v/>
      </c>
      <c r="I41" s="870"/>
    </row>
    <row r="42" spans="1:9" s="340" customFormat="1" ht="12.75">
      <c r="A42" s="349" t="str">
        <f>报表格式!L40</f>
        <v xml:space="preserve">             其中：用以前年度含量工资结余弥补利润</v>
      </c>
      <c r="B42" s="348">
        <v>36</v>
      </c>
      <c r="C42" s="480">
        <f>未审横向PL!C42</f>
        <v>0</v>
      </c>
      <c r="D42" s="451" t="str">
        <f t="shared" si="0"/>
        <v/>
      </c>
      <c r="E42" s="480">
        <f>未审横向PL!D42</f>
        <v>0</v>
      </c>
      <c r="F42" s="451" t="str">
        <f t="shared" si="1"/>
        <v/>
      </c>
      <c r="G42" s="446" t="str">
        <f t="shared" si="4"/>
        <v/>
      </c>
      <c r="H42" s="447" t="str">
        <f t="shared" si="2"/>
        <v/>
      </c>
      <c r="I42" s="870"/>
    </row>
    <row r="43" spans="1:9" s="340" customFormat="1" ht="12.75">
      <c r="A43" s="349" t="str">
        <f>报表格式!L41</f>
        <v xml:space="preserve">    减：（一）营业外支出</v>
      </c>
      <c r="B43" s="348">
        <v>37</v>
      </c>
      <c r="C43" s="480">
        <f>未审横向PL!C43</f>
        <v>0</v>
      </c>
      <c r="D43" s="451" t="str">
        <f t="shared" si="0"/>
        <v/>
      </c>
      <c r="E43" s="480">
        <f>未审横向PL!D43</f>
        <v>0</v>
      </c>
      <c r="F43" s="451" t="str">
        <f t="shared" si="1"/>
        <v/>
      </c>
      <c r="G43" s="446" t="str">
        <f t="shared" si="4"/>
        <v/>
      </c>
      <c r="H43" s="447" t="str">
        <f t="shared" si="2"/>
        <v/>
      </c>
      <c r="I43" s="870"/>
    </row>
    <row r="44" spans="1:9" s="340" customFormat="1" ht="12.75">
      <c r="A44" s="349" t="str">
        <f>报表格式!L42</f>
        <v xml:space="preserve">             其中：处置固定资产净损失</v>
      </c>
      <c r="B44" s="348">
        <v>38</v>
      </c>
      <c r="C44" s="480">
        <f>未审横向PL!C44</f>
        <v>0</v>
      </c>
      <c r="D44" s="451" t="str">
        <f t="shared" si="0"/>
        <v/>
      </c>
      <c r="E44" s="480">
        <f>未审横向PL!D44</f>
        <v>0</v>
      </c>
      <c r="F44" s="451" t="str">
        <f t="shared" si="1"/>
        <v/>
      </c>
      <c r="G44" s="446" t="str">
        <f t="shared" si="4"/>
        <v/>
      </c>
      <c r="H44" s="447" t="str">
        <f t="shared" si="2"/>
        <v/>
      </c>
      <c r="I44" s="870"/>
    </row>
    <row r="45" spans="1:9" s="340" customFormat="1" ht="12.75">
      <c r="A45" s="349" t="str">
        <f>报表格式!L43</f>
        <v xml:space="preserve">                   出售无形资产损失</v>
      </c>
      <c r="B45" s="348">
        <v>39</v>
      </c>
      <c r="C45" s="480">
        <f>未审横向PL!C45</f>
        <v>0</v>
      </c>
      <c r="D45" s="451" t="str">
        <f t="shared" si="0"/>
        <v/>
      </c>
      <c r="E45" s="480">
        <f>未审横向PL!D45</f>
        <v>0</v>
      </c>
      <c r="F45" s="451" t="str">
        <f t="shared" si="1"/>
        <v/>
      </c>
      <c r="G45" s="446" t="str">
        <f t="shared" si="4"/>
        <v/>
      </c>
      <c r="H45" s="447" t="str">
        <f t="shared" si="2"/>
        <v/>
      </c>
      <c r="I45" s="870"/>
    </row>
    <row r="46" spans="1:9" s="340" customFormat="1" ht="12.75">
      <c r="A46" s="349" t="str">
        <f>报表格式!L44</f>
        <v xml:space="preserve">                   罚款支出</v>
      </c>
      <c r="B46" s="348">
        <v>40</v>
      </c>
      <c r="C46" s="480">
        <f>未审横向PL!C46</f>
        <v>0</v>
      </c>
      <c r="D46" s="451" t="str">
        <f t="shared" si="0"/>
        <v/>
      </c>
      <c r="E46" s="480">
        <f>未审横向PL!D46</f>
        <v>0</v>
      </c>
      <c r="F46" s="451" t="str">
        <f t="shared" si="1"/>
        <v/>
      </c>
      <c r="G46" s="446" t="str">
        <f t="shared" si="4"/>
        <v/>
      </c>
      <c r="H46" s="447" t="str">
        <f t="shared" si="2"/>
        <v/>
      </c>
      <c r="I46" s="870"/>
    </row>
    <row r="47" spans="1:9" s="340" customFormat="1" ht="12.75">
      <c r="A47" s="349" t="str">
        <f>报表格式!L45</f>
        <v xml:space="preserve">                   捐赠支出</v>
      </c>
      <c r="B47" s="348">
        <v>41</v>
      </c>
      <c r="C47" s="480">
        <f>未审横向PL!C47</f>
        <v>0</v>
      </c>
      <c r="D47" s="451" t="str">
        <f t="shared" si="0"/>
        <v/>
      </c>
      <c r="E47" s="480">
        <f>未审横向PL!D47</f>
        <v>0</v>
      </c>
      <c r="F47" s="451" t="str">
        <f t="shared" si="1"/>
        <v/>
      </c>
      <c r="G47" s="446" t="str">
        <f t="shared" si="4"/>
        <v/>
      </c>
      <c r="H47" s="447" t="str">
        <f t="shared" si="2"/>
        <v/>
      </c>
      <c r="I47" s="870"/>
    </row>
    <row r="48" spans="1:9" s="340" customFormat="1" ht="12.75">
      <c r="A48" s="349" t="str">
        <f>报表格式!L46</f>
        <v xml:space="preserve">        （二）其他支出</v>
      </c>
      <c r="B48" s="348">
        <v>42</v>
      </c>
      <c r="C48" s="480">
        <f>未审横向PL!C48</f>
        <v>0</v>
      </c>
      <c r="D48" s="451" t="str">
        <f t="shared" si="0"/>
        <v/>
      </c>
      <c r="E48" s="480">
        <f>未审横向PL!D48</f>
        <v>0</v>
      </c>
      <c r="F48" s="451" t="str">
        <f t="shared" si="1"/>
        <v/>
      </c>
      <c r="G48" s="446" t="str">
        <f t="shared" si="4"/>
        <v/>
      </c>
      <c r="H48" s="447" t="str">
        <f t="shared" si="2"/>
        <v/>
      </c>
      <c r="I48" s="870"/>
    </row>
    <row r="49" spans="1:9" s="340" customFormat="1" ht="12.75">
      <c r="A49" s="349" t="str">
        <f>报表格式!L47</f>
        <v xml:space="preserve">             其中：结转的含量工资包干结余</v>
      </c>
      <c r="B49" s="348">
        <v>43</v>
      </c>
      <c r="C49" s="480">
        <f>未审横向PL!C49</f>
        <v>0</v>
      </c>
      <c r="D49" s="451" t="str">
        <f t="shared" si="0"/>
        <v/>
      </c>
      <c r="E49" s="480">
        <f>未审横向PL!D49</f>
        <v>0</v>
      </c>
      <c r="F49" s="451" t="str">
        <f t="shared" si="1"/>
        <v/>
      </c>
      <c r="G49" s="446" t="str">
        <f t="shared" si="4"/>
        <v/>
      </c>
      <c r="H49" s="447" t="str">
        <f t="shared" si="2"/>
        <v/>
      </c>
      <c r="I49" s="870"/>
    </row>
    <row r="50" spans="1:9" s="340" customFormat="1" ht="12.75">
      <c r="A50" s="347" t="str">
        <f>报表格式!L48</f>
        <v>五、利润总额</v>
      </c>
      <c r="B50" s="348">
        <v>44</v>
      </c>
      <c r="C50" s="601">
        <f>C31+C32+C33+C34+C36+C41-C43-C48</f>
        <v>0</v>
      </c>
      <c r="D50" s="611" t="str">
        <f t="shared" si="0"/>
        <v/>
      </c>
      <c r="E50" s="601">
        <f>E31+E32+E33+E34+E36+E41-E43-E48</f>
        <v>0</v>
      </c>
      <c r="F50" s="611" t="str">
        <f t="shared" si="1"/>
        <v/>
      </c>
      <c r="G50" s="603" t="str">
        <f t="shared" si="4"/>
        <v/>
      </c>
      <c r="H50" s="447" t="str">
        <f t="shared" si="2"/>
        <v/>
      </c>
      <c r="I50" s="870"/>
    </row>
    <row r="51" spans="1:9" s="340" customFormat="1" ht="12.75">
      <c r="A51" s="349" t="str">
        <f>报表格式!L49</f>
        <v xml:space="preserve">    减：所得税</v>
      </c>
      <c r="B51" s="348">
        <v>45</v>
      </c>
      <c r="C51" s="480">
        <f>未审横向PL!C51</f>
        <v>0</v>
      </c>
      <c r="D51" s="451" t="str">
        <f t="shared" si="0"/>
        <v/>
      </c>
      <c r="E51" s="480">
        <f>未审横向PL!D51</f>
        <v>0</v>
      </c>
      <c r="F51" s="451" t="str">
        <f t="shared" si="1"/>
        <v/>
      </c>
      <c r="G51" s="446" t="str">
        <f t="shared" si="4"/>
        <v/>
      </c>
      <c r="H51" s="447" t="str">
        <f t="shared" si="2"/>
        <v/>
      </c>
      <c r="I51" s="870"/>
    </row>
    <row r="52" spans="1:9" s="340" customFormat="1" ht="12.75">
      <c r="A52" s="349" t="str">
        <f>报表格式!L50</f>
        <v xml:space="preserve">       *少数股东损益</v>
      </c>
      <c r="B52" s="348">
        <v>46</v>
      </c>
      <c r="C52" s="480">
        <f>未审横向PL!C52</f>
        <v>0</v>
      </c>
      <c r="D52" s="451" t="str">
        <f t="shared" si="0"/>
        <v/>
      </c>
      <c r="E52" s="480">
        <f>未审横向PL!D52</f>
        <v>0</v>
      </c>
      <c r="F52" s="451" t="str">
        <f t="shared" si="1"/>
        <v/>
      </c>
      <c r="G52" s="446" t="str">
        <f t="shared" si="4"/>
        <v/>
      </c>
      <c r="H52" s="447" t="str">
        <f t="shared" si="2"/>
        <v/>
      </c>
      <c r="I52" s="870"/>
    </row>
    <row r="53" spans="1:9" s="340" customFormat="1" ht="12.75">
      <c r="A53" s="349" t="str">
        <f>报表格式!L51</f>
        <v xml:space="preserve">    加：*未确认的投资损失</v>
      </c>
      <c r="B53" s="348">
        <v>47</v>
      </c>
      <c r="C53" s="480">
        <f>未审横向PL!C53</f>
        <v>0</v>
      </c>
      <c r="D53" s="451" t="str">
        <f t="shared" si="0"/>
        <v/>
      </c>
      <c r="E53" s="480">
        <f>未审横向PL!D53</f>
        <v>0</v>
      </c>
      <c r="F53" s="451" t="str">
        <f t="shared" si="1"/>
        <v/>
      </c>
      <c r="G53" s="446" t="str">
        <f t="shared" si="4"/>
        <v/>
      </c>
      <c r="H53" s="447" t="str">
        <f t="shared" si="2"/>
        <v/>
      </c>
      <c r="I53" s="870"/>
    </row>
    <row r="54" spans="1:9" s="340" customFormat="1" ht="12.75">
      <c r="A54" s="347" t="str">
        <f>报表格式!L52</f>
        <v>六、净利润</v>
      </c>
      <c r="B54" s="348">
        <v>48</v>
      </c>
      <c r="C54" s="601">
        <f>C50-C51-C52+C53</f>
        <v>0</v>
      </c>
      <c r="D54" s="611" t="str">
        <f t="shared" si="0"/>
        <v/>
      </c>
      <c r="E54" s="601">
        <f>E50-E51-E52+E53</f>
        <v>0</v>
      </c>
      <c r="F54" s="611" t="str">
        <f t="shared" si="1"/>
        <v/>
      </c>
      <c r="G54" s="603" t="str">
        <f t="shared" si="4"/>
        <v/>
      </c>
      <c r="H54" s="447" t="str">
        <f t="shared" si="2"/>
        <v/>
      </c>
      <c r="I54" s="870"/>
    </row>
    <row r="55" spans="1:9" s="340" customFormat="1" ht="12.75">
      <c r="A55" s="349" t="str">
        <f>报表格式!L53</f>
        <v xml:space="preserve">    加：（一）年初未分配利润</v>
      </c>
      <c r="B55" s="348">
        <v>49</v>
      </c>
      <c r="C55" s="480">
        <f>未审横向PL!C55</f>
        <v>0</v>
      </c>
      <c r="D55" s="451" t="str">
        <f t="shared" si="0"/>
        <v/>
      </c>
      <c r="E55" s="480">
        <f>未审横向PL!D55</f>
        <v>0</v>
      </c>
      <c r="F55" s="451" t="str">
        <f t="shared" si="1"/>
        <v/>
      </c>
      <c r="G55" s="446" t="str">
        <f t="shared" si="4"/>
        <v/>
      </c>
      <c r="H55" s="447" t="str">
        <f t="shared" si="2"/>
        <v/>
      </c>
      <c r="I55" s="870"/>
    </row>
    <row r="56" spans="1:9" s="340" customFormat="1" ht="12.75">
      <c r="A56" s="349" t="str">
        <f>报表格式!L54</f>
        <v xml:space="preserve">        （二）盈余公积补亏</v>
      </c>
      <c r="B56" s="348">
        <v>50</v>
      </c>
      <c r="C56" s="480">
        <f>未审横向PL!C56</f>
        <v>0</v>
      </c>
      <c r="D56" s="451" t="str">
        <f t="shared" si="0"/>
        <v/>
      </c>
      <c r="E56" s="480">
        <f>未审横向PL!D56</f>
        <v>0</v>
      </c>
      <c r="F56" s="451" t="str">
        <f>IF(AND(E56&lt;&gt;0,$E$7&lt;&gt;0),E56/$E$7,"")</f>
        <v/>
      </c>
      <c r="G56" s="446" t="str">
        <f t="shared" si="4"/>
        <v/>
      </c>
      <c r="H56" s="447" t="str">
        <f t="shared" si="2"/>
        <v/>
      </c>
      <c r="I56" s="870"/>
    </row>
    <row r="57" spans="1:9" s="340" customFormat="1" ht="12.75">
      <c r="A57" s="349" t="str">
        <f>报表格式!L55</f>
        <v xml:space="preserve">        （三）其他调整因素</v>
      </c>
      <c r="B57" s="348">
        <v>51</v>
      </c>
      <c r="C57" s="480">
        <f>未审横向PL!C57</f>
        <v>0</v>
      </c>
      <c r="D57" s="451" t="str">
        <f t="shared" si="0"/>
        <v/>
      </c>
      <c r="E57" s="480">
        <f>未审横向PL!D57</f>
        <v>0</v>
      </c>
      <c r="F57" s="451" t="str">
        <f t="shared" si="1"/>
        <v/>
      </c>
      <c r="G57" s="446" t="str">
        <f t="shared" si="4"/>
        <v/>
      </c>
      <c r="H57" s="447" t="str">
        <f t="shared" si="2"/>
        <v/>
      </c>
      <c r="I57" s="870"/>
    </row>
    <row r="58" spans="1:9" s="340" customFormat="1" ht="12.75">
      <c r="A58" s="347" t="str">
        <f>报表格式!L56</f>
        <v>七、可供分配的利润</v>
      </c>
      <c r="B58" s="348">
        <v>52</v>
      </c>
      <c r="C58" s="601">
        <f>C54+C55+C56+C57</f>
        <v>0</v>
      </c>
      <c r="D58" s="611" t="str">
        <f t="shared" si="0"/>
        <v/>
      </c>
      <c r="E58" s="601">
        <f>E54+E55+E56+E57</f>
        <v>0</v>
      </c>
      <c r="F58" s="611" t="str">
        <f t="shared" si="1"/>
        <v/>
      </c>
      <c r="G58" s="603" t="str">
        <f t="shared" si="4"/>
        <v/>
      </c>
      <c r="H58" s="447" t="str">
        <f t="shared" si="2"/>
        <v/>
      </c>
      <c r="I58" s="870"/>
    </row>
    <row r="59" spans="1:9" s="340" customFormat="1" ht="12.75">
      <c r="A59" s="349" t="str">
        <f>报表格式!L57</f>
        <v xml:space="preserve">    减：（一）提取法定盈余公积</v>
      </c>
      <c r="B59" s="348">
        <v>53</v>
      </c>
      <c r="C59" s="480">
        <f>未审横向PL!C59</f>
        <v>0</v>
      </c>
      <c r="D59" s="451" t="str">
        <f t="shared" si="0"/>
        <v/>
      </c>
      <c r="E59" s="480">
        <f>未审横向PL!D59</f>
        <v>0</v>
      </c>
      <c r="F59" s="451" t="str">
        <f t="shared" si="1"/>
        <v/>
      </c>
      <c r="G59" s="446" t="str">
        <f t="shared" si="4"/>
        <v/>
      </c>
      <c r="H59" s="447" t="str">
        <f t="shared" si="2"/>
        <v/>
      </c>
      <c r="I59" s="870"/>
    </row>
    <row r="60" spans="1:9" s="340" customFormat="1" ht="12.75">
      <c r="A60" s="349" t="str">
        <f>报表格式!L58</f>
        <v xml:space="preserve">        （二）提取法定公益金</v>
      </c>
      <c r="B60" s="348">
        <v>54</v>
      </c>
      <c r="C60" s="480">
        <f>未审横向PL!C60</f>
        <v>0</v>
      </c>
      <c r="D60" s="451" t="str">
        <f t="shared" si="0"/>
        <v/>
      </c>
      <c r="E60" s="480">
        <f>未审横向PL!D60</f>
        <v>0</v>
      </c>
      <c r="F60" s="451" t="str">
        <f t="shared" si="1"/>
        <v/>
      </c>
      <c r="G60" s="446" t="str">
        <f t="shared" si="4"/>
        <v/>
      </c>
      <c r="H60" s="447" t="str">
        <f t="shared" si="2"/>
        <v/>
      </c>
      <c r="I60" s="870"/>
    </row>
    <row r="61" spans="1:9" s="340" customFormat="1" ht="12.75">
      <c r="A61" s="349" t="str">
        <f>报表格式!L59</f>
        <v xml:space="preserve">        （三）提取职工奖励及福利基金</v>
      </c>
      <c r="B61" s="348">
        <v>55</v>
      </c>
      <c r="C61" s="480">
        <f>未审横向PL!C61</f>
        <v>0</v>
      </c>
      <c r="D61" s="451" t="str">
        <f t="shared" si="0"/>
        <v/>
      </c>
      <c r="E61" s="480">
        <f>未审横向PL!D61</f>
        <v>0</v>
      </c>
      <c r="F61" s="451" t="str">
        <f t="shared" si="1"/>
        <v/>
      </c>
      <c r="G61" s="446" t="str">
        <f t="shared" si="4"/>
        <v/>
      </c>
      <c r="H61" s="447" t="str">
        <f t="shared" si="2"/>
        <v/>
      </c>
      <c r="I61" s="870"/>
    </row>
    <row r="62" spans="1:9" s="340" customFormat="1" ht="12.75">
      <c r="A62" s="349" t="str">
        <f>报表格式!L60</f>
        <v xml:space="preserve">        （四）提取储备基金</v>
      </c>
      <c r="B62" s="348">
        <v>56</v>
      </c>
      <c r="C62" s="480">
        <f>未审横向PL!C62</f>
        <v>0</v>
      </c>
      <c r="D62" s="451" t="str">
        <f t="shared" si="0"/>
        <v/>
      </c>
      <c r="E62" s="480">
        <f>未审横向PL!D62</f>
        <v>0</v>
      </c>
      <c r="F62" s="451" t="str">
        <f t="shared" si="1"/>
        <v/>
      </c>
      <c r="G62" s="446" t="str">
        <f t="shared" ref="G62:G73" si="5">IF(AND(D62="",F62=""),"",IF(D62="",F62,IF(F62="",-D62,F62-D62)))</f>
        <v/>
      </c>
      <c r="H62" s="447" t="str">
        <f t="shared" si="2"/>
        <v/>
      </c>
      <c r="I62" s="870"/>
    </row>
    <row r="63" spans="1:9" s="340" customFormat="1" ht="12.75">
      <c r="A63" s="349" t="str">
        <f>报表格式!L61</f>
        <v xml:space="preserve">        （五）提取企业发展基金 </v>
      </c>
      <c r="B63" s="348">
        <v>57</v>
      </c>
      <c r="C63" s="480">
        <f>未审横向PL!C63</f>
        <v>0</v>
      </c>
      <c r="D63" s="451" t="str">
        <f t="shared" si="0"/>
        <v/>
      </c>
      <c r="E63" s="480">
        <f>未审横向PL!D63</f>
        <v>0</v>
      </c>
      <c r="F63" s="451" t="str">
        <f t="shared" si="1"/>
        <v/>
      </c>
      <c r="G63" s="446" t="str">
        <f t="shared" si="5"/>
        <v/>
      </c>
      <c r="H63" s="447" t="str">
        <f t="shared" si="2"/>
        <v/>
      </c>
      <c r="I63" s="870"/>
    </row>
    <row r="64" spans="1:9" s="340" customFormat="1" ht="12.75">
      <c r="A64" s="349" t="str">
        <f>报表格式!L62</f>
        <v xml:space="preserve">        （六）利润归还投资 </v>
      </c>
      <c r="B64" s="348">
        <v>58</v>
      </c>
      <c r="C64" s="480">
        <f>未审横向PL!C64</f>
        <v>0</v>
      </c>
      <c r="D64" s="451" t="str">
        <f t="shared" si="0"/>
        <v/>
      </c>
      <c r="E64" s="480">
        <f>未审横向PL!D64</f>
        <v>0</v>
      </c>
      <c r="F64" s="451" t="str">
        <f t="shared" si="1"/>
        <v/>
      </c>
      <c r="G64" s="446" t="str">
        <f t="shared" si="5"/>
        <v/>
      </c>
      <c r="H64" s="447" t="str">
        <f t="shared" si="2"/>
        <v/>
      </c>
      <c r="I64" s="870"/>
    </row>
    <row r="65" spans="1:9" s="340" customFormat="1" ht="12.75">
      <c r="A65" s="349" t="str">
        <f>报表格式!L63</f>
        <v xml:space="preserve">        （七）补充流动资本</v>
      </c>
      <c r="B65" s="348">
        <v>59</v>
      </c>
      <c r="C65" s="480">
        <f>未审横向PL!C65</f>
        <v>0</v>
      </c>
      <c r="D65" s="451" t="str">
        <f t="shared" si="0"/>
        <v/>
      </c>
      <c r="E65" s="480">
        <f>未审横向PL!D65</f>
        <v>0</v>
      </c>
      <c r="F65" s="451" t="str">
        <f t="shared" si="1"/>
        <v/>
      </c>
      <c r="G65" s="446" t="str">
        <f t="shared" si="5"/>
        <v/>
      </c>
      <c r="H65" s="447" t="str">
        <f t="shared" si="2"/>
        <v/>
      </c>
      <c r="I65" s="870"/>
    </row>
    <row r="66" spans="1:9" s="340" customFormat="1" ht="12.75">
      <c r="A66" s="349" t="str">
        <f>报表格式!L64</f>
        <v xml:space="preserve">        （八）单项留用的利润</v>
      </c>
      <c r="B66" s="348">
        <v>60</v>
      </c>
      <c r="C66" s="480">
        <f>未审横向PL!C66</f>
        <v>0</v>
      </c>
      <c r="D66" s="451" t="str">
        <f t="shared" si="0"/>
        <v/>
      </c>
      <c r="E66" s="480">
        <f>未审横向PL!D66</f>
        <v>0</v>
      </c>
      <c r="F66" s="451" t="str">
        <f>IF(AND(E66&lt;&gt;0,$E$7&lt;&gt;0),E66/$E$7,"")</f>
        <v/>
      </c>
      <c r="G66" s="446" t="str">
        <f t="shared" si="5"/>
        <v/>
      </c>
      <c r="H66" s="447" t="str">
        <f t="shared" si="2"/>
        <v/>
      </c>
      <c r="I66" s="870"/>
    </row>
    <row r="67" spans="1:9" s="340" customFormat="1" ht="12.75">
      <c r="A67" s="349" t="str">
        <f>报表格式!L65</f>
        <v xml:space="preserve">        （九）其他</v>
      </c>
      <c r="B67" s="348">
        <v>61</v>
      </c>
      <c r="C67" s="480">
        <f>未审横向PL!C67</f>
        <v>0</v>
      </c>
      <c r="D67" s="451" t="str">
        <f t="shared" si="0"/>
        <v/>
      </c>
      <c r="E67" s="480">
        <f>未审横向PL!D67</f>
        <v>0</v>
      </c>
      <c r="F67" s="451" t="str">
        <f t="shared" si="1"/>
        <v/>
      </c>
      <c r="G67" s="446" t="str">
        <f t="shared" si="5"/>
        <v/>
      </c>
      <c r="H67" s="447" t="str">
        <f t="shared" si="2"/>
        <v/>
      </c>
      <c r="I67" s="870"/>
    </row>
    <row r="68" spans="1:9" s="340" customFormat="1" ht="12.75">
      <c r="A68" s="347" t="str">
        <f>报表格式!L66</f>
        <v>八、可供投资者分配的利润</v>
      </c>
      <c r="B68" s="348">
        <v>62</v>
      </c>
      <c r="C68" s="601">
        <f>C58-C59-C60-C61-C62-C63-C64-C65-C66-C67</f>
        <v>0</v>
      </c>
      <c r="D68" s="611" t="str">
        <f t="shared" si="0"/>
        <v/>
      </c>
      <c r="E68" s="601">
        <f>E58-E59-E60-E61-E62-E63-E64-E65-E66-E67</f>
        <v>0</v>
      </c>
      <c r="F68" s="611" t="str">
        <f t="shared" si="1"/>
        <v/>
      </c>
      <c r="G68" s="603" t="str">
        <f t="shared" si="5"/>
        <v/>
      </c>
      <c r="H68" s="447" t="str">
        <f t="shared" si="2"/>
        <v/>
      </c>
      <c r="I68" s="870"/>
    </row>
    <row r="69" spans="1:9" s="340" customFormat="1" ht="12.75">
      <c r="A69" s="349" t="str">
        <f>报表格式!L67</f>
        <v xml:space="preserve">    减：（一）应付优先股股利</v>
      </c>
      <c r="B69" s="348">
        <v>63</v>
      </c>
      <c r="C69" s="480">
        <f>未审横向PL!C69</f>
        <v>0</v>
      </c>
      <c r="D69" s="451" t="str">
        <f t="shared" si="0"/>
        <v/>
      </c>
      <c r="E69" s="480">
        <f>未审横向PL!D69</f>
        <v>0</v>
      </c>
      <c r="F69" s="451" t="str">
        <f t="shared" si="1"/>
        <v/>
      </c>
      <c r="G69" s="446" t="str">
        <f t="shared" si="5"/>
        <v/>
      </c>
      <c r="H69" s="447" t="str">
        <f t="shared" si="2"/>
        <v/>
      </c>
      <c r="I69" s="870"/>
    </row>
    <row r="70" spans="1:9" s="340" customFormat="1" ht="12.75">
      <c r="A70" s="349" t="str">
        <f>报表格式!L68</f>
        <v xml:space="preserve">        （二）提取任意盈余公积</v>
      </c>
      <c r="B70" s="348">
        <v>64</v>
      </c>
      <c r="C70" s="480">
        <f>未审横向PL!C70</f>
        <v>0</v>
      </c>
      <c r="D70" s="451" t="str">
        <f t="shared" si="0"/>
        <v/>
      </c>
      <c r="E70" s="480">
        <f>未审横向PL!D70</f>
        <v>0</v>
      </c>
      <c r="F70" s="451" t="str">
        <f t="shared" si="1"/>
        <v/>
      </c>
      <c r="G70" s="446" t="str">
        <f t="shared" si="5"/>
        <v/>
      </c>
      <c r="H70" s="447" t="str">
        <f t="shared" si="2"/>
        <v/>
      </c>
      <c r="I70" s="870"/>
    </row>
    <row r="71" spans="1:9" s="340" customFormat="1" ht="12.75">
      <c r="A71" s="349" t="str">
        <f>报表格式!L69</f>
        <v xml:space="preserve">        （三）应付普通股股利（应付利润）</v>
      </c>
      <c r="B71" s="348">
        <v>65</v>
      </c>
      <c r="C71" s="480">
        <f>未审横向PL!C71</f>
        <v>0</v>
      </c>
      <c r="D71" s="451" t="str">
        <f t="shared" si="0"/>
        <v/>
      </c>
      <c r="E71" s="480">
        <f>未审横向PL!D71</f>
        <v>0</v>
      </c>
      <c r="F71" s="451" t="str">
        <f t="shared" si="1"/>
        <v/>
      </c>
      <c r="G71" s="446" t="str">
        <f t="shared" si="5"/>
        <v/>
      </c>
      <c r="H71" s="447" t="str">
        <f t="shared" si="2"/>
        <v/>
      </c>
      <c r="I71" s="870"/>
    </row>
    <row r="72" spans="1:9" s="340" customFormat="1" ht="12.75">
      <c r="A72" s="349" t="str">
        <f>报表格式!L70</f>
        <v xml:space="preserve">        （四）转作资本（股本）的普通股股利</v>
      </c>
      <c r="B72" s="348">
        <v>66</v>
      </c>
      <c r="C72" s="480">
        <f>未审横向PL!C72</f>
        <v>0</v>
      </c>
      <c r="D72" s="451" t="str">
        <f t="shared" si="0"/>
        <v/>
      </c>
      <c r="E72" s="480">
        <f>未审横向PL!D72</f>
        <v>0</v>
      </c>
      <c r="F72" s="451" t="str">
        <f t="shared" si="1"/>
        <v/>
      </c>
      <c r="G72" s="446" t="str">
        <f t="shared" si="5"/>
        <v/>
      </c>
      <c r="H72" s="447" t="str">
        <f t="shared" si="2"/>
        <v/>
      </c>
      <c r="I72" s="870"/>
    </row>
    <row r="73" spans="1:9">
      <c r="A73" s="349" t="str">
        <f>报表格式!L71</f>
        <v xml:space="preserve">        （五）其他</v>
      </c>
      <c r="B73" s="348">
        <v>67</v>
      </c>
      <c r="C73" s="480">
        <f>未审横向PL!C73</f>
        <v>0</v>
      </c>
      <c r="D73" s="453" t="str">
        <f t="shared" si="0"/>
        <v/>
      </c>
      <c r="E73" s="480">
        <f>未审横向PL!D73</f>
        <v>0</v>
      </c>
      <c r="F73" s="453" t="str">
        <f t="shared" si="1"/>
        <v/>
      </c>
      <c r="G73" s="450" t="str">
        <f t="shared" si="5"/>
        <v/>
      </c>
      <c r="H73" s="449" t="str">
        <f t="shared" si="2"/>
        <v/>
      </c>
      <c r="I73" s="871"/>
    </row>
    <row r="74" spans="1:9">
      <c r="A74" s="350" t="str">
        <f>报表格式!L72</f>
        <v>九、未分配利润</v>
      </c>
      <c r="B74" s="351">
        <v>68</v>
      </c>
      <c r="C74" s="604">
        <f>C68-C69-C70-C71-C72-C73</f>
        <v>0</v>
      </c>
      <c r="D74" s="612" t="str">
        <f t="shared" si="0"/>
        <v/>
      </c>
      <c r="E74" s="604">
        <f>E68-E69-E70-E71-E72-E73</f>
        <v>0</v>
      </c>
      <c r="F74" s="612" t="str">
        <f t="shared" si="1"/>
        <v/>
      </c>
      <c r="G74" s="613" t="str">
        <f>IF(AND(D74="",F74=""),"",IF(D74="",F74,IF(F74="",-D74,F74-D74)))</f>
        <v/>
      </c>
      <c r="H74" s="482" t="str">
        <f>IF(G74="","",IF(ABS(G74)&gt;=30%,"显著",IF(ABS(G74)&gt;=10%,"关注","")))</f>
        <v/>
      </c>
      <c r="I74" s="872"/>
    </row>
    <row r="75" spans="1:9" ht="15" thickBot="1">
      <c r="A75" s="352" t="str">
        <f>报表格式!L73</f>
        <v xml:space="preserve">    其中：应由以后年度税前利润弥补的亏损（以“+”号填列）</v>
      </c>
      <c r="B75" s="353">
        <v>69</v>
      </c>
      <c r="C75" s="614">
        <f>审定PL!E74</f>
        <v>0</v>
      </c>
      <c r="D75" s="615" t="str">
        <f>IF(AND(C75&lt;&gt;0,$C$7&lt;&gt;0),C75/$C$7,"")</f>
        <v/>
      </c>
      <c r="E75" s="614">
        <f>未审PL!D74</f>
        <v>0</v>
      </c>
      <c r="F75" s="615" t="str">
        <f>IF(AND(E75&lt;&gt;0,$E$7&lt;&gt;0),E75/$E$7,"")</f>
        <v/>
      </c>
      <c r="G75" s="616" t="str">
        <f>IF(AND(D75="",F75=""),"",IF(D75="",F75,IF(F75="",-D75,F75-D75)))</f>
        <v/>
      </c>
      <c r="H75" s="484" t="str">
        <f>IF(G75="","",IF(ABS(G75)&gt;=30%,"显著",IF(ABS(G75)&gt;=10%,"关注","")))</f>
        <v/>
      </c>
      <c r="I75" s="873"/>
    </row>
    <row r="78" spans="1:9">
      <c r="G78" s="341"/>
    </row>
    <row r="79" spans="1:9">
      <c r="G79" s="342"/>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26" priority="1" stopIfTrue="1" operator="equal">
      <formula>"异常"</formula>
    </cfRule>
  </conditionalFormatting>
  <conditionalFormatting sqref="H7:H75">
    <cfRule type="cellIs" dxfId="25" priority="2" stopIfTrue="1" operator="equal">
      <formula>"显著"</formula>
    </cfRule>
  </conditionalFormatting>
  <printOptions horizontalCentered="1"/>
  <pageMargins left="0.65" right="0.23622047244094491" top="0.36" bottom="0.25" header="0.2" footer="0.2"/>
  <pageSetup paperSize="9" scale="78" orientation="portrait" blackAndWhite="1"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indexed="39"/>
  </sheetPr>
  <dimension ref="A1:P399"/>
  <sheetViews>
    <sheetView showZeros="0" zoomScaleNormal="100" workbookViewId="0">
      <pane xSplit="2" ySplit="6" topLeftCell="C7" activePane="bottomRight" state="frozen"/>
      <selection pane="topRight" activeCell="C1" sqref="C1"/>
      <selection pane="bottomLeft" activeCell="A7" sqref="A7"/>
      <selection pane="bottomRight" sqref="A1:J1"/>
    </sheetView>
  </sheetViews>
  <sheetFormatPr defaultRowHeight="11.25"/>
  <cols>
    <col min="1" max="1" width="18.75" style="381" customWidth="1"/>
    <col min="2" max="2" width="41.375" style="411" customWidth="1"/>
    <col min="3" max="3" width="10.75" style="385" customWidth="1"/>
    <col min="4" max="4" width="11" style="385" customWidth="1"/>
    <col min="5" max="5" width="8.125" style="381" customWidth="1"/>
    <col min="6" max="6" width="11.125" style="385" customWidth="1"/>
    <col min="7" max="7" width="11.25" style="385" customWidth="1"/>
    <col min="8" max="8" width="8.5" style="381" customWidth="1"/>
    <col min="9" max="9" width="7.25" style="381" customWidth="1"/>
    <col min="10" max="10" width="7.375" style="381" customWidth="1"/>
    <col min="11" max="11" width="6.875" style="381" customWidth="1"/>
    <col min="12" max="16384" width="9" style="381"/>
  </cols>
  <sheetData>
    <row r="1" spans="1:16" ht="18.75">
      <c r="A1" s="1003" t="s">
        <v>679</v>
      </c>
      <c r="B1" s="1003"/>
      <c r="C1" s="1003"/>
      <c r="D1" s="1003"/>
      <c r="E1" s="1003"/>
      <c r="F1" s="1003"/>
      <c r="G1" s="1003"/>
      <c r="H1" s="1003"/>
      <c r="I1" s="1003"/>
      <c r="J1" s="1003"/>
    </row>
    <row r="2" spans="1:16" s="372" customFormat="1" ht="16.5">
      <c r="A2" s="371" t="str">
        <f>CONCATENATE("客户名称：",参数!D3)</f>
        <v>客户名称：</v>
      </c>
      <c r="B2" s="403"/>
      <c r="C2" s="373" t="str">
        <f>CONCATENATE("编制：",参数!D17)</f>
        <v>编制：</v>
      </c>
      <c r="F2" s="371" t="str">
        <f>CONCATENATE("复核：",参数!D18)</f>
        <v>复核：</v>
      </c>
      <c r="I2" s="373" t="s">
        <v>616</v>
      </c>
      <c r="J2" s="374"/>
      <c r="K2" s="375"/>
      <c r="N2" s="376"/>
      <c r="O2" s="377"/>
      <c r="P2" s="235"/>
    </row>
    <row r="3" spans="1:16" s="372" customFormat="1" ht="14.25" thickBot="1">
      <c r="A3" s="374" t="str">
        <f>CONCATENATE("会计期间：",TEXT(参数!D10,"yyyy.mm.dd"))</f>
        <v>会计期间：2007年度</v>
      </c>
      <c r="B3" s="403"/>
      <c r="C3" s="378" t="str">
        <f ca="1">CONCATENATE("日期：",TEXT(NOW(),"yyyy.mm.dd"))</f>
        <v>日期：2023.08.14</v>
      </c>
      <c r="F3" s="373" t="s">
        <v>268</v>
      </c>
      <c r="I3" s="373" t="s">
        <v>617</v>
      </c>
      <c r="J3" s="374"/>
      <c r="K3" s="374"/>
      <c r="N3" s="376"/>
      <c r="O3" s="377"/>
      <c r="P3" s="235"/>
    </row>
    <row r="4" spans="1:16" s="400" customFormat="1" ht="12" customHeight="1">
      <c r="A4" s="1009" t="s">
        <v>630</v>
      </c>
      <c r="B4" s="1011" t="s">
        <v>681</v>
      </c>
      <c r="C4" s="1004" t="str">
        <f>CONCATENATE(参数!D9,"已审数")</f>
        <v>2006年度已审数</v>
      </c>
      <c r="D4" s="1004"/>
      <c r="E4" s="1004"/>
      <c r="F4" s="1004" t="str">
        <f>CONCATENATE(参数!D10,"未审数")</f>
        <v>2007年度未审数</v>
      </c>
      <c r="G4" s="1004"/>
      <c r="H4" s="1004"/>
      <c r="I4" s="1005" t="s">
        <v>633</v>
      </c>
      <c r="J4" s="1007" t="s">
        <v>634</v>
      </c>
    </row>
    <row r="5" spans="1:16" s="400" customFormat="1" ht="12" customHeight="1">
      <c r="A5" s="1010"/>
      <c r="B5" s="1012"/>
      <c r="C5" s="402" t="s">
        <v>631</v>
      </c>
      <c r="D5" s="402" t="s">
        <v>632</v>
      </c>
      <c r="E5" s="401" t="s">
        <v>680</v>
      </c>
      <c r="F5" s="402" t="s">
        <v>631</v>
      </c>
      <c r="G5" s="402" t="s">
        <v>632</v>
      </c>
      <c r="H5" s="401" t="s">
        <v>680</v>
      </c>
      <c r="I5" s="1006"/>
      <c r="J5" s="1008"/>
    </row>
    <row r="6" spans="1:16" ht="12.75" customHeight="1">
      <c r="A6" s="393" t="s">
        <v>635</v>
      </c>
      <c r="B6" s="404"/>
      <c r="C6" s="394"/>
      <c r="D6" s="394"/>
      <c r="E6" s="395"/>
      <c r="F6" s="394"/>
      <c r="G6" s="394"/>
      <c r="H6" s="395"/>
      <c r="I6" s="395"/>
      <c r="J6" s="396"/>
      <c r="K6" s="380"/>
    </row>
    <row r="7" spans="1:16" ht="12" customHeight="1">
      <c r="A7" s="386" t="s">
        <v>636</v>
      </c>
      <c r="B7" s="405" t="s">
        <v>686</v>
      </c>
      <c r="C7" s="493">
        <f>(审定PL!E49+审定PL!E26-审定PL!E27)/参数!I11*12</f>
        <v>0</v>
      </c>
      <c r="D7" s="493">
        <f>('审定BS(上期)'!C97+'审定BS(上期)'!E97)/2+('审定BS(上期)'!C122+'审定BS(上期)'!E122)/2</f>
        <v>0</v>
      </c>
      <c r="E7" s="494">
        <f t="shared" ref="E7:E14" si="0">IF(D7=0,0,C7/D7)</f>
        <v>0</v>
      </c>
      <c r="F7" s="493">
        <f>(未审PL!D49+未审PL!D26-未审PL!D27)/参数!I12*12</f>
        <v>0</v>
      </c>
      <c r="G7" s="493">
        <f>(未审BS!G36+未审BS!H36)/2+(未审BS!G61+未审BS!H61)/2</f>
        <v>0</v>
      </c>
      <c r="H7" s="494">
        <f t="shared" ref="H7:H14" si="1">IF(G7=0,0,F7/G7)</f>
        <v>0</v>
      </c>
      <c r="I7" s="494">
        <f t="shared" ref="I7:I14" si="2">IF(E7=0,0,(H7-E7)/E7)</f>
        <v>0</v>
      </c>
      <c r="J7" s="387" t="str">
        <f>IF(ABS(I7)&lt;20%,"",IF(ABS(I7)&lt;50%,"关注","显著"))</f>
        <v/>
      </c>
      <c r="K7" s="380"/>
    </row>
    <row r="8" spans="1:16" ht="12" customHeight="1">
      <c r="A8" s="388" t="s">
        <v>637</v>
      </c>
      <c r="B8" s="405" t="s">
        <v>777</v>
      </c>
      <c r="C8" s="493">
        <f>审定PL!E53/参数!I11*12</f>
        <v>0</v>
      </c>
      <c r="D8" s="493">
        <f>审定BS!E106</f>
        <v>0</v>
      </c>
      <c r="E8" s="494">
        <f t="shared" si="0"/>
        <v>0</v>
      </c>
      <c r="F8" s="493">
        <f>未审PL!D53/参数!I12*12</f>
        <v>0</v>
      </c>
      <c r="G8" s="493">
        <f>未审BS!H43</f>
        <v>0</v>
      </c>
      <c r="H8" s="494">
        <f t="shared" si="1"/>
        <v>0</v>
      </c>
      <c r="I8" s="494">
        <f t="shared" si="2"/>
        <v>0</v>
      </c>
      <c r="J8" s="387" t="str">
        <f t="shared" ref="J8:J14" si="3">IF(ABS(I8)&lt;20%,"",IF(ABS(I8)&lt;50%,"关注","显著"))</f>
        <v/>
      </c>
      <c r="K8" s="380"/>
    </row>
    <row r="9" spans="1:16" ht="12" customHeight="1">
      <c r="A9" s="386" t="s">
        <v>638</v>
      </c>
      <c r="B9" s="405" t="s">
        <v>778</v>
      </c>
      <c r="C9" s="493">
        <f>审定PL!E53/参数!I11*12</f>
        <v>0</v>
      </c>
      <c r="D9" s="493">
        <f>('审定BS(上期)'!C122+'审定BS(上期)'!E122)/2</f>
        <v>0</v>
      </c>
      <c r="E9" s="494">
        <f t="shared" si="0"/>
        <v>0</v>
      </c>
      <c r="F9" s="493">
        <f>未审PL!D53/参数!I12*12</f>
        <v>0</v>
      </c>
      <c r="G9" s="493">
        <f>(未审BS!G61+未审BS!H61)/2</f>
        <v>0</v>
      </c>
      <c r="H9" s="494">
        <f t="shared" si="1"/>
        <v>0</v>
      </c>
      <c r="I9" s="494">
        <f t="shared" si="2"/>
        <v>0</v>
      </c>
      <c r="J9" s="387" t="str">
        <f t="shared" si="3"/>
        <v/>
      </c>
      <c r="K9" s="380"/>
    </row>
    <row r="10" spans="1:16" ht="12" customHeight="1">
      <c r="A10" s="386" t="s">
        <v>687</v>
      </c>
      <c r="B10" s="405" t="s">
        <v>779</v>
      </c>
      <c r="C10" s="493">
        <f>(审定PL!E49+审定PL!E26-审定PL!E27)/参数!I11*12</f>
        <v>0</v>
      </c>
      <c r="D10" s="493">
        <f>('审定BS(上期)'!C61+'审定BS(上期)'!E61)/2</f>
        <v>0</v>
      </c>
      <c r="E10" s="494">
        <f t="shared" si="0"/>
        <v>0</v>
      </c>
      <c r="F10" s="493">
        <f>(未审PL!D49+未审PL!D26-未审PL!D27)/参数!I12*12</f>
        <v>0</v>
      </c>
      <c r="G10" s="493">
        <f>(未审BS!C62+未审BS!D62)/2</f>
        <v>0</v>
      </c>
      <c r="H10" s="494">
        <f t="shared" si="1"/>
        <v>0</v>
      </c>
      <c r="I10" s="494">
        <f t="shared" si="2"/>
        <v>0</v>
      </c>
      <c r="J10" s="387" t="str">
        <f t="shared" si="3"/>
        <v/>
      </c>
      <c r="K10" s="380"/>
    </row>
    <row r="11" spans="1:16" ht="12" customHeight="1">
      <c r="A11" s="386" t="s">
        <v>639</v>
      </c>
      <c r="B11" s="405" t="s">
        <v>772</v>
      </c>
      <c r="C11" s="493">
        <f>审定PL!E10-审定PL!E11</f>
        <v>0</v>
      </c>
      <c r="D11" s="493">
        <f>审定PL!E10</f>
        <v>0</v>
      </c>
      <c r="E11" s="494">
        <f t="shared" si="0"/>
        <v>0</v>
      </c>
      <c r="F11" s="493">
        <f>未审PL!D10-未审PL!D11</f>
        <v>0</v>
      </c>
      <c r="G11" s="493">
        <f>未审PL!D10</f>
        <v>0</v>
      </c>
      <c r="H11" s="494">
        <f t="shared" si="1"/>
        <v>0</v>
      </c>
      <c r="I11" s="494">
        <f t="shared" si="2"/>
        <v>0</v>
      </c>
      <c r="J11" s="387" t="str">
        <f t="shared" si="3"/>
        <v/>
      </c>
      <c r="K11" s="380"/>
    </row>
    <row r="12" spans="1:16" ht="12" customHeight="1">
      <c r="A12" s="386" t="s">
        <v>640</v>
      </c>
      <c r="B12" s="405" t="s">
        <v>771</v>
      </c>
      <c r="C12" s="493">
        <f>审定PL!E49+审定PL!E26-审定PL!E27</f>
        <v>0</v>
      </c>
      <c r="D12" s="493">
        <f>审定PL!E10</f>
        <v>0</v>
      </c>
      <c r="E12" s="494">
        <f t="shared" si="0"/>
        <v>0</v>
      </c>
      <c r="F12" s="493">
        <f>未审PL!D30+未审PL!D26-未审PL!D27</f>
        <v>0</v>
      </c>
      <c r="G12" s="493">
        <f>未审PL!D10</f>
        <v>0</v>
      </c>
      <c r="H12" s="494">
        <f t="shared" si="1"/>
        <v>0</v>
      </c>
      <c r="I12" s="494">
        <f t="shared" si="2"/>
        <v>0</v>
      </c>
      <c r="J12" s="387" t="str">
        <f t="shared" si="3"/>
        <v/>
      </c>
      <c r="K12" s="380"/>
    </row>
    <row r="13" spans="1:16" ht="12" customHeight="1">
      <c r="A13" s="386" t="s">
        <v>641</v>
      </c>
      <c r="B13" s="405" t="s">
        <v>773</v>
      </c>
      <c r="C13" s="493">
        <f>审定PL!E53</f>
        <v>0</v>
      </c>
      <c r="D13" s="493">
        <f>审定PL!E10</f>
        <v>0</v>
      </c>
      <c r="E13" s="494">
        <f t="shared" si="0"/>
        <v>0</v>
      </c>
      <c r="F13" s="493">
        <f>未审PL!D53</f>
        <v>0</v>
      </c>
      <c r="G13" s="493">
        <f>未审PL!D10</f>
        <v>0</v>
      </c>
      <c r="H13" s="494">
        <f t="shared" si="1"/>
        <v>0</v>
      </c>
      <c r="I13" s="494">
        <f t="shared" si="2"/>
        <v>0</v>
      </c>
      <c r="J13" s="387" t="str">
        <f t="shared" si="3"/>
        <v/>
      </c>
      <c r="K13" s="380"/>
    </row>
    <row r="14" spans="1:16" ht="12" customHeight="1">
      <c r="A14" s="386" t="s">
        <v>642</v>
      </c>
      <c r="B14" s="405" t="s">
        <v>643</v>
      </c>
      <c r="C14" s="493">
        <f>审定PL!E30</f>
        <v>0</v>
      </c>
      <c r="D14" s="493">
        <f>审定PL!E11+审定PL!E21+审定PL!E22+审定PL!E25</f>
        <v>0</v>
      </c>
      <c r="E14" s="494">
        <f t="shared" si="0"/>
        <v>0</v>
      </c>
      <c r="F14" s="493">
        <f>未审PL!D30</f>
        <v>0</v>
      </c>
      <c r="G14" s="493">
        <f>未审PL!D11+未审PL!D21+未审PL!D22+未审PL!D25</f>
        <v>0</v>
      </c>
      <c r="H14" s="494">
        <f t="shared" si="1"/>
        <v>0</v>
      </c>
      <c r="I14" s="494">
        <f t="shared" si="2"/>
        <v>0</v>
      </c>
      <c r="J14" s="387" t="str">
        <f t="shared" si="3"/>
        <v/>
      </c>
      <c r="K14" s="380"/>
    </row>
    <row r="15" spans="1:16" ht="12" customHeight="1">
      <c r="A15" s="397" t="s">
        <v>644</v>
      </c>
      <c r="B15" s="406"/>
      <c r="C15" s="495"/>
      <c r="D15" s="495"/>
      <c r="E15" s="496"/>
      <c r="F15" s="495"/>
      <c r="G15" s="495"/>
      <c r="H15" s="496"/>
      <c r="I15" s="496"/>
      <c r="J15" s="398"/>
      <c r="K15" s="380"/>
    </row>
    <row r="16" spans="1:16" ht="12" customHeight="1">
      <c r="A16" s="386" t="s">
        <v>645</v>
      </c>
      <c r="B16" s="405" t="s">
        <v>646</v>
      </c>
      <c r="C16" s="493">
        <f>审定BS!E27</f>
        <v>0</v>
      </c>
      <c r="D16" s="493">
        <f>审定BS!E89</f>
        <v>0</v>
      </c>
      <c r="E16" s="494">
        <f>IF(D16=0,0,C16/D16)</f>
        <v>0</v>
      </c>
      <c r="F16" s="493">
        <f>未审BS!D27</f>
        <v>0</v>
      </c>
      <c r="G16" s="493">
        <f>未审BS!H26</f>
        <v>0</v>
      </c>
      <c r="H16" s="494">
        <f>IF(G16=0,0,F16/G16)</f>
        <v>0</v>
      </c>
      <c r="I16" s="494">
        <f>IF(E16=0,0,(H16-E16)/E16)</f>
        <v>0</v>
      </c>
      <c r="J16" s="387" t="str">
        <f>IF(AND(H16=0,I16=0),"",IF(AND(ABS(I16)&lt;20%,H16&gt;=1.6),"",IF(OR(ABS(I16)&gt;=50%,H16&lt;=1),"显著","关注")))</f>
        <v/>
      </c>
      <c r="K16" s="380"/>
    </row>
    <row r="17" spans="1:11" ht="12" customHeight="1">
      <c r="A17" s="386" t="s">
        <v>647</v>
      </c>
      <c r="B17" s="405" t="s">
        <v>648</v>
      </c>
      <c r="C17" s="493">
        <f>审定BS!E27-审定BS!E18-审定BS!E21-审定BS!E22-审定BS!E24-审定BS!E25-审定BS!E26</f>
        <v>0</v>
      </c>
      <c r="D17" s="493">
        <f>审定BS!E89</f>
        <v>0</v>
      </c>
      <c r="E17" s="494">
        <f>IF(D17=0,0,C17/D17)</f>
        <v>0</v>
      </c>
      <c r="F17" s="493">
        <f>未审BS!D27-未审BS!D18-未审BS!D21-未审BS!D22-未审BS!D24-未审BS!D25-未审BS!D26</f>
        <v>0</v>
      </c>
      <c r="G17" s="493">
        <f>未审BS!H26</f>
        <v>0</v>
      </c>
      <c r="H17" s="494">
        <f>IF(G17=0,0,F17/G17)</f>
        <v>0</v>
      </c>
      <c r="I17" s="494">
        <f>IF(E17=0,0,(H17-E17)/E17)</f>
        <v>0</v>
      </c>
      <c r="J17" s="387" t="str">
        <f>IF(AND(H17=0,I17=0),"",IF(AND(ABS(I17)&lt;20%,H17&gt;=0.8),"",IF(OR(ABS(I17)&gt;=50%,H17&lt;=0.5),"显著","关注")))</f>
        <v/>
      </c>
      <c r="K17" s="380"/>
    </row>
    <row r="18" spans="1:11" ht="12" customHeight="1">
      <c r="A18" s="386" t="s">
        <v>649</v>
      </c>
      <c r="B18" s="405" t="s">
        <v>650</v>
      </c>
      <c r="C18" s="493">
        <f>审定BS!E7+审定BS!E8</f>
        <v>0</v>
      </c>
      <c r="D18" s="493">
        <f>审定BS!E89</f>
        <v>0</v>
      </c>
      <c r="E18" s="494">
        <f>IF(D18=0,0,C18/D18)</f>
        <v>0</v>
      </c>
      <c r="F18" s="493">
        <f>未审BS!D7+未审BS!D8</f>
        <v>0</v>
      </c>
      <c r="G18" s="493">
        <f>未审BS!H26</f>
        <v>0</v>
      </c>
      <c r="H18" s="494">
        <f>IF(G18=0,0,F18/G18)</f>
        <v>0</v>
      </c>
      <c r="I18" s="494">
        <f>IF(E18=0,0,(H18-E18)/E18)</f>
        <v>0</v>
      </c>
      <c r="J18" s="387" t="str">
        <f>IF(AND(H18=0,I18=0),"",IF(AND(ABS(I18)&lt;20%,H18&gt;=0.24),"",IF(OR(ABS(I18)&gt;=50%,H18&lt;=0.15),"显著","关注")))</f>
        <v/>
      </c>
      <c r="K18" s="380"/>
    </row>
    <row r="19" spans="1:11" ht="12" customHeight="1">
      <c r="A19" s="397" t="s">
        <v>651</v>
      </c>
      <c r="B19" s="407"/>
      <c r="C19" s="495"/>
      <c r="D19" s="495"/>
      <c r="E19" s="496"/>
      <c r="F19" s="495"/>
      <c r="G19" s="495"/>
      <c r="H19" s="496"/>
      <c r="I19" s="496"/>
      <c r="J19" s="398" t="str">
        <f>IF(ABS(I19)&lt;20%,"",IF(ABS(I19)&lt;50%,"关注","异常"))</f>
        <v/>
      </c>
      <c r="K19" s="380"/>
    </row>
    <row r="20" spans="1:11" ht="12" customHeight="1">
      <c r="A20" s="386" t="s">
        <v>652</v>
      </c>
      <c r="B20" s="405" t="s">
        <v>653</v>
      </c>
      <c r="C20" s="493">
        <f>审定BS!E102</f>
        <v>0</v>
      </c>
      <c r="D20" s="493">
        <f>审定BS!E62</f>
        <v>0</v>
      </c>
      <c r="E20" s="494">
        <f t="shared" ref="E20:E26" si="4">IF(D20=0,0,C20/D20)</f>
        <v>0</v>
      </c>
      <c r="F20" s="493">
        <f>未审BS!H39</f>
        <v>0</v>
      </c>
      <c r="G20" s="493">
        <f>未审BS!D62</f>
        <v>0</v>
      </c>
      <c r="H20" s="494">
        <f t="shared" ref="H20:H26" si="5">IF(G20=0,0,F20/G20)</f>
        <v>0</v>
      </c>
      <c r="I20" s="494">
        <f t="shared" ref="I20:I26" si="6">IF(E20=0,0,(H20-E20)/E20)</f>
        <v>0</v>
      </c>
      <c r="J20" s="387" t="str">
        <f>IF(AND(ABS(I20)&lt;20%,H20&lt;=60%),"",IF(OR(ABS(I20)&gt;=50%,H20&gt;=90%),"显著","关注"))</f>
        <v/>
      </c>
      <c r="K20" s="380"/>
    </row>
    <row r="21" spans="1:11" ht="12" customHeight="1">
      <c r="A21" s="386" t="s">
        <v>654</v>
      </c>
      <c r="B21" s="405" t="s">
        <v>655</v>
      </c>
      <c r="C21" s="493">
        <f>审定BS!E102</f>
        <v>0</v>
      </c>
      <c r="D21" s="493">
        <f>审定BS!E124</f>
        <v>0</v>
      </c>
      <c r="E21" s="494">
        <f t="shared" si="4"/>
        <v>0</v>
      </c>
      <c r="F21" s="493">
        <f>未审BS!H39</f>
        <v>0</v>
      </c>
      <c r="G21" s="493">
        <f>未审BS!H61</f>
        <v>0</v>
      </c>
      <c r="H21" s="494">
        <f t="shared" si="5"/>
        <v>0</v>
      </c>
      <c r="I21" s="494">
        <f t="shared" si="6"/>
        <v>0</v>
      </c>
      <c r="J21" s="387" t="str">
        <f>IF(AND(ABS(I21)&lt;20%,H21&lt;=100%),"",IF(OR(ABS(I21)&gt;=50%,H21&gt;=150%),"显著","关注"))</f>
        <v/>
      </c>
      <c r="K21" s="380"/>
    </row>
    <row r="22" spans="1:11" ht="12" customHeight="1">
      <c r="A22" s="386" t="s">
        <v>656</v>
      </c>
      <c r="B22" s="405" t="s">
        <v>657</v>
      </c>
      <c r="C22" s="493">
        <f>审定BS!E102</f>
        <v>0</v>
      </c>
      <c r="D22" s="493">
        <f>审定BS!E124-审定BS!E58-审定BS!E44</f>
        <v>0</v>
      </c>
      <c r="E22" s="494">
        <f t="shared" si="4"/>
        <v>0</v>
      </c>
      <c r="F22" s="493">
        <f>未审BS!H39</f>
        <v>0</v>
      </c>
      <c r="G22" s="493">
        <f>未审BS!H61-未审BS!D58-未审BS!D44</f>
        <v>0</v>
      </c>
      <c r="H22" s="494">
        <f t="shared" si="5"/>
        <v>0</v>
      </c>
      <c r="I22" s="494">
        <f t="shared" si="6"/>
        <v>0</v>
      </c>
      <c r="J22" s="387" t="str">
        <f>IF(AND(ABS(I22)&lt;20%,H22&lt;=150%),"",IF(OR(ABS(I22)&gt;=50%,H22&gt;=200%),"显著","关注"))</f>
        <v/>
      </c>
      <c r="K22" s="380"/>
    </row>
    <row r="23" spans="1:11" ht="12" customHeight="1">
      <c r="A23" s="386" t="s">
        <v>658</v>
      </c>
      <c r="B23" s="405" t="s">
        <v>774</v>
      </c>
      <c r="C23" s="493">
        <f>审定PL!E49+审定PL!E26</f>
        <v>0</v>
      </c>
      <c r="D23" s="493">
        <f>审定PL!E26</f>
        <v>0</v>
      </c>
      <c r="E23" s="494">
        <f t="shared" si="4"/>
        <v>0</v>
      </c>
      <c r="F23" s="493">
        <f>未审PL!D49+未审PL!D26</f>
        <v>0</v>
      </c>
      <c r="G23" s="493">
        <f>未审PL!D26</f>
        <v>0</v>
      </c>
      <c r="H23" s="494">
        <f t="shared" si="5"/>
        <v>0</v>
      </c>
      <c r="I23" s="494">
        <f t="shared" si="6"/>
        <v>0</v>
      </c>
      <c r="J23" s="387" t="str">
        <f>IF(AND(H23=0,I23=0),"",IF(AND(ABS(I23)&lt;20%,H23&gt;=100%),"",IF(OR(ABS(I23)&gt;=50%,H23&lt;=50%),"显著","关注")))</f>
        <v/>
      </c>
      <c r="K23" s="380"/>
    </row>
    <row r="24" spans="1:11" ht="12" customHeight="1">
      <c r="A24" s="386" t="s">
        <v>659</v>
      </c>
      <c r="B24" s="405" t="s">
        <v>660</v>
      </c>
      <c r="C24" s="493">
        <f>审定BS!E27-审定BS!E89</f>
        <v>0</v>
      </c>
      <c r="D24" s="493">
        <f>审定BS!E99</f>
        <v>0</v>
      </c>
      <c r="E24" s="494">
        <f t="shared" si="4"/>
        <v>0</v>
      </c>
      <c r="F24" s="493">
        <f>未审BS!D27-未审BS!H26</f>
        <v>0</v>
      </c>
      <c r="G24" s="493">
        <f>未审BS!H36</f>
        <v>0</v>
      </c>
      <c r="H24" s="494">
        <f t="shared" si="5"/>
        <v>0</v>
      </c>
      <c r="I24" s="494">
        <f t="shared" si="6"/>
        <v>0</v>
      </c>
      <c r="J24" s="387" t="str">
        <f>IF(AND(H24=0,I24=0),"",IF(AND(ABS(I24)&lt;20%,H24&gt;=100%),"",IF(OR(ABS(I24)&gt;=50%,H24&lt;=50%),"显著","关注")))</f>
        <v/>
      </c>
      <c r="K24" s="380"/>
    </row>
    <row r="25" spans="1:11" ht="12" customHeight="1">
      <c r="A25" s="386" t="s">
        <v>661</v>
      </c>
      <c r="B25" s="405" t="s">
        <v>662</v>
      </c>
      <c r="C25" s="493">
        <f>审定BS!E99</f>
        <v>0</v>
      </c>
      <c r="D25" s="493">
        <f>审定BS!E102</f>
        <v>0</v>
      </c>
      <c r="E25" s="494">
        <f t="shared" si="4"/>
        <v>0</v>
      </c>
      <c r="F25" s="493">
        <f>未审BS!H36</f>
        <v>0</v>
      </c>
      <c r="G25" s="493">
        <f>未审BS!H39</f>
        <v>0</v>
      </c>
      <c r="H25" s="494">
        <f t="shared" si="5"/>
        <v>0</v>
      </c>
      <c r="I25" s="494">
        <f t="shared" si="6"/>
        <v>0</v>
      </c>
      <c r="J25" s="387" t="str">
        <f>IF(ABS(I25)&lt;20%,"",IF(ABS(I25)&lt;50%,"关注","显著"))</f>
        <v/>
      </c>
      <c r="K25" s="380"/>
    </row>
    <row r="26" spans="1:11" ht="12" customHeight="1">
      <c r="A26" s="386" t="s">
        <v>663</v>
      </c>
      <c r="B26" s="405" t="s">
        <v>776</v>
      </c>
      <c r="C26" s="493">
        <f>审定BS!E89+审定PL!E73</f>
        <v>0</v>
      </c>
      <c r="D26" s="493">
        <f>审定BS!E102+审定BS!E124</f>
        <v>0</v>
      </c>
      <c r="E26" s="494">
        <f t="shared" si="4"/>
        <v>0</v>
      </c>
      <c r="F26" s="493">
        <f>未审BS!H26+未审PL!D73</f>
        <v>0</v>
      </c>
      <c r="G26" s="493">
        <f>未审BS!H39+未审BS!H61</f>
        <v>0</v>
      </c>
      <c r="H26" s="494">
        <f t="shared" si="5"/>
        <v>0</v>
      </c>
      <c r="I26" s="494">
        <f t="shared" si="6"/>
        <v>0</v>
      </c>
      <c r="J26" s="387" t="str">
        <f>IF(AND(H26=0,I26=0),"",IF(AND(ABS(I26)&lt;20%,H26&gt;=50%),"",IF(OR(ABS(I26)&gt;=50%,H26&lt;=30%),"显著","关注")))</f>
        <v/>
      </c>
      <c r="K26" s="380"/>
    </row>
    <row r="27" spans="1:11" ht="12" customHeight="1">
      <c r="A27" s="397" t="s">
        <v>688</v>
      </c>
      <c r="B27" s="406"/>
      <c r="C27" s="495"/>
      <c r="D27" s="495"/>
      <c r="E27" s="496"/>
      <c r="F27" s="495"/>
      <c r="G27" s="495"/>
      <c r="H27" s="496"/>
      <c r="I27" s="496"/>
      <c r="J27" s="398"/>
      <c r="K27" s="380"/>
    </row>
    <row r="28" spans="1:11" ht="12" customHeight="1">
      <c r="A28" s="386" t="s">
        <v>664</v>
      </c>
      <c r="B28" s="405" t="s">
        <v>682</v>
      </c>
      <c r="C28" s="493">
        <f>审定PL!E10/参数!I11*12</f>
        <v>0</v>
      </c>
      <c r="D28" s="493">
        <f>('审定BS(上期)'!C61+'审定BS(上期)'!E61)/2</f>
        <v>0</v>
      </c>
      <c r="E28" s="494">
        <f>IF(D28=0,0,C28/D28)</f>
        <v>0</v>
      </c>
      <c r="F28" s="493">
        <f>未审PL!D10/参数!I12*12</f>
        <v>0</v>
      </c>
      <c r="G28" s="493">
        <f>(未审BS!C62+未审BS!D62)/2</f>
        <v>0</v>
      </c>
      <c r="H28" s="494">
        <f>IF(G28=0,0,F28/G28)</f>
        <v>0</v>
      </c>
      <c r="I28" s="494">
        <f t="shared" ref="I28:I40" si="7">IF(E28=0,0,(H28-E28)/E28)</f>
        <v>0</v>
      </c>
      <c r="J28" s="387" t="str">
        <f t="shared" ref="J28:J33" si="8">IF(ABS(I28)&lt;20%,"",IF(ABS(I28)&lt;50%,"关注","显著"))</f>
        <v/>
      </c>
      <c r="K28" s="380"/>
    </row>
    <row r="29" spans="1:11" ht="12" customHeight="1">
      <c r="A29" s="386" t="s">
        <v>665</v>
      </c>
      <c r="B29" s="405" t="s">
        <v>683</v>
      </c>
      <c r="C29" s="493">
        <f>审定PL!E10/参数!I11*12</f>
        <v>0</v>
      </c>
      <c r="D29" s="493">
        <f>('审定BS(上期)'!C46+'审定BS(上期)'!E46)/2</f>
        <v>0</v>
      </c>
      <c r="E29" s="494">
        <f>IF(D29=0,0,C29/D29)</f>
        <v>0</v>
      </c>
      <c r="F29" s="493">
        <f>未审PL!D10/参数!I12*12</f>
        <v>0</v>
      </c>
      <c r="G29" s="493">
        <f>(未审BS!C40+未审BS!D40)/2</f>
        <v>0</v>
      </c>
      <c r="H29" s="494">
        <f>IF(G29=0,0,F29/G29)</f>
        <v>0</v>
      </c>
      <c r="I29" s="494">
        <f t="shared" si="7"/>
        <v>0</v>
      </c>
      <c r="J29" s="387" t="str">
        <f t="shared" si="8"/>
        <v/>
      </c>
      <c r="K29" s="380"/>
    </row>
    <row r="30" spans="1:11" ht="12" customHeight="1">
      <c r="A30" s="386" t="s">
        <v>666</v>
      </c>
      <c r="B30" s="405" t="s">
        <v>1031</v>
      </c>
      <c r="C30" s="493">
        <f>审定PL!E10/参数!I11*12</f>
        <v>0</v>
      </c>
      <c r="D30" s="493">
        <f>('审定BS(上期)'!C26+'审定BS(上期)'!E26)/2</f>
        <v>0</v>
      </c>
      <c r="E30" s="494">
        <f>IF(D30=0,0,C30/D30)</f>
        <v>0</v>
      </c>
      <c r="F30" s="493">
        <f>未审PL!D10/参数!I12*12</f>
        <v>0</v>
      </c>
      <c r="G30" s="493">
        <f>(未审BS!C27+未审BS!D27)/2</f>
        <v>0</v>
      </c>
      <c r="H30" s="494">
        <f>IF(G30=0,0,F30/G30)</f>
        <v>0</v>
      </c>
      <c r="I30" s="494">
        <f t="shared" si="7"/>
        <v>0</v>
      </c>
      <c r="J30" s="387" t="str">
        <f t="shared" si="8"/>
        <v/>
      </c>
      <c r="K30" s="380"/>
    </row>
    <row r="31" spans="1:11" ht="12" customHeight="1">
      <c r="A31" s="386" t="s">
        <v>667</v>
      </c>
      <c r="B31" s="405" t="s">
        <v>684</v>
      </c>
      <c r="C31" s="493">
        <f>审定PL!E10/参数!I11*12</f>
        <v>0</v>
      </c>
      <c r="D31" s="493">
        <f>('审定BS(上期)'!C11+'审定BS(上期)'!E11)/2</f>
        <v>0</v>
      </c>
      <c r="E31" s="620">
        <f>IF(D31=0,0,C31/D31)</f>
        <v>0</v>
      </c>
      <c r="F31" s="493">
        <f>未审PL!D10/参数!I12*12</f>
        <v>0</v>
      </c>
      <c r="G31" s="493">
        <f>(未审BS!C12+未审BS!D12)/2</f>
        <v>0</v>
      </c>
      <c r="H31" s="620">
        <f>IF(G31=0,0,F31/G31)</f>
        <v>0</v>
      </c>
      <c r="I31" s="494">
        <f t="shared" si="7"/>
        <v>0</v>
      </c>
      <c r="J31" s="387" t="str">
        <f t="shared" si="8"/>
        <v/>
      </c>
      <c r="K31" s="380"/>
    </row>
    <row r="32" spans="1:11" ht="12" customHeight="1">
      <c r="A32" s="386" t="s">
        <v>668</v>
      </c>
      <c r="B32" s="405" t="s">
        <v>685</v>
      </c>
      <c r="C32" s="493">
        <f>审定PL!E11/参数!I11*12</f>
        <v>0</v>
      </c>
      <c r="D32" s="493">
        <f>('审定BS(上期)'!C17+'审定BS(上期)'!E17)/2</f>
        <v>0</v>
      </c>
      <c r="E32" s="620">
        <f>IF(D32=0,0,C32/D32)</f>
        <v>0</v>
      </c>
      <c r="F32" s="493">
        <f>未审PL!D11/参数!I12*12</f>
        <v>0</v>
      </c>
      <c r="G32" s="493">
        <f>(未审BS!C18+未审BS!D18)/2</f>
        <v>0</v>
      </c>
      <c r="H32" s="620">
        <f>IF(G32=0,0,F32/G32)</f>
        <v>0</v>
      </c>
      <c r="I32" s="494">
        <f t="shared" si="7"/>
        <v>0</v>
      </c>
      <c r="J32" s="387" t="str">
        <f t="shared" si="8"/>
        <v/>
      </c>
      <c r="K32" s="380"/>
    </row>
    <row r="33" spans="1:11" ht="12" customHeight="1">
      <c r="A33" s="386" t="s">
        <v>669</v>
      </c>
      <c r="B33" s="405" t="s">
        <v>670</v>
      </c>
      <c r="C33" s="493">
        <f>IF(E31&lt;&gt;0,365/E31,)</f>
        <v>0</v>
      </c>
      <c r="D33" s="493">
        <f>IF(E32&lt;&gt;0,365/E32,)</f>
        <v>0</v>
      </c>
      <c r="E33" s="497">
        <f>SUM(C33:D33)</f>
        <v>0</v>
      </c>
      <c r="F33" s="493">
        <f>IF(H31&lt;&gt;0,365/H31,)</f>
        <v>0</v>
      </c>
      <c r="G33" s="493">
        <f>IF(H32&lt;&gt;0,365/H32,)</f>
        <v>0</v>
      </c>
      <c r="H33" s="497">
        <f>SUM(F33:G33)</f>
        <v>0</v>
      </c>
      <c r="I33" s="494">
        <f t="shared" si="7"/>
        <v>0</v>
      </c>
      <c r="J33" s="387" t="str">
        <f t="shared" si="8"/>
        <v/>
      </c>
      <c r="K33" s="380"/>
    </row>
    <row r="34" spans="1:11" ht="12" customHeight="1">
      <c r="A34" s="397" t="s">
        <v>690</v>
      </c>
      <c r="B34" s="406"/>
      <c r="C34" s="495"/>
      <c r="D34" s="495"/>
      <c r="E34" s="498"/>
      <c r="F34" s="495"/>
      <c r="G34" s="495"/>
      <c r="H34" s="498"/>
      <c r="I34" s="496"/>
      <c r="J34" s="398"/>
      <c r="K34" s="380"/>
    </row>
    <row r="35" spans="1:11" ht="12" customHeight="1">
      <c r="A35" s="386" t="s">
        <v>691</v>
      </c>
      <c r="B35" s="405" t="s">
        <v>692</v>
      </c>
      <c r="C35" s="493">
        <f>审定BS!E124</f>
        <v>0</v>
      </c>
      <c r="D35" s="493">
        <f>'审定BS(上期)'!E122</f>
        <v>0</v>
      </c>
      <c r="E35" s="494">
        <f t="shared" ref="E35:E40" si="9">IF(D35=0,0,C35/D35)</f>
        <v>0</v>
      </c>
      <c r="F35" s="493">
        <f>未审BS!H61</f>
        <v>0</v>
      </c>
      <c r="G35" s="493">
        <f>未审BS!G61</f>
        <v>0</v>
      </c>
      <c r="H35" s="494">
        <f t="shared" ref="H35:H40" si="10">IF(G35=0,0,F35/G35)</f>
        <v>0</v>
      </c>
      <c r="I35" s="494">
        <f t="shared" si="7"/>
        <v>0</v>
      </c>
      <c r="J35" s="387" t="str">
        <f t="shared" ref="J35:J40" si="11">IF(ABS(I35)&lt;20%,"",IF(ABS(I35)&lt;50%,"关注","显著"))</f>
        <v/>
      </c>
      <c r="K35" s="380"/>
    </row>
    <row r="36" spans="1:11" ht="12" customHeight="1">
      <c r="A36" s="386" t="s">
        <v>693</v>
      </c>
      <c r="B36" s="405" t="s">
        <v>786</v>
      </c>
      <c r="C36" s="593"/>
      <c r="D36" s="493">
        <f>('审定BS(上期)'!C61+'审定BS(上期)'!E61)/2</f>
        <v>0</v>
      </c>
      <c r="E36" s="494">
        <f t="shared" si="9"/>
        <v>0</v>
      </c>
      <c r="F36" s="593"/>
      <c r="G36" s="493">
        <f>(未审BS!C62+未审BS!D62)/2</f>
        <v>0</v>
      </c>
      <c r="H36" s="494">
        <f t="shared" si="10"/>
        <v>0</v>
      </c>
      <c r="I36" s="494">
        <f t="shared" si="7"/>
        <v>0</v>
      </c>
      <c r="J36" s="387" t="str">
        <f t="shared" si="11"/>
        <v/>
      </c>
      <c r="K36" s="380"/>
    </row>
    <row r="37" spans="1:11" ht="12" customHeight="1">
      <c r="A37" s="386" t="s">
        <v>694</v>
      </c>
      <c r="B37" s="405" t="s">
        <v>695</v>
      </c>
      <c r="C37" s="593"/>
      <c r="D37" s="493">
        <f>C36/12*参数!I11</f>
        <v>0</v>
      </c>
      <c r="E37" s="494">
        <f t="shared" si="9"/>
        <v>0</v>
      </c>
      <c r="F37" s="593"/>
      <c r="G37" s="493">
        <f>F36/12*参数!I12</f>
        <v>0</v>
      </c>
      <c r="H37" s="494">
        <f t="shared" si="10"/>
        <v>0</v>
      </c>
      <c r="I37" s="494">
        <f t="shared" si="7"/>
        <v>0</v>
      </c>
      <c r="J37" s="387" t="str">
        <f t="shared" si="11"/>
        <v/>
      </c>
      <c r="K37" s="380"/>
    </row>
    <row r="38" spans="1:11" ht="12" customHeight="1">
      <c r="A38" s="386" t="s">
        <v>696</v>
      </c>
      <c r="B38" s="405" t="s">
        <v>697</v>
      </c>
      <c r="C38" s="593"/>
      <c r="D38" s="493">
        <f>审定BS!E62</f>
        <v>0</v>
      </c>
      <c r="E38" s="494">
        <f t="shared" si="9"/>
        <v>0</v>
      </c>
      <c r="F38" s="593"/>
      <c r="G38" s="493">
        <f>未审BS!D62</f>
        <v>0</v>
      </c>
      <c r="H38" s="494">
        <f t="shared" si="10"/>
        <v>0</v>
      </c>
      <c r="I38" s="494">
        <f t="shared" si="7"/>
        <v>0</v>
      </c>
      <c r="J38" s="387" t="str">
        <f t="shared" si="11"/>
        <v/>
      </c>
      <c r="K38" s="380"/>
    </row>
    <row r="39" spans="1:11" ht="12" customHeight="1">
      <c r="A39" s="386" t="s">
        <v>698</v>
      </c>
      <c r="B39" s="405" t="s">
        <v>699</v>
      </c>
      <c r="C39" s="593"/>
      <c r="D39" s="493">
        <f>审定BS!E62</f>
        <v>0</v>
      </c>
      <c r="E39" s="494">
        <f t="shared" si="9"/>
        <v>0</v>
      </c>
      <c r="F39" s="593"/>
      <c r="G39" s="493">
        <f>未审BS!D62</f>
        <v>0</v>
      </c>
      <c r="H39" s="494">
        <f t="shared" si="10"/>
        <v>0</v>
      </c>
      <c r="I39" s="494">
        <f t="shared" si="7"/>
        <v>0</v>
      </c>
      <c r="J39" s="387" t="str">
        <f t="shared" si="11"/>
        <v/>
      </c>
      <c r="K39" s="380"/>
    </row>
    <row r="40" spans="1:11" ht="12" customHeight="1">
      <c r="A40" s="386" t="s">
        <v>700</v>
      </c>
      <c r="B40" s="405" t="s">
        <v>701</v>
      </c>
      <c r="C40" s="493">
        <f>('审定BS(上期)'!C39+'审定BS(上期)'!E39)/2</f>
        <v>0</v>
      </c>
      <c r="D40" s="493">
        <f>('审定BS(上期)'!C35+'审定BS(上期)'!E35)/2</f>
        <v>0</v>
      </c>
      <c r="E40" s="494">
        <f t="shared" si="9"/>
        <v>0</v>
      </c>
      <c r="F40" s="493">
        <f>(未审BS!C40+未审BS!D40)/2</f>
        <v>0</v>
      </c>
      <c r="G40" s="493">
        <f>(未审BS!C36+未审BS!D36)/2</f>
        <v>0</v>
      </c>
      <c r="H40" s="494">
        <f t="shared" si="10"/>
        <v>0</v>
      </c>
      <c r="I40" s="494">
        <f t="shared" si="7"/>
        <v>0</v>
      </c>
      <c r="J40" s="387" t="str">
        <f t="shared" si="11"/>
        <v/>
      </c>
      <c r="K40" s="380"/>
    </row>
    <row r="41" spans="1:11" ht="12" customHeight="1">
      <c r="A41" s="399" t="s">
        <v>689</v>
      </c>
      <c r="B41" s="406"/>
      <c r="C41" s="495"/>
      <c r="D41" s="495"/>
      <c r="E41" s="499"/>
      <c r="F41" s="495"/>
      <c r="G41" s="495"/>
      <c r="H41" s="496"/>
      <c r="I41" s="496"/>
      <c r="J41" s="398"/>
      <c r="K41" s="380"/>
    </row>
    <row r="42" spans="1:11" ht="12" customHeight="1">
      <c r="A42" s="388" t="s">
        <v>671</v>
      </c>
      <c r="B42" s="405" t="s">
        <v>672</v>
      </c>
      <c r="C42" s="493">
        <f>'审定CF(上期)'!C16</f>
        <v>0</v>
      </c>
      <c r="D42" s="493">
        <f>审定BS!E89</f>
        <v>0</v>
      </c>
      <c r="E42" s="494">
        <f>IF(D42=0,0,C42/D42)</f>
        <v>0</v>
      </c>
      <c r="F42" s="493">
        <f>未审CF!C18</f>
        <v>0</v>
      </c>
      <c r="G42" s="493">
        <f>未审BS!H26</f>
        <v>0</v>
      </c>
      <c r="H42" s="494">
        <f>IF(G42=0,0,F42/G42)</f>
        <v>0</v>
      </c>
      <c r="I42" s="494">
        <f>IF(E42=0,0,(H42-E42)/E42)</f>
        <v>0</v>
      </c>
      <c r="J42" s="387" t="str">
        <f>IF(ABS(I42)&lt;20%,"",IF(ABS(I42)&lt;50%,"关注","显著"))</f>
        <v/>
      </c>
      <c r="K42" s="380"/>
    </row>
    <row r="43" spans="1:11" ht="12" customHeight="1">
      <c r="A43" s="388" t="s">
        <v>673</v>
      </c>
      <c r="B43" s="405" t="s">
        <v>674</v>
      </c>
      <c r="C43" s="493">
        <f>'审定CF(上期)'!C16</f>
        <v>0</v>
      </c>
      <c r="D43" s="493">
        <f>审定BS!E102</f>
        <v>0</v>
      </c>
      <c r="E43" s="494">
        <f>IF(D43=0,0,C43/D43)</f>
        <v>0</v>
      </c>
      <c r="F43" s="493">
        <f>未审CF!C18</f>
        <v>0</v>
      </c>
      <c r="G43" s="493">
        <f>未审BS!H39</f>
        <v>0</v>
      </c>
      <c r="H43" s="494">
        <f>IF(G43=0,0,F43/G43)</f>
        <v>0</v>
      </c>
      <c r="I43" s="494">
        <f>IF(E43=0,0,(H43-E43)/E43)</f>
        <v>0</v>
      </c>
      <c r="J43" s="387" t="str">
        <f>IF(ABS(I43)&lt;20%,"",IF(ABS(I43)&lt;50%,"关注","显著"))</f>
        <v/>
      </c>
      <c r="K43" s="380"/>
    </row>
    <row r="44" spans="1:11" ht="12" customHeight="1">
      <c r="A44" s="389" t="s">
        <v>675</v>
      </c>
      <c r="B44" s="408" t="s">
        <v>676</v>
      </c>
      <c r="C44" s="500">
        <f>'审定CF(上期)'!C16</f>
        <v>0</v>
      </c>
      <c r="D44" s="500">
        <f>审定PL!E53</f>
        <v>0</v>
      </c>
      <c r="E44" s="501">
        <f>IF(D44=0,0,C44/D44)</f>
        <v>0</v>
      </c>
      <c r="F44" s="502">
        <f>未审CF!C18</f>
        <v>0</v>
      </c>
      <c r="G44" s="502">
        <f>未审PL!D53</f>
        <v>0</v>
      </c>
      <c r="H44" s="501">
        <f>IF(G44=0,0,F44/G44)</f>
        <v>0</v>
      </c>
      <c r="I44" s="501">
        <f>IF(E44=0,0,(H44-E44)/E44)</f>
        <v>0</v>
      </c>
      <c r="J44" s="390" t="str">
        <f>IF(ABS(I44)&lt;20%,"",IF(ABS(I44)&lt;50%,"关注","显著"))</f>
        <v/>
      </c>
      <c r="K44" s="380"/>
    </row>
    <row r="45" spans="1:11" ht="14.25" thickBot="1">
      <c r="A45" s="391" t="s">
        <v>677</v>
      </c>
      <c r="B45" s="409" t="s">
        <v>775</v>
      </c>
      <c r="C45" s="503">
        <f>'审定CF(上期)'!C16</f>
        <v>0</v>
      </c>
      <c r="D45" s="503">
        <f>审定PL!E10</f>
        <v>0</v>
      </c>
      <c r="E45" s="504">
        <f>IF(D45=0,0,C45/D45)</f>
        <v>0</v>
      </c>
      <c r="F45" s="505">
        <f>未审CF!C18</f>
        <v>0</v>
      </c>
      <c r="G45" s="505">
        <f>未审PL!D10</f>
        <v>0</v>
      </c>
      <c r="H45" s="504">
        <f>IF(G45=0,0,F45/G45)</f>
        <v>0</v>
      </c>
      <c r="I45" s="504">
        <f>IF(E45=0,0,(H45-E45)/E45)</f>
        <v>0</v>
      </c>
      <c r="J45" s="392" t="str">
        <f>IF(ABS(I45)&lt;20%,"",IF(ABS(I45)&lt;50%,"关注","显著"))</f>
        <v/>
      </c>
      <c r="K45" s="380"/>
    </row>
    <row r="46" spans="1:11">
      <c r="A46" s="380"/>
      <c r="B46" s="410"/>
      <c r="C46" s="383"/>
      <c r="D46" s="383"/>
      <c r="E46" s="382"/>
      <c r="F46" s="383"/>
      <c r="G46" s="383"/>
      <c r="H46" s="380"/>
      <c r="I46" s="380"/>
      <c r="J46" s="380"/>
      <c r="K46" s="380"/>
    </row>
    <row r="47" spans="1:11">
      <c r="A47" s="380" t="s">
        <v>678</v>
      </c>
      <c r="B47" s="410"/>
      <c r="C47" s="383"/>
      <c r="D47" s="383"/>
      <c r="E47" s="382"/>
      <c r="F47" s="383"/>
      <c r="G47" s="383"/>
      <c r="H47" s="380"/>
      <c r="I47" s="380"/>
      <c r="J47" s="380"/>
      <c r="K47" s="380"/>
    </row>
    <row r="48" spans="1:11" ht="12">
      <c r="A48" s="384" t="s">
        <v>790</v>
      </c>
      <c r="B48" s="410"/>
      <c r="C48" s="383"/>
      <c r="D48" s="383"/>
      <c r="E48" s="382"/>
      <c r="F48" s="383"/>
      <c r="G48" s="383"/>
      <c r="H48" s="380"/>
      <c r="I48" s="380"/>
      <c r="J48" s="380"/>
      <c r="K48" s="380"/>
    </row>
    <row r="49" spans="1:11" ht="12">
      <c r="A49" s="384" t="s">
        <v>925</v>
      </c>
      <c r="B49" s="410"/>
      <c r="C49" s="383"/>
      <c r="D49" s="383"/>
      <c r="E49" s="382"/>
      <c r="F49" s="383"/>
      <c r="G49" s="383"/>
      <c r="H49" s="380"/>
      <c r="I49" s="380"/>
      <c r="J49" s="380"/>
      <c r="K49" s="380"/>
    </row>
    <row r="50" spans="1:11" ht="12">
      <c r="A50" s="384" t="s">
        <v>787</v>
      </c>
      <c r="B50" s="410"/>
      <c r="C50" s="383"/>
      <c r="D50" s="383"/>
      <c r="E50" s="382"/>
      <c r="F50" s="383"/>
      <c r="G50" s="383"/>
      <c r="H50" s="380"/>
      <c r="I50" s="380"/>
      <c r="J50" s="380"/>
      <c r="K50" s="380"/>
    </row>
    <row r="51" spans="1:11">
      <c r="A51" s="380"/>
      <c r="B51" s="410"/>
      <c r="C51" s="383"/>
      <c r="D51" s="383"/>
      <c r="E51" s="382"/>
      <c r="F51" s="383"/>
      <c r="G51" s="383"/>
      <c r="H51" s="380"/>
      <c r="I51" s="380"/>
      <c r="J51" s="380"/>
      <c r="K51" s="380"/>
    </row>
    <row r="52" spans="1:11">
      <c r="A52" s="380"/>
      <c r="B52" s="410"/>
      <c r="C52" s="383"/>
      <c r="D52" s="383"/>
      <c r="E52" s="382"/>
      <c r="F52" s="383"/>
      <c r="G52" s="383"/>
      <c r="H52" s="380"/>
      <c r="I52" s="380"/>
      <c r="J52" s="380"/>
      <c r="K52" s="380"/>
    </row>
    <row r="53" spans="1:11">
      <c r="A53" s="380"/>
      <c r="B53" s="410"/>
      <c r="C53" s="383"/>
      <c r="D53" s="383"/>
      <c r="E53" s="382"/>
      <c r="F53" s="383"/>
      <c r="G53" s="383"/>
      <c r="H53" s="380"/>
      <c r="I53" s="380"/>
      <c r="J53" s="380"/>
      <c r="K53" s="380"/>
    </row>
    <row r="54" spans="1:11">
      <c r="A54" s="380"/>
      <c r="B54" s="410"/>
      <c r="C54" s="383"/>
      <c r="D54" s="383"/>
      <c r="E54" s="382"/>
      <c r="F54" s="383"/>
      <c r="G54" s="383"/>
      <c r="H54" s="380"/>
      <c r="I54" s="380"/>
      <c r="J54" s="380"/>
      <c r="K54" s="380"/>
    </row>
    <row r="55" spans="1:11">
      <c r="A55" s="380"/>
      <c r="B55" s="410"/>
      <c r="C55" s="383"/>
      <c r="D55" s="383"/>
      <c r="E55" s="382"/>
      <c r="F55" s="383"/>
      <c r="G55" s="383"/>
      <c r="H55" s="380"/>
      <c r="I55" s="380"/>
      <c r="J55" s="380"/>
      <c r="K55" s="380"/>
    </row>
    <row r="56" spans="1:11">
      <c r="A56" s="380"/>
      <c r="B56" s="410"/>
      <c r="C56" s="383"/>
      <c r="D56" s="383"/>
      <c r="E56" s="382"/>
      <c r="F56" s="383"/>
      <c r="G56" s="383"/>
      <c r="H56" s="380"/>
      <c r="I56" s="380"/>
      <c r="J56" s="380"/>
      <c r="K56" s="380"/>
    </row>
    <row r="57" spans="1:11">
      <c r="A57" s="380"/>
      <c r="B57" s="410"/>
      <c r="C57" s="383"/>
      <c r="D57" s="383"/>
      <c r="E57" s="382"/>
      <c r="F57" s="383"/>
      <c r="G57" s="383"/>
      <c r="H57" s="380"/>
      <c r="I57" s="380"/>
      <c r="J57" s="380"/>
      <c r="K57" s="380"/>
    </row>
    <row r="58" spans="1:11">
      <c r="A58" s="380"/>
      <c r="B58" s="410"/>
      <c r="C58" s="383"/>
      <c r="D58" s="383"/>
      <c r="E58" s="382"/>
      <c r="F58" s="383"/>
      <c r="G58" s="383"/>
      <c r="H58" s="380"/>
      <c r="I58" s="380"/>
      <c r="J58" s="380"/>
      <c r="K58" s="380"/>
    </row>
    <row r="59" spans="1:11">
      <c r="A59" s="380"/>
      <c r="B59" s="410"/>
      <c r="C59" s="383"/>
      <c r="D59" s="383"/>
      <c r="E59" s="382"/>
      <c r="F59" s="383"/>
      <c r="G59" s="383"/>
      <c r="H59" s="380"/>
      <c r="I59" s="380"/>
      <c r="J59" s="380"/>
      <c r="K59" s="380"/>
    </row>
    <row r="60" spans="1:11">
      <c r="A60" s="380"/>
      <c r="B60" s="410"/>
      <c r="C60" s="383"/>
      <c r="D60" s="383"/>
      <c r="E60" s="382"/>
      <c r="F60" s="383"/>
      <c r="G60" s="383"/>
      <c r="H60" s="380"/>
      <c r="I60" s="380"/>
      <c r="J60" s="380"/>
      <c r="K60" s="380"/>
    </row>
    <row r="61" spans="1:11">
      <c r="A61" s="380"/>
      <c r="B61" s="410"/>
      <c r="C61" s="383"/>
      <c r="D61" s="383"/>
      <c r="E61" s="382"/>
      <c r="F61" s="383"/>
      <c r="G61" s="383"/>
      <c r="H61" s="380"/>
      <c r="I61" s="380"/>
      <c r="J61" s="380"/>
      <c r="K61" s="380"/>
    </row>
    <row r="62" spans="1:11">
      <c r="A62" s="380"/>
      <c r="B62" s="410"/>
      <c r="C62" s="383"/>
      <c r="D62" s="383"/>
      <c r="E62" s="382"/>
      <c r="F62" s="383"/>
      <c r="G62" s="383"/>
      <c r="H62" s="380"/>
      <c r="I62" s="380"/>
      <c r="J62" s="380"/>
      <c r="K62" s="380"/>
    </row>
    <row r="63" spans="1:11">
      <c r="A63" s="380"/>
      <c r="B63" s="410"/>
      <c r="C63" s="383"/>
      <c r="D63" s="383"/>
      <c r="E63" s="382"/>
      <c r="F63" s="383"/>
      <c r="G63" s="383"/>
      <c r="H63" s="380"/>
      <c r="I63" s="380"/>
      <c r="J63" s="380"/>
      <c r="K63" s="380"/>
    </row>
    <row r="64" spans="1:11">
      <c r="A64" s="380"/>
      <c r="B64" s="410"/>
      <c r="C64" s="383"/>
      <c r="D64" s="383"/>
      <c r="E64" s="382"/>
      <c r="F64" s="383"/>
      <c r="G64" s="383"/>
      <c r="H64" s="380"/>
      <c r="I64" s="380"/>
      <c r="J64" s="380"/>
      <c r="K64" s="380"/>
    </row>
    <row r="65" spans="1:11">
      <c r="A65" s="380"/>
      <c r="B65" s="410"/>
      <c r="C65" s="383"/>
      <c r="D65" s="383"/>
      <c r="E65" s="382"/>
      <c r="F65" s="383"/>
      <c r="G65" s="383"/>
      <c r="H65" s="380"/>
      <c r="I65" s="380"/>
      <c r="J65" s="380"/>
      <c r="K65" s="380"/>
    </row>
    <row r="66" spans="1:11">
      <c r="A66" s="380"/>
      <c r="B66" s="410"/>
      <c r="C66" s="383"/>
      <c r="D66" s="383"/>
      <c r="E66" s="382"/>
      <c r="F66" s="383"/>
      <c r="G66" s="383"/>
      <c r="H66" s="380"/>
      <c r="I66" s="380"/>
      <c r="J66" s="380"/>
      <c r="K66" s="380"/>
    </row>
    <row r="67" spans="1:11">
      <c r="A67" s="380"/>
      <c r="B67" s="410"/>
      <c r="C67" s="383"/>
      <c r="D67" s="383"/>
      <c r="E67" s="382"/>
      <c r="F67" s="383"/>
      <c r="G67" s="383"/>
      <c r="H67" s="380"/>
      <c r="I67" s="380"/>
      <c r="J67" s="380"/>
      <c r="K67" s="380"/>
    </row>
    <row r="68" spans="1:11">
      <c r="A68" s="380"/>
      <c r="B68" s="410"/>
      <c r="C68" s="383"/>
      <c r="D68" s="383"/>
      <c r="E68" s="382"/>
      <c r="F68" s="383"/>
      <c r="G68" s="383"/>
      <c r="H68" s="380"/>
      <c r="I68" s="380"/>
      <c r="J68" s="380"/>
      <c r="K68" s="380"/>
    </row>
    <row r="69" spans="1:11">
      <c r="A69" s="380"/>
      <c r="B69" s="410"/>
      <c r="C69" s="383"/>
      <c r="D69" s="383"/>
      <c r="E69" s="382"/>
      <c r="F69" s="383"/>
      <c r="G69" s="383"/>
      <c r="H69" s="380"/>
      <c r="I69" s="380"/>
      <c r="J69" s="380"/>
      <c r="K69" s="380"/>
    </row>
    <row r="70" spans="1:11">
      <c r="A70" s="380"/>
      <c r="B70" s="410"/>
      <c r="C70" s="383"/>
      <c r="D70" s="383"/>
      <c r="E70" s="382"/>
      <c r="F70" s="383"/>
      <c r="G70" s="383"/>
      <c r="H70" s="380"/>
      <c r="I70" s="380"/>
      <c r="J70" s="380"/>
      <c r="K70" s="380"/>
    </row>
    <row r="71" spans="1:11">
      <c r="A71" s="380"/>
      <c r="B71" s="410"/>
      <c r="C71" s="383"/>
      <c r="D71" s="383"/>
      <c r="E71" s="382"/>
      <c r="F71" s="383"/>
      <c r="G71" s="383"/>
      <c r="H71" s="380"/>
      <c r="I71" s="380"/>
      <c r="J71" s="380"/>
      <c r="K71" s="380"/>
    </row>
    <row r="72" spans="1:11">
      <c r="A72" s="380"/>
      <c r="B72" s="410"/>
      <c r="C72" s="383"/>
      <c r="D72" s="383"/>
      <c r="E72" s="382"/>
      <c r="F72" s="383"/>
      <c r="G72" s="383"/>
      <c r="H72" s="380"/>
      <c r="I72" s="380"/>
      <c r="J72" s="380"/>
      <c r="K72" s="380"/>
    </row>
    <row r="73" spans="1:11">
      <c r="A73" s="380"/>
      <c r="B73" s="410"/>
      <c r="C73" s="383"/>
      <c r="D73" s="383"/>
      <c r="E73" s="382"/>
      <c r="F73" s="383"/>
      <c r="G73" s="383"/>
      <c r="H73" s="380"/>
      <c r="I73" s="380"/>
      <c r="J73" s="380"/>
      <c r="K73" s="380"/>
    </row>
    <row r="74" spans="1:11">
      <c r="A74" s="380"/>
      <c r="B74" s="410"/>
      <c r="C74" s="383"/>
      <c r="D74" s="383"/>
      <c r="E74" s="382"/>
      <c r="F74" s="383"/>
      <c r="G74" s="383"/>
      <c r="H74" s="380"/>
      <c r="I74" s="380"/>
      <c r="J74" s="380"/>
      <c r="K74" s="380"/>
    </row>
    <row r="75" spans="1:11">
      <c r="A75" s="380"/>
      <c r="B75" s="410"/>
      <c r="C75" s="383"/>
      <c r="D75" s="383"/>
      <c r="E75" s="382"/>
      <c r="F75" s="383"/>
      <c r="G75" s="383"/>
      <c r="H75" s="380"/>
      <c r="I75" s="380"/>
      <c r="J75" s="380"/>
      <c r="K75" s="380"/>
    </row>
    <row r="76" spans="1:11">
      <c r="A76" s="380"/>
      <c r="B76" s="410"/>
      <c r="C76" s="383"/>
      <c r="D76" s="383"/>
      <c r="E76" s="382"/>
      <c r="F76" s="383"/>
      <c r="G76" s="383"/>
      <c r="H76" s="380"/>
      <c r="I76" s="380"/>
      <c r="J76" s="380"/>
      <c r="K76" s="380"/>
    </row>
    <row r="77" spans="1:11">
      <c r="A77" s="380"/>
      <c r="B77" s="410"/>
      <c r="C77" s="383"/>
      <c r="D77" s="383"/>
      <c r="E77" s="382"/>
      <c r="F77" s="383"/>
      <c r="G77" s="383"/>
      <c r="H77" s="380"/>
      <c r="I77" s="380"/>
      <c r="J77" s="380"/>
      <c r="K77" s="380"/>
    </row>
    <row r="78" spans="1:11">
      <c r="A78" s="380"/>
      <c r="B78" s="410"/>
      <c r="C78" s="383"/>
      <c r="D78" s="383"/>
      <c r="E78" s="382"/>
      <c r="F78" s="383"/>
      <c r="G78" s="383"/>
      <c r="H78" s="380"/>
      <c r="I78" s="380"/>
      <c r="J78" s="380"/>
      <c r="K78" s="380"/>
    </row>
    <row r="79" spans="1:11">
      <c r="A79" s="380"/>
      <c r="B79" s="410"/>
      <c r="C79" s="383"/>
      <c r="D79" s="383"/>
      <c r="E79" s="382"/>
      <c r="F79" s="383"/>
      <c r="G79" s="383"/>
      <c r="H79" s="380"/>
      <c r="I79" s="380"/>
      <c r="J79" s="380"/>
      <c r="K79" s="380"/>
    </row>
    <row r="80" spans="1:11">
      <c r="A80" s="380"/>
      <c r="B80" s="410"/>
      <c r="C80" s="383"/>
      <c r="D80" s="383"/>
      <c r="E80" s="382"/>
      <c r="F80" s="383"/>
      <c r="G80" s="383"/>
      <c r="H80" s="380"/>
      <c r="I80" s="380"/>
      <c r="J80" s="380"/>
      <c r="K80" s="380"/>
    </row>
    <row r="81" spans="1:11">
      <c r="A81" s="380"/>
      <c r="B81" s="410"/>
      <c r="C81" s="383"/>
      <c r="D81" s="383"/>
      <c r="E81" s="382"/>
      <c r="F81" s="383"/>
      <c r="G81" s="383"/>
      <c r="H81" s="380"/>
      <c r="I81" s="380"/>
      <c r="J81" s="380"/>
      <c r="K81" s="380"/>
    </row>
    <row r="82" spans="1:11">
      <c r="A82" s="380"/>
      <c r="B82" s="410"/>
      <c r="C82" s="383"/>
      <c r="D82" s="383"/>
      <c r="E82" s="382"/>
      <c r="F82" s="383"/>
      <c r="G82" s="383"/>
      <c r="H82" s="380"/>
      <c r="I82" s="380"/>
      <c r="J82" s="380"/>
      <c r="K82" s="380"/>
    </row>
    <row r="83" spans="1:11">
      <c r="A83" s="380"/>
      <c r="B83" s="410"/>
      <c r="C83" s="383"/>
      <c r="D83" s="383"/>
      <c r="E83" s="382"/>
      <c r="F83" s="383"/>
      <c r="G83" s="383"/>
      <c r="H83" s="380"/>
      <c r="I83" s="380"/>
      <c r="J83" s="380"/>
      <c r="K83" s="380"/>
    </row>
    <row r="84" spans="1:11">
      <c r="A84" s="380"/>
      <c r="B84" s="410"/>
      <c r="C84" s="383"/>
      <c r="D84" s="383"/>
      <c r="E84" s="382"/>
      <c r="F84" s="383"/>
      <c r="G84" s="383"/>
      <c r="H84" s="380"/>
      <c r="I84" s="380"/>
      <c r="J84" s="380"/>
      <c r="K84" s="380"/>
    </row>
    <row r="85" spans="1:11">
      <c r="A85" s="380"/>
      <c r="B85" s="410"/>
      <c r="C85" s="383"/>
      <c r="D85" s="383"/>
      <c r="E85" s="382"/>
      <c r="F85" s="383"/>
      <c r="G85" s="383"/>
      <c r="H85" s="380"/>
      <c r="I85" s="380"/>
      <c r="J85" s="380"/>
      <c r="K85" s="380"/>
    </row>
    <row r="86" spans="1:11">
      <c r="A86" s="380"/>
      <c r="B86" s="410"/>
      <c r="C86" s="383"/>
      <c r="D86" s="383"/>
      <c r="E86" s="382"/>
      <c r="F86" s="383"/>
      <c r="G86" s="383"/>
      <c r="H86" s="380"/>
      <c r="I86" s="380"/>
      <c r="J86" s="380"/>
      <c r="K86" s="380"/>
    </row>
    <row r="87" spans="1:11">
      <c r="A87" s="380"/>
      <c r="B87" s="410"/>
      <c r="C87" s="383"/>
      <c r="D87" s="383"/>
      <c r="E87" s="382"/>
      <c r="F87" s="383"/>
      <c r="G87" s="383"/>
      <c r="H87" s="380"/>
      <c r="I87" s="380"/>
      <c r="J87" s="380"/>
      <c r="K87" s="380"/>
    </row>
    <row r="88" spans="1:11">
      <c r="A88" s="380"/>
      <c r="B88" s="410"/>
      <c r="C88" s="383"/>
      <c r="D88" s="383"/>
      <c r="E88" s="382"/>
      <c r="F88" s="383"/>
      <c r="G88" s="383"/>
      <c r="H88" s="380"/>
      <c r="I88" s="380"/>
      <c r="J88" s="380"/>
      <c r="K88" s="380"/>
    </row>
    <row r="89" spans="1:11">
      <c r="A89" s="380"/>
      <c r="B89" s="410"/>
      <c r="C89" s="383"/>
      <c r="D89" s="383"/>
      <c r="E89" s="382"/>
      <c r="F89" s="383"/>
      <c r="G89" s="383"/>
      <c r="H89" s="380"/>
      <c r="I89" s="380"/>
      <c r="J89" s="380"/>
      <c r="K89" s="380"/>
    </row>
    <row r="90" spans="1:11">
      <c r="A90" s="380"/>
      <c r="B90" s="410"/>
      <c r="C90" s="383"/>
      <c r="D90" s="383"/>
      <c r="E90" s="382"/>
      <c r="F90" s="383"/>
      <c r="G90" s="383"/>
      <c r="H90" s="380"/>
      <c r="I90" s="380"/>
      <c r="J90" s="380"/>
      <c r="K90" s="380"/>
    </row>
    <row r="91" spans="1:11">
      <c r="A91" s="380"/>
      <c r="B91" s="410"/>
      <c r="C91" s="383"/>
      <c r="D91" s="383"/>
      <c r="E91" s="382"/>
      <c r="F91" s="383"/>
      <c r="G91" s="383"/>
      <c r="H91" s="380"/>
      <c r="I91" s="380"/>
      <c r="J91" s="380"/>
      <c r="K91" s="380"/>
    </row>
    <row r="92" spans="1:11">
      <c r="A92" s="380"/>
      <c r="B92" s="410"/>
      <c r="C92" s="383"/>
      <c r="D92" s="383"/>
      <c r="E92" s="382"/>
      <c r="F92" s="383"/>
      <c r="G92" s="383"/>
      <c r="H92" s="380"/>
      <c r="I92" s="380"/>
      <c r="J92" s="380"/>
      <c r="K92" s="380"/>
    </row>
    <row r="93" spans="1:11">
      <c r="A93" s="380"/>
      <c r="B93" s="410"/>
      <c r="C93" s="383"/>
      <c r="D93" s="383"/>
      <c r="E93" s="382"/>
      <c r="F93" s="383"/>
      <c r="G93" s="383"/>
      <c r="H93" s="380"/>
      <c r="I93" s="380"/>
      <c r="J93" s="380"/>
      <c r="K93" s="380"/>
    </row>
    <row r="94" spans="1:11">
      <c r="A94" s="380"/>
      <c r="B94" s="410"/>
      <c r="C94" s="383"/>
      <c r="D94" s="383"/>
      <c r="E94" s="382"/>
      <c r="F94" s="383"/>
      <c r="G94" s="383"/>
      <c r="H94" s="380"/>
      <c r="I94" s="380"/>
      <c r="J94" s="380"/>
      <c r="K94" s="380"/>
    </row>
    <row r="95" spans="1:11">
      <c r="A95" s="380"/>
      <c r="B95" s="410"/>
      <c r="C95" s="383"/>
      <c r="D95" s="383"/>
      <c r="E95" s="382"/>
      <c r="F95" s="383"/>
      <c r="G95" s="383"/>
      <c r="H95" s="380"/>
      <c r="I95" s="380"/>
      <c r="J95" s="380"/>
      <c r="K95" s="380"/>
    </row>
    <row r="96" spans="1:11">
      <c r="A96" s="380"/>
      <c r="B96" s="410"/>
      <c r="C96" s="383"/>
      <c r="D96" s="383"/>
      <c r="E96" s="382"/>
      <c r="F96" s="383"/>
      <c r="G96" s="383"/>
      <c r="H96" s="380"/>
      <c r="I96" s="380"/>
      <c r="J96" s="380"/>
      <c r="K96" s="380"/>
    </row>
    <row r="97" spans="1:11">
      <c r="A97" s="380"/>
      <c r="B97" s="410"/>
      <c r="C97" s="383"/>
      <c r="D97" s="383"/>
      <c r="E97" s="382"/>
      <c r="F97" s="383"/>
      <c r="G97" s="383"/>
      <c r="H97" s="380"/>
      <c r="I97" s="380"/>
      <c r="J97" s="380"/>
      <c r="K97" s="380"/>
    </row>
    <row r="98" spans="1:11">
      <c r="A98" s="380"/>
      <c r="B98" s="410"/>
      <c r="C98" s="383"/>
      <c r="D98" s="383"/>
      <c r="E98" s="382"/>
      <c r="F98" s="383"/>
      <c r="G98" s="383"/>
      <c r="H98" s="380"/>
      <c r="I98" s="380"/>
      <c r="J98" s="380"/>
      <c r="K98" s="380"/>
    </row>
    <row r="99" spans="1:11">
      <c r="A99" s="380"/>
      <c r="B99" s="410"/>
      <c r="C99" s="383"/>
      <c r="D99" s="383"/>
      <c r="E99" s="382"/>
      <c r="F99" s="383"/>
      <c r="G99" s="383"/>
      <c r="H99" s="380"/>
      <c r="I99" s="380"/>
      <c r="J99" s="380"/>
      <c r="K99" s="380"/>
    </row>
    <row r="100" spans="1:11">
      <c r="A100" s="380"/>
      <c r="B100" s="410"/>
      <c r="C100" s="383"/>
      <c r="D100" s="383"/>
      <c r="E100" s="382"/>
      <c r="F100" s="383"/>
      <c r="G100" s="383"/>
      <c r="H100" s="380"/>
      <c r="I100" s="380"/>
      <c r="J100" s="380"/>
      <c r="K100" s="380"/>
    </row>
    <row r="101" spans="1:11">
      <c r="A101" s="380"/>
      <c r="B101" s="410"/>
      <c r="C101" s="383"/>
      <c r="D101" s="383"/>
      <c r="E101" s="382"/>
      <c r="F101" s="383"/>
      <c r="G101" s="383"/>
      <c r="H101" s="380"/>
      <c r="I101" s="380"/>
      <c r="J101" s="380"/>
      <c r="K101" s="380"/>
    </row>
    <row r="102" spans="1:11">
      <c r="A102" s="380"/>
      <c r="B102" s="410"/>
      <c r="C102" s="383"/>
      <c r="D102" s="383"/>
      <c r="E102" s="382"/>
      <c r="F102" s="383"/>
      <c r="G102" s="383"/>
      <c r="H102" s="380"/>
      <c r="I102" s="380"/>
      <c r="J102" s="380"/>
      <c r="K102" s="380"/>
    </row>
    <row r="103" spans="1:11">
      <c r="A103" s="380"/>
      <c r="B103" s="410"/>
      <c r="C103" s="383"/>
      <c r="D103" s="383"/>
      <c r="E103" s="382"/>
      <c r="F103" s="383"/>
      <c r="G103" s="383"/>
      <c r="H103" s="380"/>
      <c r="I103" s="380"/>
      <c r="J103" s="380"/>
      <c r="K103" s="380"/>
    </row>
    <row r="104" spans="1:11">
      <c r="A104" s="380"/>
      <c r="B104" s="410"/>
      <c r="C104" s="383"/>
      <c r="D104" s="383"/>
      <c r="E104" s="382"/>
      <c r="F104" s="383"/>
      <c r="G104" s="383"/>
      <c r="H104" s="380"/>
      <c r="I104" s="380"/>
      <c r="J104" s="380"/>
      <c r="K104" s="380"/>
    </row>
    <row r="105" spans="1:11">
      <c r="A105" s="380"/>
      <c r="B105" s="410"/>
      <c r="C105" s="383"/>
      <c r="D105" s="383"/>
      <c r="E105" s="382"/>
      <c r="F105" s="383"/>
      <c r="G105" s="383"/>
      <c r="H105" s="380"/>
      <c r="I105" s="380"/>
      <c r="J105" s="380"/>
      <c r="K105" s="380"/>
    </row>
    <row r="106" spans="1:11">
      <c r="A106" s="380"/>
      <c r="B106" s="410"/>
      <c r="C106" s="383"/>
      <c r="D106" s="383"/>
      <c r="E106" s="382"/>
      <c r="F106" s="383"/>
      <c r="G106" s="383"/>
      <c r="H106" s="380"/>
      <c r="I106" s="380"/>
      <c r="J106" s="380"/>
      <c r="K106" s="380"/>
    </row>
    <row r="107" spans="1:11">
      <c r="A107" s="380"/>
      <c r="B107" s="410"/>
      <c r="C107" s="383"/>
      <c r="D107" s="383"/>
      <c r="E107" s="382"/>
      <c r="F107" s="383"/>
      <c r="G107" s="383"/>
      <c r="H107" s="380"/>
      <c r="I107" s="380"/>
      <c r="J107" s="380"/>
      <c r="K107" s="380"/>
    </row>
    <row r="108" spans="1:11">
      <c r="A108" s="380"/>
      <c r="B108" s="410"/>
      <c r="C108" s="383"/>
      <c r="D108" s="383"/>
      <c r="E108" s="382"/>
      <c r="F108" s="383"/>
      <c r="G108" s="383"/>
      <c r="H108" s="380"/>
      <c r="I108" s="380"/>
      <c r="J108" s="380"/>
      <c r="K108" s="380"/>
    </row>
    <row r="109" spans="1:11">
      <c r="A109" s="380"/>
      <c r="B109" s="410"/>
      <c r="C109" s="383"/>
      <c r="D109" s="383"/>
      <c r="E109" s="382"/>
      <c r="F109" s="383"/>
      <c r="G109" s="383"/>
      <c r="H109" s="380"/>
      <c r="I109" s="380"/>
      <c r="J109" s="380"/>
      <c r="K109" s="380"/>
    </row>
    <row r="110" spans="1:11">
      <c r="A110" s="380"/>
      <c r="B110" s="410"/>
      <c r="C110" s="383"/>
      <c r="D110" s="383"/>
      <c r="E110" s="382"/>
      <c r="F110" s="383"/>
      <c r="G110" s="383"/>
      <c r="H110" s="380"/>
      <c r="I110" s="380"/>
      <c r="J110" s="380"/>
      <c r="K110" s="380"/>
    </row>
    <row r="111" spans="1:11">
      <c r="A111" s="380"/>
      <c r="B111" s="410"/>
      <c r="C111" s="383"/>
      <c r="D111" s="383"/>
      <c r="E111" s="382"/>
      <c r="F111" s="383"/>
      <c r="G111" s="383"/>
      <c r="H111" s="380"/>
      <c r="I111" s="380"/>
      <c r="J111" s="380"/>
      <c r="K111" s="380"/>
    </row>
    <row r="112" spans="1:11">
      <c r="A112" s="380"/>
      <c r="B112" s="410"/>
      <c r="C112" s="383"/>
      <c r="D112" s="383"/>
      <c r="E112" s="382"/>
      <c r="F112" s="383"/>
      <c r="G112" s="383"/>
      <c r="H112" s="380"/>
      <c r="I112" s="380"/>
      <c r="J112" s="380"/>
      <c r="K112" s="380"/>
    </row>
    <row r="113" spans="1:11">
      <c r="A113" s="380"/>
      <c r="B113" s="410"/>
      <c r="C113" s="383"/>
      <c r="D113" s="383"/>
      <c r="E113" s="382"/>
      <c r="F113" s="383"/>
      <c r="G113" s="383"/>
      <c r="H113" s="380"/>
      <c r="I113" s="380"/>
      <c r="J113" s="380"/>
      <c r="K113" s="380"/>
    </row>
    <row r="114" spans="1:11">
      <c r="A114" s="380"/>
      <c r="B114" s="410"/>
      <c r="C114" s="383"/>
      <c r="D114" s="383"/>
      <c r="E114" s="382"/>
      <c r="F114" s="383"/>
      <c r="G114" s="383"/>
      <c r="H114" s="380"/>
      <c r="I114" s="380"/>
      <c r="J114" s="380"/>
      <c r="K114" s="380"/>
    </row>
    <row r="115" spans="1:11">
      <c r="A115" s="380"/>
      <c r="B115" s="410"/>
      <c r="C115" s="383"/>
      <c r="D115" s="383"/>
      <c r="E115" s="382"/>
      <c r="F115" s="383"/>
      <c r="G115" s="383"/>
      <c r="H115" s="380"/>
      <c r="I115" s="380"/>
      <c r="J115" s="380"/>
      <c r="K115" s="380"/>
    </row>
    <row r="116" spans="1:11">
      <c r="A116" s="380"/>
      <c r="B116" s="410"/>
      <c r="C116" s="383"/>
      <c r="D116" s="383"/>
      <c r="E116" s="382"/>
      <c r="F116" s="383"/>
      <c r="G116" s="383"/>
      <c r="H116" s="380"/>
      <c r="I116" s="380"/>
      <c r="J116" s="380"/>
      <c r="K116" s="380"/>
    </row>
    <row r="117" spans="1:11">
      <c r="A117" s="380"/>
      <c r="B117" s="410"/>
      <c r="C117" s="383"/>
      <c r="D117" s="383"/>
      <c r="E117" s="382"/>
      <c r="F117" s="383"/>
      <c r="G117" s="383"/>
      <c r="H117" s="380"/>
      <c r="I117" s="380"/>
      <c r="J117" s="380"/>
      <c r="K117" s="380"/>
    </row>
    <row r="118" spans="1:11">
      <c r="E118" s="382"/>
      <c r="F118" s="383"/>
      <c r="G118" s="383"/>
      <c r="H118" s="380"/>
      <c r="I118" s="380"/>
      <c r="J118" s="380"/>
    </row>
    <row r="119" spans="1:11">
      <c r="E119" s="382"/>
      <c r="F119" s="383"/>
      <c r="G119" s="383"/>
      <c r="H119" s="380"/>
      <c r="I119" s="380"/>
      <c r="J119" s="380"/>
    </row>
    <row r="120" spans="1:11">
      <c r="E120" s="382"/>
      <c r="F120" s="383"/>
      <c r="G120" s="383"/>
      <c r="H120" s="380"/>
      <c r="I120" s="380"/>
      <c r="J120" s="380"/>
    </row>
    <row r="121" spans="1:11">
      <c r="E121" s="382"/>
      <c r="F121" s="383"/>
      <c r="G121" s="383"/>
      <c r="H121" s="380"/>
      <c r="I121" s="380"/>
      <c r="J121" s="380"/>
    </row>
    <row r="122" spans="1:11">
      <c r="E122" s="382"/>
      <c r="F122" s="383"/>
      <c r="G122" s="383"/>
      <c r="H122" s="380"/>
      <c r="I122" s="380"/>
      <c r="J122" s="380"/>
    </row>
    <row r="123" spans="1:11">
      <c r="E123" s="382"/>
      <c r="F123" s="383"/>
      <c r="G123" s="383"/>
      <c r="H123" s="380"/>
      <c r="I123" s="380"/>
      <c r="J123" s="380"/>
    </row>
    <row r="124" spans="1:11">
      <c r="E124" s="382"/>
      <c r="F124" s="383"/>
      <c r="G124" s="383"/>
      <c r="H124" s="380"/>
      <c r="I124" s="380"/>
      <c r="J124" s="380"/>
    </row>
    <row r="125" spans="1:11">
      <c r="E125" s="382"/>
      <c r="F125" s="383"/>
      <c r="G125" s="383"/>
      <c r="H125" s="380"/>
      <c r="I125" s="380"/>
      <c r="J125" s="380"/>
    </row>
    <row r="126" spans="1:11">
      <c r="E126" s="382"/>
      <c r="F126" s="383"/>
      <c r="G126" s="383"/>
      <c r="H126" s="380"/>
      <c r="I126" s="380"/>
      <c r="J126" s="380"/>
    </row>
    <row r="127" spans="1:11">
      <c r="E127" s="382"/>
      <c r="F127" s="383"/>
      <c r="G127" s="383"/>
      <c r="H127" s="380"/>
      <c r="I127" s="380"/>
      <c r="J127" s="380"/>
    </row>
    <row r="128" spans="1:11">
      <c r="E128" s="382"/>
      <c r="F128" s="383"/>
      <c r="G128" s="383"/>
      <c r="H128" s="380"/>
      <c r="I128" s="380"/>
      <c r="J128" s="380"/>
    </row>
    <row r="129" spans="5:10">
      <c r="E129" s="382"/>
      <c r="F129" s="383"/>
      <c r="G129" s="383"/>
      <c r="H129" s="380"/>
      <c r="I129" s="380"/>
      <c r="J129" s="380"/>
    </row>
    <row r="130" spans="5:10">
      <c r="E130" s="382"/>
      <c r="F130" s="383"/>
      <c r="G130" s="383"/>
      <c r="H130" s="380"/>
      <c r="I130" s="380"/>
      <c r="J130" s="380"/>
    </row>
    <row r="131" spans="5:10">
      <c r="E131" s="382"/>
      <c r="F131" s="383"/>
      <c r="G131" s="383"/>
      <c r="H131" s="380"/>
      <c r="I131" s="380"/>
      <c r="J131" s="380"/>
    </row>
    <row r="132" spans="5:10">
      <c r="E132" s="382"/>
      <c r="F132" s="383"/>
      <c r="G132" s="383"/>
      <c r="H132" s="380"/>
      <c r="I132" s="380"/>
      <c r="J132" s="380"/>
    </row>
    <row r="133" spans="5:10">
      <c r="E133" s="382"/>
      <c r="F133" s="383"/>
      <c r="G133" s="383"/>
      <c r="H133" s="380"/>
      <c r="I133" s="380"/>
      <c r="J133" s="380"/>
    </row>
    <row r="134" spans="5:10">
      <c r="E134" s="382"/>
      <c r="F134" s="383"/>
      <c r="G134" s="383"/>
      <c r="H134" s="380"/>
      <c r="I134" s="380"/>
      <c r="J134" s="380"/>
    </row>
    <row r="135" spans="5:10">
      <c r="E135" s="382"/>
      <c r="F135" s="383"/>
      <c r="G135" s="383"/>
      <c r="H135" s="380"/>
      <c r="I135" s="380"/>
      <c r="J135" s="380"/>
    </row>
    <row r="136" spans="5:10">
      <c r="E136" s="382"/>
      <c r="F136" s="383"/>
      <c r="G136" s="383"/>
      <c r="H136" s="380"/>
      <c r="I136" s="380"/>
      <c r="J136" s="380"/>
    </row>
    <row r="137" spans="5:10">
      <c r="E137" s="382"/>
      <c r="F137" s="383"/>
      <c r="G137" s="383"/>
      <c r="H137" s="380"/>
      <c r="I137" s="380"/>
      <c r="J137" s="380"/>
    </row>
    <row r="138" spans="5:10">
      <c r="E138" s="382"/>
      <c r="F138" s="383"/>
      <c r="G138" s="383"/>
      <c r="H138" s="380"/>
      <c r="I138" s="380"/>
      <c r="J138" s="380"/>
    </row>
    <row r="139" spans="5:10">
      <c r="E139" s="382"/>
      <c r="F139" s="383"/>
      <c r="G139" s="383"/>
      <c r="H139" s="380"/>
      <c r="I139" s="380"/>
      <c r="J139" s="380"/>
    </row>
    <row r="140" spans="5:10">
      <c r="E140" s="382"/>
      <c r="F140" s="383"/>
      <c r="G140" s="383"/>
      <c r="H140" s="380"/>
      <c r="I140" s="380"/>
      <c r="J140" s="380"/>
    </row>
    <row r="141" spans="5:10">
      <c r="E141" s="382"/>
      <c r="F141" s="383"/>
      <c r="G141" s="383"/>
      <c r="H141" s="380"/>
      <c r="I141" s="380"/>
      <c r="J141" s="380"/>
    </row>
    <row r="142" spans="5:10">
      <c r="E142" s="382"/>
      <c r="F142" s="383"/>
      <c r="G142" s="383"/>
      <c r="H142" s="380"/>
      <c r="I142" s="380"/>
      <c r="J142" s="380"/>
    </row>
    <row r="143" spans="5:10">
      <c r="E143" s="382"/>
      <c r="F143" s="383"/>
      <c r="G143" s="383"/>
      <c r="H143" s="380"/>
      <c r="I143" s="380"/>
      <c r="J143" s="380"/>
    </row>
    <row r="144" spans="5:10">
      <c r="E144" s="382"/>
      <c r="F144" s="383"/>
      <c r="G144" s="383"/>
      <c r="H144" s="380"/>
      <c r="I144" s="380"/>
      <c r="J144" s="380"/>
    </row>
    <row r="145" spans="5:10">
      <c r="E145" s="382"/>
      <c r="F145" s="383"/>
      <c r="G145" s="383"/>
      <c r="H145" s="380"/>
      <c r="I145" s="380"/>
      <c r="J145" s="380"/>
    </row>
    <row r="146" spans="5:10">
      <c r="E146" s="382"/>
      <c r="F146" s="383"/>
      <c r="G146" s="383"/>
      <c r="H146" s="380"/>
      <c r="I146" s="380"/>
      <c r="J146" s="380"/>
    </row>
    <row r="147" spans="5:10">
      <c r="E147" s="382"/>
      <c r="F147" s="383"/>
      <c r="G147" s="383"/>
      <c r="H147" s="380"/>
      <c r="I147" s="380"/>
      <c r="J147" s="380"/>
    </row>
    <row r="148" spans="5:10">
      <c r="E148" s="382"/>
      <c r="F148" s="383"/>
      <c r="G148" s="383"/>
      <c r="H148" s="380"/>
      <c r="I148" s="380"/>
      <c r="J148" s="380"/>
    </row>
    <row r="149" spans="5:10">
      <c r="E149" s="382"/>
      <c r="F149" s="383"/>
      <c r="G149" s="383"/>
      <c r="H149" s="380"/>
      <c r="I149" s="380"/>
      <c r="J149" s="380"/>
    </row>
    <row r="150" spans="5:10">
      <c r="E150" s="382"/>
      <c r="F150" s="383"/>
      <c r="G150" s="383"/>
      <c r="H150" s="380"/>
      <c r="I150" s="380"/>
      <c r="J150" s="380"/>
    </row>
    <row r="151" spans="5:10">
      <c r="E151" s="382"/>
      <c r="F151" s="383"/>
      <c r="G151" s="383"/>
      <c r="H151" s="380"/>
      <c r="I151" s="380"/>
      <c r="J151" s="380"/>
    </row>
    <row r="152" spans="5:10">
      <c r="E152" s="382"/>
      <c r="F152" s="383"/>
      <c r="G152" s="383"/>
      <c r="H152" s="380"/>
      <c r="I152" s="380"/>
      <c r="J152" s="380"/>
    </row>
    <row r="153" spans="5:10">
      <c r="E153" s="382"/>
      <c r="F153" s="383"/>
      <c r="G153" s="383"/>
      <c r="H153" s="380"/>
      <c r="I153" s="380"/>
      <c r="J153" s="380"/>
    </row>
    <row r="154" spans="5:10">
      <c r="E154" s="382"/>
      <c r="F154" s="383"/>
      <c r="G154" s="383"/>
      <c r="H154" s="380"/>
      <c r="I154" s="380"/>
      <c r="J154" s="380"/>
    </row>
    <row r="155" spans="5:10">
      <c r="E155" s="382"/>
      <c r="F155" s="383"/>
      <c r="G155" s="383"/>
      <c r="H155" s="380"/>
      <c r="I155" s="380"/>
      <c r="J155" s="380"/>
    </row>
    <row r="156" spans="5:10">
      <c r="E156" s="382"/>
      <c r="F156" s="383"/>
      <c r="G156" s="383"/>
      <c r="H156" s="380"/>
      <c r="I156" s="380"/>
      <c r="J156" s="380"/>
    </row>
    <row r="157" spans="5:10">
      <c r="E157" s="382"/>
      <c r="F157" s="383"/>
      <c r="G157" s="383"/>
      <c r="H157" s="380"/>
      <c r="I157" s="380"/>
      <c r="J157" s="380"/>
    </row>
    <row r="158" spans="5:10">
      <c r="E158" s="382"/>
      <c r="F158" s="383"/>
      <c r="G158" s="383"/>
      <c r="H158" s="380"/>
      <c r="I158" s="380"/>
      <c r="J158" s="380"/>
    </row>
    <row r="159" spans="5:10">
      <c r="E159" s="382"/>
      <c r="F159" s="383"/>
      <c r="G159" s="383"/>
      <c r="H159" s="380"/>
      <c r="I159" s="380"/>
      <c r="J159" s="380"/>
    </row>
    <row r="160" spans="5:10">
      <c r="E160" s="382"/>
      <c r="F160" s="383"/>
      <c r="G160" s="383"/>
      <c r="H160" s="380"/>
      <c r="I160" s="380"/>
      <c r="J160" s="380"/>
    </row>
    <row r="161" spans="5:10">
      <c r="E161" s="382"/>
      <c r="F161" s="383"/>
      <c r="G161" s="383"/>
      <c r="H161" s="380"/>
      <c r="I161" s="380"/>
      <c r="J161" s="380"/>
    </row>
    <row r="162" spans="5:10">
      <c r="E162" s="382"/>
      <c r="F162" s="383"/>
      <c r="G162" s="383"/>
      <c r="H162" s="380"/>
      <c r="I162" s="380"/>
      <c r="J162" s="380"/>
    </row>
    <row r="163" spans="5:10">
      <c r="E163" s="382"/>
      <c r="F163" s="383"/>
      <c r="G163" s="383"/>
      <c r="H163" s="380"/>
      <c r="I163" s="380"/>
      <c r="J163" s="380"/>
    </row>
    <row r="164" spans="5:10">
      <c r="E164" s="382"/>
      <c r="F164" s="383"/>
      <c r="G164" s="383"/>
      <c r="H164" s="380"/>
      <c r="I164" s="380"/>
      <c r="J164" s="380"/>
    </row>
    <row r="165" spans="5:10">
      <c r="E165" s="382"/>
      <c r="F165" s="383"/>
      <c r="G165" s="383"/>
      <c r="H165" s="380"/>
      <c r="I165" s="380"/>
      <c r="J165" s="380"/>
    </row>
    <row r="166" spans="5:10">
      <c r="E166" s="382"/>
      <c r="F166" s="383"/>
      <c r="G166" s="383"/>
      <c r="H166" s="380"/>
      <c r="I166" s="380"/>
      <c r="J166" s="380"/>
    </row>
    <row r="167" spans="5:10">
      <c r="E167" s="382"/>
      <c r="F167" s="383"/>
      <c r="G167" s="383"/>
      <c r="H167" s="380"/>
      <c r="I167" s="380"/>
      <c r="J167" s="380"/>
    </row>
    <row r="168" spans="5:10">
      <c r="E168" s="382"/>
      <c r="F168" s="383"/>
      <c r="G168" s="383"/>
      <c r="H168" s="380"/>
      <c r="I168" s="380"/>
      <c r="J168" s="380"/>
    </row>
    <row r="169" spans="5:10">
      <c r="E169" s="382"/>
      <c r="F169" s="383"/>
      <c r="G169" s="383"/>
      <c r="H169" s="380"/>
      <c r="I169" s="380"/>
      <c r="J169" s="380"/>
    </row>
    <row r="170" spans="5:10">
      <c r="E170" s="382"/>
      <c r="F170" s="383"/>
      <c r="G170" s="383"/>
      <c r="H170" s="380"/>
      <c r="I170" s="380"/>
      <c r="J170" s="380"/>
    </row>
    <row r="171" spans="5:10">
      <c r="E171" s="382"/>
      <c r="F171" s="383"/>
      <c r="G171" s="383"/>
      <c r="H171" s="380"/>
      <c r="I171" s="380"/>
      <c r="J171" s="380"/>
    </row>
    <row r="172" spans="5:10">
      <c r="E172" s="382"/>
      <c r="F172" s="383"/>
      <c r="G172" s="383"/>
      <c r="H172" s="380"/>
      <c r="I172" s="380"/>
      <c r="J172" s="380"/>
    </row>
    <row r="173" spans="5:10">
      <c r="E173" s="382"/>
      <c r="F173" s="383"/>
      <c r="G173" s="383"/>
      <c r="H173" s="380"/>
      <c r="I173" s="380"/>
      <c r="J173" s="380"/>
    </row>
    <row r="174" spans="5:10">
      <c r="E174" s="382"/>
      <c r="F174" s="383"/>
      <c r="G174" s="383"/>
      <c r="H174" s="380"/>
      <c r="I174" s="380"/>
      <c r="J174" s="380"/>
    </row>
    <row r="175" spans="5:10">
      <c r="E175" s="382"/>
      <c r="F175" s="383"/>
      <c r="G175" s="383"/>
      <c r="H175" s="380"/>
      <c r="I175" s="380"/>
      <c r="J175" s="380"/>
    </row>
    <row r="176" spans="5:10">
      <c r="E176" s="382"/>
      <c r="F176" s="383"/>
      <c r="G176" s="383"/>
      <c r="H176" s="380"/>
      <c r="I176" s="380"/>
      <c r="J176" s="380"/>
    </row>
    <row r="177" spans="5:10">
      <c r="E177" s="382"/>
      <c r="F177" s="383"/>
      <c r="G177" s="383"/>
      <c r="H177" s="380"/>
      <c r="I177" s="380"/>
      <c r="J177" s="380"/>
    </row>
    <row r="178" spans="5:10">
      <c r="E178" s="382"/>
      <c r="F178" s="383"/>
      <c r="G178" s="383"/>
      <c r="H178" s="380"/>
      <c r="I178" s="380"/>
      <c r="J178" s="380"/>
    </row>
    <row r="179" spans="5:10">
      <c r="E179" s="382"/>
      <c r="F179" s="383"/>
      <c r="G179" s="383"/>
      <c r="H179" s="380"/>
      <c r="I179" s="380"/>
      <c r="J179" s="380"/>
    </row>
    <row r="180" spans="5:10">
      <c r="E180" s="382"/>
      <c r="F180" s="383"/>
      <c r="G180" s="383"/>
      <c r="H180" s="380"/>
      <c r="I180" s="380"/>
      <c r="J180" s="380"/>
    </row>
    <row r="181" spans="5:10">
      <c r="E181" s="382"/>
      <c r="F181" s="383"/>
      <c r="G181" s="383"/>
      <c r="H181" s="380"/>
      <c r="I181" s="380"/>
      <c r="J181" s="380"/>
    </row>
    <row r="182" spans="5:10">
      <c r="E182" s="382"/>
      <c r="F182" s="383"/>
      <c r="G182" s="383"/>
      <c r="H182" s="380"/>
      <c r="I182" s="380"/>
      <c r="J182" s="380"/>
    </row>
    <row r="183" spans="5:10">
      <c r="E183" s="382"/>
      <c r="F183" s="383"/>
      <c r="G183" s="383"/>
      <c r="H183" s="380"/>
      <c r="I183" s="380"/>
      <c r="J183" s="380"/>
    </row>
    <row r="184" spans="5:10">
      <c r="E184" s="382"/>
      <c r="F184" s="383"/>
      <c r="G184" s="383"/>
      <c r="H184" s="380"/>
      <c r="I184" s="380"/>
      <c r="J184" s="380"/>
    </row>
    <row r="185" spans="5:10">
      <c r="E185" s="382"/>
      <c r="F185" s="383"/>
      <c r="G185" s="383"/>
      <c r="H185" s="380"/>
      <c r="I185" s="380"/>
      <c r="J185" s="380"/>
    </row>
    <row r="186" spans="5:10">
      <c r="E186" s="382"/>
      <c r="F186" s="383"/>
      <c r="G186" s="383"/>
      <c r="H186" s="380"/>
      <c r="I186" s="380"/>
      <c r="J186" s="380"/>
    </row>
    <row r="187" spans="5:10">
      <c r="E187" s="382"/>
      <c r="F187" s="383"/>
      <c r="G187" s="383"/>
      <c r="H187" s="380"/>
      <c r="I187" s="380"/>
      <c r="J187" s="380"/>
    </row>
    <row r="188" spans="5:10">
      <c r="E188" s="382"/>
      <c r="F188" s="383"/>
      <c r="G188" s="383"/>
      <c r="H188" s="380"/>
      <c r="I188" s="380"/>
      <c r="J188" s="380"/>
    </row>
    <row r="189" spans="5:10">
      <c r="E189" s="382"/>
      <c r="F189" s="383"/>
      <c r="G189" s="383"/>
      <c r="H189" s="380"/>
      <c r="I189" s="380"/>
      <c r="J189" s="380"/>
    </row>
    <row r="190" spans="5:10">
      <c r="E190" s="382"/>
      <c r="F190" s="383"/>
      <c r="G190" s="383"/>
      <c r="H190" s="380"/>
      <c r="I190" s="380"/>
      <c r="J190" s="380"/>
    </row>
    <row r="191" spans="5:10">
      <c r="E191" s="382"/>
      <c r="F191" s="383"/>
      <c r="G191" s="383"/>
      <c r="H191" s="380"/>
      <c r="I191" s="380"/>
      <c r="J191" s="380"/>
    </row>
    <row r="192" spans="5:10">
      <c r="E192" s="382"/>
      <c r="F192" s="383"/>
      <c r="G192" s="383"/>
      <c r="H192" s="380"/>
      <c r="I192" s="380"/>
      <c r="J192" s="380"/>
    </row>
    <row r="193" spans="5:10">
      <c r="E193" s="382"/>
      <c r="F193" s="383"/>
      <c r="G193" s="383"/>
      <c r="H193" s="380"/>
      <c r="I193" s="380"/>
      <c r="J193" s="380"/>
    </row>
    <row r="194" spans="5:10">
      <c r="E194" s="382"/>
      <c r="F194" s="383"/>
      <c r="G194" s="383"/>
      <c r="H194" s="380"/>
      <c r="I194" s="380"/>
      <c r="J194" s="380"/>
    </row>
    <row r="195" spans="5:10">
      <c r="E195" s="382"/>
      <c r="F195" s="383"/>
      <c r="G195" s="383"/>
      <c r="H195" s="380"/>
      <c r="I195" s="380"/>
      <c r="J195" s="380"/>
    </row>
    <row r="196" spans="5:10">
      <c r="E196" s="382"/>
      <c r="F196" s="383"/>
      <c r="G196" s="383"/>
      <c r="H196" s="380"/>
      <c r="I196" s="380"/>
      <c r="J196" s="380"/>
    </row>
    <row r="197" spans="5:10">
      <c r="E197" s="382"/>
      <c r="F197" s="383"/>
      <c r="G197" s="383"/>
      <c r="H197" s="380"/>
      <c r="I197" s="380"/>
      <c r="J197" s="380"/>
    </row>
    <row r="198" spans="5:10">
      <c r="E198" s="382"/>
      <c r="F198" s="383"/>
      <c r="G198" s="383"/>
      <c r="H198" s="380"/>
      <c r="I198" s="380"/>
      <c r="J198" s="380"/>
    </row>
    <row r="199" spans="5:10">
      <c r="E199" s="382"/>
      <c r="F199" s="383"/>
      <c r="G199" s="383"/>
      <c r="H199" s="380"/>
      <c r="I199" s="380"/>
      <c r="J199" s="380"/>
    </row>
    <row r="200" spans="5:10">
      <c r="E200" s="382"/>
      <c r="F200" s="383"/>
      <c r="G200" s="383"/>
      <c r="H200" s="380"/>
      <c r="I200" s="380"/>
      <c r="J200" s="380"/>
    </row>
    <row r="201" spans="5:10">
      <c r="E201" s="382"/>
      <c r="F201" s="383"/>
      <c r="G201" s="383"/>
      <c r="H201" s="380"/>
      <c r="I201" s="380"/>
      <c r="J201" s="380"/>
    </row>
    <row r="202" spans="5:10">
      <c r="E202" s="382"/>
      <c r="F202" s="383"/>
      <c r="G202" s="383"/>
      <c r="H202" s="380"/>
      <c r="I202" s="380"/>
      <c r="J202" s="380"/>
    </row>
    <row r="203" spans="5:10">
      <c r="E203" s="382"/>
      <c r="F203" s="383"/>
      <c r="G203" s="383"/>
      <c r="H203" s="380"/>
      <c r="I203" s="380"/>
      <c r="J203" s="380"/>
    </row>
    <row r="204" spans="5:10">
      <c r="E204" s="382"/>
      <c r="F204" s="383"/>
      <c r="G204" s="383"/>
      <c r="H204" s="380"/>
      <c r="I204" s="380"/>
      <c r="J204" s="380"/>
    </row>
    <row r="205" spans="5:10">
      <c r="E205" s="382"/>
      <c r="F205" s="383"/>
      <c r="G205" s="383"/>
      <c r="H205" s="380"/>
      <c r="I205" s="380"/>
      <c r="J205" s="380"/>
    </row>
    <row r="206" spans="5:10">
      <c r="E206" s="382"/>
      <c r="F206" s="383"/>
      <c r="G206" s="383"/>
      <c r="H206" s="380"/>
      <c r="I206" s="380"/>
      <c r="J206" s="380"/>
    </row>
    <row r="207" spans="5:10">
      <c r="E207" s="382"/>
      <c r="F207" s="383"/>
      <c r="G207" s="383"/>
      <c r="H207" s="380"/>
      <c r="I207" s="380"/>
      <c r="J207" s="380"/>
    </row>
    <row r="208" spans="5:10">
      <c r="E208" s="382"/>
      <c r="F208" s="383"/>
      <c r="G208" s="383"/>
      <c r="H208" s="380"/>
      <c r="I208" s="380"/>
      <c r="J208" s="380"/>
    </row>
    <row r="209" spans="5:10">
      <c r="E209" s="382"/>
      <c r="F209" s="383"/>
      <c r="G209" s="383"/>
      <c r="H209" s="380"/>
      <c r="I209" s="380"/>
      <c r="J209" s="380"/>
    </row>
    <row r="210" spans="5:10">
      <c r="E210" s="382"/>
      <c r="F210" s="383"/>
      <c r="G210" s="383"/>
      <c r="H210" s="380"/>
      <c r="I210" s="380"/>
      <c r="J210" s="380"/>
    </row>
    <row r="211" spans="5:10">
      <c r="E211" s="382"/>
      <c r="F211" s="383"/>
      <c r="G211" s="383"/>
      <c r="H211" s="380"/>
      <c r="I211" s="380"/>
      <c r="J211" s="380"/>
    </row>
    <row r="212" spans="5:10">
      <c r="E212" s="382"/>
      <c r="F212" s="383"/>
      <c r="G212" s="383"/>
      <c r="H212" s="380"/>
      <c r="I212" s="380"/>
      <c r="J212" s="380"/>
    </row>
    <row r="213" spans="5:10">
      <c r="E213" s="382"/>
      <c r="F213" s="383"/>
      <c r="G213" s="383"/>
      <c r="H213" s="380"/>
      <c r="I213" s="380"/>
      <c r="J213" s="380"/>
    </row>
    <row r="214" spans="5:10">
      <c r="E214" s="382"/>
      <c r="F214" s="383"/>
      <c r="G214" s="383"/>
      <c r="H214" s="380"/>
      <c r="I214" s="380"/>
      <c r="J214" s="380"/>
    </row>
    <row r="215" spans="5:10">
      <c r="E215" s="382"/>
      <c r="F215" s="383"/>
      <c r="G215" s="383"/>
      <c r="H215" s="380"/>
      <c r="I215" s="380"/>
      <c r="J215" s="380"/>
    </row>
    <row r="216" spans="5:10">
      <c r="E216" s="382"/>
      <c r="F216" s="383"/>
      <c r="G216" s="383"/>
      <c r="H216" s="380"/>
      <c r="I216" s="380"/>
      <c r="J216" s="380"/>
    </row>
    <row r="217" spans="5:10">
      <c r="E217" s="382"/>
      <c r="F217" s="383"/>
      <c r="G217" s="383"/>
      <c r="H217" s="380"/>
      <c r="I217" s="380"/>
      <c r="J217" s="380"/>
    </row>
    <row r="218" spans="5:10">
      <c r="E218" s="382"/>
      <c r="F218" s="383"/>
      <c r="G218" s="383"/>
      <c r="H218" s="380"/>
      <c r="I218" s="380"/>
      <c r="J218" s="380"/>
    </row>
    <row r="219" spans="5:10">
      <c r="E219" s="382"/>
      <c r="F219" s="383"/>
      <c r="G219" s="383"/>
      <c r="H219" s="380"/>
      <c r="I219" s="380"/>
      <c r="J219" s="380"/>
    </row>
    <row r="220" spans="5:10">
      <c r="E220" s="382"/>
      <c r="F220" s="383"/>
      <c r="G220" s="383"/>
      <c r="H220" s="380"/>
      <c r="I220" s="380"/>
      <c r="J220" s="380"/>
    </row>
    <row r="221" spans="5:10">
      <c r="E221" s="382"/>
      <c r="F221" s="383"/>
      <c r="G221" s="383"/>
      <c r="H221" s="380"/>
      <c r="I221" s="380"/>
      <c r="J221" s="380"/>
    </row>
    <row r="222" spans="5:10">
      <c r="E222" s="382"/>
      <c r="F222" s="383"/>
      <c r="G222" s="383"/>
      <c r="H222" s="380"/>
      <c r="I222" s="380"/>
      <c r="J222" s="380"/>
    </row>
    <row r="223" spans="5:10">
      <c r="E223" s="382"/>
      <c r="F223" s="383"/>
      <c r="G223" s="383"/>
      <c r="H223" s="380"/>
      <c r="I223" s="380"/>
      <c r="J223" s="380"/>
    </row>
    <row r="224" spans="5:10">
      <c r="E224" s="382"/>
      <c r="F224" s="383"/>
      <c r="G224" s="383"/>
      <c r="H224" s="380"/>
      <c r="I224" s="380"/>
      <c r="J224" s="380"/>
    </row>
    <row r="225" spans="5:10">
      <c r="E225" s="382"/>
      <c r="F225" s="383"/>
      <c r="G225" s="383"/>
      <c r="H225" s="380"/>
      <c r="I225" s="380"/>
      <c r="J225" s="380"/>
    </row>
    <row r="226" spans="5:10">
      <c r="E226" s="382"/>
      <c r="F226" s="383"/>
      <c r="G226" s="383"/>
      <c r="H226" s="380"/>
      <c r="I226" s="380"/>
      <c r="J226" s="380"/>
    </row>
    <row r="227" spans="5:10">
      <c r="E227" s="382"/>
      <c r="F227" s="383"/>
      <c r="G227" s="383"/>
      <c r="H227" s="380"/>
      <c r="I227" s="380"/>
      <c r="J227" s="380"/>
    </row>
    <row r="228" spans="5:10">
      <c r="E228" s="382"/>
      <c r="F228" s="383"/>
      <c r="G228" s="383"/>
      <c r="H228" s="380"/>
      <c r="I228" s="380"/>
      <c r="J228" s="380"/>
    </row>
    <row r="229" spans="5:10">
      <c r="E229" s="382"/>
      <c r="F229" s="383"/>
      <c r="G229" s="383"/>
      <c r="H229" s="380"/>
      <c r="I229" s="380"/>
      <c r="J229" s="380"/>
    </row>
    <row r="230" spans="5:10">
      <c r="E230" s="382"/>
      <c r="F230" s="383"/>
      <c r="G230" s="383"/>
      <c r="H230" s="380"/>
      <c r="I230" s="380"/>
      <c r="J230" s="380"/>
    </row>
    <row r="231" spans="5:10">
      <c r="E231" s="382"/>
      <c r="F231" s="383"/>
      <c r="G231" s="383"/>
      <c r="H231" s="380"/>
      <c r="I231" s="380"/>
      <c r="J231" s="380"/>
    </row>
    <row r="232" spans="5:10">
      <c r="E232" s="382"/>
      <c r="F232" s="383"/>
      <c r="G232" s="383"/>
      <c r="H232" s="380"/>
      <c r="I232" s="380"/>
      <c r="J232" s="380"/>
    </row>
    <row r="233" spans="5:10">
      <c r="E233" s="382"/>
      <c r="F233" s="383"/>
      <c r="G233" s="383"/>
      <c r="H233" s="380"/>
      <c r="I233" s="380"/>
      <c r="J233" s="380"/>
    </row>
    <row r="234" spans="5:10">
      <c r="E234" s="382"/>
      <c r="F234" s="383"/>
      <c r="G234" s="383"/>
      <c r="H234" s="380"/>
      <c r="I234" s="380"/>
      <c r="J234" s="380"/>
    </row>
    <row r="235" spans="5:10">
      <c r="E235" s="382"/>
      <c r="F235" s="383"/>
      <c r="G235" s="383"/>
      <c r="H235" s="380"/>
      <c r="I235" s="380"/>
      <c r="J235" s="380"/>
    </row>
    <row r="236" spans="5:10">
      <c r="E236" s="382"/>
      <c r="F236" s="383"/>
      <c r="G236" s="383"/>
      <c r="H236" s="380"/>
      <c r="I236" s="380"/>
      <c r="J236" s="380"/>
    </row>
    <row r="237" spans="5:10">
      <c r="E237" s="382"/>
      <c r="F237" s="383"/>
      <c r="G237" s="383"/>
      <c r="H237" s="380"/>
      <c r="I237" s="380"/>
      <c r="J237" s="380"/>
    </row>
    <row r="238" spans="5:10">
      <c r="E238" s="382"/>
      <c r="F238" s="383"/>
      <c r="G238" s="383"/>
      <c r="H238" s="380"/>
      <c r="I238" s="380"/>
      <c r="J238" s="380"/>
    </row>
    <row r="239" spans="5:10">
      <c r="E239" s="382"/>
      <c r="F239" s="383"/>
      <c r="G239" s="383"/>
      <c r="H239" s="380"/>
      <c r="I239" s="380"/>
      <c r="J239" s="380"/>
    </row>
    <row r="240" spans="5:10">
      <c r="E240" s="382"/>
      <c r="F240" s="383"/>
      <c r="G240" s="383"/>
      <c r="H240" s="380"/>
      <c r="I240" s="380"/>
      <c r="J240" s="380"/>
    </row>
    <row r="241" spans="5:10">
      <c r="E241" s="382"/>
      <c r="F241" s="383"/>
      <c r="G241" s="383"/>
      <c r="H241" s="380"/>
      <c r="I241" s="380"/>
      <c r="J241" s="380"/>
    </row>
    <row r="242" spans="5:10">
      <c r="E242" s="382"/>
      <c r="F242" s="383"/>
      <c r="G242" s="383"/>
      <c r="H242" s="380"/>
      <c r="I242" s="380"/>
      <c r="J242" s="380"/>
    </row>
    <row r="243" spans="5:10">
      <c r="E243" s="382"/>
      <c r="F243" s="383"/>
      <c r="G243" s="383"/>
      <c r="H243" s="380"/>
      <c r="I243" s="380"/>
      <c r="J243" s="380"/>
    </row>
    <row r="244" spans="5:10">
      <c r="E244" s="382"/>
      <c r="F244" s="383"/>
      <c r="G244" s="383"/>
      <c r="H244" s="380"/>
      <c r="I244" s="380"/>
      <c r="J244" s="380"/>
    </row>
    <row r="245" spans="5:10">
      <c r="E245" s="382"/>
      <c r="F245" s="383"/>
      <c r="G245" s="383"/>
      <c r="H245" s="380"/>
      <c r="I245" s="380"/>
      <c r="J245" s="380"/>
    </row>
    <row r="246" spans="5:10">
      <c r="E246" s="382"/>
      <c r="F246" s="383"/>
      <c r="G246" s="383"/>
      <c r="H246" s="380"/>
      <c r="I246" s="380"/>
      <c r="J246" s="380"/>
    </row>
    <row r="247" spans="5:10">
      <c r="E247" s="382"/>
      <c r="F247" s="383"/>
      <c r="G247" s="383"/>
      <c r="H247" s="380"/>
      <c r="I247" s="380"/>
      <c r="J247" s="380"/>
    </row>
    <row r="248" spans="5:10">
      <c r="E248" s="382"/>
      <c r="F248" s="383"/>
      <c r="G248" s="383"/>
      <c r="H248" s="380"/>
      <c r="I248" s="380"/>
      <c r="J248" s="380"/>
    </row>
    <row r="249" spans="5:10">
      <c r="E249" s="382"/>
      <c r="F249" s="383"/>
      <c r="G249" s="383"/>
      <c r="H249" s="380"/>
      <c r="I249" s="380"/>
      <c r="J249" s="380"/>
    </row>
    <row r="250" spans="5:10">
      <c r="E250" s="382"/>
      <c r="F250" s="383"/>
      <c r="G250" s="383"/>
      <c r="H250" s="380"/>
      <c r="I250" s="380"/>
      <c r="J250" s="380"/>
    </row>
    <row r="251" spans="5:10">
      <c r="E251" s="382"/>
      <c r="F251" s="383"/>
      <c r="G251" s="383"/>
      <c r="H251" s="380"/>
      <c r="I251" s="380"/>
      <c r="J251" s="380"/>
    </row>
    <row r="252" spans="5:10">
      <c r="E252" s="382"/>
      <c r="F252" s="383"/>
      <c r="G252" s="383"/>
      <c r="H252" s="380"/>
      <c r="I252" s="380"/>
      <c r="J252" s="380"/>
    </row>
    <row r="253" spans="5:10">
      <c r="E253" s="382"/>
      <c r="F253" s="383"/>
      <c r="G253" s="383"/>
      <c r="H253" s="380"/>
      <c r="I253" s="380"/>
      <c r="J253" s="380"/>
    </row>
    <row r="254" spans="5:10">
      <c r="E254" s="382"/>
      <c r="F254" s="383"/>
      <c r="G254" s="383"/>
      <c r="H254" s="380"/>
      <c r="I254" s="380"/>
      <c r="J254" s="380"/>
    </row>
    <row r="255" spans="5:10">
      <c r="E255" s="382"/>
      <c r="F255" s="383"/>
      <c r="G255" s="383"/>
      <c r="H255" s="380"/>
      <c r="I255" s="380"/>
      <c r="J255" s="380"/>
    </row>
    <row r="256" spans="5:10">
      <c r="E256" s="382"/>
      <c r="F256" s="383"/>
      <c r="G256" s="383"/>
      <c r="H256" s="380"/>
      <c r="I256" s="380"/>
      <c r="J256" s="380"/>
    </row>
    <row r="257" spans="5:10">
      <c r="E257" s="382"/>
      <c r="F257" s="383"/>
      <c r="G257" s="383"/>
      <c r="H257" s="380"/>
      <c r="I257" s="380"/>
      <c r="J257" s="380"/>
    </row>
    <row r="258" spans="5:10">
      <c r="E258" s="382"/>
      <c r="F258" s="383"/>
      <c r="G258" s="383"/>
      <c r="H258" s="380"/>
      <c r="I258" s="380"/>
      <c r="J258" s="380"/>
    </row>
    <row r="259" spans="5:10">
      <c r="E259" s="382"/>
      <c r="F259" s="383"/>
      <c r="G259" s="383"/>
      <c r="H259" s="380"/>
      <c r="I259" s="380"/>
      <c r="J259" s="380"/>
    </row>
    <row r="260" spans="5:10">
      <c r="E260" s="382"/>
      <c r="F260" s="383"/>
      <c r="G260" s="383"/>
      <c r="H260" s="380"/>
      <c r="I260" s="380"/>
      <c r="J260" s="380"/>
    </row>
    <row r="261" spans="5:10">
      <c r="E261" s="382"/>
      <c r="F261" s="383"/>
      <c r="G261" s="383"/>
      <c r="H261" s="380"/>
      <c r="I261" s="380"/>
      <c r="J261" s="380"/>
    </row>
    <row r="262" spans="5:10">
      <c r="E262" s="382"/>
      <c r="F262" s="383"/>
      <c r="G262" s="383"/>
      <c r="H262" s="380"/>
      <c r="I262" s="380"/>
      <c r="J262" s="380"/>
    </row>
    <row r="263" spans="5:10">
      <c r="E263" s="382"/>
      <c r="F263" s="383"/>
      <c r="G263" s="383"/>
      <c r="H263" s="380"/>
      <c r="I263" s="380"/>
      <c r="J263" s="380"/>
    </row>
    <row r="264" spans="5:10">
      <c r="E264" s="382"/>
      <c r="F264" s="383"/>
      <c r="G264" s="383"/>
      <c r="H264" s="380"/>
      <c r="I264" s="380"/>
      <c r="J264" s="380"/>
    </row>
    <row r="265" spans="5:10">
      <c r="E265" s="382"/>
      <c r="F265" s="383"/>
      <c r="G265" s="383"/>
      <c r="H265" s="380"/>
      <c r="I265" s="380"/>
      <c r="J265" s="380"/>
    </row>
    <row r="266" spans="5:10">
      <c r="E266" s="382"/>
      <c r="F266" s="383"/>
      <c r="G266" s="383"/>
      <c r="H266" s="380"/>
      <c r="I266" s="380"/>
      <c r="J266" s="380"/>
    </row>
    <row r="267" spans="5:10">
      <c r="E267" s="382"/>
      <c r="F267" s="383"/>
      <c r="G267" s="383"/>
      <c r="H267" s="380"/>
      <c r="I267" s="380"/>
      <c r="J267" s="380"/>
    </row>
    <row r="268" spans="5:10">
      <c r="E268" s="382"/>
      <c r="F268" s="383"/>
      <c r="G268" s="383"/>
      <c r="H268" s="380"/>
      <c r="I268" s="380"/>
      <c r="J268" s="380"/>
    </row>
    <row r="269" spans="5:10">
      <c r="E269" s="382"/>
      <c r="F269" s="383"/>
      <c r="G269" s="383"/>
      <c r="H269" s="380"/>
      <c r="I269" s="380"/>
      <c r="J269" s="380"/>
    </row>
    <row r="270" spans="5:10">
      <c r="E270" s="382"/>
      <c r="F270" s="383"/>
      <c r="G270" s="383"/>
      <c r="H270" s="380"/>
      <c r="I270" s="380"/>
      <c r="J270" s="380"/>
    </row>
    <row r="271" spans="5:10">
      <c r="E271" s="382"/>
      <c r="F271" s="383"/>
      <c r="G271" s="383"/>
      <c r="H271" s="380"/>
      <c r="I271" s="380"/>
      <c r="J271" s="380"/>
    </row>
    <row r="272" spans="5:10">
      <c r="E272" s="382"/>
      <c r="F272" s="383"/>
      <c r="G272" s="383"/>
      <c r="H272" s="380"/>
      <c r="I272" s="380"/>
      <c r="J272" s="380"/>
    </row>
    <row r="273" spans="5:10">
      <c r="E273" s="382"/>
      <c r="F273" s="383"/>
      <c r="G273" s="383"/>
      <c r="H273" s="380"/>
      <c r="I273" s="380"/>
      <c r="J273" s="380"/>
    </row>
    <row r="274" spans="5:10">
      <c r="E274" s="382"/>
      <c r="F274" s="383"/>
      <c r="G274" s="383"/>
      <c r="H274" s="380"/>
      <c r="I274" s="380"/>
      <c r="J274" s="380"/>
    </row>
    <row r="275" spans="5:10">
      <c r="E275" s="382"/>
      <c r="F275" s="383"/>
      <c r="G275" s="383"/>
      <c r="H275" s="380"/>
      <c r="I275" s="380"/>
      <c r="J275" s="380"/>
    </row>
    <row r="276" spans="5:10">
      <c r="E276" s="382"/>
      <c r="F276" s="383"/>
      <c r="G276" s="383"/>
      <c r="H276" s="380"/>
      <c r="I276" s="380"/>
      <c r="J276" s="380"/>
    </row>
    <row r="277" spans="5:10">
      <c r="E277" s="382"/>
      <c r="F277" s="383"/>
      <c r="G277" s="383"/>
      <c r="H277" s="380"/>
      <c r="I277" s="380"/>
      <c r="J277" s="380"/>
    </row>
    <row r="278" spans="5:10">
      <c r="E278" s="382"/>
      <c r="F278" s="383"/>
      <c r="G278" s="383"/>
      <c r="H278" s="380"/>
      <c r="I278" s="380"/>
      <c r="J278" s="380"/>
    </row>
    <row r="279" spans="5:10">
      <c r="E279" s="382"/>
      <c r="F279" s="383"/>
      <c r="G279" s="383"/>
      <c r="H279" s="380"/>
      <c r="I279" s="380"/>
      <c r="J279" s="380"/>
    </row>
    <row r="280" spans="5:10">
      <c r="E280" s="382"/>
      <c r="F280" s="383"/>
      <c r="G280" s="383"/>
      <c r="H280" s="380"/>
      <c r="I280" s="380"/>
      <c r="J280" s="380"/>
    </row>
    <row r="281" spans="5:10">
      <c r="E281" s="382"/>
      <c r="F281" s="383"/>
      <c r="G281" s="383"/>
      <c r="H281" s="380"/>
      <c r="I281" s="380"/>
      <c r="J281" s="380"/>
    </row>
    <row r="282" spans="5:10">
      <c r="E282" s="382"/>
      <c r="F282" s="383"/>
      <c r="G282" s="383"/>
      <c r="H282" s="380"/>
      <c r="I282" s="380"/>
      <c r="J282" s="380"/>
    </row>
    <row r="283" spans="5:10">
      <c r="E283" s="382"/>
      <c r="F283" s="383"/>
      <c r="G283" s="383"/>
      <c r="H283" s="380"/>
      <c r="I283" s="380"/>
      <c r="J283" s="380"/>
    </row>
    <row r="284" spans="5:10">
      <c r="E284" s="382"/>
      <c r="F284" s="383"/>
      <c r="G284" s="383"/>
      <c r="H284" s="380"/>
      <c r="I284" s="380"/>
      <c r="J284" s="380"/>
    </row>
    <row r="285" spans="5:10">
      <c r="E285" s="382"/>
      <c r="F285" s="383"/>
      <c r="G285" s="383"/>
      <c r="H285" s="380"/>
      <c r="I285" s="380"/>
      <c r="J285" s="380"/>
    </row>
    <row r="286" spans="5:10">
      <c r="E286" s="382"/>
      <c r="F286" s="383"/>
      <c r="G286" s="383"/>
      <c r="H286" s="380"/>
      <c r="I286" s="380"/>
      <c r="J286" s="380"/>
    </row>
    <row r="287" spans="5:10">
      <c r="E287" s="382"/>
      <c r="F287" s="383"/>
      <c r="G287" s="383"/>
      <c r="H287" s="380"/>
      <c r="I287" s="380"/>
      <c r="J287" s="380"/>
    </row>
    <row r="288" spans="5:10">
      <c r="E288" s="382"/>
      <c r="F288" s="383"/>
      <c r="G288" s="383"/>
      <c r="H288" s="380"/>
      <c r="I288" s="380"/>
      <c r="J288" s="380"/>
    </row>
    <row r="289" spans="5:10">
      <c r="E289" s="382"/>
      <c r="F289" s="383"/>
      <c r="G289" s="383"/>
      <c r="H289" s="380"/>
      <c r="I289" s="380"/>
      <c r="J289" s="380"/>
    </row>
    <row r="290" spans="5:10">
      <c r="E290" s="382"/>
      <c r="F290" s="383"/>
      <c r="G290" s="383"/>
      <c r="H290" s="380"/>
      <c r="I290" s="380"/>
      <c r="J290" s="380"/>
    </row>
    <row r="291" spans="5:10">
      <c r="E291" s="382"/>
      <c r="F291" s="383"/>
      <c r="G291" s="383"/>
      <c r="H291" s="380"/>
      <c r="I291" s="380"/>
      <c r="J291" s="380"/>
    </row>
    <row r="292" spans="5:10">
      <c r="E292" s="382"/>
      <c r="F292" s="383"/>
      <c r="G292" s="383"/>
      <c r="H292" s="380"/>
      <c r="I292" s="380"/>
      <c r="J292" s="380"/>
    </row>
    <row r="293" spans="5:10">
      <c r="E293" s="382"/>
      <c r="F293" s="383"/>
      <c r="G293" s="383"/>
      <c r="H293" s="380"/>
      <c r="I293" s="380"/>
      <c r="J293" s="380"/>
    </row>
    <row r="294" spans="5:10">
      <c r="E294" s="382"/>
      <c r="F294" s="383"/>
      <c r="G294" s="383"/>
      <c r="H294" s="380"/>
      <c r="I294" s="380"/>
      <c r="J294" s="380"/>
    </row>
    <row r="295" spans="5:10">
      <c r="E295" s="382"/>
      <c r="F295" s="383"/>
      <c r="G295" s="383"/>
      <c r="H295" s="380"/>
      <c r="I295" s="380"/>
      <c r="J295" s="380"/>
    </row>
    <row r="296" spans="5:10">
      <c r="E296" s="382"/>
      <c r="F296" s="383"/>
      <c r="G296" s="383"/>
      <c r="H296" s="380"/>
      <c r="I296" s="380"/>
      <c r="J296" s="380"/>
    </row>
    <row r="297" spans="5:10">
      <c r="E297" s="382"/>
      <c r="F297" s="383"/>
      <c r="G297" s="383"/>
      <c r="H297" s="380"/>
      <c r="I297" s="380"/>
      <c r="J297" s="380"/>
    </row>
    <row r="298" spans="5:10">
      <c r="E298" s="382"/>
      <c r="F298" s="383"/>
      <c r="G298" s="383"/>
      <c r="H298" s="380"/>
      <c r="I298" s="380"/>
      <c r="J298" s="380"/>
    </row>
    <row r="299" spans="5:10">
      <c r="E299" s="382"/>
      <c r="F299" s="383"/>
      <c r="G299" s="383"/>
      <c r="H299" s="380"/>
      <c r="I299" s="380"/>
      <c r="J299" s="380"/>
    </row>
    <row r="300" spans="5:10">
      <c r="E300" s="382"/>
      <c r="F300" s="383"/>
      <c r="G300" s="383"/>
      <c r="H300" s="380"/>
      <c r="I300" s="380"/>
      <c r="J300" s="380"/>
    </row>
    <row r="301" spans="5:10">
      <c r="E301" s="382"/>
      <c r="F301" s="383"/>
      <c r="G301" s="383"/>
      <c r="H301" s="380"/>
      <c r="I301" s="380"/>
      <c r="J301" s="380"/>
    </row>
    <row r="302" spans="5:10">
      <c r="E302" s="382"/>
      <c r="F302" s="383"/>
      <c r="G302" s="383"/>
      <c r="H302" s="380"/>
      <c r="I302" s="380"/>
      <c r="J302" s="380"/>
    </row>
    <row r="303" spans="5:10">
      <c r="E303" s="382"/>
      <c r="F303" s="383"/>
      <c r="G303" s="383"/>
      <c r="H303" s="380"/>
      <c r="I303" s="380"/>
      <c r="J303" s="380"/>
    </row>
    <row r="304" spans="5:10">
      <c r="E304" s="382"/>
      <c r="F304" s="383"/>
      <c r="G304" s="383"/>
      <c r="H304" s="380"/>
      <c r="I304" s="380"/>
      <c r="J304" s="380"/>
    </row>
    <row r="305" spans="5:10">
      <c r="E305" s="382"/>
      <c r="F305" s="383"/>
      <c r="G305" s="383"/>
      <c r="H305" s="380"/>
      <c r="I305" s="380"/>
      <c r="J305" s="380"/>
    </row>
    <row r="306" spans="5:10">
      <c r="E306" s="382"/>
      <c r="F306" s="383"/>
      <c r="G306" s="383"/>
      <c r="H306" s="380"/>
      <c r="I306" s="380"/>
      <c r="J306" s="380"/>
    </row>
    <row r="307" spans="5:10">
      <c r="E307" s="382"/>
      <c r="F307" s="383"/>
      <c r="G307" s="383"/>
      <c r="H307" s="380"/>
      <c r="I307" s="380"/>
      <c r="J307" s="380"/>
    </row>
    <row r="308" spans="5:10">
      <c r="E308" s="382"/>
      <c r="F308" s="383"/>
      <c r="G308" s="383"/>
      <c r="H308" s="380"/>
      <c r="I308" s="380"/>
      <c r="J308" s="380"/>
    </row>
    <row r="309" spans="5:10">
      <c r="E309" s="382"/>
      <c r="F309" s="383"/>
      <c r="G309" s="383"/>
      <c r="H309" s="380"/>
      <c r="I309" s="380"/>
      <c r="J309" s="380"/>
    </row>
    <row r="310" spans="5:10">
      <c r="E310" s="382"/>
      <c r="F310" s="383"/>
      <c r="G310" s="383"/>
      <c r="H310" s="380"/>
      <c r="I310" s="380"/>
      <c r="J310" s="380"/>
    </row>
    <row r="311" spans="5:10">
      <c r="E311" s="382"/>
      <c r="F311" s="383"/>
      <c r="G311" s="383"/>
      <c r="H311" s="380"/>
      <c r="I311" s="380"/>
      <c r="J311" s="380"/>
    </row>
    <row r="312" spans="5:10">
      <c r="E312" s="382"/>
      <c r="F312" s="383"/>
      <c r="G312" s="383"/>
      <c r="H312" s="380"/>
      <c r="I312" s="380"/>
      <c r="J312" s="380"/>
    </row>
    <row r="313" spans="5:10">
      <c r="E313" s="382"/>
      <c r="F313" s="383"/>
      <c r="G313" s="383"/>
      <c r="H313" s="380"/>
      <c r="I313" s="380"/>
      <c r="J313" s="380"/>
    </row>
    <row r="314" spans="5:10">
      <c r="E314" s="382"/>
      <c r="F314" s="383"/>
      <c r="G314" s="383"/>
      <c r="H314" s="380"/>
      <c r="I314" s="380"/>
      <c r="J314" s="380"/>
    </row>
    <row r="315" spans="5:10">
      <c r="E315" s="382"/>
      <c r="F315" s="383"/>
      <c r="G315" s="383"/>
      <c r="H315" s="380"/>
      <c r="I315" s="380"/>
      <c r="J315" s="380"/>
    </row>
    <row r="316" spans="5:10">
      <c r="E316" s="382"/>
      <c r="F316" s="383"/>
      <c r="G316" s="383"/>
      <c r="H316" s="380"/>
      <c r="I316" s="380"/>
      <c r="J316" s="380"/>
    </row>
    <row r="317" spans="5:10">
      <c r="E317" s="382"/>
      <c r="F317" s="383"/>
      <c r="G317" s="383"/>
      <c r="H317" s="380"/>
      <c r="I317" s="380"/>
      <c r="J317" s="380"/>
    </row>
    <row r="318" spans="5:10">
      <c r="E318" s="382"/>
      <c r="F318" s="383"/>
      <c r="G318" s="383"/>
      <c r="H318" s="380"/>
      <c r="I318" s="380"/>
      <c r="J318" s="380"/>
    </row>
    <row r="319" spans="5:10">
      <c r="E319" s="382"/>
      <c r="F319" s="383"/>
      <c r="G319" s="383"/>
      <c r="H319" s="380"/>
      <c r="I319" s="380"/>
      <c r="J319" s="380"/>
    </row>
    <row r="320" spans="5:10">
      <c r="E320" s="382"/>
      <c r="F320" s="383"/>
      <c r="G320" s="383"/>
      <c r="H320" s="380"/>
      <c r="I320" s="380"/>
      <c r="J320" s="380"/>
    </row>
    <row r="321" spans="5:10">
      <c r="E321" s="382"/>
      <c r="F321" s="383"/>
      <c r="G321" s="383"/>
      <c r="H321" s="380"/>
      <c r="I321" s="380"/>
      <c r="J321" s="380"/>
    </row>
    <row r="322" spans="5:10">
      <c r="E322" s="382"/>
      <c r="F322" s="383"/>
      <c r="G322" s="383"/>
      <c r="H322" s="380"/>
      <c r="I322" s="380"/>
      <c r="J322" s="380"/>
    </row>
    <row r="323" spans="5:10">
      <c r="E323" s="382"/>
      <c r="F323" s="383"/>
      <c r="G323" s="383"/>
      <c r="H323" s="380"/>
      <c r="I323" s="380"/>
      <c r="J323" s="380"/>
    </row>
    <row r="324" spans="5:10">
      <c r="E324" s="382"/>
      <c r="F324" s="383"/>
      <c r="G324" s="383"/>
      <c r="H324" s="380"/>
      <c r="I324" s="380"/>
      <c r="J324" s="380"/>
    </row>
    <row r="325" spans="5:10">
      <c r="E325" s="382"/>
      <c r="F325" s="383"/>
      <c r="G325" s="383"/>
      <c r="H325" s="380"/>
      <c r="I325" s="380"/>
      <c r="J325" s="380"/>
    </row>
    <row r="326" spans="5:10">
      <c r="E326" s="382"/>
      <c r="F326" s="383"/>
      <c r="G326" s="383"/>
      <c r="H326" s="380"/>
      <c r="I326" s="380"/>
      <c r="J326" s="380"/>
    </row>
    <row r="327" spans="5:10">
      <c r="E327" s="382"/>
      <c r="F327" s="383"/>
      <c r="G327" s="383"/>
      <c r="H327" s="380"/>
      <c r="I327" s="380"/>
      <c r="J327" s="380"/>
    </row>
    <row r="328" spans="5:10">
      <c r="E328" s="382"/>
      <c r="F328" s="383"/>
      <c r="G328" s="383"/>
      <c r="H328" s="380"/>
      <c r="I328" s="380"/>
      <c r="J328" s="380"/>
    </row>
    <row r="329" spans="5:10">
      <c r="E329" s="382"/>
      <c r="F329" s="383"/>
      <c r="G329" s="383"/>
      <c r="H329" s="380"/>
      <c r="I329" s="380"/>
      <c r="J329" s="380"/>
    </row>
    <row r="330" spans="5:10">
      <c r="E330" s="382"/>
      <c r="F330" s="383"/>
      <c r="G330" s="383"/>
      <c r="H330" s="380"/>
      <c r="I330" s="380"/>
      <c r="J330" s="380"/>
    </row>
    <row r="331" spans="5:10">
      <c r="E331" s="382"/>
      <c r="F331" s="383"/>
      <c r="G331" s="383"/>
      <c r="H331" s="380"/>
      <c r="I331" s="380"/>
      <c r="J331" s="380"/>
    </row>
    <row r="332" spans="5:10">
      <c r="E332" s="382"/>
      <c r="F332" s="383"/>
      <c r="G332" s="383"/>
      <c r="H332" s="380"/>
      <c r="I332" s="380"/>
      <c r="J332" s="380"/>
    </row>
    <row r="333" spans="5:10">
      <c r="E333" s="382"/>
      <c r="F333" s="383"/>
      <c r="G333" s="383"/>
      <c r="H333" s="380"/>
      <c r="I333" s="380"/>
      <c r="J333" s="380"/>
    </row>
    <row r="334" spans="5:10">
      <c r="E334" s="382"/>
      <c r="F334" s="383"/>
      <c r="G334" s="383"/>
      <c r="H334" s="380"/>
      <c r="I334" s="380"/>
      <c r="J334" s="380"/>
    </row>
    <row r="335" spans="5:10">
      <c r="E335" s="382"/>
      <c r="F335" s="383"/>
      <c r="G335" s="383"/>
      <c r="H335" s="380"/>
      <c r="I335" s="380"/>
      <c r="J335" s="380"/>
    </row>
    <row r="336" spans="5:10">
      <c r="E336" s="382"/>
      <c r="F336" s="383"/>
      <c r="G336" s="383"/>
      <c r="H336" s="380"/>
      <c r="I336" s="380"/>
      <c r="J336" s="380"/>
    </row>
    <row r="337" spans="5:10">
      <c r="E337" s="382"/>
      <c r="F337" s="383"/>
      <c r="G337" s="383"/>
      <c r="H337" s="380"/>
      <c r="I337" s="380"/>
      <c r="J337" s="380"/>
    </row>
    <row r="338" spans="5:10">
      <c r="E338" s="382"/>
      <c r="F338" s="383"/>
      <c r="G338" s="383"/>
      <c r="H338" s="380"/>
      <c r="I338" s="380"/>
      <c r="J338" s="380"/>
    </row>
    <row r="339" spans="5:10">
      <c r="E339" s="382"/>
      <c r="F339" s="383"/>
      <c r="G339" s="383"/>
      <c r="H339" s="380"/>
      <c r="I339" s="380"/>
      <c r="J339" s="380"/>
    </row>
    <row r="340" spans="5:10">
      <c r="E340" s="382"/>
      <c r="F340" s="383"/>
      <c r="G340" s="383"/>
      <c r="H340" s="380"/>
      <c r="I340" s="380"/>
      <c r="J340" s="380"/>
    </row>
    <row r="341" spans="5:10">
      <c r="E341" s="382"/>
      <c r="F341" s="383"/>
      <c r="G341" s="383"/>
      <c r="H341" s="380"/>
      <c r="I341" s="380"/>
      <c r="J341" s="380"/>
    </row>
    <row r="342" spans="5:10">
      <c r="E342" s="382"/>
      <c r="F342" s="383"/>
      <c r="G342" s="383"/>
      <c r="H342" s="380"/>
      <c r="I342" s="380"/>
      <c r="J342" s="380"/>
    </row>
    <row r="343" spans="5:10">
      <c r="E343" s="382"/>
      <c r="F343" s="383"/>
      <c r="G343" s="383"/>
      <c r="H343" s="380"/>
      <c r="I343" s="380"/>
      <c r="J343" s="380"/>
    </row>
    <row r="344" spans="5:10">
      <c r="E344" s="382"/>
      <c r="F344" s="383"/>
      <c r="G344" s="383"/>
      <c r="H344" s="380"/>
      <c r="I344" s="380"/>
      <c r="J344" s="380"/>
    </row>
    <row r="345" spans="5:10">
      <c r="E345" s="382"/>
      <c r="F345" s="383"/>
      <c r="G345" s="383"/>
      <c r="H345" s="380"/>
      <c r="I345" s="380"/>
      <c r="J345" s="380"/>
    </row>
    <row r="346" spans="5:10">
      <c r="E346" s="382"/>
      <c r="F346" s="383"/>
      <c r="G346" s="383"/>
      <c r="H346" s="380"/>
      <c r="I346" s="380"/>
      <c r="J346" s="380"/>
    </row>
    <row r="347" spans="5:10">
      <c r="E347" s="382"/>
      <c r="F347" s="383"/>
      <c r="G347" s="383"/>
      <c r="H347" s="380"/>
      <c r="I347" s="380"/>
      <c r="J347" s="380"/>
    </row>
    <row r="348" spans="5:10">
      <c r="E348" s="382"/>
      <c r="F348" s="383"/>
      <c r="G348" s="383"/>
      <c r="H348" s="380"/>
      <c r="I348" s="380"/>
      <c r="J348" s="380"/>
    </row>
    <row r="349" spans="5:10">
      <c r="E349" s="382"/>
      <c r="F349" s="383"/>
      <c r="G349" s="383"/>
      <c r="H349" s="380"/>
      <c r="I349" s="380"/>
      <c r="J349" s="380"/>
    </row>
    <row r="350" spans="5:10">
      <c r="E350" s="382"/>
      <c r="F350" s="383"/>
      <c r="G350" s="383"/>
      <c r="H350" s="380"/>
      <c r="I350" s="380"/>
      <c r="J350" s="380"/>
    </row>
    <row r="351" spans="5:10">
      <c r="E351" s="382"/>
      <c r="F351" s="383"/>
      <c r="G351" s="383"/>
      <c r="H351" s="380"/>
      <c r="I351" s="380"/>
      <c r="J351" s="380"/>
    </row>
    <row r="352" spans="5:10">
      <c r="E352" s="382"/>
      <c r="F352" s="383"/>
      <c r="G352" s="383"/>
      <c r="H352" s="380"/>
      <c r="I352" s="380"/>
      <c r="J352" s="380"/>
    </row>
    <row r="353" spans="5:10">
      <c r="E353" s="382"/>
      <c r="F353" s="383"/>
      <c r="G353" s="383"/>
      <c r="H353" s="380"/>
      <c r="I353" s="380"/>
      <c r="J353" s="380"/>
    </row>
    <row r="354" spans="5:10">
      <c r="E354" s="382"/>
      <c r="F354" s="383"/>
      <c r="G354" s="383"/>
      <c r="H354" s="380"/>
      <c r="I354" s="380"/>
      <c r="J354" s="380"/>
    </row>
    <row r="355" spans="5:10">
      <c r="E355" s="382"/>
      <c r="F355" s="383"/>
      <c r="G355" s="383"/>
      <c r="H355" s="380"/>
      <c r="I355" s="380"/>
      <c r="J355" s="380"/>
    </row>
    <row r="356" spans="5:10">
      <c r="E356" s="382"/>
      <c r="F356" s="383"/>
      <c r="G356" s="383"/>
      <c r="H356" s="380"/>
      <c r="I356" s="380"/>
      <c r="J356" s="380"/>
    </row>
    <row r="357" spans="5:10">
      <c r="E357" s="382"/>
      <c r="F357" s="383"/>
      <c r="G357" s="383"/>
      <c r="H357" s="380"/>
      <c r="I357" s="380"/>
      <c r="J357" s="380"/>
    </row>
    <row r="358" spans="5:10">
      <c r="E358" s="382"/>
      <c r="F358" s="383"/>
      <c r="G358" s="383"/>
      <c r="H358" s="380"/>
      <c r="I358" s="380"/>
      <c r="J358" s="380"/>
    </row>
    <row r="359" spans="5:10">
      <c r="E359" s="382"/>
      <c r="F359" s="383"/>
      <c r="G359" s="383"/>
      <c r="H359" s="380"/>
      <c r="I359" s="380"/>
      <c r="J359" s="380"/>
    </row>
    <row r="360" spans="5:10">
      <c r="E360" s="382"/>
      <c r="F360" s="383"/>
      <c r="G360" s="383"/>
      <c r="H360" s="380"/>
      <c r="I360" s="380"/>
      <c r="J360" s="380"/>
    </row>
    <row r="361" spans="5:10">
      <c r="E361" s="382"/>
      <c r="F361" s="383"/>
      <c r="G361" s="383"/>
      <c r="H361" s="380"/>
      <c r="I361" s="380"/>
      <c r="J361" s="380"/>
    </row>
    <row r="362" spans="5:10">
      <c r="E362" s="382"/>
      <c r="F362" s="383"/>
      <c r="G362" s="383"/>
      <c r="H362" s="380"/>
      <c r="I362" s="380"/>
      <c r="J362" s="380"/>
    </row>
    <row r="363" spans="5:10">
      <c r="E363" s="382"/>
      <c r="F363" s="383"/>
      <c r="G363" s="383"/>
      <c r="H363" s="380"/>
      <c r="I363" s="380"/>
      <c r="J363" s="380"/>
    </row>
    <row r="364" spans="5:10">
      <c r="E364" s="382"/>
      <c r="F364" s="383"/>
      <c r="G364" s="383"/>
      <c r="H364" s="380"/>
      <c r="I364" s="380"/>
      <c r="J364" s="380"/>
    </row>
    <row r="365" spans="5:10">
      <c r="E365" s="382"/>
      <c r="F365" s="383"/>
      <c r="G365" s="383"/>
      <c r="H365" s="380"/>
      <c r="I365" s="380"/>
      <c r="J365" s="380"/>
    </row>
    <row r="366" spans="5:10">
      <c r="E366" s="382"/>
      <c r="F366" s="383"/>
      <c r="G366" s="383"/>
      <c r="H366" s="380"/>
      <c r="I366" s="380"/>
      <c r="J366" s="380"/>
    </row>
    <row r="367" spans="5:10">
      <c r="E367" s="382"/>
      <c r="F367" s="383"/>
      <c r="G367" s="383"/>
      <c r="H367" s="380"/>
      <c r="I367" s="380"/>
      <c r="J367" s="380"/>
    </row>
    <row r="368" spans="5:10">
      <c r="E368" s="382"/>
      <c r="F368" s="383"/>
      <c r="G368" s="383"/>
      <c r="H368" s="380"/>
      <c r="I368" s="380"/>
      <c r="J368" s="380"/>
    </row>
    <row r="369" spans="5:10">
      <c r="E369" s="382"/>
      <c r="F369" s="383"/>
      <c r="G369" s="383"/>
      <c r="H369" s="380"/>
      <c r="I369" s="380"/>
      <c r="J369" s="380"/>
    </row>
    <row r="370" spans="5:10">
      <c r="E370" s="382"/>
      <c r="F370" s="383"/>
      <c r="G370" s="383"/>
      <c r="H370" s="380"/>
      <c r="I370" s="380"/>
      <c r="J370" s="380"/>
    </row>
    <row r="371" spans="5:10">
      <c r="E371" s="382"/>
      <c r="F371" s="383"/>
      <c r="G371" s="383"/>
      <c r="H371" s="380"/>
      <c r="I371" s="380"/>
      <c r="J371" s="380"/>
    </row>
    <row r="372" spans="5:10">
      <c r="E372" s="382"/>
      <c r="F372" s="383"/>
      <c r="G372" s="383"/>
      <c r="H372" s="380"/>
      <c r="I372" s="380"/>
      <c r="J372" s="380"/>
    </row>
    <row r="373" spans="5:10">
      <c r="E373" s="382"/>
      <c r="F373" s="383"/>
      <c r="G373" s="383"/>
      <c r="H373" s="380"/>
      <c r="I373" s="380"/>
      <c r="J373" s="380"/>
    </row>
    <row r="374" spans="5:10">
      <c r="E374" s="382"/>
      <c r="F374" s="383"/>
      <c r="G374" s="383"/>
      <c r="H374" s="380"/>
      <c r="I374" s="380"/>
      <c r="J374" s="380"/>
    </row>
    <row r="375" spans="5:10">
      <c r="E375" s="382"/>
      <c r="F375" s="383"/>
      <c r="G375" s="383"/>
      <c r="H375" s="380"/>
      <c r="I375" s="380"/>
      <c r="J375" s="380"/>
    </row>
    <row r="376" spans="5:10">
      <c r="E376" s="382"/>
      <c r="F376" s="383"/>
      <c r="G376" s="383"/>
      <c r="H376" s="380"/>
      <c r="I376" s="380"/>
      <c r="J376" s="380"/>
    </row>
    <row r="377" spans="5:10">
      <c r="E377" s="382"/>
      <c r="F377" s="383"/>
      <c r="G377" s="383"/>
      <c r="H377" s="380"/>
      <c r="I377" s="380"/>
      <c r="J377" s="380"/>
    </row>
    <row r="378" spans="5:10">
      <c r="E378" s="382"/>
      <c r="F378" s="383"/>
      <c r="G378" s="383"/>
      <c r="H378" s="380"/>
      <c r="I378" s="380"/>
      <c r="J378" s="380"/>
    </row>
    <row r="379" spans="5:10">
      <c r="E379" s="382"/>
      <c r="F379" s="383"/>
      <c r="G379" s="383"/>
      <c r="H379" s="380"/>
      <c r="I379" s="380"/>
      <c r="J379" s="380"/>
    </row>
    <row r="380" spans="5:10">
      <c r="E380" s="382"/>
      <c r="F380" s="383"/>
      <c r="G380" s="383"/>
      <c r="H380" s="380"/>
      <c r="I380" s="380"/>
      <c r="J380" s="380"/>
    </row>
    <row r="381" spans="5:10">
      <c r="E381" s="382"/>
      <c r="F381" s="383"/>
      <c r="G381" s="383"/>
      <c r="H381" s="380"/>
      <c r="I381" s="380"/>
      <c r="J381" s="380"/>
    </row>
    <row r="382" spans="5:10">
      <c r="E382" s="382"/>
      <c r="F382" s="383"/>
      <c r="G382" s="383"/>
      <c r="H382" s="380"/>
      <c r="I382" s="380"/>
      <c r="J382" s="380"/>
    </row>
    <row r="383" spans="5:10">
      <c r="E383" s="382"/>
      <c r="F383" s="383"/>
      <c r="G383" s="383"/>
      <c r="H383" s="380"/>
      <c r="I383" s="380"/>
      <c r="J383" s="380"/>
    </row>
    <row r="384" spans="5:10">
      <c r="E384" s="382"/>
      <c r="F384" s="383"/>
      <c r="G384" s="383"/>
      <c r="H384" s="380"/>
      <c r="I384" s="380"/>
      <c r="J384" s="380"/>
    </row>
    <row r="385" spans="5:10">
      <c r="E385" s="382"/>
      <c r="F385" s="383"/>
      <c r="G385" s="383"/>
      <c r="H385" s="380"/>
      <c r="I385" s="380"/>
      <c r="J385" s="380"/>
    </row>
    <row r="386" spans="5:10">
      <c r="E386" s="382"/>
      <c r="F386" s="383"/>
      <c r="G386" s="383"/>
      <c r="H386" s="380"/>
      <c r="I386" s="380"/>
      <c r="J386" s="380"/>
    </row>
    <row r="387" spans="5:10">
      <c r="E387" s="382"/>
      <c r="F387" s="383"/>
      <c r="G387" s="383"/>
      <c r="H387" s="380"/>
      <c r="I387" s="380"/>
      <c r="J387" s="380"/>
    </row>
    <row r="388" spans="5:10">
      <c r="E388" s="382"/>
      <c r="F388" s="383"/>
      <c r="G388" s="383"/>
      <c r="H388" s="380"/>
      <c r="I388" s="380"/>
      <c r="J388" s="380"/>
    </row>
    <row r="389" spans="5:10">
      <c r="E389" s="382"/>
      <c r="F389" s="383"/>
      <c r="G389" s="383"/>
      <c r="H389" s="380"/>
      <c r="I389" s="380"/>
      <c r="J389" s="380"/>
    </row>
    <row r="390" spans="5:10">
      <c r="E390" s="382"/>
      <c r="F390" s="383"/>
      <c r="G390" s="383"/>
      <c r="H390" s="380"/>
      <c r="I390" s="380"/>
      <c r="J390" s="380"/>
    </row>
    <row r="391" spans="5:10">
      <c r="E391" s="382"/>
      <c r="F391" s="383"/>
      <c r="G391" s="383"/>
      <c r="H391" s="380"/>
      <c r="I391" s="380"/>
      <c r="J391" s="380"/>
    </row>
    <row r="392" spans="5:10">
      <c r="E392" s="382"/>
      <c r="F392" s="383"/>
      <c r="G392" s="383"/>
      <c r="H392" s="380"/>
      <c r="I392" s="380"/>
      <c r="J392" s="380"/>
    </row>
    <row r="393" spans="5:10">
      <c r="E393" s="379"/>
    </row>
    <row r="394" spans="5:10">
      <c r="E394" s="379"/>
    </row>
    <row r="395" spans="5:10">
      <c r="E395" s="379"/>
    </row>
    <row r="396" spans="5:10">
      <c r="E396" s="379"/>
    </row>
    <row r="397" spans="5:10">
      <c r="E397" s="379"/>
    </row>
    <row r="398" spans="5:10">
      <c r="E398" s="379"/>
    </row>
    <row r="399" spans="5:10">
      <c r="E399" s="379"/>
    </row>
  </sheetData>
  <mergeCells count="7">
    <mergeCell ref="A1:J1"/>
    <mergeCell ref="C4:E4"/>
    <mergeCell ref="F4:H4"/>
    <mergeCell ref="I4:I5"/>
    <mergeCell ref="J4:J5"/>
    <mergeCell ref="A4:A5"/>
    <mergeCell ref="B4:B5"/>
  </mergeCells>
  <phoneticPr fontId="3" type="noConversion"/>
  <conditionalFormatting sqref="J1:J1048576">
    <cfRule type="cellIs" dxfId="24" priority="1" stopIfTrue="1" operator="equal">
      <formula>"显著"</formula>
    </cfRule>
    <cfRule type="cellIs" dxfId="23" priority="2" stopIfTrue="1" operator="equal">
      <formula>"关注"</formula>
    </cfRule>
  </conditionalFormatting>
  <printOptions horizontalCentered="1" verticalCentered="1"/>
  <pageMargins left="0.43307086614173229" right="0.31496062992125984" top="0.43307086614173229" bottom="0.25" header="0.39370078740157483" footer="0.21"/>
  <pageSetup paperSize="9" scale="95" orientation="landscape" blackAndWhite="1" horizontalDpi="180" verticalDpi="18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39"/>
    <pageSetUpPr fitToPage="1"/>
  </sheetPr>
  <dimension ref="A1:P63"/>
  <sheetViews>
    <sheetView showZeros="0" workbookViewId="0">
      <pane xSplit="2" ySplit="6" topLeftCell="C7" activePane="bottomRight" state="frozen"/>
      <selection sqref="A1:I1"/>
      <selection pane="topRight" sqref="A1:I1"/>
      <selection pane="bottomLeft" sqref="A1:I1"/>
      <selection pane="bottomRight" sqref="A1:H1"/>
    </sheetView>
  </sheetViews>
  <sheetFormatPr defaultRowHeight="14.25"/>
  <cols>
    <col min="1" max="1" width="23.125" style="151" customWidth="1"/>
    <col min="2" max="2" width="2.625" style="151" customWidth="1"/>
    <col min="3" max="3" width="12.25" style="152" customWidth="1"/>
    <col min="4" max="4" width="14" style="152" customWidth="1"/>
    <col min="5" max="5" width="10.75" style="152" customWidth="1"/>
    <col min="6" max="6" width="7.5" style="152" bestFit="1" customWidth="1"/>
    <col min="7" max="7" width="8.625" style="152" customWidth="1"/>
    <col min="8" max="8" width="15" style="152" customWidth="1"/>
    <col min="9" max="9" width="18.375" style="151" customWidth="1"/>
    <col min="10" max="10" width="3.125" style="151" customWidth="1"/>
    <col min="11" max="11" width="12.375" style="152" customWidth="1"/>
    <col min="12" max="12" width="12" style="152" customWidth="1"/>
    <col min="13" max="13" width="10.875" style="152" customWidth="1"/>
    <col min="14" max="14" width="7.5" style="152" bestFit="1" customWidth="1"/>
    <col min="15" max="15" width="8.5" style="152" customWidth="1"/>
    <col min="16" max="16" width="12.125" style="152" customWidth="1"/>
    <col min="17" max="16384" width="9" style="152"/>
  </cols>
  <sheetData>
    <row r="1" spans="1:16" ht="18.75">
      <c r="A1" s="969" t="s">
        <v>623</v>
      </c>
      <c r="B1" s="969"/>
      <c r="C1" s="969"/>
      <c r="D1" s="969"/>
      <c r="E1" s="969"/>
      <c r="F1" s="969"/>
      <c r="G1" s="969"/>
      <c r="H1" s="969"/>
      <c r="I1" s="969" t="s">
        <v>624</v>
      </c>
      <c r="J1" s="969"/>
      <c r="K1" s="969"/>
      <c r="L1" s="969"/>
      <c r="M1" s="969"/>
      <c r="N1" s="969"/>
      <c r="O1" s="969"/>
      <c r="P1" s="969"/>
    </row>
    <row r="2" spans="1:16" s="61" customFormat="1" ht="15" customHeight="1">
      <c r="A2" s="171" t="str">
        <f>CONCATENATE("客户名称：",参数!D3)</f>
        <v>客户名称：</v>
      </c>
      <c r="D2" s="172" t="str">
        <f>CONCATENATE("编制：",参数!D17)</f>
        <v>编制：</v>
      </c>
      <c r="E2" s="173"/>
      <c r="F2" s="171" t="str">
        <f>CONCATENATE("复核：",参数!D18)</f>
        <v>复核：</v>
      </c>
      <c r="G2" s="174"/>
      <c r="H2" s="172" t="s">
        <v>267</v>
      </c>
      <c r="I2" s="171" t="str">
        <f>CONCATENATE("客户名称：",参数!D3)</f>
        <v>客户名称：</v>
      </c>
      <c r="L2" s="172" t="str">
        <f>CONCATENATE("编制：",参数!D17)</f>
        <v>编制：</v>
      </c>
      <c r="M2" s="173"/>
      <c r="N2" s="171" t="str">
        <f>CONCATENATE("复核：",参数!D18)</f>
        <v>复核：</v>
      </c>
      <c r="O2" s="174"/>
      <c r="P2" s="172" t="s">
        <v>267</v>
      </c>
    </row>
    <row r="3" spans="1:16" s="61" customFormat="1" ht="17.25" customHeight="1" thickBot="1">
      <c r="A3" s="174" t="str">
        <f>CONCATENATE("会计时点：",TEXT(参数!D12,"yyyy.mm.dd"))</f>
        <v>会计时点：2007.12.31</v>
      </c>
      <c r="D3" s="176" t="str">
        <f ca="1">CONCATENATE("日期：",TEXT(NOW(),"yyyy.mm.dd"))</f>
        <v>日期：2023.08.14</v>
      </c>
      <c r="E3" s="174"/>
      <c r="F3" s="172" t="s">
        <v>268</v>
      </c>
      <c r="G3" s="174"/>
      <c r="H3" s="172" t="s">
        <v>269</v>
      </c>
      <c r="I3" s="174" t="str">
        <f>CONCATENATE("会计时点：",TEXT(参数!D12,"yyyy.mm.dd"))</f>
        <v>会计时点：2007.12.31</v>
      </c>
      <c r="L3" s="176" t="str">
        <f ca="1">CONCATENATE("日期：",TEXT(NOW(),"yyyy.mm.dd"))</f>
        <v>日期：2023.08.14</v>
      </c>
      <c r="M3" s="174"/>
      <c r="N3" s="172" t="s">
        <v>268</v>
      </c>
      <c r="O3" s="174"/>
      <c r="P3" s="172" t="s">
        <v>269</v>
      </c>
    </row>
    <row r="4" spans="1:16">
      <c r="A4" s="973" t="s">
        <v>594</v>
      </c>
      <c r="B4" s="987" t="s">
        <v>586</v>
      </c>
      <c r="C4" s="976" t="s">
        <v>587</v>
      </c>
      <c r="D4" s="976" t="s">
        <v>622</v>
      </c>
      <c r="E4" s="336" t="s">
        <v>589</v>
      </c>
      <c r="F4" s="336"/>
      <c r="G4" s="981" t="s">
        <v>704</v>
      </c>
      <c r="H4" s="984" t="s">
        <v>705</v>
      </c>
      <c r="I4" s="978" t="str">
        <f>IF(参数!D8="一般企业（执行统一会计制度）","负债及所有者权益","负债及股东权益")</f>
        <v>负债及所有者权益</v>
      </c>
      <c r="J4" s="970" t="s">
        <v>586</v>
      </c>
      <c r="K4" s="976" t="s">
        <v>587</v>
      </c>
      <c r="L4" s="976" t="s">
        <v>622</v>
      </c>
      <c r="M4" s="336" t="s">
        <v>589</v>
      </c>
      <c r="N4" s="336"/>
      <c r="O4" s="981" t="s">
        <v>704</v>
      </c>
      <c r="P4" s="984" t="s">
        <v>705</v>
      </c>
    </row>
    <row r="5" spans="1:16">
      <c r="A5" s="974"/>
      <c r="B5" s="988"/>
      <c r="C5" s="977"/>
      <c r="D5" s="977"/>
      <c r="E5" s="338" t="s">
        <v>595</v>
      </c>
      <c r="F5" s="338" t="s">
        <v>596</v>
      </c>
      <c r="G5" s="982"/>
      <c r="H5" s="985"/>
      <c r="I5" s="979"/>
      <c r="J5" s="971"/>
      <c r="K5" s="977"/>
      <c r="L5" s="977"/>
      <c r="M5" s="338" t="s">
        <v>595</v>
      </c>
      <c r="N5" s="338" t="s">
        <v>596</v>
      </c>
      <c r="O5" s="982"/>
      <c r="P5" s="985"/>
    </row>
    <row r="6" spans="1:16">
      <c r="A6" s="975"/>
      <c r="B6" s="989"/>
      <c r="C6" s="339" t="s">
        <v>590</v>
      </c>
      <c r="D6" s="339" t="s">
        <v>591</v>
      </c>
      <c r="E6" s="339" t="s">
        <v>592</v>
      </c>
      <c r="F6" s="339" t="s">
        <v>593</v>
      </c>
      <c r="G6" s="983"/>
      <c r="H6" s="986"/>
      <c r="I6" s="980"/>
      <c r="J6" s="972"/>
      <c r="K6" s="339" t="s">
        <v>590</v>
      </c>
      <c r="L6" s="339" t="s">
        <v>591</v>
      </c>
      <c r="M6" s="339" t="s">
        <v>592</v>
      </c>
      <c r="N6" s="339" t="s">
        <v>593</v>
      </c>
      <c r="O6" s="983"/>
      <c r="P6" s="986"/>
    </row>
    <row r="7" spans="1:16" ht="13.9" customHeight="1">
      <c r="A7" s="343" t="str">
        <f>报表格式!B5</f>
        <v>流动资产：</v>
      </c>
      <c r="B7" s="344">
        <v>1</v>
      </c>
      <c r="C7" s="465"/>
      <c r="D7" s="465"/>
      <c r="E7" s="466"/>
      <c r="F7" s="466"/>
      <c r="G7" s="345"/>
      <c r="H7" s="365"/>
      <c r="I7" s="361" t="str">
        <f>报表格式!G5</f>
        <v>流动负债：</v>
      </c>
      <c r="J7" s="474">
        <f>B63+1</f>
        <v>58</v>
      </c>
      <c r="K7" s="445"/>
      <c r="L7" s="445"/>
      <c r="M7" s="345"/>
      <c r="N7" s="485"/>
      <c r="O7" s="485"/>
      <c r="P7" s="864"/>
    </row>
    <row r="8" spans="1:16" ht="13.9" customHeight="1">
      <c r="A8" s="257" t="str">
        <f>报表格式!B6</f>
        <v>货币资金</v>
      </c>
      <c r="B8" s="258">
        <v>2</v>
      </c>
      <c r="C8" s="467">
        <f>审定BS!E7</f>
        <v>0</v>
      </c>
      <c r="D8" s="467">
        <f>审定BS!C7</f>
        <v>0</v>
      </c>
      <c r="E8" s="467">
        <f>D8-C8</f>
        <v>0</v>
      </c>
      <c r="F8" s="468" t="str">
        <f>IF(AND(C8=0,D8=0),"",IF(C8=0,100%,IF(D8=0,-100%,E8/C8)))</f>
        <v/>
      </c>
      <c r="G8" s="447" t="str">
        <f>IF(F8="","",IF(OR(ABS(F8)&gt;=30%,ABS(E8)&gt;=$D$63*5%,ABS(E8)&gt;=已审横向PL!$D$31*10%),"显著",IF(ABS(F8)&gt;=10%,"关注","")))</f>
        <v/>
      </c>
      <c r="H8" s="260"/>
      <c r="I8" s="362" t="str">
        <f>报表格式!G6</f>
        <v>短期借款</v>
      </c>
      <c r="J8" s="259">
        <f t="shared" ref="J8:J63" si="0">J7+1</f>
        <v>59</v>
      </c>
      <c r="K8" s="467">
        <f>审定BS!E70</f>
        <v>0</v>
      </c>
      <c r="L8" s="467">
        <f>审定BS!C70</f>
        <v>0</v>
      </c>
      <c r="M8" s="467">
        <f>L8-K8</f>
        <v>0</v>
      </c>
      <c r="N8" s="468" t="str">
        <f>IF(AND(K8=0,L8=0),"",IF(K8=0,100%,IF(L8=0,-100%,M8/K8)))</f>
        <v/>
      </c>
      <c r="O8" s="447" t="str">
        <f>IF(N8="","",IF(OR(ABS(N8)&gt;=30%,ABS(M8)&gt;=$D$63*5%,ABS(M8)&gt;=已审横向PL!$D$31*10%),"显著",IF(ABS(N8)&gt;=10%,"关注","")))</f>
        <v/>
      </c>
      <c r="P8" s="865"/>
    </row>
    <row r="9" spans="1:16" ht="13.9" customHeight="1">
      <c r="A9" s="257" t="str">
        <f>报表格式!B7</f>
        <v>短期投资</v>
      </c>
      <c r="B9" s="258">
        <v>3</v>
      </c>
      <c r="C9" s="467">
        <f>审定BS!E8</f>
        <v>0</v>
      </c>
      <c r="D9" s="467">
        <f>审定BS!C8</f>
        <v>0</v>
      </c>
      <c r="E9" s="467">
        <f t="shared" ref="E9:E28" si="1">D9-C9</f>
        <v>0</v>
      </c>
      <c r="F9" s="468" t="str">
        <f t="shared" ref="F9:F63" si="2">IF(AND(C9=0,D9=0),"",IF(C9=0,100%,IF(D9=0,-100%,E9/C9)))</f>
        <v/>
      </c>
      <c r="G9" s="447" t="str">
        <f>IF(F9="","",IF(OR(ABS(F9)&gt;=30%,ABS(E9)&gt;=$D$63*5%,ABS(E9)&gt;=已审横向PL!$D$31*10%),"显著",IF(ABS(F9)&gt;=10%,"关注","")))</f>
        <v/>
      </c>
      <c r="H9" s="260"/>
      <c r="I9" s="362" t="str">
        <f>报表格式!G7</f>
        <v>应付票据</v>
      </c>
      <c r="J9" s="259">
        <f t="shared" si="0"/>
        <v>60</v>
      </c>
      <c r="K9" s="467">
        <f>审定BS!E71</f>
        <v>0</v>
      </c>
      <c r="L9" s="467">
        <f>审定BS!C71</f>
        <v>0</v>
      </c>
      <c r="M9" s="467">
        <f t="shared" ref="M9:M27" si="3">L9-K9</f>
        <v>0</v>
      </c>
      <c r="N9" s="468" t="str">
        <f t="shared" ref="N9:N63" si="4">IF(AND(K9=0,L9=0),"",IF(K9=0,100%,IF(L9=0,-100%,M9/K9)))</f>
        <v/>
      </c>
      <c r="O9" s="447" t="str">
        <f>IF(N9="","",IF(OR(ABS(N9)&gt;=30%,ABS(M9)&gt;=$D$63*5%,ABS(M9)&gt;=已审横向PL!$D$31*10%),"显著",IF(ABS(N9)&gt;=10%,"关注","")))</f>
        <v/>
      </c>
      <c r="P9" s="865"/>
    </row>
    <row r="10" spans="1:16" ht="13.9" customHeight="1">
      <c r="A10" s="257" t="str">
        <f>报表格式!B8</f>
        <v>应收票据</v>
      </c>
      <c r="B10" s="258">
        <v>4</v>
      </c>
      <c r="C10" s="467">
        <f>审定BS!E9</f>
        <v>0</v>
      </c>
      <c r="D10" s="467">
        <f>审定BS!C9</f>
        <v>0</v>
      </c>
      <c r="E10" s="467">
        <f t="shared" si="1"/>
        <v>0</v>
      </c>
      <c r="F10" s="468" t="str">
        <f t="shared" si="2"/>
        <v/>
      </c>
      <c r="G10" s="447" t="str">
        <f>IF(F10="","",IF(OR(ABS(F10)&gt;=30%,ABS(E10)&gt;=$D$63*5%,ABS(E10)&gt;=已审横向PL!$D$31*10%),"显著",IF(ABS(F10)&gt;=10%,"关注","")))</f>
        <v/>
      </c>
      <c r="H10" s="260"/>
      <c r="I10" s="362" t="str">
        <f>报表格式!G8</f>
        <v>应付账款</v>
      </c>
      <c r="J10" s="259">
        <f t="shared" si="0"/>
        <v>61</v>
      </c>
      <c r="K10" s="467">
        <f>审定BS!E72</f>
        <v>0</v>
      </c>
      <c r="L10" s="467">
        <f>审定BS!C72</f>
        <v>0</v>
      </c>
      <c r="M10" s="467">
        <f t="shared" si="3"/>
        <v>0</v>
      </c>
      <c r="N10" s="468" t="str">
        <f t="shared" si="4"/>
        <v/>
      </c>
      <c r="O10" s="447" t="str">
        <f>IF(N10="","",IF(OR(ABS(N10)&gt;=30%,ABS(M10)&gt;=$D$63*5%,ABS(M10)&gt;=已审横向PL!$D$31*10%),"显著",IF(ABS(N10)&gt;=10%,"关注","")))</f>
        <v/>
      </c>
      <c r="P10" s="865"/>
    </row>
    <row r="11" spans="1:16" ht="13.9" customHeight="1">
      <c r="A11" s="257" t="str">
        <f>报表格式!B9</f>
        <v>应收股利</v>
      </c>
      <c r="B11" s="258">
        <v>5</v>
      </c>
      <c r="C11" s="467">
        <f>审定BS!E10</f>
        <v>0</v>
      </c>
      <c r="D11" s="467">
        <f>审定BS!C10</f>
        <v>0</v>
      </c>
      <c r="E11" s="467">
        <f t="shared" si="1"/>
        <v>0</v>
      </c>
      <c r="F11" s="468" t="str">
        <f t="shared" si="2"/>
        <v/>
      </c>
      <c r="G11" s="447" t="str">
        <f>IF(F11="","",IF(OR(ABS(F11)&gt;=30%,ABS(E11)&gt;=$D$63*5%,ABS(E11)&gt;=已审横向PL!$D$31*10%),"显著",IF(ABS(F11)&gt;=10%,"关注","")))</f>
        <v/>
      </c>
      <c r="H11" s="260"/>
      <c r="I11" s="362" t="str">
        <f>报表格式!G9</f>
        <v>预收账款</v>
      </c>
      <c r="J11" s="259">
        <f t="shared" si="0"/>
        <v>62</v>
      </c>
      <c r="K11" s="467">
        <f>审定BS!E73</f>
        <v>0</v>
      </c>
      <c r="L11" s="467">
        <f>审定BS!C73</f>
        <v>0</v>
      </c>
      <c r="M11" s="467">
        <f t="shared" si="3"/>
        <v>0</v>
      </c>
      <c r="N11" s="468" t="str">
        <f t="shared" si="4"/>
        <v/>
      </c>
      <c r="O11" s="447" t="str">
        <f>IF(N11="","",IF(OR(ABS(N11)&gt;=30%,ABS(M11)&gt;=$D$63*5%,ABS(M11)&gt;=已审横向PL!$D$31*10%),"显著",IF(ABS(N11)&gt;=10%,"关注","")))</f>
        <v/>
      </c>
      <c r="P11" s="865"/>
    </row>
    <row r="12" spans="1:16" ht="13.9" customHeight="1">
      <c r="A12" s="257" t="str">
        <f>报表格式!B10</f>
        <v>应收利息</v>
      </c>
      <c r="B12" s="258">
        <v>6</v>
      </c>
      <c r="C12" s="467">
        <f>审定BS!E11</f>
        <v>0</v>
      </c>
      <c r="D12" s="467">
        <f>审定BS!C11</f>
        <v>0</v>
      </c>
      <c r="E12" s="467">
        <f t="shared" si="1"/>
        <v>0</v>
      </c>
      <c r="F12" s="468" t="str">
        <f t="shared" si="2"/>
        <v/>
      </c>
      <c r="G12" s="447" t="str">
        <f>IF(F12="","",IF(OR(ABS(F12)&gt;=30%,ABS(E12)&gt;=$D$63*5%,ABS(E12)&gt;=已审横向PL!$D$31*10%),"显著",IF(ABS(F12)&gt;=10%,"关注","")))</f>
        <v/>
      </c>
      <c r="H12" s="260"/>
      <c r="I12" s="362" t="str">
        <f>报表格式!G10</f>
        <v>应付工资</v>
      </c>
      <c r="J12" s="259">
        <f t="shared" si="0"/>
        <v>63</v>
      </c>
      <c r="K12" s="467">
        <f>审定BS!E74</f>
        <v>0</v>
      </c>
      <c r="L12" s="467">
        <f>审定BS!C74</f>
        <v>0</v>
      </c>
      <c r="M12" s="467">
        <f t="shared" si="3"/>
        <v>0</v>
      </c>
      <c r="N12" s="468" t="str">
        <f t="shared" si="4"/>
        <v/>
      </c>
      <c r="O12" s="447" t="str">
        <f>IF(N12="","",IF(OR(ABS(N12)&gt;=30%,ABS(M12)&gt;=$D$63*5%,ABS(M12)&gt;=已审横向PL!$D$31*10%),"显著",IF(ABS(N12)&gt;=10%,"关注","")))</f>
        <v/>
      </c>
      <c r="P12" s="865"/>
    </row>
    <row r="13" spans="1:16" ht="13.9" customHeight="1">
      <c r="A13" s="257" t="str">
        <f>报表格式!B11</f>
        <v>应收账款</v>
      </c>
      <c r="B13" s="258">
        <v>7</v>
      </c>
      <c r="C13" s="467">
        <f>审定BS!E12</f>
        <v>0</v>
      </c>
      <c r="D13" s="467">
        <f>审定BS!C12</f>
        <v>0</v>
      </c>
      <c r="E13" s="467">
        <f t="shared" si="1"/>
        <v>0</v>
      </c>
      <c r="F13" s="468" t="str">
        <f t="shared" si="2"/>
        <v/>
      </c>
      <c r="G13" s="447" t="str">
        <f>IF(F13="","",IF(OR(ABS(F13)&gt;=30%,ABS(E13)&gt;=$D$63*5%,ABS(E13)&gt;=已审横向PL!$D$31*10%),"显著",IF(ABS(F13)&gt;=10%,"关注","")))</f>
        <v/>
      </c>
      <c r="H13" s="260"/>
      <c r="I13" s="362" t="str">
        <f>报表格式!G11</f>
        <v>应付福利费</v>
      </c>
      <c r="J13" s="259">
        <f t="shared" si="0"/>
        <v>64</v>
      </c>
      <c r="K13" s="467">
        <f>审定BS!E75</f>
        <v>0</v>
      </c>
      <c r="L13" s="467">
        <f>审定BS!C75</f>
        <v>0</v>
      </c>
      <c r="M13" s="467">
        <f t="shared" si="3"/>
        <v>0</v>
      </c>
      <c r="N13" s="468" t="str">
        <f t="shared" si="4"/>
        <v/>
      </c>
      <c r="O13" s="447" t="str">
        <f>IF(N13="","",IF(OR(ABS(N13)&gt;=30%,ABS(M13)&gt;=$D$63*5%,ABS(M13)&gt;=已审横向PL!$D$31*10%),"显著",IF(ABS(N13)&gt;=10%,"关注","")))</f>
        <v/>
      </c>
      <c r="P13" s="865"/>
    </row>
    <row r="14" spans="1:16" ht="13.9" customHeight="1">
      <c r="A14" s="257" t="str">
        <f>报表格式!B12</f>
        <v>其他应收款</v>
      </c>
      <c r="B14" s="258">
        <v>8</v>
      </c>
      <c r="C14" s="467">
        <f>审定BS!E13</f>
        <v>0</v>
      </c>
      <c r="D14" s="467">
        <f>审定BS!C13</f>
        <v>0</v>
      </c>
      <c r="E14" s="467">
        <f t="shared" si="1"/>
        <v>0</v>
      </c>
      <c r="F14" s="468" t="str">
        <f t="shared" si="2"/>
        <v/>
      </c>
      <c r="G14" s="447" t="str">
        <f>IF(F14="","",IF(OR(ABS(F14)&gt;=30%,ABS(E14)&gt;=$D$63*5%,ABS(E14)&gt;=已审横向PL!$D$31*10%),"显著",IF(ABS(F14)&gt;=10%,"关注","")))</f>
        <v/>
      </c>
      <c r="H14" s="260"/>
      <c r="I14" s="362" t="str">
        <f>报表格式!G12</f>
        <v>应付股利（利润）</v>
      </c>
      <c r="J14" s="259">
        <f t="shared" si="0"/>
        <v>65</v>
      </c>
      <c r="K14" s="467">
        <f>审定BS!E76</f>
        <v>0</v>
      </c>
      <c r="L14" s="467">
        <f>审定BS!C76</f>
        <v>0</v>
      </c>
      <c r="M14" s="467">
        <f t="shared" si="3"/>
        <v>0</v>
      </c>
      <c r="N14" s="468" t="str">
        <f t="shared" si="4"/>
        <v/>
      </c>
      <c r="O14" s="447" t="str">
        <f>IF(N14="","",IF(OR(ABS(N14)&gt;=30%,ABS(M14)&gt;=$D$63*5%,ABS(M14)&gt;=已审横向PL!$D$31*10%),"显著",IF(ABS(N14)&gt;=10%,"关注","")))</f>
        <v/>
      </c>
      <c r="P14" s="865"/>
    </row>
    <row r="15" spans="1:16" ht="13.9" customHeight="1">
      <c r="A15" s="257" t="str">
        <f>报表格式!B13</f>
        <v>预付账款</v>
      </c>
      <c r="B15" s="258">
        <v>9</v>
      </c>
      <c r="C15" s="467">
        <f>审定BS!E14</f>
        <v>0</v>
      </c>
      <c r="D15" s="467">
        <f>审定BS!C14</f>
        <v>0</v>
      </c>
      <c r="E15" s="467">
        <f t="shared" si="1"/>
        <v>0</v>
      </c>
      <c r="F15" s="468" t="str">
        <f t="shared" si="2"/>
        <v/>
      </c>
      <c r="G15" s="447" t="str">
        <f>IF(F15="","",IF(OR(ABS(F15)&gt;=30%,ABS(E15)&gt;=$D$63*5%,ABS(E15)&gt;=已审横向PL!$D$31*10%),"显著",IF(ABS(F15)&gt;=10%,"关注","")))</f>
        <v/>
      </c>
      <c r="H15" s="260"/>
      <c r="I15" s="362" t="str">
        <f>报表格式!G13</f>
        <v>应付利息</v>
      </c>
      <c r="J15" s="259">
        <f t="shared" si="0"/>
        <v>66</v>
      </c>
      <c r="K15" s="467">
        <f>审定BS!E77</f>
        <v>0</v>
      </c>
      <c r="L15" s="467">
        <f>审定BS!C77</f>
        <v>0</v>
      </c>
      <c r="M15" s="467">
        <f t="shared" si="3"/>
        <v>0</v>
      </c>
      <c r="N15" s="468" t="str">
        <f t="shared" si="4"/>
        <v/>
      </c>
      <c r="O15" s="447" t="str">
        <f>IF(N15="","",IF(OR(ABS(N15)&gt;=30%,ABS(M15)&gt;=$D$63*5%,ABS(M15)&gt;=已审横向PL!$D$31*10%),"显著",IF(ABS(N15)&gt;=10%,"关注","")))</f>
        <v/>
      </c>
      <c r="P15" s="865"/>
    </row>
    <row r="16" spans="1:16" ht="13.9" customHeight="1">
      <c r="A16" s="257" t="str">
        <f>报表格式!B14</f>
        <v>期货保证金</v>
      </c>
      <c r="B16" s="258">
        <v>10</v>
      </c>
      <c r="C16" s="467">
        <f>审定BS!E15</f>
        <v>0</v>
      </c>
      <c r="D16" s="467">
        <f>审定BS!C15</f>
        <v>0</v>
      </c>
      <c r="E16" s="467">
        <f t="shared" si="1"/>
        <v>0</v>
      </c>
      <c r="F16" s="468" t="str">
        <f t="shared" si="2"/>
        <v/>
      </c>
      <c r="G16" s="447" t="str">
        <f>IF(F16="","",IF(OR(ABS(F16)&gt;=30%,ABS(E16)&gt;=$D$63*5%,ABS(E16)&gt;=已审横向PL!$D$31*10%),"显著",IF(ABS(F16)&gt;=10%,"关注","")))</f>
        <v/>
      </c>
      <c r="H16" s="260"/>
      <c r="I16" s="362" t="str">
        <f>报表格式!G14</f>
        <v>应交税金</v>
      </c>
      <c r="J16" s="259">
        <f t="shared" si="0"/>
        <v>67</v>
      </c>
      <c r="K16" s="467">
        <f>审定BS!E78</f>
        <v>0</v>
      </c>
      <c r="L16" s="467">
        <f>审定BS!C78</f>
        <v>0</v>
      </c>
      <c r="M16" s="467">
        <f t="shared" si="3"/>
        <v>0</v>
      </c>
      <c r="N16" s="468" t="str">
        <f t="shared" si="4"/>
        <v/>
      </c>
      <c r="O16" s="447" t="str">
        <f>IF(N16="","",IF(OR(ABS(N16)&gt;=30%,ABS(M16)&gt;=$D$63*5%,ABS(M16)&gt;=已审横向PL!$D$31*10%),"显著",IF(ABS(N16)&gt;=10%,"关注","")))</f>
        <v/>
      </c>
      <c r="P16" s="865"/>
    </row>
    <row r="17" spans="1:16" ht="13.9" customHeight="1">
      <c r="A17" s="257" t="str">
        <f>报表格式!B15</f>
        <v>应收补贴款</v>
      </c>
      <c r="B17" s="258">
        <v>11</v>
      </c>
      <c r="C17" s="467">
        <f>审定BS!E16</f>
        <v>0</v>
      </c>
      <c r="D17" s="467">
        <f>审定BS!C16</f>
        <v>0</v>
      </c>
      <c r="E17" s="467">
        <f t="shared" si="1"/>
        <v>0</v>
      </c>
      <c r="F17" s="468" t="str">
        <f t="shared" si="2"/>
        <v/>
      </c>
      <c r="G17" s="447" t="str">
        <f>IF(F17="","",IF(OR(ABS(F17)&gt;=30%,ABS(E17)&gt;=$D$63*5%,ABS(E17)&gt;=已审横向PL!$D$31*10%),"显著",IF(ABS(F17)&gt;=10%,"关注","")))</f>
        <v/>
      </c>
      <c r="H17" s="260"/>
      <c r="I17" s="362" t="str">
        <f>报表格式!G15</f>
        <v>其他应交款</v>
      </c>
      <c r="J17" s="259">
        <f t="shared" si="0"/>
        <v>68</v>
      </c>
      <c r="K17" s="467">
        <f>审定BS!E79</f>
        <v>0</v>
      </c>
      <c r="L17" s="467">
        <f>审定BS!C79</f>
        <v>0</v>
      </c>
      <c r="M17" s="467">
        <f t="shared" si="3"/>
        <v>0</v>
      </c>
      <c r="N17" s="468" t="str">
        <f t="shared" si="4"/>
        <v/>
      </c>
      <c r="O17" s="447" t="str">
        <f>IF(N17="","",IF(OR(ABS(N17)&gt;=30%,ABS(M17)&gt;=$D$63*5%,ABS(M17)&gt;=已审横向PL!$D$31*10%),"显著",IF(ABS(N17)&gt;=10%,"关注","")))</f>
        <v/>
      </c>
      <c r="P17" s="865"/>
    </row>
    <row r="18" spans="1:16" ht="13.9" customHeight="1">
      <c r="A18" s="257" t="str">
        <f>报表格式!B16</f>
        <v>应收出口退税</v>
      </c>
      <c r="B18" s="258">
        <v>12</v>
      </c>
      <c r="C18" s="467">
        <f>审定BS!E17</f>
        <v>0</v>
      </c>
      <c r="D18" s="467">
        <f>审定BS!C17</f>
        <v>0</v>
      </c>
      <c r="E18" s="467">
        <f t="shared" si="1"/>
        <v>0</v>
      </c>
      <c r="F18" s="468" t="str">
        <f t="shared" si="2"/>
        <v/>
      </c>
      <c r="G18" s="447" t="str">
        <f>IF(F18="","",IF(OR(ABS(F18)&gt;=30%,ABS(E18)&gt;=$D$63*5%,ABS(E18)&gt;=已审横向PL!$D$31*10%),"显著",IF(ABS(F18)&gt;=10%,"关注","")))</f>
        <v/>
      </c>
      <c r="H18" s="260"/>
      <c r="I18" s="362" t="str">
        <f>报表格式!G16</f>
        <v>其他应付款</v>
      </c>
      <c r="J18" s="259">
        <f t="shared" si="0"/>
        <v>69</v>
      </c>
      <c r="K18" s="467">
        <f>审定BS!E80</f>
        <v>0</v>
      </c>
      <c r="L18" s="467">
        <f>审定BS!C80</f>
        <v>0</v>
      </c>
      <c r="M18" s="467">
        <f t="shared" si="3"/>
        <v>0</v>
      </c>
      <c r="N18" s="468" t="str">
        <f t="shared" si="4"/>
        <v/>
      </c>
      <c r="O18" s="447" t="str">
        <f>IF(N18="","",IF(OR(ABS(N18)&gt;=30%,ABS(M18)&gt;=$D$63*5%,ABS(M18)&gt;=已审横向PL!$D$31*10%),"显著",IF(ABS(N18)&gt;=10%,"关注","")))</f>
        <v/>
      </c>
      <c r="P18" s="865"/>
    </row>
    <row r="19" spans="1:16" ht="13.9" customHeight="1">
      <c r="A19" s="257" t="str">
        <f>报表格式!B17</f>
        <v>存货</v>
      </c>
      <c r="B19" s="258">
        <v>13</v>
      </c>
      <c r="C19" s="467">
        <f>审定BS!E18</f>
        <v>0</v>
      </c>
      <c r="D19" s="467">
        <f>审定BS!C18</f>
        <v>0</v>
      </c>
      <c r="E19" s="467">
        <f t="shared" si="1"/>
        <v>0</v>
      </c>
      <c r="F19" s="468" t="str">
        <f t="shared" si="2"/>
        <v/>
      </c>
      <c r="G19" s="447" t="str">
        <f>IF(F19="","",IF(OR(ABS(F19)&gt;=30%,ABS(E19)&gt;=$D$63*5%,ABS(E19)&gt;=已审横向PL!$D$31*10%),"显著",IF(ABS(F19)&gt;=10%,"关注","")))</f>
        <v/>
      </c>
      <c r="H19" s="260"/>
      <c r="I19" s="362" t="str">
        <f>报表格式!G17</f>
        <v>预提费用</v>
      </c>
      <c r="J19" s="259">
        <f t="shared" si="0"/>
        <v>70</v>
      </c>
      <c r="K19" s="467">
        <f>审定BS!E81</f>
        <v>0</v>
      </c>
      <c r="L19" s="467">
        <f>审定BS!C81</f>
        <v>0</v>
      </c>
      <c r="M19" s="467">
        <f t="shared" si="3"/>
        <v>0</v>
      </c>
      <c r="N19" s="468" t="str">
        <f t="shared" si="4"/>
        <v/>
      </c>
      <c r="O19" s="447" t="str">
        <f>IF(N19="","",IF(OR(ABS(N19)&gt;=30%,ABS(M19)&gt;=$D$63*5%,ABS(M19)&gt;=已审横向PL!$D$31*10%),"显著",IF(ABS(N19)&gt;=10%,"关注","")))</f>
        <v/>
      </c>
      <c r="P19" s="865"/>
    </row>
    <row r="20" spans="1:16" ht="13.9" customHeight="1">
      <c r="A20" s="257" t="str">
        <f>报表格式!B18</f>
        <v xml:space="preserve">  其中：原材料</v>
      </c>
      <c r="B20" s="258">
        <v>14</v>
      </c>
      <c r="C20" s="467">
        <f>审定BS!E19</f>
        <v>0</v>
      </c>
      <c r="D20" s="467">
        <f>审定BS!C19</f>
        <v>0</v>
      </c>
      <c r="E20" s="467">
        <f t="shared" si="1"/>
        <v>0</v>
      </c>
      <c r="F20" s="468" t="str">
        <f t="shared" si="2"/>
        <v/>
      </c>
      <c r="G20" s="447" t="str">
        <f>IF(F20="","",IF(OR(ABS(F20)&gt;=30%,ABS(E20)&gt;=$D$63*5%,ABS(E20)&gt;=已审横向PL!$D$31*10%),"显著",IF(ABS(F20)&gt;=10%,"关注","")))</f>
        <v/>
      </c>
      <c r="H20" s="260"/>
      <c r="I20" s="362" t="str">
        <f>报表格式!G18</f>
        <v>预计负债</v>
      </c>
      <c r="J20" s="259">
        <f t="shared" si="0"/>
        <v>71</v>
      </c>
      <c r="K20" s="467">
        <f>审定BS!E82</f>
        <v>0</v>
      </c>
      <c r="L20" s="467">
        <f>审定BS!C82</f>
        <v>0</v>
      </c>
      <c r="M20" s="467">
        <f t="shared" si="3"/>
        <v>0</v>
      </c>
      <c r="N20" s="468" t="str">
        <f t="shared" si="4"/>
        <v/>
      </c>
      <c r="O20" s="447" t="str">
        <f>IF(N20="","",IF(OR(ABS(N20)&gt;=30%,ABS(M20)&gt;=$D$63*5%,ABS(M20)&gt;=已审横向PL!$D$31*10%),"显著",IF(ABS(N20)&gt;=10%,"关注","")))</f>
        <v/>
      </c>
      <c r="P20" s="865"/>
    </row>
    <row r="21" spans="1:16" ht="13.9" customHeight="1">
      <c r="A21" s="257" t="str">
        <f>报表格式!B19</f>
        <v xml:space="preserve">        库存商品（产成品）</v>
      </c>
      <c r="B21" s="258">
        <v>15</v>
      </c>
      <c r="C21" s="467">
        <f>审定BS!E20</f>
        <v>0</v>
      </c>
      <c r="D21" s="467">
        <f>审定BS!C20</f>
        <v>0</v>
      </c>
      <c r="E21" s="467">
        <f>D21-C21</f>
        <v>0</v>
      </c>
      <c r="F21" s="468" t="str">
        <f t="shared" si="2"/>
        <v/>
      </c>
      <c r="G21" s="447" t="str">
        <f>IF(F21="","",IF(OR(ABS(F21)&gt;=30%,ABS(E21)&gt;=$D$63*5%,ABS(E21)&gt;=已审横向PL!$D$31*10%),"显著",IF(ABS(F21)&gt;=10%,"关注","")))</f>
        <v/>
      </c>
      <c r="H21" s="260"/>
      <c r="I21" s="362" t="str">
        <f>报表格式!G19</f>
        <v>递延收益</v>
      </c>
      <c r="J21" s="259">
        <f t="shared" si="0"/>
        <v>72</v>
      </c>
      <c r="K21" s="467">
        <f>审定BS!E83</f>
        <v>0</v>
      </c>
      <c r="L21" s="467">
        <f>审定BS!C83</f>
        <v>0</v>
      </c>
      <c r="M21" s="467">
        <f t="shared" ref="M21:M26" si="5">L21-K21</f>
        <v>0</v>
      </c>
      <c r="N21" s="468" t="str">
        <f t="shared" ref="N21:N26" si="6">IF(AND(K21=0,L21=0),"",IF(K21=0,100%,IF(L21=0,-100%,M21/K21)))</f>
        <v/>
      </c>
      <c r="O21" s="447" t="str">
        <f>IF(N21="","",IF(OR(ABS(N21)&gt;=30%,ABS(M21)&gt;=$D$63*5%,ABS(M21)&gt;=已审横向PL!$D$31*10%),"显著",IF(ABS(N21)&gt;=10%,"关注","")))</f>
        <v/>
      </c>
      <c r="P21" s="865"/>
    </row>
    <row r="22" spans="1:16" ht="13.9" customHeight="1">
      <c r="A22" s="257" t="str">
        <f>报表格式!B20</f>
        <v>待摊费用</v>
      </c>
      <c r="B22" s="258">
        <v>16</v>
      </c>
      <c r="C22" s="467">
        <f>审定BS!E21</f>
        <v>0</v>
      </c>
      <c r="D22" s="467">
        <f>审定BS!C21</f>
        <v>0</v>
      </c>
      <c r="E22" s="467">
        <f t="shared" si="1"/>
        <v>0</v>
      </c>
      <c r="F22" s="468" t="str">
        <f t="shared" si="2"/>
        <v/>
      </c>
      <c r="G22" s="447" t="str">
        <f>IF(F22="","",IF(OR(ABS(F22)&gt;=30%,ABS(E22)&gt;=$D$63*5%,ABS(E22)&gt;=已审横向PL!$D$31*10%),"显著",IF(ABS(F22)&gt;=10%,"关注","")))</f>
        <v/>
      </c>
      <c r="H22" s="260"/>
      <c r="I22" s="362" t="str">
        <f>报表格式!G20</f>
        <v>一年内到期的长期负债</v>
      </c>
      <c r="J22" s="259">
        <f t="shared" si="0"/>
        <v>73</v>
      </c>
      <c r="K22" s="467">
        <f>审定BS!E84</f>
        <v>0</v>
      </c>
      <c r="L22" s="467">
        <f>审定BS!C84</f>
        <v>0</v>
      </c>
      <c r="M22" s="467">
        <f t="shared" si="5"/>
        <v>0</v>
      </c>
      <c r="N22" s="468" t="str">
        <f t="shared" si="6"/>
        <v/>
      </c>
      <c r="O22" s="447" t="str">
        <f>IF(N22="","",IF(OR(ABS(N22)&gt;=30%,ABS(M22)&gt;=$D$63*5%,ABS(M22)&gt;=已审横向PL!$D$31*10%),"显著",IF(ABS(N22)&gt;=10%,"关注","")))</f>
        <v/>
      </c>
      <c r="P22" s="865"/>
    </row>
    <row r="23" spans="1:16" ht="13.9" customHeight="1">
      <c r="A23" s="257" t="str">
        <f>报表格式!B21</f>
        <v>待处理流动资产净损失</v>
      </c>
      <c r="B23" s="258">
        <v>17</v>
      </c>
      <c r="C23" s="467">
        <f>审定BS!E22</f>
        <v>0</v>
      </c>
      <c r="D23" s="467">
        <f>审定BS!C22</f>
        <v>0</v>
      </c>
      <c r="E23" s="467">
        <f t="shared" si="1"/>
        <v>0</v>
      </c>
      <c r="F23" s="468" t="str">
        <f t="shared" si="2"/>
        <v/>
      </c>
      <c r="G23" s="447" t="str">
        <f>IF(F23="","",IF(OR(ABS(F23)&gt;=30%,ABS(E23)&gt;=$D$63*5%,ABS(E23)&gt;=已审横向PL!$D$31*10%),"显著",IF(ABS(F23)&gt;=10%,"关注","")))</f>
        <v/>
      </c>
      <c r="H23" s="260"/>
      <c r="I23" s="362" t="str">
        <f>报表格式!G21</f>
        <v>应付权证</v>
      </c>
      <c r="J23" s="259">
        <f t="shared" si="0"/>
        <v>74</v>
      </c>
      <c r="K23" s="467">
        <f>审定BS!E85</f>
        <v>0</v>
      </c>
      <c r="L23" s="467">
        <f>审定BS!C85</f>
        <v>0</v>
      </c>
      <c r="M23" s="467">
        <f t="shared" si="5"/>
        <v>0</v>
      </c>
      <c r="N23" s="468" t="str">
        <f t="shared" si="6"/>
        <v/>
      </c>
      <c r="O23" s="447" t="str">
        <f>IF(N23="","",IF(OR(ABS(N23)&gt;=30%,ABS(M23)&gt;=$D$63*5%,ABS(M23)&gt;=已审横向PL!$D$31*10%),"显著",IF(ABS(N23)&gt;=10%,"关注","")))</f>
        <v/>
      </c>
      <c r="P23" s="865"/>
    </row>
    <row r="24" spans="1:16" ht="13.9" customHeight="1">
      <c r="A24" s="257" t="str">
        <f>报表格式!B22</f>
        <v>一年内到期的长期债权投资</v>
      </c>
      <c r="B24" s="258">
        <v>18</v>
      </c>
      <c r="C24" s="467">
        <f>审定BS!E23</f>
        <v>0</v>
      </c>
      <c r="D24" s="467">
        <f>审定BS!C23</f>
        <v>0</v>
      </c>
      <c r="E24" s="467">
        <f t="shared" si="1"/>
        <v>0</v>
      </c>
      <c r="F24" s="468" t="str">
        <f t="shared" si="2"/>
        <v/>
      </c>
      <c r="G24" s="447" t="str">
        <f>IF(F24="","",IF(OR(ABS(F24)&gt;=30%,ABS(E24)&gt;=$D$63*5%,ABS(E24)&gt;=已审横向PL!$D$31*10%),"显著",IF(ABS(F24)&gt;=10%,"关注","")))</f>
        <v/>
      </c>
      <c r="H24" s="260"/>
      <c r="I24" s="362" t="str">
        <f>报表格式!G22</f>
        <v>其他流动负债</v>
      </c>
      <c r="J24" s="259">
        <f t="shared" si="0"/>
        <v>75</v>
      </c>
      <c r="K24" s="467">
        <f>审定BS!E86</f>
        <v>0</v>
      </c>
      <c r="L24" s="467">
        <f>审定BS!C86</f>
        <v>0</v>
      </c>
      <c r="M24" s="467">
        <f t="shared" si="5"/>
        <v>0</v>
      </c>
      <c r="N24" s="468" t="str">
        <f t="shared" si="6"/>
        <v/>
      </c>
      <c r="O24" s="447" t="str">
        <f>IF(N24="","",IF(OR(ABS(N24)&gt;=30%,ABS(M24)&gt;=$D$63*5%,ABS(M24)&gt;=已审横向PL!$D$31*10%),"显著",IF(ABS(N24)&gt;=10%,"关注","")))</f>
        <v/>
      </c>
      <c r="P24" s="865"/>
    </row>
    <row r="25" spans="1:16" ht="13.9" customHeight="1">
      <c r="A25" s="257" t="str">
        <f>报表格式!B23</f>
        <v>其他流动资产</v>
      </c>
      <c r="B25" s="258">
        <v>19</v>
      </c>
      <c r="C25" s="467">
        <f>审定BS!E24</f>
        <v>0</v>
      </c>
      <c r="D25" s="467">
        <f>审定BS!C24</f>
        <v>0</v>
      </c>
      <c r="E25" s="467">
        <f t="shared" si="1"/>
        <v>0</v>
      </c>
      <c r="F25" s="468" t="str">
        <f t="shared" si="2"/>
        <v/>
      </c>
      <c r="G25" s="447" t="str">
        <f>IF(F25="","",IF(OR(ABS(F25)&gt;=30%,ABS(E25)&gt;=$D$63*5%,ABS(E25)&gt;=已审横向PL!$D$31*10%),"显著",IF(ABS(F25)&gt;=10%,"关注","")))</f>
        <v/>
      </c>
      <c r="H25" s="260"/>
      <c r="I25" s="362">
        <f>报表格式!G23</f>
        <v>0</v>
      </c>
      <c r="J25" s="259">
        <f t="shared" si="0"/>
        <v>76</v>
      </c>
      <c r="K25" s="467">
        <f>审定BS!E87</f>
        <v>0</v>
      </c>
      <c r="L25" s="467">
        <f>审定BS!C87</f>
        <v>0</v>
      </c>
      <c r="M25" s="467">
        <f t="shared" si="5"/>
        <v>0</v>
      </c>
      <c r="N25" s="468" t="str">
        <f t="shared" si="6"/>
        <v/>
      </c>
      <c r="O25" s="447" t="str">
        <f>IF(N25="","",IF(OR(ABS(N25)&gt;=30%,ABS(M25)&gt;=$D$63*5%,ABS(M25)&gt;=已审横向PL!$D$31*10%),"显著",IF(ABS(N25)&gt;=10%,"关注","")))</f>
        <v/>
      </c>
      <c r="P25" s="865"/>
    </row>
    <row r="26" spans="1:16" ht="13.9" customHeight="1">
      <c r="A26" s="357">
        <f>报表格式!B24</f>
        <v>0</v>
      </c>
      <c r="B26" s="258">
        <v>20</v>
      </c>
      <c r="C26" s="467">
        <f>审定BS!E25</f>
        <v>0</v>
      </c>
      <c r="D26" s="467">
        <f>审定BS!C25</f>
        <v>0</v>
      </c>
      <c r="E26" s="467">
        <f t="shared" si="1"/>
        <v>0</v>
      </c>
      <c r="F26" s="468" t="str">
        <f t="shared" si="2"/>
        <v/>
      </c>
      <c r="G26" s="447" t="str">
        <f>IF(F26="","",IF(OR(ABS(F26)&gt;=30%,ABS(E26)&gt;=$D$63*5%,ABS(E26)&gt;=已审横向PL!$D$31*10%),"显著",IF(ABS(F26)&gt;=10%,"关注","")))</f>
        <v/>
      </c>
      <c r="H26" s="260"/>
      <c r="I26" s="362">
        <f>报表格式!G24</f>
        <v>0</v>
      </c>
      <c r="J26" s="259">
        <f t="shared" si="0"/>
        <v>77</v>
      </c>
      <c r="K26" s="467">
        <f>审定BS!E88</f>
        <v>0</v>
      </c>
      <c r="L26" s="467">
        <f>审定BS!C88</f>
        <v>0</v>
      </c>
      <c r="M26" s="467">
        <f t="shared" si="5"/>
        <v>0</v>
      </c>
      <c r="N26" s="468" t="str">
        <f t="shared" si="6"/>
        <v/>
      </c>
      <c r="O26" s="447" t="str">
        <f>IF(N26="","",IF(OR(ABS(N26)&gt;=30%,ABS(M26)&gt;=$D$63*5%,ABS(M26)&gt;=已审横向PL!$D$31*10%),"显著",IF(ABS(N26)&gt;=10%,"关注","")))</f>
        <v/>
      </c>
      <c r="P26" s="865"/>
    </row>
    <row r="27" spans="1:16" ht="13.9" customHeight="1">
      <c r="A27" s="357">
        <f>报表格式!B25</f>
        <v>0</v>
      </c>
      <c r="B27" s="258">
        <v>21</v>
      </c>
      <c r="C27" s="467">
        <f>审定BS!E26</f>
        <v>0</v>
      </c>
      <c r="D27" s="467">
        <f>审定BS!C26</f>
        <v>0</v>
      </c>
      <c r="E27" s="467">
        <f t="shared" si="1"/>
        <v>0</v>
      </c>
      <c r="F27" s="468" t="str">
        <f t="shared" si="2"/>
        <v/>
      </c>
      <c r="G27" s="447" t="str">
        <f>IF(F27="","",IF(OR(ABS(F27)&gt;=30%,ABS(E27)&gt;=$D$63*5%,ABS(E27)&gt;=已审横向PL!$D$31*10%),"显著",IF(ABS(F27)&gt;=10%,"关注","")))</f>
        <v/>
      </c>
      <c r="H27" s="260"/>
      <c r="I27" s="261" t="str">
        <f>报表格式!G25</f>
        <v>流动负债合计</v>
      </c>
      <c r="J27" s="259">
        <f t="shared" si="0"/>
        <v>78</v>
      </c>
      <c r="K27" s="469">
        <f>SUM(K8:K24)</f>
        <v>0</v>
      </c>
      <c r="L27" s="469">
        <f>SUM(L8:L24)</f>
        <v>0</v>
      </c>
      <c r="M27" s="469">
        <f t="shared" si="3"/>
        <v>0</v>
      </c>
      <c r="N27" s="600" t="str">
        <f t="shared" si="4"/>
        <v/>
      </c>
      <c r="O27" s="447" t="str">
        <f>IF(N27="","",IF(OR(ABS(N27)&gt;=30%,ABS(M27)&gt;=$D$63*5%,ABS(M27)&gt;=已审横向PL!$D$31*10%),"显著",IF(ABS(N27)&gt;=10%,"关注","")))</f>
        <v/>
      </c>
      <c r="P27" s="865"/>
    </row>
    <row r="28" spans="1:16" ht="13.9" customHeight="1">
      <c r="A28" s="261" t="str">
        <f>报表格式!B26</f>
        <v>流动资产合计</v>
      </c>
      <c r="B28" s="258">
        <v>22</v>
      </c>
      <c r="C28" s="469">
        <f>SUM(C8:C27)-C20-C21</f>
        <v>0</v>
      </c>
      <c r="D28" s="469">
        <f>SUM(D8:D27)-D20-D21</f>
        <v>0</v>
      </c>
      <c r="E28" s="469">
        <f t="shared" si="1"/>
        <v>0</v>
      </c>
      <c r="F28" s="600" t="str">
        <f t="shared" si="2"/>
        <v/>
      </c>
      <c r="G28" s="447" t="str">
        <f>IF(F28="","",IF(OR(ABS(F28)&gt;=30%,ABS(E28)&gt;=$D$63*5%,ABS(E28)&gt;=已审横向PL!$D$31*10%),"显著",IF(ABS(F28)&gt;=10%,"关注","")))</f>
        <v/>
      </c>
      <c r="H28" s="331"/>
      <c r="I28" s="363" t="str">
        <f>报表格式!G26</f>
        <v>长期负债：</v>
      </c>
      <c r="J28" s="259">
        <f t="shared" si="0"/>
        <v>79</v>
      </c>
      <c r="K28" s="467"/>
      <c r="L28" s="467"/>
      <c r="M28" s="467"/>
      <c r="N28" s="468" t="str">
        <f t="shared" si="4"/>
        <v/>
      </c>
      <c r="O28" s="447" t="str">
        <f>IF(N28="","",IF(OR(ABS(N28)&gt;=30%,ABS(M28)&gt;=$D$63*5%,ABS(M28)&gt;=已审横向PL!$D$31*10%),"显著",IF(ABS(N28)&gt;=10%,"关注","")))</f>
        <v/>
      </c>
      <c r="P28" s="865"/>
    </row>
    <row r="29" spans="1:16" ht="13.9" customHeight="1">
      <c r="A29" s="257" t="str">
        <f>报表格式!B27</f>
        <v>长期投资</v>
      </c>
      <c r="B29" s="258">
        <v>23</v>
      </c>
      <c r="C29" s="467">
        <f>SUM(C30:C31)</f>
        <v>0</v>
      </c>
      <c r="D29" s="467">
        <f>SUM(D30:D31)</f>
        <v>0</v>
      </c>
      <c r="E29" s="467">
        <f t="shared" ref="E29:E35" si="7">D29-C29</f>
        <v>0</v>
      </c>
      <c r="F29" s="468" t="str">
        <f t="shared" si="2"/>
        <v/>
      </c>
      <c r="G29" s="447" t="str">
        <f>IF(F29="","",IF(OR(ABS(F29)&gt;=30%,ABS(E29)&gt;=$D$63*5%,ABS(E29)&gt;=已审横向PL!$D$31*10%),"显著",IF(ABS(F29)&gt;=10%,"关注","")))</f>
        <v/>
      </c>
      <c r="H29" s="260"/>
      <c r="I29" s="362" t="str">
        <f>报表格式!G27</f>
        <v>长期借款</v>
      </c>
      <c r="J29" s="259">
        <f t="shared" si="0"/>
        <v>80</v>
      </c>
      <c r="K29" s="467">
        <f>审定BS!E91</f>
        <v>0</v>
      </c>
      <c r="L29" s="467">
        <f>审定BS!C91</f>
        <v>0</v>
      </c>
      <c r="M29" s="467">
        <f>L29-K29</f>
        <v>0</v>
      </c>
      <c r="N29" s="468" t="str">
        <f t="shared" si="4"/>
        <v/>
      </c>
      <c r="O29" s="447" t="str">
        <f>IF(N29="","",IF(OR(ABS(N29)&gt;=30%,ABS(M29)&gt;=$D$63*5%,ABS(M29)&gt;=已审横向PL!$D$31*10%),"显著",IF(ABS(N29)&gt;=10%,"关注","")))</f>
        <v/>
      </c>
      <c r="P29" s="865"/>
    </row>
    <row r="30" spans="1:16" ht="13.9" customHeight="1">
      <c r="A30" s="257" t="str">
        <f>报表格式!B28</f>
        <v xml:space="preserve">  其中：长期股权投资</v>
      </c>
      <c r="B30" s="258">
        <v>24</v>
      </c>
      <c r="C30" s="467">
        <f>审定BS!E29</f>
        <v>0</v>
      </c>
      <c r="D30" s="467">
        <f>审定BS!C29</f>
        <v>0</v>
      </c>
      <c r="E30" s="467">
        <f t="shared" si="7"/>
        <v>0</v>
      </c>
      <c r="F30" s="468" t="str">
        <f t="shared" si="2"/>
        <v/>
      </c>
      <c r="G30" s="447" t="str">
        <f>IF(F30="","",IF(OR(ABS(F30)&gt;=30%,ABS(E30)&gt;=$D$63*5%,ABS(E30)&gt;=已审横向PL!$D$31*10%),"显著",IF(ABS(F30)&gt;=10%,"关注","")))</f>
        <v/>
      </c>
      <c r="H30" s="260"/>
      <c r="I30" s="362" t="str">
        <f>报表格式!G28</f>
        <v>应付债券</v>
      </c>
      <c r="J30" s="259">
        <f t="shared" si="0"/>
        <v>81</v>
      </c>
      <c r="K30" s="467">
        <f>审定BS!E92</f>
        <v>0</v>
      </c>
      <c r="L30" s="467">
        <f>审定BS!C92</f>
        <v>0</v>
      </c>
      <c r="M30" s="467">
        <f t="shared" ref="M30:M37" si="8">L30-K30</f>
        <v>0</v>
      </c>
      <c r="N30" s="468" t="str">
        <f t="shared" si="4"/>
        <v/>
      </c>
      <c r="O30" s="447" t="str">
        <f>IF(N30="","",IF(OR(ABS(N30)&gt;=30%,ABS(M30)&gt;=$D$63*5%,ABS(M30)&gt;=已审横向PL!$D$31*10%),"显著",IF(ABS(N30)&gt;=10%,"关注","")))</f>
        <v/>
      </c>
      <c r="P30" s="865"/>
    </row>
    <row r="31" spans="1:16" ht="13.9" customHeight="1">
      <c r="A31" s="257" t="str">
        <f>报表格式!B29</f>
        <v xml:space="preserve">       长期债权投资</v>
      </c>
      <c r="B31" s="258">
        <v>25</v>
      </c>
      <c r="C31" s="467">
        <f>审定BS!E30</f>
        <v>0</v>
      </c>
      <c r="D31" s="467">
        <f>审定BS!C30</f>
        <v>0</v>
      </c>
      <c r="E31" s="467">
        <f t="shared" si="7"/>
        <v>0</v>
      </c>
      <c r="F31" s="468" t="str">
        <f t="shared" si="2"/>
        <v/>
      </c>
      <c r="G31" s="447" t="str">
        <f>IF(F31="","",IF(OR(ABS(F31)&gt;=30%,ABS(E31)&gt;=$D$63*5%,ABS(E31)&gt;=已审横向PL!$D$31*10%),"显著",IF(ABS(F31)&gt;=10%,"关注","")))</f>
        <v/>
      </c>
      <c r="H31" s="260"/>
      <c r="I31" s="362" t="str">
        <f>报表格式!G29</f>
        <v>长期应付款</v>
      </c>
      <c r="J31" s="259">
        <f t="shared" si="0"/>
        <v>82</v>
      </c>
      <c r="K31" s="467">
        <f>审定BS!E93</f>
        <v>0</v>
      </c>
      <c r="L31" s="467">
        <f>审定BS!C93</f>
        <v>0</v>
      </c>
      <c r="M31" s="467">
        <f t="shared" si="8"/>
        <v>0</v>
      </c>
      <c r="N31" s="468" t="str">
        <f t="shared" si="4"/>
        <v/>
      </c>
      <c r="O31" s="447" t="str">
        <f>IF(N31="","",IF(OR(ABS(N31)&gt;=30%,ABS(M31)&gt;=$D$63*5%,ABS(M31)&gt;=已审横向PL!$D$31*10%),"显著",IF(ABS(N31)&gt;=10%,"关注","")))</f>
        <v/>
      </c>
      <c r="P31" s="865"/>
    </row>
    <row r="32" spans="1:16" ht="13.9" customHeight="1">
      <c r="A32" s="257" t="str">
        <f>报表格式!B30</f>
        <v>*合并价差</v>
      </c>
      <c r="B32" s="258">
        <v>26</v>
      </c>
      <c r="C32" s="467">
        <f>审定BS!E31</f>
        <v>0</v>
      </c>
      <c r="D32" s="467">
        <f>审定BS!C31</f>
        <v>0</v>
      </c>
      <c r="E32" s="467">
        <f t="shared" si="7"/>
        <v>0</v>
      </c>
      <c r="F32" s="468" t="str">
        <f t="shared" si="2"/>
        <v/>
      </c>
      <c r="G32" s="447" t="str">
        <f>IF(F32="","",IF(OR(ABS(F32)&gt;=30%,ABS(E32)&gt;=$D$63*5%,ABS(E32)&gt;=已审横向PL!$D$31*10%),"显著",IF(ABS(F32)&gt;=10%,"关注","")))</f>
        <v/>
      </c>
      <c r="H32" s="260"/>
      <c r="I32" s="362" t="str">
        <f>报表格式!G30</f>
        <v>专项应付款</v>
      </c>
      <c r="J32" s="259">
        <f t="shared" si="0"/>
        <v>83</v>
      </c>
      <c r="K32" s="467">
        <f>审定BS!E94</f>
        <v>0</v>
      </c>
      <c r="L32" s="467">
        <f>审定BS!C94</f>
        <v>0</v>
      </c>
      <c r="M32" s="467">
        <f t="shared" si="8"/>
        <v>0</v>
      </c>
      <c r="N32" s="468" t="str">
        <f t="shared" si="4"/>
        <v/>
      </c>
      <c r="O32" s="447" t="str">
        <f>IF(N32="","",IF(OR(ABS(N32)&gt;=30%,ABS(M32)&gt;=$D$63*5%,ABS(M32)&gt;=已审横向PL!$D$31*10%),"显著",IF(ABS(N32)&gt;=10%,"关注","")))</f>
        <v/>
      </c>
      <c r="P32" s="865"/>
    </row>
    <row r="33" spans="1:16" ht="13.9" customHeight="1">
      <c r="A33" s="257">
        <f>报表格式!B31</f>
        <v>0</v>
      </c>
      <c r="B33" s="258">
        <v>27</v>
      </c>
      <c r="C33" s="467">
        <f>审定BS!E32</f>
        <v>0</v>
      </c>
      <c r="D33" s="467">
        <f>审定BS!C32</f>
        <v>0</v>
      </c>
      <c r="E33" s="467">
        <f t="shared" si="7"/>
        <v>0</v>
      </c>
      <c r="F33" s="468" t="str">
        <f t="shared" si="2"/>
        <v/>
      </c>
      <c r="G33" s="447" t="str">
        <f>IF(F33="","",IF(OR(ABS(F33)&gt;=30%,ABS(E33)&gt;=$D$63*5%,ABS(E33)&gt;=已审横向PL!$D$31*10%),"显著",IF(ABS(F33)&gt;=10%,"关注","")))</f>
        <v/>
      </c>
      <c r="H33" s="260"/>
      <c r="I33" s="362" t="str">
        <f>报表格式!G31</f>
        <v>其他长期负债</v>
      </c>
      <c r="J33" s="259">
        <f t="shared" si="0"/>
        <v>84</v>
      </c>
      <c r="K33" s="467">
        <f>审定BS!E95</f>
        <v>0</v>
      </c>
      <c r="L33" s="467">
        <f>审定BS!C95</f>
        <v>0</v>
      </c>
      <c r="M33" s="467">
        <f t="shared" si="8"/>
        <v>0</v>
      </c>
      <c r="N33" s="468" t="str">
        <f t="shared" si="4"/>
        <v/>
      </c>
      <c r="O33" s="447" t="str">
        <f>IF(N33="","",IF(OR(ABS(N33)&gt;=30%,ABS(M33)&gt;=$D$63*5%,ABS(M33)&gt;=已审横向PL!$D$31*10%),"显著",IF(ABS(N33)&gt;=10%,"关注","")))</f>
        <v/>
      </c>
      <c r="P33" s="865"/>
    </row>
    <row r="34" spans="1:16" ht="13.9" customHeight="1">
      <c r="A34" s="257">
        <f>报表格式!B32</f>
        <v>0</v>
      </c>
      <c r="B34" s="258">
        <v>28</v>
      </c>
      <c r="C34" s="467">
        <f>审定BS!E33</f>
        <v>0</v>
      </c>
      <c r="D34" s="467">
        <f>审定BS!C33</f>
        <v>0</v>
      </c>
      <c r="E34" s="467">
        <f t="shared" si="7"/>
        <v>0</v>
      </c>
      <c r="F34" s="468" t="str">
        <f t="shared" si="2"/>
        <v/>
      </c>
      <c r="G34" s="447" t="str">
        <f>IF(F34="","",IF(OR(ABS(F34)&gt;=30%,ABS(E34)&gt;=$D$63*5%,ABS(E34)&gt;=已审横向PL!$D$31*10%),"显著",IF(ABS(F34)&gt;=10%,"关注","")))</f>
        <v/>
      </c>
      <c r="H34" s="260"/>
      <c r="I34" s="362" t="str">
        <f>报表格式!G32</f>
        <v xml:space="preserve">  其中：特准储备资金</v>
      </c>
      <c r="J34" s="259">
        <f t="shared" si="0"/>
        <v>85</v>
      </c>
      <c r="K34" s="467">
        <f>审定BS!E96</f>
        <v>0</v>
      </c>
      <c r="L34" s="467">
        <f>审定BS!C96</f>
        <v>0</v>
      </c>
      <c r="M34" s="467">
        <f t="shared" si="8"/>
        <v>0</v>
      </c>
      <c r="N34" s="468" t="str">
        <f t="shared" si="4"/>
        <v/>
      </c>
      <c r="O34" s="447" t="str">
        <f>IF(N34="","",IF(OR(ABS(N34)&gt;=30%,ABS(M34)&gt;=$D$63*5%,ABS(M34)&gt;=已审横向PL!$D$31*10%),"显著",IF(ABS(N34)&gt;=10%,"关注","")))</f>
        <v/>
      </c>
      <c r="P34" s="865"/>
    </row>
    <row r="35" spans="1:16" ht="13.9" customHeight="1">
      <c r="A35" s="263" t="str">
        <f>报表格式!B33</f>
        <v>长期投资合计</v>
      </c>
      <c r="B35" s="258">
        <v>29</v>
      </c>
      <c r="C35" s="469">
        <f>SUM(C29,C32:C34)</f>
        <v>0</v>
      </c>
      <c r="D35" s="469">
        <f>SUM(D29,D32:D34)</f>
        <v>0</v>
      </c>
      <c r="E35" s="470">
        <f t="shared" si="7"/>
        <v>0</v>
      </c>
      <c r="F35" s="468" t="str">
        <f t="shared" si="2"/>
        <v/>
      </c>
      <c r="G35" s="447" t="str">
        <f>IF(F35="","",IF(OR(ABS(F35)&gt;=30%,ABS(E35)&gt;=$D$63*5%,ABS(E35)&gt;=已审横向PL!$D$31*10%),"显著",IF(ABS(F35)&gt;=10%,"关注","")))</f>
        <v/>
      </c>
      <c r="H35" s="331"/>
      <c r="I35" s="362">
        <f>报表格式!G33</f>
        <v>0</v>
      </c>
      <c r="J35" s="259">
        <f t="shared" si="0"/>
        <v>86</v>
      </c>
      <c r="K35" s="467">
        <f>审定BS!E97</f>
        <v>0</v>
      </c>
      <c r="L35" s="467">
        <f>审定BS!C97</f>
        <v>0</v>
      </c>
      <c r="M35" s="467">
        <f t="shared" si="8"/>
        <v>0</v>
      </c>
      <c r="N35" s="468" t="str">
        <f t="shared" si="4"/>
        <v/>
      </c>
      <c r="O35" s="447" t="str">
        <f>IF(N35="","",IF(OR(ABS(N35)&gt;=30%,ABS(M35)&gt;=$D$63*5%,ABS(M35)&gt;=已审横向PL!$D$31*10%),"显著",IF(ABS(N35)&gt;=10%,"关注","")))</f>
        <v/>
      </c>
      <c r="P35" s="865"/>
    </row>
    <row r="36" spans="1:16" ht="13.9" customHeight="1">
      <c r="A36" s="262" t="str">
        <f>报表格式!B34</f>
        <v>固定资产：</v>
      </c>
      <c r="B36" s="258">
        <v>30</v>
      </c>
      <c r="C36" s="471"/>
      <c r="D36" s="471"/>
      <c r="E36" s="471"/>
      <c r="F36" s="468" t="str">
        <f t="shared" si="2"/>
        <v/>
      </c>
      <c r="G36" s="447" t="str">
        <f>IF(F36="","",IF(OR(ABS(F36)&gt;=30%,ABS(E36)&gt;=$D$63*5%,ABS(E36)&gt;=已审横向PL!$D$31*10%),"显著",IF(ABS(F36)&gt;=10%,"关注","")))</f>
        <v/>
      </c>
      <c r="H36" s="331"/>
      <c r="I36" s="362">
        <f>报表格式!G34</f>
        <v>0</v>
      </c>
      <c r="J36" s="259">
        <f t="shared" si="0"/>
        <v>87</v>
      </c>
      <c r="K36" s="467">
        <f>审定BS!E98</f>
        <v>0</v>
      </c>
      <c r="L36" s="467">
        <f>审定BS!C98</f>
        <v>0</v>
      </c>
      <c r="M36" s="467">
        <f t="shared" si="8"/>
        <v>0</v>
      </c>
      <c r="N36" s="468" t="str">
        <f t="shared" si="4"/>
        <v/>
      </c>
      <c r="O36" s="447" t="str">
        <f>IF(N36="","",IF(OR(ABS(N36)&gt;=30%,ABS(M36)&gt;=$D$63*5%,ABS(M36)&gt;=已审横向PL!$D$31*10%),"显著",IF(ABS(N36)&gt;=10%,"关注","")))</f>
        <v/>
      </c>
      <c r="P36" s="865"/>
    </row>
    <row r="37" spans="1:16" ht="13.9" customHeight="1">
      <c r="A37" s="257" t="str">
        <f>报表格式!B35</f>
        <v>固定资产原价</v>
      </c>
      <c r="B37" s="258">
        <v>31</v>
      </c>
      <c r="C37" s="467">
        <f>审定BS!E36</f>
        <v>0</v>
      </c>
      <c r="D37" s="467">
        <f>审定BS!C36</f>
        <v>0</v>
      </c>
      <c r="E37" s="467">
        <f>D37-C37</f>
        <v>0</v>
      </c>
      <c r="F37" s="468" t="str">
        <f t="shared" si="2"/>
        <v/>
      </c>
      <c r="G37" s="447" t="str">
        <f>IF(F37="","",IF(OR(ABS(F37)&gt;=30%,ABS(E37)&gt;=$D$63*5%,ABS(E37)&gt;=已审横向PL!$D$31*10%),"显著",IF(ABS(F37)&gt;=10%,"关注","")))</f>
        <v/>
      </c>
      <c r="H37" s="260"/>
      <c r="I37" s="261" t="str">
        <f>报表格式!G35</f>
        <v>长期负债合计</v>
      </c>
      <c r="J37" s="259">
        <f t="shared" si="0"/>
        <v>88</v>
      </c>
      <c r="K37" s="469">
        <f>SUM(K29:K34)-K34+SUM(K35:K36)</f>
        <v>0</v>
      </c>
      <c r="L37" s="469">
        <f>SUM(L29:L34)-L34+SUM(L35:L36)</f>
        <v>0</v>
      </c>
      <c r="M37" s="469">
        <f t="shared" si="8"/>
        <v>0</v>
      </c>
      <c r="N37" s="600" t="str">
        <f t="shared" si="4"/>
        <v/>
      </c>
      <c r="O37" s="447" t="str">
        <f>IF(N37="","",IF(OR(ABS(N37)&gt;=30%,ABS(M37)&gt;=$D$63*5%,ABS(M37)&gt;=已审横向PL!$D$31*10%),"显著",IF(ABS(N37)&gt;=10%,"关注","")))</f>
        <v/>
      </c>
      <c r="P37" s="865"/>
    </row>
    <row r="38" spans="1:16" ht="13.9" customHeight="1">
      <c r="A38" s="257" t="str">
        <f>报表格式!B36</f>
        <v xml:space="preserve">  减：累计折旧</v>
      </c>
      <c r="B38" s="258">
        <v>32</v>
      </c>
      <c r="C38" s="467">
        <f>审定BS!E37</f>
        <v>0</v>
      </c>
      <c r="D38" s="467">
        <f>审定BS!C37</f>
        <v>0</v>
      </c>
      <c r="E38" s="467">
        <f t="shared" ref="E38:E47" si="9">D38-C38</f>
        <v>0</v>
      </c>
      <c r="F38" s="468" t="str">
        <f t="shared" si="2"/>
        <v/>
      </c>
      <c r="G38" s="447" t="str">
        <f>IF(F38="","",IF(OR(ABS(F38)&gt;=30%,ABS(E38)&gt;=$D$63*5%,ABS(E38)&gt;=已审横向PL!$D$31*10%),"显著",IF(ABS(F38)&gt;=10%,"关注","")))</f>
        <v/>
      </c>
      <c r="H38" s="260"/>
      <c r="I38" s="363" t="str">
        <f>报表格式!G36</f>
        <v>递延税项：</v>
      </c>
      <c r="J38" s="259">
        <f t="shared" si="0"/>
        <v>89</v>
      </c>
      <c r="K38" s="471"/>
      <c r="L38" s="471"/>
      <c r="M38" s="471"/>
      <c r="N38" s="468" t="str">
        <f t="shared" si="4"/>
        <v/>
      </c>
      <c r="O38" s="447" t="str">
        <f>IF(N38="","",IF(OR(ABS(N38)&gt;=30%,ABS(M38)&gt;=$D$63*5%,ABS(M38)&gt;=已审横向PL!$D$31*10%),"显著",IF(ABS(N38)&gt;=10%,"关注","")))</f>
        <v/>
      </c>
      <c r="P38" s="865"/>
    </row>
    <row r="39" spans="1:16" ht="13.9" customHeight="1">
      <c r="A39" s="257" t="str">
        <f>报表格式!B37</f>
        <v>固定资产净值</v>
      </c>
      <c r="B39" s="258">
        <v>33</v>
      </c>
      <c r="C39" s="471">
        <f>C37-C38</f>
        <v>0</v>
      </c>
      <c r="D39" s="471">
        <f>D37-D38</f>
        <v>0</v>
      </c>
      <c r="E39" s="471">
        <f t="shared" si="9"/>
        <v>0</v>
      </c>
      <c r="F39" s="600" t="str">
        <f t="shared" si="2"/>
        <v/>
      </c>
      <c r="G39" s="447" t="str">
        <f>IF(F39="","",IF(OR(ABS(F39)&gt;=30%,ABS(E39)&gt;=$D$63*5%,ABS(E39)&gt;=已审横向PL!$D$31*10%),"显著",IF(ABS(F39)&gt;=10%,"关注","")))</f>
        <v/>
      </c>
      <c r="H39" s="331"/>
      <c r="I39" s="362" t="str">
        <f>报表格式!G37</f>
        <v>递延税款贷项</v>
      </c>
      <c r="J39" s="259">
        <f t="shared" si="0"/>
        <v>90</v>
      </c>
      <c r="K39" s="467">
        <f>审定BS!E101</f>
        <v>0</v>
      </c>
      <c r="L39" s="467">
        <f>审定BS!C101</f>
        <v>0</v>
      </c>
      <c r="M39" s="467">
        <f>L39-K39</f>
        <v>0</v>
      </c>
      <c r="N39" s="468" t="str">
        <f t="shared" si="4"/>
        <v/>
      </c>
      <c r="O39" s="447" t="str">
        <f>IF(N39="","",IF(OR(ABS(N39)&gt;=30%,ABS(M39)&gt;=$D$63*5%,ABS(M39)&gt;=已审横向PL!$D$31*10%),"显著",IF(ABS(N39)&gt;=10%,"关注","")))</f>
        <v/>
      </c>
      <c r="P39" s="865"/>
    </row>
    <row r="40" spans="1:16" ht="13.9" customHeight="1">
      <c r="A40" s="257" t="str">
        <f>报表格式!B38</f>
        <v xml:space="preserve">  减：固定资产减值准备</v>
      </c>
      <c r="B40" s="258">
        <v>34</v>
      </c>
      <c r="C40" s="467">
        <f>审定BS!E39</f>
        <v>0</v>
      </c>
      <c r="D40" s="467">
        <f>审定BS!C39</f>
        <v>0</v>
      </c>
      <c r="E40" s="467">
        <f t="shared" si="9"/>
        <v>0</v>
      </c>
      <c r="F40" s="468" t="str">
        <f t="shared" si="2"/>
        <v/>
      </c>
      <c r="G40" s="447" t="str">
        <f>IF(F40="","",IF(OR(ABS(F40)&gt;=30%,ABS(E40)&gt;=$D$63*5%,ABS(E40)&gt;=已审横向PL!$D$31*10%),"显著",IF(ABS(F40)&gt;=10%,"关注","")))</f>
        <v/>
      </c>
      <c r="H40" s="260"/>
      <c r="I40" s="261" t="str">
        <f>报表格式!G38</f>
        <v>负 债 合 计</v>
      </c>
      <c r="J40" s="259">
        <f t="shared" si="0"/>
        <v>91</v>
      </c>
      <c r="K40" s="469">
        <f>K27+K37+K39</f>
        <v>0</v>
      </c>
      <c r="L40" s="469">
        <f>L27+L37+L39</f>
        <v>0</v>
      </c>
      <c r="M40" s="470">
        <f>L40-K40</f>
        <v>0</v>
      </c>
      <c r="N40" s="468" t="str">
        <f t="shared" si="4"/>
        <v/>
      </c>
      <c r="O40" s="447" t="str">
        <f>IF(N40="","",IF(OR(ABS(N40)&gt;=30%,ABS(M40)&gt;=$D$63*5%,ABS(M40)&gt;=已审横向PL!$D$31*10%),"显著",IF(ABS(N40)&gt;=10%,"关注","")))</f>
        <v/>
      </c>
      <c r="P40" s="865"/>
    </row>
    <row r="41" spans="1:16" ht="13.9" customHeight="1">
      <c r="A41" s="257" t="str">
        <f>报表格式!B39</f>
        <v>固定资产净额</v>
      </c>
      <c r="B41" s="258">
        <v>35</v>
      </c>
      <c r="C41" s="471">
        <f>C39-C40</f>
        <v>0</v>
      </c>
      <c r="D41" s="471">
        <f>D39-D40</f>
        <v>0</v>
      </c>
      <c r="E41" s="471">
        <f t="shared" si="9"/>
        <v>0</v>
      </c>
      <c r="F41" s="600" t="str">
        <f t="shared" si="2"/>
        <v/>
      </c>
      <c r="G41" s="447" t="str">
        <f>IF(F41="","",IF(OR(ABS(F41)&gt;=30%,ABS(E41)&gt;=$D$63*5%,ABS(E41)&gt;=已审横向PL!$D$31*10%),"显著",IF(ABS(F41)&gt;=10%,"关注","")))</f>
        <v/>
      </c>
      <c r="H41" s="331"/>
      <c r="I41" s="362" t="str">
        <f>报表格式!G39</f>
        <v>*少数股东权益</v>
      </c>
      <c r="J41" s="259">
        <f t="shared" si="0"/>
        <v>92</v>
      </c>
      <c r="K41" s="467">
        <f>审定BS!E103</f>
        <v>0</v>
      </c>
      <c r="L41" s="467">
        <f>审定BS!C103</f>
        <v>0</v>
      </c>
      <c r="M41" s="467">
        <f>L41-K41</f>
        <v>0</v>
      </c>
      <c r="N41" s="468" t="str">
        <f t="shared" si="4"/>
        <v/>
      </c>
      <c r="O41" s="447" t="str">
        <f>IF(N41="","",IF(OR(ABS(N41)&gt;=30%,ABS(M41)&gt;=$D$63*5%,ABS(M41)&gt;=已审横向PL!$D$31*10%),"显著",IF(ABS(N41)&gt;=10%,"关注","")))</f>
        <v/>
      </c>
      <c r="P41" s="865"/>
    </row>
    <row r="42" spans="1:16" ht="13.9" customHeight="1">
      <c r="A42" s="257" t="str">
        <f>报表格式!B40</f>
        <v>工程物资</v>
      </c>
      <c r="B42" s="258">
        <v>36</v>
      </c>
      <c r="C42" s="467">
        <f>审定BS!E41</f>
        <v>0</v>
      </c>
      <c r="D42" s="467">
        <f>审定BS!C41</f>
        <v>0</v>
      </c>
      <c r="E42" s="467">
        <f t="shared" si="9"/>
        <v>0</v>
      </c>
      <c r="F42" s="468" t="str">
        <f t="shared" si="2"/>
        <v/>
      </c>
      <c r="G42" s="447" t="str">
        <f>IF(F42="","",IF(OR(ABS(F42)&gt;=30%,ABS(E42)&gt;=$D$63*5%,ABS(E42)&gt;=已审横向PL!$D$31*10%),"显著",IF(ABS(F42)&gt;=10%,"关注","")))</f>
        <v/>
      </c>
      <c r="H42" s="260"/>
      <c r="I42" s="362"/>
      <c r="J42" s="259">
        <f t="shared" si="0"/>
        <v>93</v>
      </c>
      <c r="K42" s="471"/>
      <c r="L42" s="471"/>
      <c r="M42" s="467"/>
      <c r="N42" s="468" t="str">
        <f t="shared" si="4"/>
        <v/>
      </c>
      <c r="O42" s="447" t="str">
        <f>IF(N42="","",IF(OR(ABS(N42)&gt;=30%,ABS(M42)&gt;=$D$63*5%,ABS(M42)&gt;=已审横向PL!$D$31*10%),"显著",IF(ABS(N42)&gt;=10%,"关注","")))</f>
        <v/>
      </c>
      <c r="P42" s="865"/>
    </row>
    <row r="43" spans="1:16" ht="13.9" customHeight="1">
      <c r="A43" s="257" t="str">
        <f>报表格式!B41</f>
        <v>在建工程</v>
      </c>
      <c r="B43" s="258">
        <v>37</v>
      </c>
      <c r="C43" s="467">
        <f>审定BS!E42</f>
        <v>0</v>
      </c>
      <c r="D43" s="467">
        <f>审定BS!C42</f>
        <v>0</v>
      </c>
      <c r="E43" s="467">
        <f t="shared" si="9"/>
        <v>0</v>
      </c>
      <c r="F43" s="468" t="str">
        <f t="shared" si="2"/>
        <v/>
      </c>
      <c r="G43" s="447" t="str">
        <f>IF(F43="","",IF(OR(ABS(F43)&gt;=30%,ABS(E43)&gt;=$D$63*5%,ABS(E43)&gt;=已审横向PL!$D$31*10%),"显著",IF(ABS(F43)&gt;=10%,"关注","")))</f>
        <v/>
      </c>
      <c r="H43" s="260"/>
      <c r="I43" s="363" t="str">
        <f>报表格式!G41</f>
        <v>所有者权益：</v>
      </c>
      <c r="J43" s="259">
        <f t="shared" si="0"/>
        <v>94</v>
      </c>
      <c r="K43" s="471"/>
      <c r="L43" s="471"/>
      <c r="M43" s="471"/>
      <c r="N43" s="468" t="str">
        <f t="shared" si="4"/>
        <v/>
      </c>
      <c r="O43" s="447" t="str">
        <f>IF(N43="","",IF(OR(ABS(N43)&gt;=30%,ABS(M43)&gt;=$D$63*5%,ABS(M43)&gt;=已审横向PL!$D$31*10%),"显著",IF(ABS(N43)&gt;=10%,"关注","")))</f>
        <v/>
      </c>
      <c r="P43" s="865"/>
    </row>
    <row r="44" spans="1:16" ht="13.9" customHeight="1">
      <c r="A44" s="257" t="str">
        <f>报表格式!B42</f>
        <v>固定资产清理</v>
      </c>
      <c r="B44" s="258">
        <v>38</v>
      </c>
      <c r="C44" s="467">
        <f>审定BS!E43</f>
        <v>0</v>
      </c>
      <c r="D44" s="467">
        <f>审定BS!C43</f>
        <v>0</v>
      </c>
      <c r="E44" s="467">
        <f t="shared" si="9"/>
        <v>0</v>
      </c>
      <c r="F44" s="468" t="str">
        <f t="shared" si="2"/>
        <v/>
      </c>
      <c r="G44" s="447" t="str">
        <f>IF(F44="","",IF(OR(ABS(F44)&gt;=30%,ABS(E44)&gt;=$D$63*5%,ABS(E44)&gt;=已审横向PL!$D$31*10%),"显著",IF(ABS(F44)&gt;=10%,"关注","")))</f>
        <v/>
      </c>
      <c r="H44" s="260"/>
      <c r="I44" s="362" t="str">
        <f>报表格式!G42</f>
        <v>实收资本</v>
      </c>
      <c r="J44" s="259">
        <f t="shared" si="0"/>
        <v>95</v>
      </c>
      <c r="K44" s="467">
        <f>审定BS!E106</f>
        <v>0</v>
      </c>
      <c r="L44" s="467">
        <f>审定BS!C106</f>
        <v>0</v>
      </c>
      <c r="M44" s="467">
        <f>L44-K44</f>
        <v>0</v>
      </c>
      <c r="N44" s="468" t="str">
        <f t="shared" si="4"/>
        <v/>
      </c>
      <c r="O44" s="447" t="str">
        <f>IF(N44="","",IF(OR(ABS(N44)&gt;=30%,ABS(M44)&gt;=$D$63*5%,ABS(M44)&gt;=已审横向PL!$D$31*10%),"显著",IF(ABS(N44)&gt;=10%,"关注","")))</f>
        <v/>
      </c>
      <c r="P44" s="865"/>
    </row>
    <row r="45" spans="1:16" ht="13.9" customHeight="1">
      <c r="A45" s="257" t="str">
        <f>报表格式!B43</f>
        <v>待处理固定资产净损失</v>
      </c>
      <c r="B45" s="258">
        <v>39</v>
      </c>
      <c r="C45" s="467">
        <f>审定BS!E44</f>
        <v>0</v>
      </c>
      <c r="D45" s="467">
        <f>审定BS!C44</f>
        <v>0</v>
      </c>
      <c r="E45" s="467">
        <f t="shared" si="9"/>
        <v>0</v>
      </c>
      <c r="F45" s="468" t="str">
        <f t="shared" si="2"/>
        <v/>
      </c>
      <c r="G45" s="447" t="str">
        <f>IF(F45="","",IF(OR(ABS(F45)&gt;=30%,ABS(E45)&gt;=$D$63*5%,ABS(E45)&gt;=已审横向PL!$D$31*10%),"显著",IF(ABS(F45)&gt;=10%,"关注","")))</f>
        <v/>
      </c>
      <c r="H45" s="260"/>
      <c r="I45" s="362" t="str">
        <f>报表格式!G43</f>
        <v xml:space="preserve"> 国家资本</v>
      </c>
      <c r="J45" s="259">
        <f t="shared" si="0"/>
        <v>96</v>
      </c>
      <c r="K45" s="467">
        <f>审定BS!E107</f>
        <v>0</v>
      </c>
      <c r="L45" s="467">
        <f>审定BS!C107</f>
        <v>0</v>
      </c>
      <c r="M45" s="467">
        <f t="shared" ref="M45:M60" si="10">L45-K45</f>
        <v>0</v>
      </c>
      <c r="N45" s="468" t="str">
        <f t="shared" si="4"/>
        <v/>
      </c>
      <c r="O45" s="447" t="str">
        <f>IF(N45="","",IF(OR(ABS(N45)&gt;=30%,ABS(M45)&gt;=$D$63*5%,ABS(M45)&gt;=已审横向PL!$D$31*10%),"显著",IF(ABS(N45)&gt;=10%,"关注","")))</f>
        <v/>
      </c>
      <c r="P45" s="865"/>
    </row>
    <row r="46" spans="1:16" ht="13.9" customHeight="1">
      <c r="A46" s="257">
        <f>报表格式!B44</f>
        <v>0</v>
      </c>
      <c r="B46" s="258">
        <v>40</v>
      </c>
      <c r="C46" s="467">
        <f>审定BS!E45</f>
        <v>0</v>
      </c>
      <c r="D46" s="467">
        <f>审定BS!C45</f>
        <v>0</v>
      </c>
      <c r="E46" s="467">
        <f>D46-C46</f>
        <v>0</v>
      </c>
      <c r="F46" s="468" t="str">
        <f t="shared" si="2"/>
        <v/>
      </c>
      <c r="G46" s="447" t="str">
        <f>IF(F46="","",IF(OR(ABS(F46)&gt;=30%,ABS(E46)&gt;=$D$63*5%,ABS(E46)&gt;=已审横向PL!$D$31*10%),"显著",IF(ABS(F46)&gt;=10%,"关注","")))</f>
        <v/>
      </c>
      <c r="H46" s="260"/>
      <c r="I46" s="362" t="str">
        <f>报表格式!G44</f>
        <v xml:space="preserve"> 集体资本</v>
      </c>
      <c r="J46" s="259">
        <f t="shared" si="0"/>
        <v>97</v>
      </c>
      <c r="K46" s="467">
        <f>审定BS!E108</f>
        <v>0</v>
      </c>
      <c r="L46" s="467">
        <f>审定BS!C108</f>
        <v>0</v>
      </c>
      <c r="M46" s="467">
        <f t="shared" si="10"/>
        <v>0</v>
      </c>
      <c r="N46" s="468" t="str">
        <f t="shared" si="4"/>
        <v/>
      </c>
      <c r="O46" s="447" t="str">
        <f>IF(N46="","",IF(OR(ABS(N46)&gt;=30%,ABS(M46)&gt;=$D$63*5%,ABS(M46)&gt;=已审横向PL!$D$31*10%),"显著",IF(ABS(N46)&gt;=10%,"关注","")))</f>
        <v/>
      </c>
      <c r="P46" s="865"/>
    </row>
    <row r="47" spans="1:16" ht="13.9" customHeight="1">
      <c r="A47" s="257">
        <f>报表格式!B45</f>
        <v>0</v>
      </c>
      <c r="B47" s="258">
        <v>41</v>
      </c>
      <c r="C47" s="467">
        <f>审定BS!E46</f>
        <v>0</v>
      </c>
      <c r="D47" s="467">
        <f>审定BS!C46</f>
        <v>0</v>
      </c>
      <c r="E47" s="467">
        <f t="shared" si="9"/>
        <v>0</v>
      </c>
      <c r="F47" s="468" t="str">
        <f t="shared" si="2"/>
        <v/>
      </c>
      <c r="G47" s="447" t="str">
        <f>IF(F47="","",IF(OR(ABS(F47)&gt;=30%,ABS(E47)&gt;=$D$63*5%,ABS(E47)&gt;=已审横向PL!$D$31*10%),"显著",IF(ABS(F47)&gt;=10%,"关注","")))</f>
        <v/>
      </c>
      <c r="H47" s="260"/>
      <c r="I47" s="362" t="str">
        <f>报表格式!G45</f>
        <v xml:space="preserve"> 法人资本</v>
      </c>
      <c r="J47" s="259">
        <f t="shared" si="0"/>
        <v>98</v>
      </c>
      <c r="K47" s="467">
        <f>审定BS!E109</f>
        <v>0</v>
      </c>
      <c r="L47" s="467">
        <f>审定BS!C109</f>
        <v>0</v>
      </c>
      <c r="M47" s="467">
        <f t="shared" si="10"/>
        <v>0</v>
      </c>
      <c r="N47" s="468" t="str">
        <f t="shared" si="4"/>
        <v/>
      </c>
      <c r="O47" s="447" t="str">
        <f>IF(N47="","",IF(OR(ABS(N47)&gt;=30%,ABS(M47)&gt;=$D$63*5%,ABS(M47)&gt;=已审横向PL!$D$31*10%),"显著",IF(ABS(N47)&gt;=10%,"关注","")))</f>
        <v/>
      </c>
      <c r="P47" s="865"/>
    </row>
    <row r="48" spans="1:16" ht="13.9" customHeight="1">
      <c r="A48" s="263" t="str">
        <f>报表格式!B46</f>
        <v>固定资产合计</v>
      </c>
      <c r="B48" s="258">
        <v>42</v>
      </c>
      <c r="C48" s="469">
        <f>SUM(C41:C47)</f>
        <v>0</v>
      </c>
      <c r="D48" s="469">
        <f>SUM(D41:D47)</f>
        <v>0</v>
      </c>
      <c r="E48" s="469">
        <f>D48-C48</f>
        <v>0</v>
      </c>
      <c r="F48" s="600" t="str">
        <f t="shared" si="2"/>
        <v/>
      </c>
      <c r="G48" s="447" t="str">
        <f>IF(F48="","",IF(OR(ABS(F48)&gt;=30%,ABS(E48)&gt;=$D$63*5%,ABS(E48)&gt;=已审横向PL!$D$31*10%),"显著",IF(ABS(F48)&gt;=10%,"关注","")))</f>
        <v/>
      </c>
      <c r="H48" s="331"/>
      <c r="I48" s="362" t="str">
        <f>报表格式!G46</f>
        <v xml:space="preserve">   其中：国有法人资本</v>
      </c>
      <c r="J48" s="259">
        <f t="shared" si="0"/>
        <v>99</v>
      </c>
      <c r="K48" s="467">
        <f>审定BS!E110</f>
        <v>0</v>
      </c>
      <c r="L48" s="467">
        <f>审定BS!C110</f>
        <v>0</v>
      </c>
      <c r="M48" s="467">
        <f t="shared" si="10"/>
        <v>0</v>
      </c>
      <c r="N48" s="468" t="str">
        <f t="shared" si="4"/>
        <v/>
      </c>
      <c r="O48" s="447" t="str">
        <f>IF(N48="","",IF(OR(ABS(N48)&gt;=30%,ABS(M48)&gt;=$D$63*5%,ABS(M48)&gt;=已审横向PL!$D$31*10%),"显著",IF(ABS(N48)&gt;=10%,"关注","")))</f>
        <v/>
      </c>
      <c r="P48" s="865"/>
    </row>
    <row r="49" spans="1:16" ht="13.9" customHeight="1">
      <c r="A49" s="262" t="str">
        <f>报表格式!B47</f>
        <v>无形资产及其他资产：</v>
      </c>
      <c r="B49" s="258">
        <v>43</v>
      </c>
      <c r="C49" s="471"/>
      <c r="D49" s="471"/>
      <c r="E49" s="471"/>
      <c r="F49" s="468" t="str">
        <f t="shared" si="2"/>
        <v/>
      </c>
      <c r="G49" s="447" t="str">
        <f>IF(F49="","",IF(OR(ABS(F49)&gt;=30%,ABS(E49)&gt;=$D$63*5%,ABS(E49)&gt;=已审横向PL!$D$31*10%),"显著",IF(ABS(F49)&gt;=10%,"关注","")))</f>
        <v/>
      </c>
      <c r="H49" s="331"/>
      <c r="I49" s="362" t="str">
        <f>报表格式!G47</f>
        <v xml:space="preserve">         集体法人资本</v>
      </c>
      <c r="J49" s="259">
        <f t="shared" si="0"/>
        <v>100</v>
      </c>
      <c r="K49" s="467">
        <f>审定BS!E111</f>
        <v>0</v>
      </c>
      <c r="L49" s="467">
        <f>审定BS!C111</f>
        <v>0</v>
      </c>
      <c r="M49" s="467">
        <f t="shared" si="10"/>
        <v>0</v>
      </c>
      <c r="N49" s="468" t="str">
        <f t="shared" si="4"/>
        <v/>
      </c>
      <c r="O49" s="447" t="str">
        <f>IF(N49="","",IF(OR(ABS(N49)&gt;=30%,ABS(M49)&gt;=$D$63*5%,ABS(M49)&gt;=已审横向PL!$D$31*10%),"显著",IF(ABS(N49)&gt;=10%,"关注","")))</f>
        <v/>
      </c>
      <c r="P49" s="865"/>
    </row>
    <row r="50" spans="1:16" ht="13.9" customHeight="1">
      <c r="A50" s="257" t="str">
        <f>报表格式!B48</f>
        <v>无形资产</v>
      </c>
      <c r="B50" s="258">
        <v>44</v>
      </c>
      <c r="C50" s="467">
        <f>审定BS!E49</f>
        <v>0</v>
      </c>
      <c r="D50" s="467">
        <f>审定BS!C49</f>
        <v>0</v>
      </c>
      <c r="E50" s="467">
        <f>D50-C50</f>
        <v>0</v>
      </c>
      <c r="F50" s="468" t="str">
        <f t="shared" si="2"/>
        <v/>
      </c>
      <c r="G50" s="447" t="str">
        <f>IF(F50="","",IF(OR(ABS(F50)&gt;=30%,ABS(E50)&gt;=$D$63*5%,ABS(E50)&gt;=已审横向PL!$D$31*10%),"显著",IF(ABS(F50)&gt;=10%,"关注","")))</f>
        <v/>
      </c>
      <c r="H50" s="260"/>
      <c r="I50" s="362" t="str">
        <f>报表格式!G48</f>
        <v xml:space="preserve"> 个人资本</v>
      </c>
      <c r="J50" s="259">
        <f t="shared" si="0"/>
        <v>101</v>
      </c>
      <c r="K50" s="467">
        <f>审定BS!E112</f>
        <v>0</v>
      </c>
      <c r="L50" s="467">
        <f>审定BS!C112</f>
        <v>0</v>
      </c>
      <c r="M50" s="467">
        <f t="shared" si="10"/>
        <v>0</v>
      </c>
      <c r="N50" s="468" t="str">
        <f t="shared" si="4"/>
        <v/>
      </c>
      <c r="O50" s="447" t="str">
        <f>IF(N50="","",IF(OR(ABS(N50)&gt;=30%,ABS(M50)&gt;=$D$63*5%,ABS(M50)&gt;=已审横向PL!$D$31*10%),"显著",IF(ABS(N50)&gt;=10%,"关注","")))</f>
        <v/>
      </c>
      <c r="P50" s="865"/>
    </row>
    <row r="51" spans="1:16" s="151" customFormat="1" ht="13.9" customHeight="1">
      <c r="A51" s="257" t="str">
        <f>报表格式!B49</f>
        <v xml:space="preserve">  其中：土地使用权</v>
      </c>
      <c r="B51" s="258">
        <v>45</v>
      </c>
      <c r="C51" s="467">
        <f>审定BS!E50</f>
        <v>0</v>
      </c>
      <c r="D51" s="467">
        <f>审定BS!C50</f>
        <v>0</v>
      </c>
      <c r="E51" s="467">
        <f t="shared" ref="E51:E59" si="11">D51-C51</f>
        <v>0</v>
      </c>
      <c r="F51" s="468" t="str">
        <f t="shared" si="2"/>
        <v/>
      </c>
      <c r="G51" s="447" t="str">
        <f>IF(F51="","",IF(OR(ABS(F51)&gt;=30%,ABS(E51)&gt;=$D$63*5%,ABS(E51)&gt;=已审横向PL!$D$31*10%),"显著",IF(ABS(F51)&gt;=10%,"关注","")))</f>
        <v/>
      </c>
      <c r="H51" s="260"/>
      <c r="I51" s="362" t="str">
        <f>报表格式!G49</f>
        <v xml:space="preserve"> 外商资本</v>
      </c>
      <c r="J51" s="259">
        <f t="shared" si="0"/>
        <v>102</v>
      </c>
      <c r="K51" s="467">
        <f>审定BS!E113</f>
        <v>0</v>
      </c>
      <c r="L51" s="467">
        <f>审定BS!C113</f>
        <v>0</v>
      </c>
      <c r="M51" s="467">
        <f t="shared" si="10"/>
        <v>0</v>
      </c>
      <c r="N51" s="468" t="str">
        <f t="shared" si="4"/>
        <v/>
      </c>
      <c r="O51" s="447" t="str">
        <f>IF(N51="","",IF(OR(ABS(N51)&gt;=30%,ABS(M51)&gt;=$D$63*5%,ABS(M51)&gt;=已审横向PL!$D$31*10%),"显著",IF(ABS(N51)&gt;=10%,"关注","")))</f>
        <v/>
      </c>
      <c r="P51" s="865"/>
    </row>
    <row r="52" spans="1:16">
      <c r="A52" s="257" t="str">
        <f>报表格式!B50</f>
        <v>长期待摊费用</v>
      </c>
      <c r="B52" s="258">
        <v>46</v>
      </c>
      <c r="C52" s="467">
        <f>审定BS!E51</f>
        <v>0</v>
      </c>
      <c r="D52" s="467">
        <f>审定BS!C51</f>
        <v>0</v>
      </c>
      <c r="E52" s="467">
        <f t="shared" si="11"/>
        <v>0</v>
      </c>
      <c r="F52" s="468" t="str">
        <f t="shared" si="2"/>
        <v/>
      </c>
      <c r="G52" s="447" t="str">
        <f>IF(F52="","",IF(OR(ABS(F52)&gt;=30%,ABS(E52)&gt;=$D$63*5%,ABS(E52)&gt;=已审横向PL!$D$31*10%),"显著",IF(ABS(F52)&gt;=10%,"关注","")))</f>
        <v/>
      </c>
      <c r="H52" s="260"/>
      <c r="I52" s="362" t="str">
        <f>报表格式!G50</f>
        <v>资本公积</v>
      </c>
      <c r="J52" s="259">
        <f t="shared" si="0"/>
        <v>103</v>
      </c>
      <c r="K52" s="467">
        <f>审定BS!E114</f>
        <v>0</v>
      </c>
      <c r="L52" s="467">
        <f>审定BS!C114</f>
        <v>0</v>
      </c>
      <c r="M52" s="467">
        <f t="shared" si="10"/>
        <v>0</v>
      </c>
      <c r="N52" s="468" t="str">
        <f t="shared" si="4"/>
        <v/>
      </c>
      <c r="O52" s="447" t="str">
        <f>IF(N52="","",IF(OR(ABS(N52)&gt;=30%,ABS(M52)&gt;=$D$63*5%,ABS(M52)&gt;=已审横向PL!$D$31*10%),"显著",IF(ABS(N52)&gt;=10%,"关注","")))</f>
        <v/>
      </c>
      <c r="P52" s="865"/>
    </row>
    <row r="53" spans="1:16">
      <c r="A53" s="257" t="str">
        <f>报表格式!B51</f>
        <v xml:space="preserve">  其中：固定资产修理</v>
      </c>
      <c r="B53" s="258">
        <v>47</v>
      </c>
      <c r="C53" s="467">
        <f>审定BS!E52</f>
        <v>0</v>
      </c>
      <c r="D53" s="467">
        <f>审定BS!C52</f>
        <v>0</v>
      </c>
      <c r="E53" s="467">
        <f t="shared" si="11"/>
        <v>0</v>
      </c>
      <c r="F53" s="468" t="str">
        <f t="shared" si="2"/>
        <v/>
      </c>
      <c r="G53" s="447" t="str">
        <f>IF(F53="","",IF(OR(ABS(F53)&gt;=30%,ABS(E53)&gt;=$D$63*5%,ABS(E53)&gt;=已审横向PL!$D$31*10%),"显著",IF(ABS(F53)&gt;=10%,"关注","")))</f>
        <v/>
      </c>
      <c r="H53" s="260"/>
      <c r="I53" s="362" t="str">
        <f>报表格式!G51</f>
        <v>盈余公积</v>
      </c>
      <c r="J53" s="259">
        <f t="shared" si="0"/>
        <v>104</v>
      </c>
      <c r="K53" s="467">
        <f>审定BS!E115</f>
        <v>0</v>
      </c>
      <c r="L53" s="467">
        <f>审定BS!C115</f>
        <v>0</v>
      </c>
      <c r="M53" s="467">
        <f t="shared" si="10"/>
        <v>0</v>
      </c>
      <c r="N53" s="468" t="str">
        <f t="shared" si="4"/>
        <v/>
      </c>
      <c r="O53" s="447" t="str">
        <f>IF(N53="","",IF(OR(ABS(N53)&gt;=30%,ABS(M53)&gt;=$D$63*5%,ABS(M53)&gt;=已审横向PL!$D$31*10%),"显著",IF(ABS(N53)&gt;=10%,"关注","")))</f>
        <v/>
      </c>
      <c r="P53" s="865"/>
    </row>
    <row r="54" spans="1:16">
      <c r="A54" s="257" t="str">
        <f>报表格式!B52</f>
        <v xml:space="preserve">       固定资产改良支出</v>
      </c>
      <c r="B54" s="258">
        <v>48</v>
      </c>
      <c r="C54" s="467">
        <f>审定BS!E53</f>
        <v>0</v>
      </c>
      <c r="D54" s="467">
        <f>审定BS!C53</f>
        <v>0</v>
      </c>
      <c r="E54" s="467">
        <f t="shared" si="11"/>
        <v>0</v>
      </c>
      <c r="F54" s="468" t="str">
        <f t="shared" si="2"/>
        <v/>
      </c>
      <c r="G54" s="447" t="str">
        <f>IF(F54="","",IF(OR(ABS(F54)&gt;=30%,ABS(E54)&gt;=$D$63*5%,ABS(E54)&gt;=已审横向PL!$D$31*10%),"显著",IF(ABS(F54)&gt;=10%,"关注","")))</f>
        <v/>
      </c>
      <c r="H54" s="260"/>
      <c r="I54" s="362" t="str">
        <f>报表格式!G52</f>
        <v xml:space="preserve">  其中：法定公益金</v>
      </c>
      <c r="J54" s="259">
        <f t="shared" si="0"/>
        <v>105</v>
      </c>
      <c r="K54" s="467">
        <f>审定BS!E116</f>
        <v>0</v>
      </c>
      <c r="L54" s="467">
        <f>审定BS!C116</f>
        <v>0</v>
      </c>
      <c r="M54" s="467">
        <f t="shared" si="10"/>
        <v>0</v>
      </c>
      <c r="N54" s="468" t="str">
        <f t="shared" si="4"/>
        <v/>
      </c>
      <c r="O54" s="447" t="str">
        <f>IF(N54="","",IF(OR(ABS(N54)&gt;=30%,ABS(M54)&gt;=$D$63*5%,ABS(M54)&gt;=已审横向PL!$D$31*10%),"显著",IF(ABS(N54)&gt;=10%,"关注","")))</f>
        <v/>
      </c>
      <c r="P54" s="865"/>
    </row>
    <row r="55" spans="1:16">
      <c r="A55" s="257" t="str">
        <f>报表格式!B53</f>
        <v>股权分置流通权</v>
      </c>
      <c r="B55" s="258">
        <v>49</v>
      </c>
      <c r="C55" s="467">
        <f>审定BS!E54</f>
        <v>0</v>
      </c>
      <c r="D55" s="467">
        <f>审定BS!C54</f>
        <v>0</v>
      </c>
      <c r="E55" s="467">
        <f t="shared" si="11"/>
        <v>0</v>
      </c>
      <c r="F55" s="468" t="str">
        <f t="shared" si="2"/>
        <v/>
      </c>
      <c r="G55" s="447" t="str">
        <f>IF(F55="","",IF(OR(ABS(F55)&gt;=30%,ABS(E55)&gt;=$D$63*5%,ABS(E55)&gt;=已审横向PL!$D$31*10%),"显著",IF(ABS(F55)&gt;=10%,"关注","")))</f>
        <v/>
      </c>
      <c r="H55" s="260"/>
      <c r="I55" s="362" t="str">
        <f>报表格式!G53</f>
        <v>*未确认的投资损失（以“-”号填列）</v>
      </c>
      <c r="J55" s="259">
        <f t="shared" si="0"/>
        <v>106</v>
      </c>
      <c r="K55" s="467">
        <f>审定BS!E117</f>
        <v>0</v>
      </c>
      <c r="L55" s="467">
        <f>审定BS!C117</f>
        <v>0</v>
      </c>
      <c r="M55" s="467">
        <f t="shared" si="10"/>
        <v>0</v>
      </c>
      <c r="N55" s="468" t="str">
        <f t="shared" si="4"/>
        <v/>
      </c>
      <c r="O55" s="447" t="str">
        <f>IF(N55="","",IF(OR(ABS(N55)&gt;=30%,ABS(M55)&gt;=$D$63*5%,ABS(M55)&gt;=已审横向PL!$D$31*10%),"显著",IF(ABS(N55)&gt;=10%,"关注","")))</f>
        <v/>
      </c>
      <c r="P55" s="865"/>
    </row>
    <row r="56" spans="1:16">
      <c r="A56" s="257" t="str">
        <f>报表格式!B54</f>
        <v>其他长期资产</v>
      </c>
      <c r="B56" s="258">
        <v>50</v>
      </c>
      <c r="C56" s="467">
        <f>审定BS!E55</f>
        <v>0</v>
      </c>
      <c r="D56" s="467">
        <f>审定BS!C55</f>
        <v>0</v>
      </c>
      <c r="E56" s="467">
        <f t="shared" si="11"/>
        <v>0</v>
      </c>
      <c r="F56" s="468" t="str">
        <f t="shared" si="2"/>
        <v/>
      </c>
      <c r="G56" s="447" t="str">
        <f>IF(F56="","",IF(OR(ABS(F56)&gt;=30%,ABS(E56)&gt;=$D$63*5%,ABS(E56)&gt;=已审横向PL!$D$31*10%),"显著",IF(ABS(F56)&gt;=10%,"关注","")))</f>
        <v/>
      </c>
      <c r="H56" s="260"/>
      <c r="I56" s="362" t="str">
        <f>报表格式!G54</f>
        <v>未分配利润</v>
      </c>
      <c r="J56" s="259">
        <f t="shared" si="0"/>
        <v>107</v>
      </c>
      <c r="K56" s="467">
        <f>审定BS!E118</f>
        <v>0</v>
      </c>
      <c r="L56" s="467">
        <f>审定BS!C118</f>
        <v>0</v>
      </c>
      <c r="M56" s="467">
        <f t="shared" si="10"/>
        <v>0</v>
      </c>
      <c r="N56" s="468" t="str">
        <f t="shared" si="4"/>
        <v/>
      </c>
      <c r="O56" s="447" t="str">
        <f>IF(N56="","",IF(OR(ABS(N56)&gt;=30%,ABS(M56)&gt;=$D$63*5%,ABS(M56)&gt;=已审横向PL!$D$31*10%),"显著",IF(ABS(N56)&gt;=10%,"关注","")))</f>
        <v/>
      </c>
      <c r="P56" s="866"/>
    </row>
    <row r="57" spans="1:16">
      <c r="A57" s="257" t="str">
        <f>报表格式!B55</f>
        <v xml:space="preserve">  其中：特准储备物资</v>
      </c>
      <c r="B57" s="258">
        <v>51</v>
      </c>
      <c r="C57" s="467">
        <f>审定BS!E56</f>
        <v>0</v>
      </c>
      <c r="D57" s="467">
        <f>审定BS!C56</f>
        <v>0</v>
      </c>
      <c r="E57" s="467">
        <f t="shared" si="11"/>
        <v>0</v>
      </c>
      <c r="F57" s="468" t="str">
        <f t="shared" si="2"/>
        <v/>
      </c>
      <c r="G57" s="447" t="str">
        <f>IF(F57="","",IF(OR(ABS(F57)&gt;=30%,ABS(E57)&gt;=$D$63*5%,ABS(E57)&gt;=已审横向PL!$D$31*10%),"显著",IF(ABS(F57)&gt;=10%,"关注","")))</f>
        <v/>
      </c>
      <c r="H57" s="260"/>
      <c r="I57" s="362" t="str">
        <f>报表格式!G55</f>
        <v xml:space="preserve">  其中：现金股利</v>
      </c>
      <c r="J57" s="259">
        <f t="shared" si="0"/>
        <v>108</v>
      </c>
      <c r="K57" s="467">
        <f>审定BS!E119</f>
        <v>0</v>
      </c>
      <c r="L57" s="467">
        <f>审定BS!C119</f>
        <v>0</v>
      </c>
      <c r="M57" s="467">
        <f>L57-K57</f>
        <v>0</v>
      </c>
      <c r="N57" s="468" t="str">
        <f t="shared" si="4"/>
        <v/>
      </c>
      <c r="O57" s="447" t="str">
        <f>IF(N57="","",IF(OR(ABS(N57)&gt;=30%,ABS(M57)&gt;=$D$63*5%,ABS(M57)&gt;=已审横向PL!$D$31*10%),"显著",IF(ABS(N57)&gt;=10%,"关注","")))</f>
        <v/>
      </c>
      <c r="P57" s="865"/>
    </row>
    <row r="58" spans="1:16">
      <c r="A58" s="257">
        <f>报表格式!B56</f>
        <v>0</v>
      </c>
      <c r="B58" s="258">
        <v>52</v>
      </c>
      <c r="C58" s="467">
        <f>审定BS!E57</f>
        <v>0</v>
      </c>
      <c r="D58" s="467">
        <f>审定BS!C57</f>
        <v>0</v>
      </c>
      <c r="E58" s="467">
        <f t="shared" si="11"/>
        <v>0</v>
      </c>
      <c r="F58" s="468" t="str">
        <f t="shared" si="2"/>
        <v/>
      </c>
      <c r="G58" s="447" t="str">
        <f>IF(F58="","",IF(OR(ABS(F58)&gt;=30%,ABS(E58)&gt;=$D$63*5%,ABS(E58)&gt;=已审横向PL!$D$31*10%),"显著",IF(ABS(F58)&gt;=10%,"关注","")))</f>
        <v/>
      </c>
      <c r="H58" s="260"/>
      <c r="I58" s="362" t="str">
        <f>报表格式!G56</f>
        <v>外币报表折算差额</v>
      </c>
      <c r="J58" s="259">
        <f t="shared" si="0"/>
        <v>109</v>
      </c>
      <c r="K58" s="467">
        <f>审定BS!E120</f>
        <v>0</v>
      </c>
      <c r="L58" s="467">
        <f>审定BS!C120</f>
        <v>0</v>
      </c>
      <c r="M58" s="467">
        <f t="shared" si="10"/>
        <v>0</v>
      </c>
      <c r="N58" s="468" t="str">
        <f t="shared" si="4"/>
        <v/>
      </c>
      <c r="O58" s="447" t="str">
        <f>IF(N58="","",IF(OR(ABS(N58)&gt;=30%,ABS(M58)&gt;=$D$63*5%,ABS(M58)&gt;=已审横向PL!$D$31*10%),"显著",IF(ABS(N58)&gt;=10%,"关注","")))</f>
        <v/>
      </c>
      <c r="P58" s="865"/>
    </row>
    <row r="59" spans="1:16">
      <c r="A59" s="263" t="str">
        <f>报表格式!B57</f>
        <v>无形资产及其他资产合计</v>
      </c>
      <c r="B59" s="258">
        <v>53</v>
      </c>
      <c r="C59" s="471">
        <f>SUM(C50,C52,C55:C56,C58)</f>
        <v>0</v>
      </c>
      <c r="D59" s="471">
        <f>SUM(D50,D52,D55:D56,D58)</f>
        <v>0</v>
      </c>
      <c r="E59" s="469">
        <f t="shared" si="11"/>
        <v>0</v>
      </c>
      <c r="F59" s="600" t="str">
        <f t="shared" si="2"/>
        <v/>
      </c>
      <c r="G59" s="447" t="str">
        <f>IF(F59="","",IF(OR(ABS(F59)&gt;=30%,ABS(E59)&gt;=$D$63*5%,ABS(E59)&gt;=已审横向PL!$D$31*10%),"显著",IF(ABS(F59)&gt;=10%,"关注","")))</f>
        <v/>
      </c>
      <c r="H59" s="331"/>
      <c r="I59" s="362">
        <f>报表格式!G57</f>
        <v>0</v>
      </c>
      <c r="J59" s="259">
        <f t="shared" si="0"/>
        <v>110</v>
      </c>
      <c r="K59" s="467">
        <f>审定BS!E121</f>
        <v>0</v>
      </c>
      <c r="L59" s="467">
        <f>审定BS!C121</f>
        <v>0</v>
      </c>
      <c r="M59" s="467">
        <f t="shared" si="10"/>
        <v>0</v>
      </c>
      <c r="N59" s="468" t="str">
        <f t="shared" si="4"/>
        <v/>
      </c>
      <c r="O59" s="447" t="str">
        <f>IF(N59="","",IF(OR(ABS(N59)&gt;=30%,ABS(M59)&gt;=$D$63*5%,ABS(M59)&gt;=已审横向PL!$D$31*10%),"显著",IF(ABS(N59)&gt;=10%,"关注","")))</f>
        <v/>
      </c>
      <c r="P59" s="865"/>
    </row>
    <row r="60" spans="1:16">
      <c r="A60" s="262" t="str">
        <f>报表格式!B58</f>
        <v>递延税项：</v>
      </c>
      <c r="B60" s="258">
        <v>54</v>
      </c>
      <c r="C60" s="471"/>
      <c r="D60" s="471"/>
      <c r="E60" s="471"/>
      <c r="F60" s="468" t="str">
        <f t="shared" si="2"/>
        <v/>
      </c>
      <c r="G60" s="447" t="str">
        <f>IF(F60="","",IF(OR(ABS(F60)&gt;=30%,ABS(E60)&gt;=$D$63*5%,ABS(E60)&gt;=已审横向PL!$D$31*10%),"显著",IF(ABS(F60)&gt;=10%,"关注","")))</f>
        <v/>
      </c>
      <c r="H60" s="331"/>
      <c r="I60" s="261" t="str">
        <f>报表格式!G58</f>
        <v>所有者权益小计</v>
      </c>
      <c r="J60" s="259">
        <f t="shared" si="0"/>
        <v>111</v>
      </c>
      <c r="K60" s="469">
        <f>SUM(K44,K52,K53,K55,K56,K58:K59)</f>
        <v>0</v>
      </c>
      <c r="L60" s="469">
        <f>SUM(L44,L52,L53,L55,L56,L58:L59)</f>
        <v>0</v>
      </c>
      <c r="M60" s="469">
        <f t="shared" si="10"/>
        <v>0</v>
      </c>
      <c r="N60" s="600" t="str">
        <f t="shared" si="4"/>
        <v/>
      </c>
      <c r="O60" s="447" t="str">
        <f>IF(N60="","",IF(OR(ABS(N60)&gt;=30%,ABS(M60)&gt;=$D$63*5%,ABS(M60)&gt;=已审横向PL!$D$31*10%),"显著",IF(ABS(N60)&gt;=10%,"关注","")))</f>
        <v/>
      </c>
      <c r="P60" s="865"/>
    </row>
    <row r="61" spans="1:16">
      <c r="A61" s="257" t="str">
        <f>报表格式!B59</f>
        <v>递延税款借项</v>
      </c>
      <c r="B61" s="258">
        <v>55</v>
      </c>
      <c r="C61" s="467">
        <f>审定BS!E60</f>
        <v>0</v>
      </c>
      <c r="D61" s="467">
        <f>审定BS!C60</f>
        <v>0</v>
      </c>
      <c r="E61" s="467">
        <f>D61-C61</f>
        <v>0</v>
      </c>
      <c r="F61" s="468" t="str">
        <f t="shared" si="2"/>
        <v/>
      </c>
      <c r="G61" s="447" t="str">
        <f>IF(F61="","",IF(OR(ABS(F61)&gt;=30%,ABS(E61)&gt;=$D$63*5%,ABS(E61)&gt;=已审横向PL!$D$31*10%),"显著",IF(ABS(F61)&gt;=10%,"关注","")))</f>
        <v/>
      </c>
      <c r="H61" s="260"/>
      <c r="I61" s="362" t="str">
        <f>报表格式!G59</f>
        <v>减：未处理资产损失</v>
      </c>
      <c r="J61" s="259">
        <f t="shared" si="0"/>
        <v>112</v>
      </c>
      <c r="K61" s="467">
        <f>审定BS!E123</f>
        <v>0</v>
      </c>
      <c r="L61" s="467">
        <f>审定BS!C123</f>
        <v>0</v>
      </c>
      <c r="M61" s="467">
        <f>L61-K61</f>
        <v>0</v>
      </c>
      <c r="N61" s="468" t="str">
        <f t="shared" si="4"/>
        <v/>
      </c>
      <c r="O61" s="447" t="str">
        <f>IF(N61="","",IF(OR(ABS(N61)&gt;=30%,ABS(M61)&gt;=$D$63*5%,ABS(M61)&gt;=已审横向PL!$D$31*10%),"显著",IF(ABS(N61)&gt;=10%,"关注","")))</f>
        <v/>
      </c>
      <c r="P61" s="865"/>
    </row>
    <row r="62" spans="1:16">
      <c r="A62" s="257">
        <f>报表格式!B60</f>
        <v>0</v>
      </c>
      <c r="B62" s="346">
        <v>56</v>
      </c>
      <c r="C62" s="467">
        <f>审定BS!E61</f>
        <v>0</v>
      </c>
      <c r="D62" s="467">
        <f>审定BS!C61</f>
        <v>0</v>
      </c>
      <c r="E62" s="467">
        <f>D62-C62</f>
        <v>0</v>
      </c>
      <c r="F62" s="468" t="str">
        <f t="shared" si="2"/>
        <v/>
      </c>
      <c r="G62" s="447" t="str">
        <f>IF(F62="","",IF(OR(ABS(F62)&gt;=30%,ABS(E62)&gt;=$D$63*5%,ABS(E62)&gt;=已审横向PL!$D$31*10%),"显著",IF(ABS(F62)&gt;=10%,"关注","")))</f>
        <v/>
      </c>
      <c r="H62" s="260"/>
      <c r="I62" s="360" t="str">
        <f>报表格式!G60</f>
        <v>所有者权益合计(剔除未处理资产损失后的金额)</v>
      </c>
      <c r="J62" s="259">
        <f t="shared" si="0"/>
        <v>113</v>
      </c>
      <c r="K62" s="476">
        <f>K60-K61</f>
        <v>0</v>
      </c>
      <c r="L62" s="476">
        <f>L60-L61</f>
        <v>0</v>
      </c>
      <c r="M62" s="470">
        <f>L62-K62</f>
        <v>0</v>
      </c>
      <c r="N62" s="468" t="str">
        <f t="shared" si="4"/>
        <v/>
      </c>
      <c r="O62" s="447" t="str">
        <f>IF(N62="","",IF(OR(ABS(N62)&gt;=30%,ABS(M62)&gt;=$D$63*5%,ABS(M62)&gt;=已审横向PL!$D$31*10%),"显著",IF(ABS(N62)&gt;=10%,"关注","")))</f>
        <v/>
      </c>
      <c r="P62" s="867"/>
    </row>
    <row r="63" spans="1:16" ht="15" thickBot="1">
      <c r="A63" s="264" t="str">
        <f>报表格式!B73</f>
        <v>资 产 总 计</v>
      </c>
      <c r="B63" s="265">
        <v>57</v>
      </c>
      <c r="C63" s="472">
        <f>SUM(C61:C62,C59,C48,C35,C28)</f>
        <v>0</v>
      </c>
      <c r="D63" s="472">
        <f>SUM(D61:D62,D59,D48,D35,D28)</f>
        <v>0</v>
      </c>
      <c r="E63" s="472">
        <f>D63-C63</f>
        <v>0</v>
      </c>
      <c r="F63" s="473" t="str">
        <f t="shared" si="2"/>
        <v/>
      </c>
      <c r="G63" s="448" t="str">
        <f>IF(F63="","",IF(OR(ABS(F63)&gt;=30%,ABS(E63)&gt;=$D$63*5%,ABS(E63)&gt;=已审横向PL!$D$31*10%),"显著",IF(ABS(F63)&gt;=10%,"关注","")))</f>
        <v/>
      </c>
      <c r="H63" s="332"/>
      <c r="I63" s="364" t="str">
        <f>报表格式!G73</f>
        <v>负债及所有者权益合计</v>
      </c>
      <c r="J63" s="266">
        <f t="shared" si="0"/>
        <v>114</v>
      </c>
      <c r="K63" s="472">
        <f>K40+K41+K42+K62</f>
        <v>0</v>
      </c>
      <c r="L63" s="472">
        <f>L40+L41+L42+L62</f>
        <v>0</v>
      </c>
      <c r="M63" s="477">
        <f>L63-K63</f>
        <v>0</v>
      </c>
      <c r="N63" s="475" t="str">
        <f t="shared" si="4"/>
        <v/>
      </c>
      <c r="O63" s="448" t="str">
        <f>IF(N63="","",IF(OR(ABS(N63)&gt;=30%,ABS(M63)&gt;=$D$63*5%,ABS(M63)&gt;=已审横向PL!$D$31*10%),"显著",IF(ABS(N63)&gt;=10%,"关注","")))</f>
        <v/>
      </c>
      <c r="P63" s="868"/>
    </row>
  </sheetData>
  <sheetProtection formatCells="0" insertRows="0" autoFilter="0" pivotTables="0"/>
  <mergeCells count="14">
    <mergeCell ref="H4:H6"/>
    <mergeCell ref="B4:B6"/>
    <mergeCell ref="A1:H1"/>
    <mergeCell ref="K4:K5"/>
    <mergeCell ref="L4:L5"/>
    <mergeCell ref="O4:O6"/>
    <mergeCell ref="P4:P6"/>
    <mergeCell ref="J4:J6"/>
    <mergeCell ref="I1:P1"/>
    <mergeCell ref="A4:A6"/>
    <mergeCell ref="C4:C5"/>
    <mergeCell ref="D4:D5"/>
    <mergeCell ref="I4:I6"/>
    <mergeCell ref="G4:G6"/>
  </mergeCells>
  <phoneticPr fontId="3" type="noConversion"/>
  <conditionalFormatting sqref="H7:M7 C7:F7">
    <cfRule type="cellIs" dxfId="22" priority="1" stopIfTrue="1" operator="equal">
      <formula>"            对不起，请到参数表中确定报表类型！"</formula>
    </cfRule>
    <cfRule type="cellIs" dxfId="21" priority="2" stopIfTrue="1" operator="equal">
      <formula>"对不起，试用期已到，请查看系统信息，并与作者联系。"</formula>
    </cfRule>
  </conditionalFormatting>
  <conditionalFormatting sqref="G7">
    <cfRule type="cellIs" dxfId="20" priority="3" stopIfTrue="1" operator="equal">
      <formula>"异常"</formula>
    </cfRule>
  </conditionalFormatting>
  <conditionalFormatting sqref="G8:G63 O8:O63">
    <cfRule type="cellIs" dxfId="19" priority="4" stopIfTrue="1" operator="equal">
      <formula>"显著"</formula>
    </cfRule>
  </conditionalFormatting>
  <printOptions horizontalCentered="1"/>
  <pageMargins left="0.35" right="0.23622047244094491" top="0.4" bottom="0.27" header="0.23" footer="0.2"/>
  <pageSetup paperSize="9" scale="86" fitToWidth="2" orientation="portrait" blackAndWhite="1" r:id="rId1"/>
  <headerFooter alignWithMargins="0"/>
  <colBreaks count="1" manualBreakCount="1">
    <brk id="8" max="1048575" man="1"/>
  </col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39"/>
    <pageSetUpPr fitToPage="1"/>
  </sheetPr>
  <dimension ref="A1:O79"/>
  <sheetViews>
    <sheetView showZeros="0" workbookViewId="0">
      <pane xSplit="2" ySplit="6" topLeftCell="C7" activePane="bottomRight" state="frozen"/>
      <selection sqref="A1:I1"/>
      <selection pane="topRight" sqref="A1:I1"/>
      <selection pane="bottomLeft" sqref="A1:I1"/>
      <selection pane="bottomRight" sqref="A1:H1"/>
    </sheetView>
  </sheetViews>
  <sheetFormatPr defaultRowHeight="14.25"/>
  <cols>
    <col min="1" max="1" width="42.625" style="152" customWidth="1"/>
    <col min="2" max="2" width="3.75" style="152" customWidth="1"/>
    <col min="3" max="4" width="9.625" style="152" bestFit="1" customWidth="1"/>
    <col min="5" max="5" width="7.5" style="152" bestFit="1" customWidth="1"/>
    <col min="6" max="6" width="9.375" style="152" customWidth="1"/>
    <col min="7" max="7" width="7.625" style="152" customWidth="1"/>
    <col min="8" max="8" width="12.875" style="152" customWidth="1"/>
    <col min="9" max="16384" width="9" style="152"/>
  </cols>
  <sheetData>
    <row r="1" spans="1:15" ht="18.75">
      <c r="A1" s="1016" t="s">
        <v>626</v>
      </c>
      <c r="B1" s="1016"/>
      <c r="C1" s="1016"/>
      <c r="D1" s="1016"/>
      <c r="E1" s="1016"/>
      <c r="F1" s="1016"/>
      <c r="G1" s="1016"/>
      <c r="H1" s="1016"/>
    </row>
    <row r="2" spans="1:15" s="61" customFormat="1" ht="15" customHeight="1">
      <c r="A2" s="366" t="str">
        <f>CONCATENATE("客户名称：",参数!D3)</f>
        <v>客户名称：</v>
      </c>
      <c r="B2" s="367" t="str">
        <f>CONCATENATE("编制：",参数!D17)</f>
        <v>编制：</v>
      </c>
      <c r="C2" s="368"/>
      <c r="D2" s="368"/>
      <c r="E2" s="366" t="str">
        <f>CONCATENATE("复核：",参数!D18)</f>
        <v>复核：</v>
      </c>
      <c r="F2" s="368"/>
      <c r="G2" s="368"/>
      <c r="H2" s="367" t="s">
        <v>616</v>
      </c>
      <c r="I2" s="174"/>
      <c r="J2" s="175"/>
      <c r="M2" s="188"/>
      <c r="N2" s="42"/>
      <c r="O2" s="189"/>
    </row>
    <row r="3" spans="1:15" s="61" customFormat="1" ht="17.25" customHeight="1" thickBot="1">
      <c r="A3" s="369" t="str">
        <f>CONCATENATE("会计期间：",TEXT(参数!D10,"yyyy.mm.dd"))</f>
        <v>会计期间：2007年度</v>
      </c>
      <c r="B3" s="370" t="str">
        <f ca="1">CONCATENATE("日期：",TEXT(NOW(),"yyyy.mm.dd"))</f>
        <v>日期：2023.08.14</v>
      </c>
      <c r="C3" s="368"/>
      <c r="D3" s="368"/>
      <c r="E3" s="367" t="s">
        <v>268</v>
      </c>
      <c r="F3" s="368"/>
      <c r="G3" s="368"/>
      <c r="H3" s="367" t="s">
        <v>617</v>
      </c>
      <c r="I3" s="174"/>
      <c r="J3" s="174"/>
      <c r="M3" s="188"/>
      <c r="N3" s="42"/>
      <c r="O3" s="189"/>
    </row>
    <row r="4" spans="1:15" s="340" customFormat="1" ht="12">
      <c r="A4" s="990" t="s">
        <v>134</v>
      </c>
      <c r="B4" s="1013" t="s">
        <v>165</v>
      </c>
      <c r="C4" s="976" t="s">
        <v>587</v>
      </c>
      <c r="D4" s="976" t="s">
        <v>622</v>
      </c>
      <c r="E4" s="336" t="s">
        <v>589</v>
      </c>
      <c r="F4" s="336"/>
      <c r="G4" s="981" t="s">
        <v>704</v>
      </c>
      <c r="H4" s="1000" t="s">
        <v>705</v>
      </c>
    </row>
    <row r="5" spans="1:15" s="340" customFormat="1" ht="12">
      <c r="A5" s="991"/>
      <c r="B5" s="1014"/>
      <c r="C5" s="977"/>
      <c r="D5" s="977"/>
      <c r="E5" s="338" t="s">
        <v>603</v>
      </c>
      <c r="F5" s="338" t="s">
        <v>604</v>
      </c>
      <c r="G5" s="982"/>
      <c r="H5" s="1001"/>
    </row>
    <row r="6" spans="1:15" s="340" customFormat="1" ht="12">
      <c r="A6" s="992"/>
      <c r="B6" s="1015"/>
      <c r="C6" s="339" t="s">
        <v>590</v>
      </c>
      <c r="D6" s="339" t="s">
        <v>591</v>
      </c>
      <c r="E6" s="339" t="s">
        <v>592</v>
      </c>
      <c r="F6" s="339" t="s">
        <v>593</v>
      </c>
      <c r="G6" s="983"/>
      <c r="H6" s="1002"/>
    </row>
    <row r="7" spans="1:15" s="340" customFormat="1" ht="12.75">
      <c r="A7" s="354" t="str">
        <f>报表格式!L5</f>
        <v>一、主营业务收入</v>
      </c>
      <c r="B7" s="355">
        <v>1</v>
      </c>
      <c r="C7" s="478">
        <f>审定PL!E6</f>
        <v>0</v>
      </c>
      <c r="D7" s="478">
        <f>审定PL!C6</f>
        <v>0</v>
      </c>
      <c r="E7" s="479">
        <f>D7-C7</f>
        <v>0</v>
      </c>
      <c r="F7" s="446" t="str">
        <f>IF(AND(C7=0,D7=0),"",IF(C7=0,100%,IF(D7=0,-100%,E7/C7)))</f>
        <v/>
      </c>
      <c r="G7" s="449" t="str">
        <f>IF(F7="","",IF(OR(ABS(F7)&gt;=30%,ABS(E7)&gt;=已审横向BS!$D$63*5%,ABS(E7)&gt;=$D$31*10%),"显著",IF(ABS(F7)&gt;=10%,"关注","")))</f>
        <v/>
      </c>
      <c r="H7" s="869"/>
    </row>
    <row r="8" spans="1:15" s="340" customFormat="1" ht="12.75">
      <c r="A8" s="349" t="str">
        <f>报表格式!L6</f>
        <v xml:space="preserve">    其中：进口产品（商品）销售收入</v>
      </c>
      <c r="B8" s="348">
        <v>2</v>
      </c>
      <c r="C8" s="479">
        <f>审定PL!E7</f>
        <v>0</v>
      </c>
      <c r="D8" s="480">
        <f>审定PL!C7</f>
        <v>0</v>
      </c>
      <c r="E8" s="480">
        <f t="shared" ref="E8:E73" si="0">D8-C8</f>
        <v>0</v>
      </c>
      <c r="F8" s="446" t="str">
        <f t="shared" ref="F8:F73" si="1">IF(AND(C8=0,D8=0),"",IF(C8=0,100%,IF(D8=0,-100%,E8/C8)))</f>
        <v/>
      </c>
      <c r="G8" s="449" t="str">
        <f>IF(F8="","",IF(OR(ABS(F8)&gt;=30%,ABS(E8)&gt;=已审横向BS!$D$63*5%,ABS(E8)&gt;=$D$31*10%),"显著",IF(ABS(F8)&gt;=10%,"关注","")))</f>
        <v/>
      </c>
      <c r="H8" s="860"/>
    </row>
    <row r="9" spans="1:15" s="340" customFormat="1" ht="12.75">
      <c r="A9" s="349" t="str">
        <f>报表格式!L7</f>
        <v xml:space="preserve">          出口产品（商品）销售收入</v>
      </c>
      <c r="B9" s="348">
        <v>3</v>
      </c>
      <c r="C9" s="479">
        <f>审定PL!E8</f>
        <v>0</v>
      </c>
      <c r="D9" s="480">
        <f>审定PL!C8</f>
        <v>0</v>
      </c>
      <c r="E9" s="480">
        <f t="shared" si="0"/>
        <v>0</v>
      </c>
      <c r="F9" s="446" t="str">
        <f t="shared" si="1"/>
        <v/>
      </c>
      <c r="G9" s="449" t="str">
        <f>IF(F9="","",IF(OR(ABS(F9)&gt;=30%,ABS(E9)&gt;=已审横向BS!$D$63*5%,ABS(E9)&gt;=$D$31*10%),"显著",IF(ABS(F9)&gt;=10%,"关注","")))</f>
        <v/>
      </c>
      <c r="H9" s="870"/>
    </row>
    <row r="10" spans="1:15" s="340" customFormat="1" ht="12.75">
      <c r="A10" s="349" t="str">
        <f>报表格式!L8</f>
        <v xml:space="preserve">    减：折扣与折让</v>
      </c>
      <c r="B10" s="348">
        <v>4</v>
      </c>
      <c r="C10" s="479">
        <f>审定PL!E9</f>
        <v>0</v>
      </c>
      <c r="D10" s="480">
        <f>审定PL!C9</f>
        <v>0</v>
      </c>
      <c r="E10" s="480">
        <f t="shared" si="0"/>
        <v>0</v>
      </c>
      <c r="F10" s="446" t="str">
        <f t="shared" si="1"/>
        <v/>
      </c>
      <c r="G10" s="449" t="str">
        <f>IF(F10="","",IF(OR(ABS(F10)&gt;=30%,ABS(E10)&gt;=已审横向BS!$D$63*5%,ABS(E10)&gt;=$D$31*10%),"显著",IF(ABS(F10)&gt;=10%,"关注","")))</f>
        <v/>
      </c>
      <c r="H10" s="870"/>
    </row>
    <row r="11" spans="1:15" s="340" customFormat="1" ht="12.75">
      <c r="A11" s="347" t="str">
        <f>报表格式!L9</f>
        <v>二、主营业务收入净额</v>
      </c>
      <c r="B11" s="348">
        <v>5</v>
      </c>
      <c r="C11" s="601">
        <f>C7-C10</f>
        <v>0</v>
      </c>
      <c r="D11" s="601">
        <f>审定PL!C10</f>
        <v>0</v>
      </c>
      <c r="E11" s="601">
        <f t="shared" si="0"/>
        <v>0</v>
      </c>
      <c r="F11" s="602" t="str">
        <f t="shared" si="1"/>
        <v/>
      </c>
      <c r="G11" s="449" t="str">
        <f>IF(F11="","",IF(OR(ABS(F11)&gt;=30%,ABS(E11)&gt;=已审横向BS!$D$63*5%,ABS(E11)&gt;=$D$31*10%),"显著",IF(ABS(F11)&gt;=10%,"关注","")))</f>
        <v/>
      </c>
      <c r="H11" s="870"/>
    </row>
    <row r="12" spans="1:15" s="340" customFormat="1" ht="12.75">
      <c r="A12" s="349" t="str">
        <f>报表格式!L10</f>
        <v xml:space="preserve">    减：（一）主营业务成本</v>
      </c>
      <c r="B12" s="348">
        <v>6</v>
      </c>
      <c r="C12" s="480">
        <f>审定PL!E11</f>
        <v>0</v>
      </c>
      <c r="D12" s="480">
        <f>审定PL!C11</f>
        <v>0</v>
      </c>
      <c r="E12" s="480">
        <f t="shared" si="0"/>
        <v>0</v>
      </c>
      <c r="F12" s="446" t="str">
        <f t="shared" si="1"/>
        <v/>
      </c>
      <c r="G12" s="449" t="str">
        <f>IF(F12="","",IF(OR(ABS(F12)&gt;=30%,ABS(E12)&gt;=已审横向BS!$D$63*5%,ABS(E12)&gt;=$D$31*10%),"显著",IF(ABS(F12)&gt;=10%,"关注","")))</f>
        <v/>
      </c>
      <c r="H12" s="870"/>
    </row>
    <row r="13" spans="1:15" s="340" customFormat="1" ht="12.75">
      <c r="A13" s="349" t="str">
        <f>报表格式!L11</f>
        <v xml:space="preserve">              其中：出口产品（商品）销售成本</v>
      </c>
      <c r="B13" s="348">
        <v>7</v>
      </c>
      <c r="C13" s="480">
        <f>审定PL!E12</f>
        <v>0</v>
      </c>
      <c r="D13" s="480">
        <f>审定PL!C12</f>
        <v>0</v>
      </c>
      <c r="E13" s="480">
        <f t="shared" si="0"/>
        <v>0</v>
      </c>
      <c r="F13" s="446" t="str">
        <f t="shared" si="1"/>
        <v/>
      </c>
      <c r="G13" s="449" t="str">
        <f>IF(F13="","",IF(OR(ABS(F13)&gt;=30%,ABS(E13)&gt;=已审横向BS!$D$63*5%,ABS(E13)&gt;=$D$31*10%),"显著",IF(ABS(F13)&gt;=10%,"关注","")))</f>
        <v/>
      </c>
      <c r="H13" s="870"/>
    </row>
    <row r="14" spans="1:15" s="340" customFormat="1" ht="12.75">
      <c r="A14" s="349" t="str">
        <f>报表格式!L12</f>
        <v xml:space="preserve">        （二）主营业务税金及附加</v>
      </c>
      <c r="B14" s="348">
        <v>8</v>
      </c>
      <c r="C14" s="480">
        <f>审定PL!E13</f>
        <v>0</v>
      </c>
      <c r="D14" s="480">
        <f>审定PL!C13</f>
        <v>0</v>
      </c>
      <c r="E14" s="480">
        <f t="shared" si="0"/>
        <v>0</v>
      </c>
      <c r="F14" s="446" t="str">
        <f t="shared" si="1"/>
        <v/>
      </c>
      <c r="G14" s="449" t="str">
        <f>IF(F14="","",IF(OR(ABS(F14)&gt;=30%,ABS(E14)&gt;=已审横向BS!$D$63*5%,ABS(E14)&gt;=$D$31*10%),"显著",IF(ABS(F14)&gt;=10%,"关注","")))</f>
        <v/>
      </c>
      <c r="H14" s="870"/>
    </row>
    <row r="15" spans="1:15" s="340" customFormat="1" ht="12.75">
      <c r="A15" s="349" t="str">
        <f>报表格式!L13</f>
        <v xml:space="preserve">        （三）经营费用</v>
      </c>
      <c r="B15" s="348">
        <v>9</v>
      </c>
      <c r="C15" s="480">
        <f>审定PL!E14</f>
        <v>0</v>
      </c>
      <c r="D15" s="480">
        <f>审定PL!C14</f>
        <v>0</v>
      </c>
      <c r="E15" s="480">
        <f t="shared" si="0"/>
        <v>0</v>
      </c>
      <c r="F15" s="446" t="str">
        <f t="shared" si="1"/>
        <v/>
      </c>
      <c r="G15" s="449" t="str">
        <f>IF(F15="","",IF(OR(ABS(F15)&gt;=30%,ABS(E15)&gt;=已审横向BS!$D$63*5%,ABS(E15)&gt;=$D$31*10%),"显著",IF(ABS(F15)&gt;=10%,"关注","")))</f>
        <v/>
      </c>
      <c r="H15" s="870"/>
    </row>
    <row r="16" spans="1:15" s="340" customFormat="1" ht="12.75">
      <c r="A16" s="349" t="str">
        <f>报表格式!L14</f>
        <v xml:space="preserve">        （四）其他</v>
      </c>
      <c r="B16" s="348">
        <v>10</v>
      </c>
      <c r="C16" s="480">
        <f>审定PL!E15</f>
        <v>0</v>
      </c>
      <c r="D16" s="480">
        <f>审定PL!C15</f>
        <v>0</v>
      </c>
      <c r="E16" s="480">
        <f t="shared" si="0"/>
        <v>0</v>
      </c>
      <c r="F16" s="446" t="str">
        <f t="shared" si="1"/>
        <v/>
      </c>
      <c r="G16" s="449" t="str">
        <f>IF(F16="","",IF(OR(ABS(F16)&gt;=30%,ABS(E16)&gt;=已审横向BS!$D$63*5%,ABS(E16)&gt;=$D$31*10%),"显著",IF(ABS(F16)&gt;=10%,"关注","")))</f>
        <v/>
      </c>
      <c r="H16" s="870"/>
    </row>
    <row r="17" spans="1:8" s="340" customFormat="1" ht="12.75">
      <c r="A17" s="349" t="str">
        <f>报表格式!L15</f>
        <v xml:space="preserve">    加：（一）递延收益</v>
      </c>
      <c r="B17" s="348">
        <v>11</v>
      </c>
      <c r="C17" s="480">
        <f>审定PL!E16</f>
        <v>0</v>
      </c>
      <c r="D17" s="480">
        <f>审定PL!C16</f>
        <v>0</v>
      </c>
      <c r="E17" s="480">
        <f t="shared" si="0"/>
        <v>0</v>
      </c>
      <c r="F17" s="446" t="str">
        <f t="shared" si="1"/>
        <v/>
      </c>
      <c r="G17" s="449" t="str">
        <f>IF(F17="","",IF(OR(ABS(F17)&gt;=30%,ABS(E17)&gt;=已审横向BS!$D$63*5%,ABS(E17)&gt;=$D$31*10%),"显著",IF(ABS(F17)&gt;=10%,"关注","")))</f>
        <v/>
      </c>
      <c r="H17" s="870"/>
    </row>
    <row r="18" spans="1:8" s="340" customFormat="1" ht="12.75">
      <c r="A18" s="349" t="str">
        <f>报表格式!L16</f>
        <v xml:space="preserve">        （二）代购代销收入</v>
      </c>
      <c r="B18" s="348">
        <v>12</v>
      </c>
      <c r="C18" s="480">
        <f>审定PL!E17</f>
        <v>0</v>
      </c>
      <c r="D18" s="480">
        <f>审定PL!C17</f>
        <v>0</v>
      </c>
      <c r="E18" s="480">
        <f t="shared" si="0"/>
        <v>0</v>
      </c>
      <c r="F18" s="446" t="str">
        <f t="shared" si="1"/>
        <v/>
      </c>
      <c r="G18" s="449" t="str">
        <f>IF(F18="","",IF(OR(ABS(F18)&gt;=30%,ABS(E18)&gt;=已审横向BS!$D$63*5%,ABS(E18)&gt;=$D$31*10%),"显著",IF(ABS(F18)&gt;=10%,"关注","")))</f>
        <v/>
      </c>
      <c r="H18" s="870"/>
    </row>
    <row r="19" spans="1:8" s="340" customFormat="1" ht="12.75">
      <c r="A19" s="349" t="str">
        <f>报表格式!L17</f>
        <v xml:space="preserve">        （三）其他</v>
      </c>
      <c r="B19" s="348">
        <v>13</v>
      </c>
      <c r="C19" s="480">
        <f>审定PL!E18</f>
        <v>0</v>
      </c>
      <c r="D19" s="480">
        <f>审定PL!C18</f>
        <v>0</v>
      </c>
      <c r="E19" s="480">
        <f t="shared" si="0"/>
        <v>0</v>
      </c>
      <c r="F19" s="446" t="str">
        <f t="shared" si="1"/>
        <v/>
      </c>
      <c r="G19" s="449" t="str">
        <f>IF(F19="","",IF(OR(ABS(F19)&gt;=30%,ABS(E19)&gt;=已审横向BS!$D$63*5%,ABS(E19)&gt;=$D$31*10%),"显著",IF(ABS(F19)&gt;=10%,"关注","")))</f>
        <v/>
      </c>
      <c r="H19" s="870"/>
    </row>
    <row r="20" spans="1:8" s="340" customFormat="1" ht="12.75">
      <c r="A20" s="347" t="str">
        <f>报表格式!L18</f>
        <v>三、主营业务利润</v>
      </c>
      <c r="B20" s="348">
        <v>14</v>
      </c>
      <c r="C20" s="601">
        <f>C11-C12-C14-C15-C16+C17+C18+C19</f>
        <v>0</v>
      </c>
      <c r="D20" s="601">
        <f>审定PL!C19</f>
        <v>0</v>
      </c>
      <c r="E20" s="601">
        <f t="shared" si="0"/>
        <v>0</v>
      </c>
      <c r="F20" s="602" t="str">
        <f t="shared" si="1"/>
        <v/>
      </c>
      <c r="G20" s="449" t="str">
        <f>IF(F20="","",IF(OR(ABS(F20)&gt;=30%,ABS(E20)&gt;=已审横向BS!$D$63*5%,ABS(E20)&gt;=$D$31*10%),"显著",IF(ABS(F20)&gt;=10%,"关注","")))</f>
        <v/>
      </c>
      <c r="H20" s="870"/>
    </row>
    <row r="21" spans="1:8" s="340" customFormat="1" ht="12.75">
      <c r="A21" s="349" t="str">
        <f>报表格式!L19</f>
        <v xml:space="preserve">    加：其他业务利润</v>
      </c>
      <c r="B21" s="348">
        <v>15</v>
      </c>
      <c r="C21" s="480">
        <f>审定PL!E20</f>
        <v>0</v>
      </c>
      <c r="D21" s="480">
        <f>审定PL!C20</f>
        <v>0</v>
      </c>
      <c r="E21" s="480">
        <f t="shared" si="0"/>
        <v>0</v>
      </c>
      <c r="F21" s="446" t="str">
        <f t="shared" si="1"/>
        <v/>
      </c>
      <c r="G21" s="449" t="str">
        <f>IF(F21="","",IF(OR(ABS(F21)&gt;=30%,ABS(E21)&gt;=已审横向BS!$D$63*5%,ABS(E21)&gt;=$D$31*10%),"显著",IF(ABS(F21)&gt;=10%,"关注","")))</f>
        <v/>
      </c>
      <c r="H21" s="870"/>
    </row>
    <row r="22" spans="1:8" s="340" customFormat="1" ht="12.75">
      <c r="A22" s="349" t="str">
        <f>报表格式!L20</f>
        <v xml:space="preserve">    减：（一）营业费用</v>
      </c>
      <c r="B22" s="348">
        <v>16</v>
      </c>
      <c r="C22" s="480">
        <f>审定PL!E21</f>
        <v>0</v>
      </c>
      <c r="D22" s="480">
        <f>审定PL!C21</f>
        <v>0</v>
      </c>
      <c r="E22" s="480">
        <f t="shared" si="0"/>
        <v>0</v>
      </c>
      <c r="F22" s="446" t="str">
        <f t="shared" si="1"/>
        <v/>
      </c>
      <c r="G22" s="449" t="str">
        <f>IF(F22="","",IF(OR(ABS(F22)&gt;=30%,ABS(E22)&gt;=已审横向BS!$D$63*5%,ABS(E22)&gt;=$D$31*10%),"显著",IF(ABS(F22)&gt;=10%,"关注","")))</f>
        <v/>
      </c>
      <c r="H22" s="870"/>
    </row>
    <row r="23" spans="1:8" s="340" customFormat="1" ht="12.75">
      <c r="A23" s="349" t="str">
        <f>报表格式!L21</f>
        <v xml:space="preserve">        （二）管理费用</v>
      </c>
      <c r="B23" s="348">
        <v>17</v>
      </c>
      <c r="C23" s="480">
        <f>审定PL!E22</f>
        <v>0</v>
      </c>
      <c r="D23" s="480">
        <f>审定PL!C22</f>
        <v>0</v>
      </c>
      <c r="E23" s="480">
        <f t="shared" si="0"/>
        <v>0</v>
      </c>
      <c r="F23" s="446" t="str">
        <f t="shared" si="1"/>
        <v/>
      </c>
      <c r="G23" s="449" t="str">
        <f>IF(F23="","",IF(OR(ABS(F23)&gt;=30%,ABS(E23)&gt;=已审横向BS!$D$63*5%,ABS(E23)&gt;=$D$31*10%),"显著",IF(ABS(F23)&gt;=10%,"关注","")))</f>
        <v/>
      </c>
      <c r="H23" s="870"/>
    </row>
    <row r="24" spans="1:8" s="340" customFormat="1" ht="12.75">
      <c r="A24" s="349" t="str">
        <f>报表格式!L22</f>
        <v xml:space="preserve">         其中：业务招待费</v>
      </c>
      <c r="B24" s="348">
        <v>18</v>
      </c>
      <c r="C24" s="480">
        <f>审定PL!E23</f>
        <v>0</v>
      </c>
      <c r="D24" s="480">
        <f>审定PL!C23</f>
        <v>0</v>
      </c>
      <c r="E24" s="480">
        <f>D24-C24</f>
        <v>0</v>
      </c>
      <c r="F24" s="446" t="str">
        <f>IF(AND(C24=0,D24=0),"",IF(C24=0,100%,IF(D24=0,-100%,E24/C24)))</f>
        <v/>
      </c>
      <c r="G24" s="449" t="str">
        <f>IF(F24="","",IF(OR(ABS(F24)&gt;=30%,ABS(E24)&gt;=已审横向BS!$D$63*5%,ABS(E24)&gt;=$D$31*10%),"显著",IF(ABS(F24)&gt;=10%,"关注","")))</f>
        <v/>
      </c>
      <c r="H24" s="870"/>
    </row>
    <row r="25" spans="1:8" s="340" customFormat="1" ht="12.75">
      <c r="A25" s="349" t="str">
        <f>报表格式!L23</f>
        <v xml:space="preserve">               研究与开发费</v>
      </c>
      <c r="B25" s="348">
        <v>19</v>
      </c>
      <c r="C25" s="480">
        <f>审定PL!E24</f>
        <v>0</v>
      </c>
      <c r="D25" s="480">
        <f>审定PL!C24</f>
        <v>0</v>
      </c>
      <c r="E25" s="480">
        <f>D25-C25</f>
        <v>0</v>
      </c>
      <c r="F25" s="446" t="str">
        <f>IF(AND(C25=0,D25=0),"",IF(C25=0,100%,IF(D25=0,-100%,E25/C25)))</f>
        <v/>
      </c>
      <c r="G25" s="449" t="str">
        <f>IF(F25="","",IF(OR(ABS(F25)&gt;=30%,ABS(E25)&gt;=已审横向BS!$D$63*5%,ABS(E25)&gt;=$D$31*10%),"显著",IF(ABS(F25)&gt;=10%,"关注","")))</f>
        <v/>
      </c>
      <c r="H25" s="870"/>
    </row>
    <row r="26" spans="1:8" s="340" customFormat="1" ht="12.75">
      <c r="A26" s="349" t="str">
        <f>报表格式!L24</f>
        <v xml:space="preserve">        （三）财务费用</v>
      </c>
      <c r="B26" s="348">
        <v>20</v>
      </c>
      <c r="C26" s="480">
        <f>审定PL!E25</f>
        <v>0</v>
      </c>
      <c r="D26" s="480">
        <f>审定PL!C25</f>
        <v>0</v>
      </c>
      <c r="E26" s="480">
        <f t="shared" si="0"/>
        <v>0</v>
      </c>
      <c r="F26" s="446" t="str">
        <f t="shared" si="1"/>
        <v/>
      </c>
      <c r="G26" s="449" t="str">
        <f>IF(F26="","",IF(OR(ABS(F26)&gt;=30%,ABS(E26)&gt;=已审横向BS!$D$63*5%,ABS(E26)&gt;=$D$31*10%),"显著",IF(ABS(F26)&gt;=10%,"关注","")))</f>
        <v/>
      </c>
      <c r="H26" s="870"/>
    </row>
    <row r="27" spans="1:8" s="340" customFormat="1" ht="12.75">
      <c r="A27" s="349" t="str">
        <f>报表格式!L25</f>
        <v xml:space="preserve">         其中：利息支出</v>
      </c>
      <c r="B27" s="348">
        <v>21</v>
      </c>
      <c r="C27" s="480">
        <f>审定PL!E26</f>
        <v>0</v>
      </c>
      <c r="D27" s="480">
        <f>审定PL!C26</f>
        <v>0</v>
      </c>
      <c r="E27" s="480">
        <f t="shared" si="0"/>
        <v>0</v>
      </c>
      <c r="F27" s="446" t="str">
        <f t="shared" si="1"/>
        <v/>
      </c>
      <c r="G27" s="449" t="str">
        <f>IF(F27="","",IF(OR(ABS(F27)&gt;=30%,ABS(E27)&gt;=已审横向BS!$D$63*5%,ABS(E27)&gt;=$D$31*10%),"显著",IF(ABS(F27)&gt;=10%,"关注","")))</f>
        <v/>
      </c>
      <c r="H27" s="870"/>
    </row>
    <row r="28" spans="1:8" s="340" customFormat="1" ht="12.75">
      <c r="A28" s="349" t="str">
        <f>报表格式!L26</f>
        <v xml:space="preserve">               利息收入</v>
      </c>
      <c r="B28" s="348">
        <v>22</v>
      </c>
      <c r="C28" s="480">
        <f>审定PL!E27</f>
        <v>0</v>
      </c>
      <c r="D28" s="480">
        <f>审定PL!C27</f>
        <v>0</v>
      </c>
      <c r="E28" s="480">
        <f t="shared" si="0"/>
        <v>0</v>
      </c>
      <c r="F28" s="446" t="str">
        <f t="shared" si="1"/>
        <v/>
      </c>
      <c r="G28" s="449" t="str">
        <f>IF(F28="","",IF(OR(ABS(F28)&gt;=30%,ABS(E28)&gt;=已审横向BS!$D$63*5%,ABS(E28)&gt;=$D$31*10%),"显著",IF(ABS(F28)&gt;=10%,"关注","")))</f>
        <v/>
      </c>
      <c r="H28" s="870"/>
    </row>
    <row r="29" spans="1:8" s="340" customFormat="1" ht="12.75">
      <c r="A29" s="349" t="str">
        <f>报表格式!L27</f>
        <v xml:space="preserve">               汇兑净损失</v>
      </c>
      <c r="B29" s="348">
        <v>23</v>
      </c>
      <c r="C29" s="480">
        <f>审定PL!E28</f>
        <v>0</v>
      </c>
      <c r="D29" s="480">
        <f>审定PL!C28</f>
        <v>0</v>
      </c>
      <c r="E29" s="480">
        <f t="shared" si="0"/>
        <v>0</v>
      </c>
      <c r="F29" s="446" t="str">
        <f t="shared" si="1"/>
        <v/>
      </c>
      <c r="G29" s="449" t="str">
        <f>IF(F29="","",IF(OR(ABS(F29)&gt;=30%,ABS(E29)&gt;=已审横向BS!$D$63*5%,ABS(E29)&gt;=$D$31*10%),"显著",IF(ABS(F29)&gt;=10%,"关注","")))</f>
        <v/>
      </c>
      <c r="H29" s="870"/>
    </row>
    <row r="30" spans="1:8" s="340" customFormat="1" ht="12.75">
      <c r="A30" s="349" t="str">
        <f>报表格式!L28</f>
        <v xml:space="preserve">        （四）其他</v>
      </c>
      <c r="B30" s="348">
        <v>24</v>
      </c>
      <c r="C30" s="480">
        <f>审定PL!E29</f>
        <v>0</v>
      </c>
      <c r="D30" s="480">
        <f>审定PL!C29</f>
        <v>0</v>
      </c>
      <c r="E30" s="480">
        <f t="shared" si="0"/>
        <v>0</v>
      </c>
      <c r="F30" s="446" t="str">
        <f t="shared" si="1"/>
        <v/>
      </c>
      <c r="G30" s="449" t="str">
        <f>IF(F30="","",IF(OR(ABS(F30)&gt;=30%,ABS(E30)&gt;=已审横向BS!$D$63*5%,ABS(E30)&gt;=$D$31*10%),"显著",IF(ABS(F30)&gt;=10%,"关注","")))</f>
        <v/>
      </c>
      <c r="H30" s="870"/>
    </row>
    <row r="31" spans="1:8" s="340" customFormat="1" ht="12.75">
      <c r="A31" s="347" t="str">
        <f>报表格式!L29</f>
        <v>四、营业利润</v>
      </c>
      <c r="B31" s="348">
        <v>25</v>
      </c>
      <c r="C31" s="601">
        <f>C20+C21-C22-C23-C26-C30</f>
        <v>0</v>
      </c>
      <c r="D31" s="601">
        <f>审定PL!C30</f>
        <v>0</v>
      </c>
      <c r="E31" s="601">
        <f t="shared" si="0"/>
        <v>0</v>
      </c>
      <c r="F31" s="602" t="str">
        <f t="shared" si="1"/>
        <v/>
      </c>
      <c r="G31" s="449" t="str">
        <f>IF(F31="","",IF(OR(ABS(F31)&gt;=30%,ABS(E31)&gt;=已审横向BS!$D$63*5%,ABS(E31)&gt;=$D$31*10%),"显著",IF(ABS(F31)&gt;=10%,"关注","")))</f>
        <v/>
      </c>
      <c r="H31" s="870"/>
    </row>
    <row r="32" spans="1:8" s="340" customFormat="1" ht="12.75">
      <c r="A32" s="349" t="str">
        <f>报表格式!L30</f>
        <v xml:space="preserve">    加：（一）投资收益</v>
      </c>
      <c r="B32" s="348">
        <v>26</v>
      </c>
      <c r="C32" s="480">
        <f>审定PL!E31</f>
        <v>0</v>
      </c>
      <c r="D32" s="480">
        <f>审定PL!C31</f>
        <v>0</v>
      </c>
      <c r="E32" s="480">
        <f t="shared" si="0"/>
        <v>0</v>
      </c>
      <c r="F32" s="446" t="str">
        <f t="shared" si="1"/>
        <v/>
      </c>
      <c r="G32" s="449" t="str">
        <f>IF(F32="","",IF(OR(ABS(F32)&gt;=30%,ABS(E32)&gt;=已审横向BS!$D$63*5%,ABS(E32)&gt;=$D$31*10%),"显著",IF(ABS(F32)&gt;=10%,"关注","")))</f>
        <v/>
      </c>
      <c r="H32" s="870"/>
    </row>
    <row r="33" spans="1:8" s="340" customFormat="1" ht="12.75">
      <c r="A33" s="349" t="str">
        <f>报表格式!L31</f>
        <v xml:space="preserve">        （二）期货收益</v>
      </c>
      <c r="B33" s="348">
        <v>27</v>
      </c>
      <c r="C33" s="480">
        <f>审定PL!E32</f>
        <v>0</v>
      </c>
      <c r="D33" s="480">
        <f>审定PL!C32</f>
        <v>0</v>
      </c>
      <c r="E33" s="480">
        <f t="shared" si="0"/>
        <v>0</v>
      </c>
      <c r="F33" s="446" t="str">
        <f t="shared" si="1"/>
        <v/>
      </c>
      <c r="G33" s="449" t="str">
        <f>IF(F33="","",IF(OR(ABS(F33)&gt;=30%,ABS(E33)&gt;=已审横向BS!$D$63*5%,ABS(E33)&gt;=$D$31*10%),"显著",IF(ABS(F33)&gt;=10%,"关注","")))</f>
        <v/>
      </c>
      <c r="H33" s="870"/>
    </row>
    <row r="34" spans="1:8" s="340" customFormat="1" ht="12.75">
      <c r="A34" s="349" t="str">
        <f>报表格式!L32</f>
        <v xml:space="preserve">        （三）补贴收入</v>
      </c>
      <c r="B34" s="348">
        <v>28</v>
      </c>
      <c r="C34" s="480">
        <f>审定PL!E33</f>
        <v>0</v>
      </c>
      <c r="D34" s="480">
        <f>审定PL!C33</f>
        <v>0</v>
      </c>
      <c r="E34" s="480">
        <f t="shared" si="0"/>
        <v>0</v>
      </c>
      <c r="F34" s="446" t="str">
        <f t="shared" si="1"/>
        <v/>
      </c>
      <c r="G34" s="449" t="str">
        <f>IF(F34="","",IF(OR(ABS(F34)&gt;=30%,ABS(E34)&gt;=已审横向BS!$D$63*5%,ABS(E34)&gt;=$D$31*10%),"显著",IF(ABS(F34)&gt;=10%,"关注","")))</f>
        <v/>
      </c>
      <c r="H34" s="870"/>
    </row>
    <row r="35" spans="1:8" s="340" customFormat="1" ht="12.75">
      <c r="A35" s="349" t="str">
        <f>报表格式!L33</f>
        <v xml:space="preserve">             其中：补贴前亏损的企业补贴收入</v>
      </c>
      <c r="B35" s="348">
        <v>29</v>
      </c>
      <c r="C35" s="480">
        <f>审定PL!E34</f>
        <v>0</v>
      </c>
      <c r="D35" s="480">
        <f>审定PL!C34</f>
        <v>0</v>
      </c>
      <c r="E35" s="480">
        <f t="shared" si="0"/>
        <v>0</v>
      </c>
      <c r="F35" s="446" t="str">
        <f t="shared" si="1"/>
        <v/>
      </c>
      <c r="G35" s="449" t="str">
        <f>IF(F35="","",IF(OR(ABS(F35)&gt;=30%,ABS(E35)&gt;=已审横向BS!$D$63*5%,ABS(E35)&gt;=$D$31*10%),"显著",IF(ABS(F35)&gt;=10%,"关注","")))</f>
        <v/>
      </c>
      <c r="H35" s="870"/>
    </row>
    <row r="36" spans="1:8" s="340" customFormat="1" ht="12.75">
      <c r="A36" s="349" t="str">
        <f>报表格式!L34</f>
        <v xml:space="preserve">        （四）营业外收入</v>
      </c>
      <c r="B36" s="348">
        <v>30</v>
      </c>
      <c r="C36" s="480">
        <f>审定PL!E35</f>
        <v>0</v>
      </c>
      <c r="D36" s="480">
        <f>审定PL!C35</f>
        <v>0</v>
      </c>
      <c r="E36" s="480">
        <f t="shared" si="0"/>
        <v>0</v>
      </c>
      <c r="F36" s="446" t="str">
        <f t="shared" si="1"/>
        <v/>
      </c>
      <c r="G36" s="449" t="str">
        <f>IF(F36="","",IF(OR(ABS(F36)&gt;=30%,ABS(E36)&gt;=已审横向BS!$D$63*5%,ABS(E36)&gt;=$D$31*10%),"显著",IF(ABS(F36)&gt;=10%,"关注","")))</f>
        <v/>
      </c>
      <c r="H36" s="870"/>
    </row>
    <row r="37" spans="1:8" s="340" customFormat="1" ht="12.75">
      <c r="A37" s="349" t="str">
        <f>报表格式!L35</f>
        <v xml:space="preserve">             其中：处置固定资产净收益</v>
      </c>
      <c r="B37" s="348">
        <v>31</v>
      </c>
      <c r="C37" s="480">
        <f>审定PL!E36</f>
        <v>0</v>
      </c>
      <c r="D37" s="480">
        <f>审定PL!C36</f>
        <v>0</v>
      </c>
      <c r="E37" s="480">
        <f t="shared" si="0"/>
        <v>0</v>
      </c>
      <c r="F37" s="446" t="str">
        <f t="shared" si="1"/>
        <v/>
      </c>
      <c r="G37" s="449" t="str">
        <f>IF(F37="","",IF(OR(ABS(F37)&gt;=30%,ABS(E37)&gt;=已审横向BS!$D$63*5%,ABS(E37)&gt;=$D$31*10%),"显著",IF(ABS(F37)&gt;=10%,"关注","")))</f>
        <v/>
      </c>
      <c r="H37" s="870"/>
    </row>
    <row r="38" spans="1:8" s="340" customFormat="1" ht="12.75">
      <c r="A38" s="349" t="str">
        <f>报表格式!L36</f>
        <v xml:space="preserve">                   非货币性交易收益</v>
      </c>
      <c r="B38" s="348">
        <v>32</v>
      </c>
      <c r="C38" s="480">
        <f>审定PL!E37</f>
        <v>0</v>
      </c>
      <c r="D38" s="480">
        <f>审定PL!C37</f>
        <v>0</v>
      </c>
      <c r="E38" s="480">
        <f t="shared" si="0"/>
        <v>0</v>
      </c>
      <c r="F38" s="446" t="str">
        <f t="shared" si="1"/>
        <v/>
      </c>
      <c r="G38" s="449" t="str">
        <f>IF(F38="","",IF(OR(ABS(F38)&gt;=30%,ABS(E38)&gt;=已审横向BS!$D$63*5%,ABS(E38)&gt;=$D$31*10%),"显著",IF(ABS(F38)&gt;=10%,"关注","")))</f>
        <v/>
      </c>
      <c r="H38" s="870"/>
    </row>
    <row r="39" spans="1:8" s="340" customFormat="1" ht="12.75">
      <c r="A39" s="349" t="str">
        <f>报表格式!L37</f>
        <v xml:space="preserve">                   出售无形资产收益</v>
      </c>
      <c r="B39" s="348">
        <v>33</v>
      </c>
      <c r="C39" s="480">
        <f>审定PL!E38</f>
        <v>0</v>
      </c>
      <c r="D39" s="480">
        <f>审定PL!C38</f>
        <v>0</v>
      </c>
      <c r="E39" s="480">
        <f t="shared" si="0"/>
        <v>0</v>
      </c>
      <c r="F39" s="446" t="str">
        <f t="shared" si="1"/>
        <v/>
      </c>
      <c r="G39" s="449" t="str">
        <f>IF(F39="","",IF(OR(ABS(F39)&gt;=30%,ABS(E39)&gt;=已审横向BS!$D$63*5%,ABS(E39)&gt;=$D$31*10%),"显著",IF(ABS(F39)&gt;=10%,"关注","")))</f>
        <v/>
      </c>
      <c r="H39" s="870"/>
    </row>
    <row r="40" spans="1:8" s="340" customFormat="1" ht="12.75">
      <c r="A40" s="349" t="str">
        <f>报表格式!L38</f>
        <v xml:space="preserve">                   罚款净收入</v>
      </c>
      <c r="B40" s="348">
        <v>34</v>
      </c>
      <c r="C40" s="480">
        <f>审定PL!E39</f>
        <v>0</v>
      </c>
      <c r="D40" s="480">
        <f>审定PL!C39</f>
        <v>0</v>
      </c>
      <c r="E40" s="480">
        <f t="shared" si="0"/>
        <v>0</v>
      </c>
      <c r="F40" s="446" t="str">
        <f t="shared" si="1"/>
        <v/>
      </c>
      <c r="G40" s="449" t="str">
        <f>IF(F40="","",IF(OR(ABS(F40)&gt;=30%,ABS(E40)&gt;=已审横向BS!$D$63*5%,ABS(E40)&gt;=$D$31*10%),"显著",IF(ABS(F40)&gt;=10%,"关注","")))</f>
        <v/>
      </c>
      <c r="H40" s="870"/>
    </row>
    <row r="41" spans="1:8" s="340" customFormat="1" ht="12.75">
      <c r="A41" s="349" t="str">
        <f>报表格式!L39</f>
        <v xml:space="preserve">        （五）其他</v>
      </c>
      <c r="B41" s="348">
        <v>35</v>
      </c>
      <c r="C41" s="480">
        <f>审定PL!E40</f>
        <v>0</v>
      </c>
      <c r="D41" s="480">
        <f>审定PL!C40</f>
        <v>0</v>
      </c>
      <c r="E41" s="480">
        <f t="shared" si="0"/>
        <v>0</v>
      </c>
      <c r="F41" s="446" t="str">
        <f t="shared" si="1"/>
        <v/>
      </c>
      <c r="G41" s="449" t="str">
        <f>IF(F41="","",IF(OR(ABS(F41)&gt;=30%,ABS(E41)&gt;=已审横向BS!$D$63*5%,ABS(E41)&gt;=$D$31*10%),"显著",IF(ABS(F41)&gt;=10%,"关注","")))</f>
        <v/>
      </c>
      <c r="H41" s="870"/>
    </row>
    <row r="42" spans="1:8" s="340" customFormat="1" ht="12.75">
      <c r="A42" s="349" t="str">
        <f>报表格式!L40</f>
        <v xml:space="preserve">             其中：用以前年度含量工资结余弥补利润</v>
      </c>
      <c r="B42" s="348">
        <v>36</v>
      </c>
      <c r="C42" s="480">
        <f>审定PL!E41</f>
        <v>0</v>
      </c>
      <c r="D42" s="480">
        <f>审定PL!C41</f>
        <v>0</v>
      </c>
      <c r="E42" s="480">
        <f t="shared" si="0"/>
        <v>0</v>
      </c>
      <c r="F42" s="446" t="str">
        <f t="shared" si="1"/>
        <v/>
      </c>
      <c r="G42" s="449" t="str">
        <f>IF(F42="","",IF(OR(ABS(F42)&gt;=30%,ABS(E42)&gt;=已审横向BS!$D$63*5%,ABS(E42)&gt;=$D$31*10%),"显著",IF(ABS(F42)&gt;=10%,"关注","")))</f>
        <v/>
      </c>
      <c r="H42" s="870"/>
    </row>
    <row r="43" spans="1:8" s="340" customFormat="1" ht="12.75">
      <c r="A43" s="349" t="str">
        <f>报表格式!L41</f>
        <v xml:space="preserve">    减：（一）营业外支出</v>
      </c>
      <c r="B43" s="348">
        <v>37</v>
      </c>
      <c r="C43" s="480">
        <f>审定PL!E42</f>
        <v>0</v>
      </c>
      <c r="D43" s="480">
        <f>审定PL!C42</f>
        <v>0</v>
      </c>
      <c r="E43" s="480">
        <f t="shared" si="0"/>
        <v>0</v>
      </c>
      <c r="F43" s="446" t="str">
        <f t="shared" si="1"/>
        <v/>
      </c>
      <c r="G43" s="449" t="str">
        <f>IF(F43="","",IF(OR(ABS(F43)&gt;=30%,ABS(E43)&gt;=已审横向BS!$D$63*5%,ABS(E43)&gt;=$D$31*10%),"显著",IF(ABS(F43)&gt;=10%,"关注","")))</f>
        <v/>
      </c>
      <c r="H43" s="870"/>
    </row>
    <row r="44" spans="1:8" s="340" customFormat="1" ht="12.75">
      <c r="A44" s="349" t="str">
        <f>报表格式!L42</f>
        <v xml:space="preserve">             其中：处置固定资产净损失</v>
      </c>
      <c r="B44" s="348">
        <v>38</v>
      </c>
      <c r="C44" s="480">
        <f>审定PL!E43</f>
        <v>0</v>
      </c>
      <c r="D44" s="480">
        <f>审定PL!C43</f>
        <v>0</v>
      </c>
      <c r="E44" s="480">
        <f t="shared" si="0"/>
        <v>0</v>
      </c>
      <c r="F44" s="446" t="str">
        <f t="shared" si="1"/>
        <v/>
      </c>
      <c r="G44" s="449" t="str">
        <f>IF(F44="","",IF(OR(ABS(F44)&gt;=30%,ABS(E44)&gt;=已审横向BS!$D$63*5%,ABS(E44)&gt;=$D$31*10%),"显著",IF(ABS(F44)&gt;=10%,"关注","")))</f>
        <v/>
      </c>
      <c r="H44" s="870"/>
    </row>
    <row r="45" spans="1:8" s="340" customFormat="1" ht="12.75">
      <c r="A45" s="349" t="str">
        <f>报表格式!L43</f>
        <v xml:space="preserve">                   出售无形资产损失</v>
      </c>
      <c r="B45" s="348">
        <v>39</v>
      </c>
      <c r="C45" s="480">
        <f>审定PL!E44</f>
        <v>0</v>
      </c>
      <c r="D45" s="480">
        <f>审定PL!C44</f>
        <v>0</v>
      </c>
      <c r="E45" s="480">
        <f t="shared" si="0"/>
        <v>0</v>
      </c>
      <c r="F45" s="446" t="str">
        <f t="shared" si="1"/>
        <v/>
      </c>
      <c r="G45" s="449" t="str">
        <f>IF(F45="","",IF(OR(ABS(F45)&gt;=30%,ABS(E45)&gt;=已审横向BS!$D$63*5%,ABS(E45)&gt;=$D$31*10%),"显著",IF(ABS(F45)&gt;=10%,"关注","")))</f>
        <v/>
      </c>
      <c r="H45" s="870"/>
    </row>
    <row r="46" spans="1:8" s="340" customFormat="1" ht="12.75">
      <c r="A46" s="349" t="str">
        <f>报表格式!L44</f>
        <v xml:space="preserve">                   罚款支出</v>
      </c>
      <c r="B46" s="348">
        <v>40</v>
      </c>
      <c r="C46" s="480">
        <f>审定PL!E45</f>
        <v>0</v>
      </c>
      <c r="D46" s="480">
        <f>审定PL!C45</f>
        <v>0</v>
      </c>
      <c r="E46" s="480">
        <f t="shared" si="0"/>
        <v>0</v>
      </c>
      <c r="F46" s="446" t="str">
        <f t="shared" si="1"/>
        <v/>
      </c>
      <c r="G46" s="449" t="str">
        <f>IF(F46="","",IF(OR(ABS(F46)&gt;=30%,ABS(E46)&gt;=已审横向BS!$D$63*5%,ABS(E46)&gt;=$D$31*10%),"显著",IF(ABS(F46)&gt;=10%,"关注","")))</f>
        <v/>
      </c>
      <c r="H46" s="870"/>
    </row>
    <row r="47" spans="1:8" s="340" customFormat="1" ht="12.75">
      <c r="A47" s="349" t="str">
        <f>报表格式!L45</f>
        <v xml:space="preserve">                   捐赠支出</v>
      </c>
      <c r="B47" s="348">
        <v>41</v>
      </c>
      <c r="C47" s="480">
        <f>审定PL!E46</f>
        <v>0</v>
      </c>
      <c r="D47" s="480">
        <f>审定PL!C46</f>
        <v>0</v>
      </c>
      <c r="E47" s="480">
        <f t="shared" si="0"/>
        <v>0</v>
      </c>
      <c r="F47" s="446" t="str">
        <f t="shared" si="1"/>
        <v/>
      </c>
      <c r="G47" s="449" t="str">
        <f>IF(F47="","",IF(OR(ABS(F47)&gt;=30%,ABS(E47)&gt;=已审横向BS!$D$63*5%,ABS(E47)&gt;=$D$31*10%),"显著",IF(ABS(F47)&gt;=10%,"关注","")))</f>
        <v/>
      </c>
      <c r="H47" s="870"/>
    </row>
    <row r="48" spans="1:8" s="340" customFormat="1" ht="12.75">
      <c r="A48" s="349" t="str">
        <f>报表格式!L46</f>
        <v xml:space="preserve">        （二）其他支出</v>
      </c>
      <c r="B48" s="348">
        <v>42</v>
      </c>
      <c r="C48" s="480">
        <f>审定PL!E47</f>
        <v>0</v>
      </c>
      <c r="D48" s="480">
        <f>审定PL!C47</f>
        <v>0</v>
      </c>
      <c r="E48" s="480">
        <f t="shared" si="0"/>
        <v>0</v>
      </c>
      <c r="F48" s="446" t="str">
        <f t="shared" si="1"/>
        <v/>
      </c>
      <c r="G48" s="449" t="str">
        <f>IF(F48="","",IF(OR(ABS(F48)&gt;=30%,ABS(E48)&gt;=已审横向BS!$D$63*5%,ABS(E48)&gt;=$D$31*10%),"显著",IF(ABS(F48)&gt;=10%,"关注","")))</f>
        <v/>
      </c>
      <c r="H48" s="870"/>
    </row>
    <row r="49" spans="1:8" s="340" customFormat="1" ht="12.75">
      <c r="A49" s="349" t="str">
        <f>报表格式!L47</f>
        <v xml:space="preserve">             其中：结转的含量工资包干结余</v>
      </c>
      <c r="B49" s="348">
        <v>43</v>
      </c>
      <c r="C49" s="480">
        <f>审定PL!E48</f>
        <v>0</v>
      </c>
      <c r="D49" s="480">
        <f>审定PL!C48</f>
        <v>0</v>
      </c>
      <c r="E49" s="480">
        <f t="shared" si="0"/>
        <v>0</v>
      </c>
      <c r="F49" s="446" t="str">
        <f t="shared" si="1"/>
        <v/>
      </c>
      <c r="G49" s="449" t="str">
        <f>IF(F49="","",IF(OR(ABS(F49)&gt;=30%,ABS(E49)&gt;=已审横向BS!$D$63*5%,ABS(E49)&gt;=$D$31*10%),"显著",IF(ABS(F49)&gt;=10%,"关注","")))</f>
        <v/>
      </c>
      <c r="H49" s="870"/>
    </row>
    <row r="50" spans="1:8" s="340" customFormat="1" ht="12.75">
      <c r="A50" s="347" t="str">
        <f>报表格式!L48</f>
        <v>五、利润总额</v>
      </c>
      <c r="B50" s="348">
        <v>44</v>
      </c>
      <c r="C50" s="601">
        <f>C31+C32+C33+C34+C36+C41-C43-C48</f>
        <v>0</v>
      </c>
      <c r="D50" s="601">
        <f>审定PL!C49</f>
        <v>0</v>
      </c>
      <c r="E50" s="601">
        <f t="shared" si="0"/>
        <v>0</v>
      </c>
      <c r="F50" s="602" t="str">
        <f t="shared" si="1"/>
        <v/>
      </c>
      <c r="G50" s="449" t="str">
        <f>IF(F50="","",IF(OR(ABS(F50)&gt;=30%,ABS(E50)&gt;=已审横向BS!$D$63*5%,ABS(E50)&gt;=$D$31*10%),"显著",IF(ABS(F50)&gt;=10%,"关注","")))</f>
        <v/>
      </c>
      <c r="H50" s="870"/>
    </row>
    <row r="51" spans="1:8" s="340" customFormat="1" ht="12.75">
      <c r="A51" s="349" t="str">
        <f>报表格式!L49</f>
        <v xml:space="preserve">    减：所得税</v>
      </c>
      <c r="B51" s="348">
        <v>45</v>
      </c>
      <c r="C51" s="480">
        <f>审定PL!E50</f>
        <v>0</v>
      </c>
      <c r="D51" s="480">
        <f>审定PL!C50</f>
        <v>0</v>
      </c>
      <c r="E51" s="480">
        <f t="shared" si="0"/>
        <v>0</v>
      </c>
      <c r="F51" s="446" t="str">
        <f t="shared" si="1"/>
        <v/>
      </c>
      <c r="G51" s="449" t="str">
        <f>IF(F51="","",IF(OR(ABS(F51)&gt;=30%,ABS(E51)&gt;=已审横向BS!$D$63*5%,ABS(E51)&gt;=$D$31*10%),"显著",IF(ABS(F51)&gt;=10%,"关注","")))</f>
        <v/>
      </c>
      <c r="H51" s="870"/>
    </row>
    <row r="52" spans="1:8" s="340" customFormat="1" ht="12.75">
      <c r="A52" s="349" t="str">
        <f>报表格式!L50</f>
        <v xml:space="preserve">       *少数股东损益</v>
      </c>
      <c r="B52" s="348">
        <v>46</v>
      </c>
      <c r="C52" s="480">
        <f>审定PL!E51</f>
        <v>0</v>
      </c>
      <c r="D52" s="480">
        <f>审定PL!C51</f>
        <v>0</v>
      </c>
      <c r="E52" s="480">
        <f t="shared" si="0"/>
        <v>0</v>
      </c>
      <c r="F52" s="446" t="str">
        <f t="shared" si="1"/>
        <v/>
      </c>
      <c r="G52" s="449" t="str">
        <f>IF(F52="","",IF(OR(ABS(F52)&gt;=30%,ABS(E52)&gt;=已审横向BS!$D$63*5%,ABS(E52)&gt;=$D$31*10%),"显著",IF(ABS(F52)&gt;=10%,"关注","")))</f>
        <v/>
      </c>
      <c r="H52" s="870"/>
    </row>
    <row r="53" spans="1:8" s="340" customFormat="1" ht="12.75">
      <c r="A53" s="349" t="str">
        <f>报表格式!L51</f>
        <v xml:space="preserve">    加：*未确认的投资损失</v>
      </c>
      <c r="B53" s="348">
        <v>47</v>
      </c>
      <c r="C53" s="480">
        <f>审定PL!E52</f>
        <v>0</v>
      </c>
      <c r="D53" s="480">
        <f>审定PL!C52</f>
        <v>0</v>
      </c>
      <c r="E53" s="480">
        <f t="shared" si="0"/>
        <v>0</v>
      </c>
      <c r="F53" s="446" t="str">
        <f t="shared" si="1"/>
        <v/>
      </c>
      <c r="G53" s="449" t="str">
        <f>IF(F53="","",IF(OR(ABS(F53)&gt;=30%,ABS(E53)&gt;=已审横向BS!$D$63*5%,ABS(E53)&gt;=$D$31*10%),"显著",IF(ABS(F53)&gt;=10%,"关注","")))</f>
        <v/>
      </c>
      <c r="H53" s="870"/>
    </row>
    <row r="54" spans="1:8" s="340" customFormat="1" ht="12.75">
      <c r="A54" s="347" t="str">
        <f>报表格式!L52</f>
        <v>六、净利润</v>
      </c>
      <c r="B54" s="348">
        <v>48</v>
      </c>
      <c r="C54" s="601">
        <f>C50-C51-C52+C53</f>
        <v>0</v>
      </c>
      <c r="D54" s="601">
        <f>审定PL!C53</f>
        <v>0</v>
      </c>
      <c r="E54" s="601">
        <f t="shared" si="0"/>
        <v>0</v>
      </c>
      <c r="F54" s="602" t="str">
        <f t="shared" si="1"/>
        <v/>
      </c>
      <c r="G54" s="449" t="str">
        <f>IF(F54="","",IF(OR(ABS(F54)&gt;=30%,ABS(E54)&gt;=已审横向BS!$D$63*5%,ABS(E54)&gt;=$D$31*10%),"显著",IF(ABS(F54)&gt;=10%,"关注","")))</f>
        <v/>
      </c>
      <c r="H54" s="870"/>
    </row>
    <row r="55" spans="1:8" s="340" customFormat="1" ht="12.75">
      <c r="A55" s="349" t="str">
        <f>报表格式!L53</f>
        <v xml:space="preserve">    加：（一）年初未分配利润</v>
      </c>
      <c r="B55" s="348">
        <v>49</v>
      </c>
      <c r="C55" s="480">
        <f>审定PL!E54</f>
        <v>0</v>
      </c>
      <c r="D55" s="480">
        <f>审定PL!C54</f>
        <v>0</v>
      </c>
      <c r="E55" s="480">
        <f t="shared" si="0"/>
        <v>0</v>
      </c>
      <c r="F55" s="446" t="str">
        <f t="shared" si="1"/>
        <v/>
      </c>
      <c r="G55" s="449" t="str">
        <f>IF(F55="","",IF(OR(ABS(F55)&gt;=30%,ABS(E55)&gt;=已审横向BS!$D$63*5%,ABS(E55)&gt;=$D$31*10%),"显著",IF(ABS(F55)&gt;=10%,"关注","")))</f>
        <v/>
      </c>
      <c r="H55" s="870"/>
    </row>
    <row r="56" spans="1:8" s="340" customFormat="1" ht="12.75">
      <c r="A56" s="349" t="str">
        <f>报表格式!L54</f>
        <v xml:space="preserve">        （二）盈余公积补亏</v>
      </c>
      <c r="B56" s="348">
        <v>50</v>
      </c>
      <c r="C56" s="480">
        <f>审定PL!E55</f>
        <v>0</v>
      </c>
      <c r="D56" s="480">
        <f>审定PL!C55</f>
        <v>0</v>
      </c>
      <c r="E56" s="480">
        <f t="shared" si="0"/>
        <v>0</v>
      </c>
      <c r="F56" s="446" t="str">
        <f t="shared" si="1"/>
        <v/>
      </c>
      <c r="G56" s="449" t="str">
        <f>IF(F56="","",IF(OR(ABS(F56)&gt;=30%,ABS(E56)&gt;=已审横向BS!$D$63*5%,ABS(E56)&gt;=$D$31*10%),"显著",IF(ABS(F56)&gt;=10%,"关注","")))</f>
        <v/>
      </c>
      <c r="H56" s="870"/>
    </row>
    <row r="57" spans="1:8" s="340" customFormat="1" ht="12.75">
      <c r="A57" s="349" t="str">
        <f>报表格式!L55</f>
        <v xml:space="preserve">        （三）其他调整因素</v>
      </c>
      <c r="B57" s="348">
        <v>51</v>
      </c>
      <c r="C57" s="480">
        <f>审定PL!E56</f>
        <v>0</v>
      </c>
      <c r="D57" s="480">
        <f>审定PL!C56</f>
        <v>0</v>
      </c>
      <c r="E57" s="480">
        <f t="shared" si="0"/>
        <v>0</v>
      </c>
      <c r="F57" s="446" t="str">
        <f t="shared" si="1"/>
        <v/>
      </c>
      <c r="G57" s="449" t="str">
        <f>IF(F57="","",IF(OR(ABS(F57)&gt;=30%,ABS(E57)&gt;=已审横向BS!$D$63*5%,ABS(E57)&gt;=$D$31*10%),"显著",IF(ABS(F57)&gt;=10%,"关注","")))</f>
        <v/>
      </c>
      <c r="H57" s="870"/>
    </row>
    <row r="58" spans="1:8" s="340" customFormat="1" ht="12.75">
      <c r="A58" s="347" t="str">
        <f>报表格式!L56</f>
        <v>七、可供分配的利润</v>
      </c>
      <c r="B58" s="348">
        <v>52</v>
      </c>
      <c r="C58" s="601">
        <f>C54+C55+C56+C57</f>
        <v>0</v>
      </c>
      <c r="D58" s="601">
        <f>审定PL!C57</f>
        <v>0</v>
      </c>
      <c r="E58" s="601">
        <f t="shared" si="0"/>
        <v>0</v>
      </c>
      <c r="F58" s="602" t="str">
        <f t="shared" si="1"/>
        <v/>
      </c>
      <c r="G58" s="449" t="str">
        <f>IF(F58="","",IF(OR(ABS(F58)&gt;=30%,ABS(E58)&gt;=已审横向BS!$D$63*5%,ABS(E58)&gt;=$D$31*10%),"显著",IF(ABS(F58)&gt;=10%,"关注","")))</f>
        <v/>
      </c>
      <c r="H58" s="870"/>
    </row>
    <row r="59" spans="1:8" s="340" customFormat="1" ht="12.75">
      <c r="A59" s="349" t="str">
        <f>报表格式!L57</f>
        <v xml:space="preserve">    减：（一）提取法定盈余公积</v>
      </c>
      <c r="B59" s="348">
        <v>53</v>
      </c>
      <c r="C59" s="480">
        <f>审定PL!E58</f>
        <v>0</v>
      </c>
      <c r="D59" s="480">
        <f>审定PL!C58</f>
        <v>0</v>
      </c>
      <c r="E59" s="480">
        <f t="shared" si="0"/>
        <v>0</v>
      </c>
      <c r="F59" s="446" t="str">
        <f t="shared" si="1"/>
        <v/>
      </c>
      <c r="G59" s="449" t="str">
        <f>IF(F59="","",IF(OR(ABS(F59)&gt;=30%,ABS(E59)&gt;=已审横向BS!$D$63*5%,ABS(E59)&gt;=$D$31*10%),"显著",IF(ABS(F59)&gt;=10%,"关注","")))</f>
        <v/>
      </c>
      <c r="H59" s="870"/>
    </row>
    <row r="60" spans="1:8" s="340" customFormat="1" ht="12.75">
      <c r="A60" s="349" t="str">
        <f>报表格式!L58</f>
        <v xml:space="preserve">        （二）提取法定公益金</v>
      </c>
      <c r="B60" s="348">
        <v>54</v>
      </c>
      <c r="C60" s="480">
        <f>审定PL!E59</f>
        <v>0</v>
      </c>
      <c r="D60" s="480">
        <f>审定PL!C59</f>
        <v>0</v>
      </c>
      <c r="E60" s="480">
        <f t="shared" si="0"/>
        <v>0</v>
      </c>
      <c r="F60" s="446" t="str">
        <f t="shared" si="1"/>
        <v/>
      </c>
      <c r="G60" s="449" t="str">
        <f>IF(F60="","",IF(OR(ABS(F60)&gt;=30%,ABS(E60)&gt;=已审横向BS!$D$63*5%,ABS(E60)&gt;=$D$31*10%),"显著",IF(ABS(F60)&gt;=10%,"关注","")))</f>
        <v/>
      </c>
      <c r="H60" s="870"/>
    </row>
    <row r="61" spans="1:8" s="340" customFormat="1" ht="12.75">
      <c r="A61" s="349" t="str">
        <f>报表格式!L59</f>
        <v xml:space="preserve">        （三）提取职工奖励及福利基金</v>
      </c>
      <c r="B61" s="348">
        <v>55</v>
      </c>
      <c r="C61" s="480">
        <f>审定PL!E60</f>
        <v>0</v>
      </c>
      <c r="D61" s="480">
        <f>审定PL!C60</f>
        <v>0</v>
      </c>
      <c r="E61" s="480">
        <f t="shared" si="0"/>
        <v>0</v>
      </c>
      <c r="F61" s="446" t="str">
        <f t="shared" si="1"/>
        <v/>
      </c>
      <c r="G61" s="449" t="str">
        <f>IF(F61="","",IF(OR(ABS(F61)&gt;=30%,ABS(E61)&gt;=已审横向BS!$D$63*5%,ABS(E61)&gt;=$D$31*10%),"显著",IF(ABS(F61)&gt;=10%,"关注","")))</f>
        <v/>
      </c>
      <c r="H61" s="870"/>
    </row>
    <row r="62" spans="1:8" s="340" customFormat="1" ht="12.75">
      <c r="A62" s="349" t="str">
        <f>报表格式!L60</f>
        <v xml:space="preserve">        （四）提取储备基金</v>
      </c>
      <c r="B62" s="348">
        <v>56</v>
      </c>
      <c r="C62" s="480">
        <f>审定PL!E61</f>
        <v>0</v>
      </c>
      <c r="D62" s="480">
        <f>审定PL!C61</f>
        <v>0</v>
      </c>
      <c r="E62" s="480">
        <f t="shared" si="0"/>
        <v>0</v>
      </c>
      <c r="F62" s="446" t="str">
        <f t="shared" si="1"/>
        <v/>
      </c>
      <c r="G62" s="449" t="str">
        <f>IF(F62="","",IF(OR(ABS(F62)&gt;=30%,ABS(E62)&gt;=已审横向BS!$D$63*5%,ABS(E62)&gt;=$D$31*10%),"显著",IF(ABS(F62)&gt;=10%,"关注","")))</f>
        <v/>
      </c>
      <c r="H62" s="870"/>
    </row>
    <row r="63" spans="1:8" s="340" customFormat="1" ht="12.75">
      <c r="A63" s="349" t="str">
        <f>报表格式!L61</f>
        <v xml:space="preserve">        （五）提取企业发展基金 </v>
      </c>
      <c r="B63" s="348">
        <v>57</v>
      </c>
      <c r="C63" s="480">
        <f>审定PL!E62</f>
        <v>0</v>
      </c>
      <c r="D63" s="480">
        <f>审定PL!C62</f>
        <v>0</v>
      </c>
      <c r="E63" s="480">
        <f t="shared" si="0"/>
        <v>0</v>
      </c>
      <c r="F63" s="446" t="str">
        <f t="shared" si="1"/>
        <v/>
      </c>
      <c r="G63" s="449" t="str">
        <f>IF(F63="","",IF(OR(ABS(F63)&gt;=30%,ABS(E63)&gt;=已审横向BS!$D$63*5%,ABS(E63)&gt;=$D$31*10%),"显著",IF(ABS(F63)&gt;=10%,"关注","")))</f>
        <v/>
      </c>
      <c r="H63" s="870"/>
    </row>
    <row r="64" spans="1:8" s="340" customFormat="1" ht="12.75">
      <c r="A64" s="349" t="str">
        <f>报表格式!L62</f>
        <v xml:space="preserve">        （六）利润归还投资 </v>
      </c>
      <c r="B64" s="348">
        <v>58</v>
      </c>
      <c r="C64" s="480">
        <f>审定PL!E63</f>
        <v>0</v>
      </c>
      <c r="D64" s="480">
        <f>审定PL!C63</f>
        <v>0</v>
      </c>
      <c r="E64" s="480">
        <f t="shared" si="0"/>
        <v>0</v>
      </c>
      <c r="F64" s="446" t="str">
        <f t="shared" si="1"/>
        <v/>
      </c>
      <c r="G64" s="449" t="str">
        <f>IF(F64="","",IF(OR(ABS(F64)&gt;=30%,ABS(E64)&gt;=已审横向BS!$D$63*5%,ABS(E64)&gt;=$D$31*10%),"显著",IF(ABS(F64)&gt;=10%,"关注","")))</f>
        <v/>
      </c>
      <c r="H64" s="870"/>
    </row>
    <row r="65" spans="1:8" s="340" customFormat="1" ht="12.75">
      <c r="A65" s="349" t="str">
        <f>报表格式!L63</f>
        <v xml:space="preserve">        （七）补充流动资本</v>
      </c>
      <c r="B65" s="348">
        <v>59</v>
      </c>
      <c r="C65" s="480">
        <f>审定PL!E64</f>
        <v>0</v>
      </c>
      <c r="D65" s="480">
        <f>审定PL!C64</f>
        <v>0</v>
      </c>
      <c r="E65" s="480">
        <f t="shared" si="0"/>
        <v>0</v>
      </c>
      <c r="F65" s="446" t="str">
        <f t="shared" si="1"/>
        <v/>
      </c>
      <c r="G65" s="449" t="str">
        <f>IF(F65="","",IF(OR(ABS(F65)&gt;=30%,ABS(E65)&gt;=已审横向BS!$D$63*5%,ABS(E65)&gt;=$D$31*10%),"显著",IF(ABS(F65)&gt;=10%,"关注","")))</f>
        <v/>
      </c>
      <c r="H65" s="870"/>
    </row>
    <row r="66" spans="1:8" s="340" customFormat="1" ht="12.75">
      <c r="A66" s="349" t="str">
        <f>报表格式!L64</f>
        <v xml:space="preserve">        （八）单项留用的利润</v>
      </c>
      <c r="B66" s="348">
        <v>60</v>
      </c>
      <c r="C66" s="480">
        <f>审定PL!E65</f>
        <v>0</v>
      </c>
      <c r="D66" s="480">
        <f>审定PL!C65</f>
        <v>0</v>
      </c>
      <c r="E66" s="480">
        <f t="shared" si="0"/>
        <v>0</v>
      </c>
      <c r="F66" s="446" t="str">
        <f t="shared" si="1"/>
        <v/>
      </c>
      <c r="G66" s="449" t="str">
        <f>IF(F66="","",IF(OR(ABS(F66)&gt;=30%,ABS(E66)&gt;=已审横向BS!$D$63*5%,ABS(E66)&gt;=$D$31*10%),"显著",IF(ABS(F66)&gt;=10%,"关注","")))</f>
        <v/>
      </c>
      <c r="H66" s="870"/>
    </row>
    <row r="67" spans="1:8" s="340" customFormat="1" ht="12.75">
      <c r="A67" s="349" t="str">
        <f>报表格式!L65</f>
        <v xml:space="preserve">        （九）其他</v>
      </c>
      <c r="B67" s="348">
        <v>61</v>
      </c>
      <c r="C67" s="480">
        <f>审定PL!E66</f>
        <v>0</v>
      </c>
      <c r="D67" s="480">
        <f>审定PL!C66</f>
        <v>0</v>
      </c>
      <c r="E67" s="480">
        <f t="shared" si="0"/>
        <v>0</v>
      </c>
      <c r="F67" s="446" t="str">
        <f t="shared" si="1"/>
        <v/>
      </c>
      <c r="G67" s="449" t="str">
        <f>IF(F67="","",IF(OR(ABS(F67)&gt;=30%,ABS(E67)&gt;=已审横向BS!$D$63*5%,ABS(E67)&gt;=$D$31*10%),"显著",IF(ABS(F67)&gt;=10%,"关注","")))</f>
        <v/>
      </c>
      <c r="H67" s="870"/>
    </row>
    <row r="68" spans="1:8" s="340" customFormat="1" ht="12.75">
      <c r="A68" s="347" t="str">
        <f>报表格式!L66</f>
        <v>八、可供投资者分配的利润</v>
      </c>
      <c r="B68" s="348">
        <v>62</v>
      </c>
      <c r="C68" s="601">
        <f>C58-C59-C60-C61-C62-C63-C64-C65-C66-C67</f>
        <v>0</v>
      </c>
      <c r="D68" s="601">
        <f>审定PL!C67</f>
        <v>0</v>
      </c>
      <c r="E68" s="601">
        <f t="shared" si="0"/>
        <v>0</v>
      </c>
      <c r="F68" s="602" t="str">
        <f t="shared" si="1"/>
        <v/>
      </c>
      <c r="G68" s="449" t="str">
        <f>IF(F68="","",IF(OR(ABS(F68)&gt;=30%,ABS(E68)&gt;=已审横向BS!$D$63*5%,ABS(E68)&gt;=$D$31*10%),"显著",IF(ABS(F68)&gt;=10%,"关注","")))</f>
        <v/>
      </c>
      <c r="H68" s="870"/>
    </row>
    <row r="69" spans="1:8" s="340" customFormat="1" ht="12.75">
      <c r="A69" s="349" t="str">
        <f>报表格式!L67</f>
        <v xml:space="preserve">    减：（一）应付优先股股利</v>
      </c>
      <c r="B69" s="348">
        <v>63</v>
      </c>
      <c r="C69" s="480">
        <f>审定PL!E68</f>
        <v>0</v>
      </c>
      <c r="D69" s="480">
        <f>审定PL!C68</f>
        <v>0</v>
      </c>
      <c r="E69" s="480">
        <f t="shared" si="0"/>
        <v>0</v>
      </c>
      <c r="F69" s="446" t="str">
        <f t="shared" si="1"/>
        <v/>
      </c>
      <c r="G69" s="449" t="str">
        <f>IF(F69="","",IF(OR(ABS(F69)&gt;=30%,ABS(E69)&gt;=已审横向BS!$D$63*5%,ABS(E69)&gt;=$D$31*10%),"显著",IF(ABS(F69)&gt;=10%,"关注","")))</f>
        <v/>
      </c>
      <c r="H69" s="870"/>
    </row>
    <row r="70" spans="1:8" s="340" customFormat="1" ht="12.75">
      <c r="A70" s="349" t="str">
        <f>报表格式!L68</f>
        <v xml:space="preserve">        （二）提取任意盈余公积</v>
      </c>
      <c r="B70" s="348">
        <v>64</v>
      </c>
      <c r="C70" s="480">
        <f>审定PL!E69</f>
        <v>0</v>
      </c>
      <c r="D70" s="480">
        <f>审定PL!C69</f>
        <v>0</v>
      </c>
      <c r="E70" s="480">
        <f t="shared" si="0"/>
        <v>0</v>
      </c>
      <c r="F70" s="446" t="str">
        <f t="shared" si="1"/>
        <v/>
      </c>
      <c r="G70" s="449" t="str">
        <f>IF(F70="","",IF(OR(ABS(F70)&gt;=30%,ABS(E70)&gt;=已审横向BS!$D$63*5%,ABS(E70)&gt;=$D$31*10%),"显著",IF(ABS(F70)&gt;=10%,"关注","")))</f>
        <v/>
      </c>
      <c r="H70" s="870"/>
    </row>
    <row r="71" spans="1:8" s="340" customFormat="1" ht="12.75">
      <c r="A71" s="349" t="str">
        <f>报表格式!L69</f>
        <v xml:space="preserve">        （三）应付普通股股利（应付利润）</v>
      </c>
      <c r="B71" s="348">
        <v>65</v>
      </c>
      <c r="C71" s="480">
        <f>审定PL!E70</f>
        <v>0</v>
      </c>
      <c r="D71" s="480">
        <f>审定PL!C70</f>
        <v>0</v>
      </c>
      <c r="E71" s="480">
        <f t="shared" si="0"/>
        <v>0</v>
      </c>
      <c r="F71" s="446" t="str">
        <f t="shared" si="1"/>
        <v/>
      </c>
      <c r="G71" s="449" t="str">
        <f>IF(F71="","",IF(OR(ABS(F71)&gt;=30%,ABS(E71)&gt;=已审横向BS!$D$63*5%,ABS(E71)&gt;=$D$31*10%),"显著",IF(ABS(F71)&gt;=10%,"关注","")))</f>
        <v/>
      </c>
      <c r="H71" s="870"/>
    </row>
    <row r="72" spans="1:8" s="340" customFormat="1" ht="12.75">
      <c r="A72" s="349" t="str">
        <f>报表格式!L70</f>
        <v xml:space="preserve">        （四）转作资本（股本）的普通股股利</v>
      </c>
      <c r="B72" s="348">
        <v>66</v>
      </c>
      <c r="C72" s="480">
        <f>审定PL!E71</f>
        <v>0</v>
      </c>
      <c r="D72" s="480">
        <f>审定PL!C71</f>
        <v>0</v>
      </c>
      <c r="E72" s="480">
        <f t="shared" si="0"/>
        <v>0</v>
      </c>
      <c r="F72" s="446" t="str">
        <f t="shared" si="1"/>
        <v/>
      </c>
      <c r="G72" s="449" t="str">
        <f>IF(F72="","",IF(OR(ABS(F72)&gt;=30%,ABS(E72)&gt;=已审横向BS!$D$63*5%,ABS(E72)&gt;=$D$31*10%),"显著",IF(ABS(F72)&gt;=10%,"关注","")))</f>
        <v/>
      </c>
      <c r="H72" s="870"/>
    </row>
    <row r="73" spans="1:8">
      <c r="A73" s="349" t="str">
        <f>报表格式!L71</f>
        <v xml:space="preserve">        （五）其他</v>
      </c>
      <c r="B73" s="348">
        <v>67</v>
      </c>
      <c r="C73" s="480">
        <f>审定PL!E72</f>
        <v>0</v>
      </c>
      <c r="D73" s="480">
        <f>审定PL!C72</f>
        <v>0</v>
      </c>
      <c r="E73" s="480">
        <f t="shared" si="0"/>
        <v>0</v>
      </c>
      <c r="F73" s="450" t="str">
        <f t="shared" si="1"/>
        <v/>
      </c>
      <c r="G73" s="449" t="str">
        <f>IF(F73="","",IF(OR(ABS(F73)&gt;=30%,ABS(E73)&gt;=已审横向BS!$D$63*5%,ABS(E73)&gt;=$D$31*10%),"显著",IF(ABS(F73)&gt;=10%,"关注","")))</f>
        <v/>
      </c>
      <c r="H73" s="871"/>
    </row>
    <row r="74" spans="1:8">
      <c r="A74" s="350" t="str">
        <f>报表格式!L72</f>
        <v>九、未分配利润</v>
      </c>
      <c r="B74" s="351">
        <v>68</v>
      </c>
      <c r="C74" s="604">
        <f>C68-C69-C70-C71-C72-C73</f>
        <v>0</v>
      </c>
      <c r="D74" s="604">
        <f>审定PL!C73</f>
        <v>0</v>
      </c>
      <c r="E74" s="604">
        <f>D74-C74</f>
        <v>0</v>
      </c>
      <c r="F74" s="605" t="str">
        <f>IF(AND(C74=0,D74=0),"",IF(C74=0,100%,IF(D74=0,-100%,E74/C74)))</f>
        <v/>
      </c>
      <c r="G74" s="482" t="str">
        <f>IF(F74="","",IF(OR(ABS(F74)&gt;=30%,ABS(E74)&gt;=已审横向BS!$D$63*5%,ABS(E74)&gt;=$D$31*10%),"显著",IF(ABS(F74)&gt;=10%,"关注","")))</f>
        <v/>
      </c>
      <c r="H74" s="872"/>
    </row>
    <row r="75" spans="1:8" ht="15" thickBot="1">
      <c r="A75" s="352" t="str">
        <f>报表格式!L73</f>
        <v xml:space="preserve">    其中：应由以后年度税前利润弥补的亏损（以“+”号填列）</v>
      </c>
      <c r="B75" s="353">
        <v>69</v>
      </c>
      <c r="C75" s="481">
        <f>审定PL!E74</f>
        <v>0</v>
      </c>
      <c r="D75" s="481">
        <f>审定PL!C74</f>
        <v>0</v>
      </c>
      <c r="E75" s="481">
        <f>D75-C75</f>
        <v>0</v>
      </c>
      <c r="F75" s="483" t="str">
        <f>IF(AND(C75=0,D75=0),"",IF(C75=0,100%,IF(D75=0,-100%,E75/C75)))</f>
        <v/>
      </c>
      <c r="G75" s="484" t="str">
        <f>IF(F75="","",IF(OR(ABS(F75)&gt;=30%,ABS(E75)&gt;=已审横向BS!$D$63*5%,ABS(E75)&gt;=$D$31*10%),"显著",IF(ABS(F75)&gt;=10%,"关注","")))</f>
        <v/>
      </c>
      <c r="H75" s="873"/>
    </row>
    <row r="78" spans="1:8">
      <c r="F78" s="341"/>
    </row>
    <row r="79" spans="1:8">
      <c r="F79" s="342"/>
    </row>
  </sheetData>
  <sheetProtection insertRows="0"/>
  <mergeCells count="7">
    <mergeCell ref="A4:A6"/>
    <mergeCell ref="B4:B6"/>
    <mergeCell ref="A1:H1"/>
    <mergeCell ref="C4:C5"/>
    <mergeCell ref="D4:D5"/>
    <mergeCell ref="G4:G6"/>
    <mergeCell ref="H4:H6"/>
  </mergeCells>
  <phoneticPr fontId="3" type="noConversion"/>
  <conditionalFormatting sqref="H8">
    <cfRule type="cellIs" dxfId="18" priority="1" stopIfTrue="1" operator="equal">
      <formula>"异常"</formula>
    </cfRule>
  </conditionalFormatting>
  <conditionalFormatting sqref="G7:G75">
    <cfRule type="cellIs" dxfId="17" priority="2" stopIfTrue="1" operator="equal">
      <formula>"显著"</formula>
    </cfRule>
  </conditionalFormatting>
  <printOptions horizontalCentered="1"/>
  <pageMargins left="0.67" right="0.23622047244094491" top="0.36" bottom="0.25" header="0.2" footer="0.2"/>
  <pageSetup paperSize="9" scale="79" orientation="portrait" blackAndWhite="1"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indexed="39"/>
    <pageSetUpPr fitToPage="1"/>
  </sheetPr>
  <dimension ref="A1:R63"/>
  <sheetViews>
    <sheetView showZeros="0" zoomScaleNormal="100" workbookViewId="0">
      <pane xSplit="2" ySplit="6" topLeftCell="C19" activePane="bottomRight" state="frozen"/>
      <selection sqref="A1:I1"/>
      <selection pane="topRight" sqref="A1:I1"/>
      <selection pane="bottomLeft" sqref="A1:I1"/>
      <selection pane="bottomRight" sqref="A1:I1"/>
    </sheetView>
  </sheetViews>
  <sheetFormatPr defaultRowHeight="14.25"/>
  <cols>
    <col min="1" max="1" width="23.125" style="151" customWidth="1"/>
    <col min="2" max="2" width="2.625" style="151" customWidth="1"/>
    <col min="3" max="3" width="12.25" style="152" customWidth="1"/>
    <col min="4" max="4" width="7" style="152" customWidth="1"/>
    <col min="5" max="5" width="10.5" style="152" customWidth="1"/>
    <col min="6" max="6" width="7.75" style="152" customWidth="1"/>
    <col min="7" max="7" width="10.25" style="152" customWidth="1"/>
    <col min="8" max="8" width="9.375" style="152" customWidth="1"/>
    <col min="9" max="9" width="10.25" style="152" customWidth="1"/>
    <col min="10" max="10" width="18.375" style="151" customWidth="1"/>
    <col min="11" max="11" width="3.125" style="151" customWidth="1"/>
    <col min="12" max="12" width="12.375" style="152" customWidth="1"/>
    <col min="13" max="13" width="6.375" style="152" customWidth="1"/>
    <col min="14" max="14" width="10.5" style="152" customWidth="1"/>
    <col min="15" max="15" width="7.875" style="152" customWidth="1"/>
    <col min="16" max="16" width="9.625" style="152" bestFit="1" customWidth="1"/>
    <col min="17" max="17" width="9" style="152"/>
    <col min="18" max="18" width="12.375" style="152" customWidth="1"/>
    <col min="19" max="16384" width="9" style="152"/>
  </cols>
  <sheetData>
    <row r="1" spans="1:18" ht="18.75">
      <c r="A1" s="969" t="s">
        <v>627</v>
      </c>
      <c r="B1" s="969"/>
      <c r="C1" s="969"/>
      <c r="D1" s="969"/>
      <c r="E1" s="969"/>
      <c r="F1" s="969"/>
      <c r="G1" s="969"/>
      <c r="H1" s="969"/>
      <c r="I1" s="969"/>
      <c r="J1" s="969" t="s">
        <v>628</v>
      </c>
      <c r="K1" s="969"/>
      <c r="L1" s="969"/>
      <c r="M1" s="969"/>
      <c r="N1" s="969"/>
      <c r="O1" s="969"/>
      <c r="P1" s="969"/>
      <c r="Q1" s="969"/>
      <c r="R1" s="969"/>
    </row>
    <row r="2" spans="1:18" s="61" customFormat="1" ht="15" customHeight="1">
      <c r="A2" s="171" t="str">
        <f>CONCATENATE("客户名称：",参数!D3)</f>
        <v>客户名称：</v>
      </c>
      <c r="E2" s="172" t="str">
        <f>CONCATENATE("编制：",参数!D17)</f>
        <v>编制：</v>
      </c>
      <c r="F2" s="172"/>
      <c r="G2" s="171" t="str">
        <f>CONCATENATE("复核：",参数!D18)</f>
        <v>复核：</v>
      </c>
      <c r="H2" s="174"/>
      <c r="I2" s="172" t="s">
        <v>267</v>
      </c>
      <c r="J2" s="171" t="str">
        <f>CONCATENATE("客户名称：",参数!D3)</f>
        <v>客户名称：</v>
      </c>
      <c r="N2" s="172" t="str">
        <f>CONCATENATE("编制：",参数!D17)</f>
        <v>编制：</v>
      </c>
      <c r="O2" s="172"/>
      <c r="P2" s="171" t="str">
        <f>CONCATENATE("复核：",参数!D18)</f>
        <v>复核：</v>
      </c>
      <c r="Q2" s="174"/>
      <c r="R2" s="172" t="s">
        <v>267</v>
      </c>
    </row>
    <row r="3" spans="1:18" s="61" customFormat="1" ht="17.25" customHeight="1" thickBot="1">
      <c r="A3" s="174" t="str">
        <f>CONCATENATE("会计时点：",TEXT(参数!D12,"yyyy.mm.dd"))</f>
        <v>会计时点：2007.12.31</v>
      </c>
      <c r="E3" s="176" t="str">
        <f ca="1">CONCATENATE("日期：",TEXT(NOW(),"yyyy.mm.dd"))</f>
        <v>日期：2023.08.14</v>
      </c>
      <c r="F3" s="176"/>
      <c r="G3" s="172" t="s">
        <v>268</v>
      </c>
      <c r="H3" s="174"/>
      <c r="I3" s="172" t="s">
        <v>269</v>
      </c>
      <c r="J3" s="174" t="str">
        <f>CONCATENATE("会计时点：",TEXT(参数!D12,"yyyy.mm.dd"))</f>
        <v>会计时点：2007.12.31</v>
      </c>
      <c r="N3" s="176" t="str">
        <f ca="1">CONCATENATE("日期：",TEXT(NOW(),"yyyy.mm.dd"))</f>
        <v>日期：2023.08.14</v>
      </c>
      <c r="O3" s="176"/>
      <c r="P3" s="172" t="s">
        <v>268</v>
      </c>
      <c r="Q3" s="174"/>
      <c r="R3" s="172" t="s">
        <v>269</v>
      </c>
    </row>
    <row r="4" spans="1:18" ht="14.25" customHeight="1">
      <c r="A4" s="973" t="s">
        <v>594</v>
      </c>
      <c r="B4" s="987" t="s">
        <v>366</v>
      </c>
      <c r="C4" s="998" t="s">
        <v>587</v>
      </c>
      <c r="D4" s="999"/>
      <c r="E4" s="998" t="s">
        <v>706</v>
      </c>
      <c r="F4" s="999"/>
      <c r="G4" s="996" t="s">
        <v>613</v>
      </c>
      <c r="H4" s="981" t="s">
        <v>704</v>
      </c>
      <c r="I4" s="1000" t="s">
        <v>705</v>
      </c>
      <c r="J4" s="978" t="str">
        <f>IF(参数!D8="一般企业（执行统一会计制度）","负债及所有者权益","负债及股东权益")</f>
        <v>负债及所有者权益</v>
      </c>
      <c r="K4" s="970" t="s">
        <v>366</v>
      </c>
      <c r="L4" s="998" t="s">
        <v>587</v>
      </c>
      <c r="M4" s="999"/>
      <c r="N4" s="998" t="s">
        <v>706</v>
      </c>
      <c r="O4" s="999"/>
      <c r="P4" s="996" t="s">
        <v>613</v>
      </c>
      <c r="Q4" s="981" t="s">
        <v>704</v>
      </c>
      <c r="R4" s="1000" t="s">
        <v>705</v>
      </c>
    </row>
    <row r="5" spans="1:18">
      <c r="A5" s="974"/>
      <c r="B5" s="988"/>
      <c r="C5" s="358" t="s">
        <v>606</v>
      </c>
      <c r="D5" s="337" t="s">
        <v>607</v>
      </c>
      <c r="E5" s="358" t="s">
        <v>707</v>
      </c>
      <c r="F5" s="337" t="s">
        <v>607</v>
      </c>
      <c r="G5" s="997"/>
      <c r="H5" s="982"/>
      <c r="I5" s="1001"/>
      <c r="J5" s="979"/>
      <c r="K5" s="971"/>
      <c r="L5" s="358" t="s">
        <v>606</v>
      </c>
      <c r="M5" s="337" t="s">
        <v>607</v>
      </c>
      <c r="N5" s="358" t="s">
        <v>707</v>
      </c>
      <c r="O5" s="337" t="s">
        <v>607</v>
      </c>
      <c r="P5" s="997"/>
      <c r="Q5" s="982"/>
      <c r="R5" s="1001"/>
    </row>
    <row r="6" spans="1:18">
      <c r="A6" s="975"/>
      <c r="B6" s="989"/>
      <c r="C6" s="339" t="s">
        <v>590</v>
      </c>
      <c r="D6" s="359" t="s">
        <v>619</v>
      </c>
      <c r="E6" s="359" t="s">
        <v>609</v>
      </c>
      <c r="F6" s="359" t="s">
        <v>620</v>
      </c>
      <c r="G6" s="359" t="s">
        <v>621</v>
      </c>
      <c r="H6" s="983"/>
      <c r="I6" s="1002"/>
      <c r="J6" s="980"/>
      <c r="K6" s="972"/>
      <c r="L6" s="339" t="s">
        <v>590</v>
      </c>
      <c r="M6" s="359" t="s">
        <v>619</v>
      </c>
      <c r="N6" s="359" t="s">
        <v>609</v>
      </c>
      <c r="O6" s="359" t="s">
        <v>620</v>
      </c>
      <c r="P6" s="359" t="s">
        <v>621</v>
      </c>
      <c r="Q6" s="983"/>
      <c r="R6" s="1002"/>
    </row>
    <row r="7" spans="1:18" ht="13.9" customHeight="1">
      <c r="A7" s="343" t="str">
        <f>报表格式!B5</f>
        <v>流动资产：</v>
      </c>
      <c r="B7" s="344">
        <v>1</v>
      </c>
      <c r="C7" s="465"/>
      <c r="D7" s="465"/>
      <c r="E7" s="465"/>
      <c r="F7" s="465"/>
      <c r="G7" s="466"/>
      <c r="H7" s="345"/>
      <c r="I7" s="365"/>
      <c r="J7" s="361" t="str">
        <f>报表格式!G5</f>
        <v>流动负债：</v>
      </c>
      <c r="K7" s="474">
        <f>B63+1</f>
        <v>58</v>
      </c>
      <c r="L7" s="465"/>
      <c r="M7" s="465"/>
      <c r="N7" s="465"/>
      <c r="O7" s="465"/>
      <c r="P7" s="491"/>
      <c r="Q7" s="485"/>
      <c r="R7" s="874"/>
    </row>
    <row r="8" spans="1:18" ht="13.9" customHeight="1">
      <c r="A8" s="257" t="str">
        <f>报表格式!B6</f>
        <v>货币资金</v>
      </c>
      <c r="B8" s="258">
        <v>2</v>
      </c>
      <c r="C8" s="467">
        <f>已审横向BS!C8</f>
        <v>0</v>
      </c>
      <c r="D8" s="488" t="str">
        <f t="shared" ref="D8:D21" si="0">IF(AND(C8&lt;&gt;0,$C$63&lt;&gt;0),C8/$C$63,"")</f>
        <v/>
      </c>
      <c r="E8" s="467">
        <f>已审横向BS!D8</f>
        <v>0</v>
      </c>
      <c r="F8" s="488" t="str">
        <f t="shared" ref="F8:F39" si="1">IF(AND(E8&lt;&gt;0,$E$63&lt;&gt;0),E8/$E$63,"")</f>
        <v/>
      </c>
      <c r="G8" s="468" t="str">
        <f>IF(AND(D8="",F8=""),"",IF(D8="",F8,IF(F8="",-D8,F8-D8)))</f>
        <v/>
      </c>
      <c r="H8" s="447" t="str">
        <f>IF(G8="","",IF(ABS(G8)&gt;=30%,"显著",IF(ABS(G8)&gt;=10%,"关注","")))</f>
        <v/>
      </c>
      <c r="I8" s="260"/>
      <c r="J8" s="362" t="str">
        <f>报表格式!G6</f>
        <v>短期借款</v>
      </c>
      <c r="K8" s="259">
        <f t="shared" ref="K8:K63" si="2">K7+1</f>
        <v>59</v>
      </c>
      <c r="L8" s="467">
        <f>已审横向BS!K8</f>
        <v>0</v>
      </c>
      <c r="M8" s="488" t="str">
        <f t="shared" ref="M8:M20" si="3">IF(AND(L8&lt;&gt;0,$L$63&lt;&gt;0),L8/$L$63,"")</f>
        <v/>
      </c>
      <c r="N8" s="467">
        <f>已审横向BS!L8</f>
        <v>0</v>
      </c>
      <c r="O8" s="488" t="str">
        <f t="shared" ref="O8:O20" si="4">IF(AND(N8&lt;&gt;0,$N$63&lt;&gt;0),N8/$N$63,"")</f>
        <v/>
      </c>
      <c r="P8" s="468" t="str">
        <f>IF(AND(M8="",O8=""),"",IF(M8="",O8,IF(O8="",-M8,O8-M8)))</f>
        <v/>
      </c>
      <c r="Q8" s="447" t="str">
        <f>IF(P8="","",IF(ABS(P8)&gt;=30%,"显著",IF(ABS(P8)&gt;=10%,"关注","")))</f>
        <v/>
      </c>
      <c r="R8" s="875"/>
    </row>
    <row r="9" spans="1:18" ht="13.9" customHeight="1">
      <c r="A9" s="257" t="str">
        <f>报表格式!B7</f>
        <v>短期投资</v>
      </c>
      <c r="B9" s="258">
        <v>3</v>
      </c>
      <c r="C9" s="467">
        <f>已审横向BS!C9</f>
        <v>0</v>
      </c>
      <c r="D9" s="488" t="str">
        <f t="shared" si="0"/>
        <v/>
      </c>
      <c r="E9" s="467">
        <f>已审横向BS!D9</f>
        <v>0</v>
      </c>
      <c r="F9" s="488" t="str">
        <f t="shared" si="1"/>
        <v/>
      </c>
      <c r="G9" s="468" t="str">
        <f t="shared" ref="G9:G63" si="5">IF(AND(D9="",F9=""),"",IF(D9="",F9,IF(F9="",-D9,F9-D9)))</f>
        <v/>
      </c>
      <c r="H9" s="447" t="str">
        <f t="shared" ref="H9:H63" si="6">IF(G9="","",IF(ABS(G9)&gt;=30%,"显著",IF(ABS(G9)&gt;=10%,"关注","")))</f>
        <v/>
      </c>
      <c r="I9" s="260"/>
      <c r="J9" s="362" t="str">
        <f>报表格式!G7</f>
        <v>应付票据</v>
      </c>
      <c r="K9" s="259">
        <f t="shared" si="2"/>
        <v>60</v>
      </c>
      <c r="L9" s="467">
        <f>已审横向BS!K9</f>
        <v>0</v>
      </c>
      <c r="M9" s="488" t="str">
        <f t="shared" si="3"/>
        <v/>
      </c>
      <c r="N9" s="467">
        <f>已审横向BS!L9</f>
        <v>0</v>
      </c>
      <c r="O9" s="488" t="str">
        <f t="shared" si="4"/>
        <v/>
      </c>
      <c r="P9" s="468" t="str">
        <f t="shared" ref="P9:P62" si="7">IF(AND(M9="",O9=""),"",IF(M9="",O9,IF(O9="",-M9,O9-M9)))</f>
        <v/>
      </c>
      <c r="Q9" s="447" t="str">
        <f t="shared" ref="Q9:Q41" si="8">IF(P9="","",IF(ABS(P9)&gt;=30%,"显著",IF(ABS(P9)&gt;=10%,"关注","")))</f>
        <v/>
      </c>
      <c r="R9" s="875"/>
    </row>
    <row r="10" spans="1:18" ht="13.9" customHeight="1">
      <c r="A10" s="257" t="str">
        <f>报表格式!B8</f>
        <v>应收票据</v>
      </c>
      <c r="B10" s="258">
        <v>4</v>
      </c>
      <c r="C10" s="467">
        <f>已审横向BS!C10</f>
        <v>0</v>
      </c>
      <c r="D10" s="488" t="str">
        <f t="shared" si="0"/>
        <v/>
      </c>
      <c r="E10" s="467">
        <f>已审横向BS!D10</f>
        <v>0</v>
      </c>
      <c r="F10" s="488" t="str">
        <f t="shared" si="1"/>
        <v/>
      </c>
      <c r="G10" s="468" t="str">
        <f t="shared" si="5"/>
        <v/>
      </c>
      <c r="H10" s="447" t="str">
        <f t="shared" si="6"/>
        <v/>
      </c>
      <c r="I10" s="260"/>
      <c r="J10" s="362" t="str">
        <f>报表格式!G8</f>
        <v>应付账款</v>
      </c>
      <c r="K10" s="259">
        <f t="shared" si="2"/>
        <v>61</v>
      </c>
      <c r="L10" s="467">
        <f>已审横向BS!K10</f>
        <v>0</v>
      </c>
      <c r="M10" s="488" t="str">
        <f t="shared" si="3"/>
        <v/>
      </c>
      <c r="N10" s="467">
        <f>已审横向BS!L10</f>
        <v>0</v>
      </c>
      <c r="O10" s="488" t="str">
        <f t="shared" si="4"/>
        <v/>
      </c>
      <c r="P10" s="468" t="str">
        <f t="shared" si="7"/>
        <v/>
      </c>
      <c r="Q10" s="447" t="str">
        <f t="shared" si="8"/>
        <v/>
      </c>
      <c r="R10" s="875"/>
    </row>
    <row r="11" spans="1:18" ht="13.9" customHeight="1">
      <c r="A11" s="257" t="str">
        <f>报表格式!B9</f>
        <v>应收股利</v>
      </c>
      <c r="B11" s="258">
        <v>5</v>
      </c>
      <c r="C11" s="467">
        <f>已审横向BS!C11</f>
        <v>0</v>
      </c>
      <c r="D11" s="488" t="str">
        <f t="shared" si="0"/>
        <v/>
      </c>
      <c r="E11" s="467">
        <f>已审横向BS!D11</f>
        <v>0</v>
      </c>
      <c r="F11" s="488" t="str">
        <f t="shared" si="1"/>
        <v/>
      </c>
      <c r="G11" s="468" t="str">
        <f t="shared" si="5"/>
        <v/>
      </c>
      <c r="H11" s="447" t="str">
        <f t="shared" si="6"/>
        <v/>
      </c>
      <c r="I11" s="260"/>
      <c r="J11" s="362" t="str">
        <f>报表格式!G9</f>
        <v>预收账款</v>
      </c>
      <c r="K11" s="259">
        <f t="shared" si="2"/>
        <v>62</v>
      </c>
      <c r="L11" s="467">
        <f>已审横向BS!K11</f>
        <v>0</v>
      </c>
      <c r="M11" s="488" t="str">
        <f t="shared" si="3"/>
        <v/>
      </c>
      <c r="N11" s="467">
        <f>已审横向BS!L11</f>
        <v>0</v>
      </c>
      <c r="O11" s="488" t="str">
        <f t="shared" si="4"/>
        <v/>
      </c>
      <c r="P11" s="468" t="str">
        <f t="shared" si="7"/>
        <v/>
      </c>
      <c r="Q11" s="447" t="str">
        <f t="shared" si="8"/>
        <v/>
      </c>
      <c r="R11" s="875"/>
    </row>
    <row r="12" spans="1:18" ht="13.9" customHeight="1">
      <c r="A12" s="257" t="str">
        <f>报表格式!B10</f>
        <v>应收利息</v>
      </c>
      <c r="B12" s="258">
        <v>6</v>
      </c>
      <c r="C12" s="467">
        <f>已审横向BS!C12</f>
        <v>0</v>
      </c>
      <c r="D12" s="488" t="str">
        <f t="shared" si="0"/>
        <v/>
      </c>
      <c r="E12" s="467">
        <f>已审横向BS!D12</f>
        <v>0</v>
      </c>
      <c r="F12" s="488" t="str">
        <f t="shared" si="1"/>
        <v/>
      </c>
      <c r="G12" s="468" t="str">
        <f t="shared" si="5"/>
        <v/>
      </c>
      <c r="H12" s="447" t="str">
        <f t="shared" si="6"/>
        <v/>
      </c>
      <c r="I12" s="260"/>
      <c r="J12" s="362" t="str">
        <f>报表格式!G10</f>
        <v>应付工资</v>
      </c>
      <c r="K12" s="259">
        <f t="shared" si="2"/>
        <v>63</v>
      </c>
      <c r="L12" s="467">
        <f>已审横向BS!K12</f>
        <v>0</v>
      </c>
      <c r="M12" s="488" t="str">
        <f t="shared" si="3"/>
        <v/>
      </c>
      <c r="N12" s="467">
        <f>已审横向BS!L12</f>
        <v>0</v>
      </c>
      <c r="O12" s="488" t="str">
        <f t="shared" si="4"/>
        <v/>
      </c>
      <c r="P12" s="468" t="str">
        <f t="shared" si="7"/>
        <v/>
      </c>
      <c r="Q12" s="447" t="str">
        <f t="shared" si="8"/>
        <v/>
      </c>
      <c r="R12" s="875"/>
    </row>
    <row r="13" spans="1:18" ht="13.9" customHeight="1">
      <c r="A13" s="257" t="str">
        <f>报表格式!B11</f>
        <v>应收账款</v>
      </c>
      <c r="B13" s="258">
        <v>7</v>
      </c>
      <c r="C13" s="467">
        <f>已审横向BS!C13</f>
        <v>0</v>
      </c>
      <c r="D13" s="488" t="str">
        <f t="shared" si="0"/>
        <v/>
      </c>
      <c r="E13" s="467">
        <f>已审横向BS!D13</f>
        <v>0</v>
      </c>
      <c r="F13" s="488" t="str">
        <f t="shared" si="1"/>
        <v/>
      </c>
      <c r="G13" s="468" t="str">
        <f t="shared" si="5"/>
        <v/>
      </c>
      <c r="H13" s="447" t="str">
        <f t="shared" si="6"/>
        <v/>
      </c>
      <c r="I13" s="260"/>
      <c r="J13" s="362" t="str">
        <f>报表格式!G11</f>
        <v>应付福利费</v>
      </c>
      <c r="K13" s="259">
        <f t="shared" si="2"/>
        <v>64</v>
      </c>
      <c r="L13" s="467">
        <f>已审横向BS!K13</f>
        <v>0</v>
      </c>
      <c r="M13" s="488" t="str">
        <f t="shared" si="3"/>
        <v/>
      </c>
      <c r="N13" s="467">
        <f>已审横向BS!L13</f>
        <v>0</v>
      </c>
      <c r="O13" s="488" t="str">
        <f t="shared" si="4"/>
        <v/>
      </c>
      <c r="P13" s="468" t="str">
        <f t="shared" si="7"/>
        <v/>
      </c>
      <c r="Q13" s="447" t="str">
        <f t="shared" si="8"/>
        <v/>
      </c>
      <c r="R13" s="875"/>
    </row>
    <row r="14" spans="1:18" ht="13.9" customHeight="1">
      <c r="A14" s="257" t="str">
        <f>报表格式!B12</f>
        <v>其他应收款</v>
      </c>
      <c r="B14" s="258">
        <v>8</v>
      </c>
      <c r="C14" s="467">
        <f>已审横向BS!C14</f>
        <v>0</v>
      </c>
      <c r="D14" s="488" t="str">
        <f t="shared" si="0"/>
        <v/>
      </c>
      <c r="E14" s="467">
        <f>已审横向BS!D14</f>
        <v>0</v>
      </c>
      <c r="F14" s="488" t="str">
        <f t="shared" si="1"/>
        <v/>
      </c>
      <c r="G14" s="468" t="str">
        <f t="shared" si="5"/>
        <v/>
      </c>
      <c r="H14" s="447" t="str">
        <f t="shared" si="6"/>
        <v/>
      </c>
      <c r="I14" s="260"/>
      <c r="J14" s="362" t="str">
        <f>报表格式!G12</f>
        <v>应付股利（利润）</v>
      </c>
      <c r="K14" s="259">
        <f t="shared" si="2"/>
        <v>65</v>
      </c>
      <c r="L14" s="467">
        <f>已审横向BS!K14</f>
        <v>0</v>
      </c>
      <c r="M14" s="488" t="str">
        <f t="shared" si="3"/>
        <v/>
      </c>
      <c r="N14" s="467">
        <f>已审横向BS!L14</f>
        <v>0</v>
      </c>
      <c r="O14" s="488" t="str">
        <f t="shared" si="4"/>
        <v/>
      </c>
      <c r="P14" s="468" t="str">
        <f t="shared" si="7"/>
        <v/>
      </c>
      <c r="Q14" s="447" t="str">
        <f t="shared" si="8"/>
        <v/>
      </c>
      <c r="R14" s="875"/>
    </row>
    <row r="15" spans="1:18" ht="13.9" customHeight="1">
      <c r="A15" s="257" t="str">
        <f>报表格式!B13</f>
        <v>预付账款</v>
      </c>
      <c r="B15" s="258">
        <v>9</v>
      </c>
      <c r="C15" s="467">
        <f>已审横向BS!C15</f>
        <v>0</v>
      </c>
      <c r="D15" s="488" t="str">
        <f t="shared" si="0"/>
        <v/>
      </c>
      <c r="E15" s="467">
        <f>已审横向BS!D15</f>
        <v>0</v>
      </c>
      <c r="F15" s="488" t="str">
        <f t="shared" si="1"/>
        <v/>
      </c>
      <c r="G15" s="468" t="str">
        <f t="shared" si="5"/>
        <v/>
      </c>
      <c r="H15" s="447" t="str">
        <f t="shared" si="6"/>
        <v/>
      </c>
      <c r="I15" s="260"/>
      <c r="J15" s="362" t="str">
        <f>报表格式!G13</f>
        <v>应付利息</v>
      </c>
      <c r="K15" s="259">
        <f t="shared" si="2"/>
        <v>66</v>
      </c>
      <c r="L15" s="467">
        <f>已审横向BS!K15</f>
        <v>0</v>
      </c>
      <c r="M15" s="488" t="str">
        <f t="shared" si="3"/>
        <v/>
      </c>
      <c r="N15" s="467">
        <f>已审横向BS!L15</f>
        <v>0</v>
      </c>
      <c r="O15" s="488" t="str">
        <f t="shared" si="4"/>
        <v/>
      </c>
      <c r="P15" s="468" t="str">
        <f t="shared" si="7"/>
        <v/>
      </c>
      <c r="Q15" s="447" t="str">
        <f t="shared" si="8"/>
        <v/>
      </c>
      <c r="R15" s="875"/>
    </row>
    <row r="16" spans="1:18" ht="13.9" customHeight="1">
      <c r="A16" s="257" t="str">
        <f>报表格式!B14</f>
        <v>期货保证金</v>
      </c>
      <c r="B16" s="258">
        <v>10</v>
      </c>
      <c r="C16" s="467">
        <f>已审横向BS!C16</f>
        <v>0</v>
      </c>
      <c r="D16" s="488" t="str">
        <f t="shared" si="0"/>
        <v/>
      </c>
      <c r="E16" s="467">
        <f>已审横向BS!D16</f>
        <v>0</v>
      </c>
      <c r="F16" s="488" t="str">
        <f t="shared" si="1"/>
        <v/>
      </c>
      <c r="G16" s="468" t="str">
        <f t="shared" si="5"/>
        <v/>
      </c>
      <c r="H16" s="447" t="str">
        <f t="shared" si="6"/>
        <v/>
      </c>
      <c r="I16" s="260"/>
      <c r="J16" s="362" t="str">
        <f>报表格式!G14</f>
        <v>应交税金</v>
      </c>
      <c r="K16" s="259">
        <f t="shared" si="2"/>
        <v>67</v>
      </c>
      <c r="L16" s="467">
        <f>已审横向BS!K16</f>
        <v>0</v>
      </c>
      <c r="M16" s="488" t="str">
        <f t="shared" si="3"/>
        <v/>
      </c>
      <c r="N16" s="467">
        <f>已审横向BS!L16</f>
        <v>0</v>
      </c>
      <c r="O16" s="488" t="str">
        <f t="shared" si="4"/>
        <v/>
      </c>
      <c r="P16" s="468" t="str">
        <f t="shared" si="7"/>
        <v/>
      </c>
      <c r="Q16" s="447" t="str">
        <f t="shared" si="8"/>
        <v/>
      </c>
      <c r="R16" s="875"/>
    </row>
    <row r="17" spans="1:18" ht="13.9" customHeight="1">
      <c r="A17" s="257" t="str">
        <f>报表格式!B15</f>
        <v>应收补贴款</v>
      </c>
      <c r="B17" s="258">
        <v>11</v>
      </c>
      <c r="C17" s="467">
        <f>已审横向BS!C17</f>
        <v>0</v>
      </c>
      <c r="D17" s="488" t="str">
        <f t="shared" si="0"/>
        <v/>
      </c>
      <c r="E17" s="467">
        <f>已审横向BS!D17</f>
        <v>0</v>
      </c>
      <c r="F17" s="488" t="str">
        <f t="shared" si="1"/>
        <v/>
      </c>
      <c r="G17" s="468" t="str">
        <f t="shared" si="5"/>
        <v/>
      </c>
      <c r="H17" s="447" t="str">
        <f t="shared" si="6"/>
        <v/>
      </c>
      <c r="I17" s="260"/>
      <c r="J17" s="362" t="str">
        <f>报表格式!G15</f>
        <v>其他应交款</v>
      </c>
      <c r="K17" s="259">
        <f t="shared" si="2"/>
        <v>68</v>
      </c>
      <c r="L17" s="467">
        <f>已审横向BS!K17</f>
        <v>0</v>
      </c>
      <c r="M17" s="488" t="str">
        <f t="shared" si="3"/>
        <v/>
      </c>
      <c r="N17" s="467">
        <f>已审横向BS!L17</f>
        <v>0</v>
      </c>
      <c r="O17" s="488" t="str">
        <f t="shared" si="4"/>
        <v/>
      </c>
      <c r="P17" s="468" t="str">
        <f t="shared" si="7"/>
        <v/>
      </c>
      <c r="Q17" s="447" t="str">
        <f t="shared" si="8"/>
        <v/>
      </c>
      <c r="R17" s="875"/>
    </row>
    <row r="18" spans="1:18" ht="13.9" customHeight="1">
      <c r="A18" s="257" t="str">
        <f>报表格式!B16</f>
        <v>应收出口退税</v>
      </c>
      <c r="B18" s="258">
        <v>12</v>
      </c>
      <c r="C18" s="467">
        <f>已审横向BS!C18</f>
        <v>0</v>
      </c>
      <c r="D18" s="488" t="str">
        <f t="shared" si="0"/>
        <v/>
      </c>
      <c r="E18" s="467">
        <f>已审横向BS!D18</f>
        <v>0</v>
      </c>
      <c r="F18" s="488" t="str">
        <f t="shared" si="1"/>
        <v/>
      </c>
      <c r="G18" s="468" t="str">
        <f t="shared" si="5"/>
        <v/>
      </c>
      <c r="H18" s="447" t="str">
        <f t="shared" si="6"/>
        <v/>
      </c>
      <c r="I18" s="260"/>
      <c r="J18" s="362" t="str">
        <f>报表格式!G16</f>
        <v>其他应付款</v>
      </c>
      <c r="K18" s="259">
        <f t="shared" si="2"/>
        <v>69</v>
      </c>
      <c r="L18" s="467">
        <f>已审横向BS!K18</f>
        <v>0</v>
      </c>
      <c r="M18" s="488" t="str">
        <f t="shared" si="3"/>
        <v/>
      </c>
      <c r="N18" s="467">
        <f>已审横向BS!L18</f>
        <v>0</v>
      </c>
      <c r="O18" s="488" t="str">
        <f t="shared" si="4"/>
        <v/>
      </c>
      <c r="P18" s="468" t="str">
        <f t="shared" si="7"/>
        <v/>
      </c>
      <c r="Q18" s="447" t="str">
        <f t="shared" si="8"/>
        <v/>
      </c>
      <c r="R18" s="875"/>
    </row>
    <row r="19" spans="1:18" ht="13.9" customHeight="1">
      <c r="A19" s="257" t="str">
        <f>报表格式!B17</f>
        <v>存货</v>
      </c>
      <c r="B19" s="258">
        <v>13</v>
      </c>
      <c r="C19" s="467">
        <f>已审横向BS!C19</f>
        <v>0</v>
      </c>
      <c r="D19" s="488" t="str">
        <f t="shared" si="0"/>
        <v/>
      </c>
      <c r="E19" s="467">
        <f>已审横向BS!D19</f>
        <v>0</v>
      </c>
      <c r="F19" s="488" t="str">
        <f t="shared" si="1"/>
        <v/>
      </c>
      <c r="G19" s="468" t="str">
        <f t="shared" si="5"/>
        <v/>
      </c>
      <c r="H19" s="447" t="str">
        <f t="shared" si="6"/>
        <v/>
      </c>
      <c r="I19" s="260"/>
      <c r="J19" s="362" t="str">
        <f>报表格式!G17</f>
        <v>预提费用</v>
      </c>
      <c r="K19" s="259">
        <f t="shared" si="2"/>
        <v>70</v>
      </c>
      <c r="L19" s="467">
        <f>已审横向BS!K19</f>
        <v>0</v>
      </c>
      <c r="M19" s="488" t="str">
        <f t="shared" si="3"/>
        <v/>
      </c>
      <c r="N19" s="467">
        <f>已审横向BS!L19</f>
        <v>0</v>
      </c>
      <c r="O19" s="488" t="str">
        <f t="shared" si="4"/>
        <v/>
      </c>
      <c r="P19" s="468" t="str">
        <f t="shared" si="7"/>
        <v/>
      </c>
      <c r="Q19" s="447" t="str">
        <f t="shared" si="8"/>
        <v/>
      </c>
      <c r="R19" s="875"/>
    </row>
    <row r="20" spans="1:18" ht="13.9" customHeight="1">
      <c r="A20" s="257" t="str">
        <f>报表格式!B18</f>
        <v xml:space="preserve">  其中：原材料</v>
      </c>
      <c r="B20" s="258">
        <v>14</v>
      </c>
      <c r="C20" s="467">
        <f>已审横向BS!C20</f>
        <v>0</v>
      </c>
      <c r="D20" s="488" t="str">
        <f t="shared" si="0"/>
        <v/>
      </c>
      <c r="E20" s="467">
        <f>已审横向BS!D20</f>
        <v>0</v>
      </c>
      <c r="F20" s="488" t="str">
        <f t="shared" si="1"/>
        <v/>
      </c>
      <c r="G20" s="468" t="str">
        <f t="shared" si="5"/>
        <v/>
      </c>
      <c r="H20" s="447" t="str">
        <f t="shared" si="6"/>
        <v/>
      </c>
      <c r="I20" s="260"/>
      <c r="J20" s="362" t="str">
        <f>报表格式!G18</f>
        <v>预计负债</v>
      </c>
      <c r="K20" s="259">
        <f t="shared" si="2"/>
        <v>71</v>
      </c>
      <c r="L20" s="467">
        <f>已审横向BS!K20</f>
        <v>0</v>
      </c>
      <c r="M20" s="488" t="str">
        <f t="shared" si="3"/>
        <v/>
      </c>
      <c r="N20" s="467">
        <f>已审横向BS!L20</f>
        <v>0</v>
      </c>
      <c r="O20" s="488" t="str">
        <f t="shared" si="4"/>
        <v/>
      </c>
      <c r="P20" s="468" t="str">
        <f t="shared" si="7"/>
        <v/>
      </c>
      <c r="Q20" s="447" t="str">
        <f t="shared" si="8"/>
        <v/>
      </c>
      <c r="R20" s="875"/>
    </row>
    <row r="21" spans="1:18" ht="13.9" customHeight="1">
      <c r="A21" s="257" t="str">
        <f>报表格式!B19</f>
        <v xml:space="preserve">        库存商品（产成品）</v>
      </c>
      <c r="B21" s="258">
        <v>15</v>
      </c>
      <c r="C21" s="467">
        <f>已审横向BS!C21</f>
        <v>0</v>
      </c>
      <c r="D21" s="488" t="str">
        <f t="shared" si="0"/>
        <v/>
      </c>
      <c r="E21" s="467">
        <f>已审横向BS!D21</f>
        <v>0</v>
      </c>
      <c r="F21" s="488" t="str">
        <f t="shared" si="1"/>
        <v/>
      </c>
      <c r="G21" s="468" t="str">
        <f t="shared" si="5"/>
        <v/>
      </c>
      <c r="H21" s="447" t="str">
        <f t="shared" si="6"/>
        <v/>
      </c>
      <c r="I21" s="260"/>
      <c r="J21" s="362" t="str">
        <f>报表格式!G19</f>
        <v>递延收益</v>
      </c>
      <c r="K21" s="259">
        <f t="shared" si="2"/>
        <v>72</v>
      </c>
      <c r="L21" s="467">
        <f>已审横向BS!K21</f>
        <v>0</v>
      </c>
      <c r="M21" s="488" t="str">
        <f t="shared" ref="M21:M26" si="9">IF(AND(L21&lt;&gt;0,$L$63&lt;&gt;0),L21/$L$63,"")</f>
        <v/>
      </c>
      <c r="N21" s="467">
        <f>已审横向BS!L21</f>
        <v>0</v>
      </c>
      <c r="O21" s="488" t="str">
        <f t="shared" ref="O21:O26" si="10">IF(AND(N21&lt;&gt;0,$N$63&lt;&gt;0),N21/$N$63,"")</f>
        <v/>
      </c>
      <c r="P21" s="468" t="str">
        <f t="shared" ref="P21:P26" si="11">IF(AND(M21="",O21=""),"",IF(M21="",O21,IF(O21="",-M21,O21-M21)))</f>
        <v/>
      </c>
      <c r="Q21" s="447" t="str">
        <f t="shared" si="8"/>
        <v/>
      </c>
      <c r="R21" s="875"/>
    </row>
    <row r="22" spans="1:18" ht="13.9" customHeight="1">
      <c r="A22" s="257" t="str">
        <f>报表格式!B20</f>
        <v>待摊费用</v>
      </c>
      <c r="B22" s="258">
        <v>16</v>
      </c>
      <c r="C22" s="467">
        <f>已审横向BS!C22</f>
        <v>0</v>
      </c>
      <c r="D22" s="488" t="str">
        <f t="shared" ref="D22:D27" si="12">IF(AND(C22&lt;&gt;0,$C$63&lt;&gt;0),C22/$C$63,"")</f>
        <v/>
      </c>
      <c r="E22" s="467">
        <f>已审横向BS!D22</f>
        <v>0</v>
      </c>
      <c r="F22" s="488" t="str">
        <f t="shared" si="1"/>
        <v/>
      </c>
      <c r="G22" s="468" t="str">
        <f t="shared" si="5"/>
        <v/>
      </c>
      <c r="H22" s="447" t="str">
        <f t="shared" si="6"/>
        <v/>
      </c>
      <c r="I22" s="260"/>
      <c r="J22" s="362" t="str">
        <f>报表格式!G20</f>
        <v>一年内到期的长期负债</v>
      </c>
      <c r="K22" s="259">
        <f t="shared" si="2"/>
        <v>73</v>
      </c>
      <c r="L22" s="467">
        <f>已审横向BS!K22</f>
        <v>0</v>
      </c>
      <c r="M22" s="488" t="str">
        <f t="shared" si="9"/>
        <v/>
      </c>
      <c r="N22" s="467">
        <f>已审横向BS!L22</f>
        <v>0</v>
      </c>
      <c r="O22" s="488" t="str">
        <f t="shared" si="10"/>
        <v/>
      </c>
      <c r="P22" s="468" t="str">
        <f t="shared" si="11"/>
        <v/>
      </c>
      <c r="Q22" s="447" t="str">
        <f t="shared" si="8"/>
        <v/>
      </c>
      <c r="R22" s="875"/>
    </row>
    <row r="23" spans="1:18" ht="13.9" customHeight="1">
      <c r="A23" s="257" t="str">
        <f>报表格式!B21</f>
        <v>待处理流动资产净损失</v>
      </c>
      <c r="B23" s="258">
        <v>17</v>
      </c>
      <c r="C23" s="467">
        <f>已审横向BS!C23</f>
        <v>0</v>
      </c>
      <c r="D23" s="488" t="str">
        <f t="shared" si="12"/>
        <v/>
      </c>
      <c r="E23" s="467">
        <f>已审横向BS!D23</f>
        <v>0</v>
      </c>
      <c r="F23" s="488" t="str">
        <f t="shared" si="1"/>
        <v/>
      </c>
      <c r="G23" s="468" t="str">
        <f t="shared" si="5"/>
        <v/>
      </c>
      <c r="H23" s="447" t="str">
        <f t="shared" si="6"/>
        <v/>
      </c>
      <c r="I23" s="260"/>
      <c r="J23" s="362" t="str">
        <f>报表格式!G21</f>
        <v>应付权证</v>
      </c>
      <c r="K23" s="259">
        <f t="shared" si="2"/>
        <v>74</v>
      </c>
      <c r="L23" s="467">
        <f>已审横向BS!K23</f>
        <v>0</v>
      </c>
      <c r="M23" s="488" t="str">
        <f t="shared" si="9"/>
        <v/>
      </c>
      <c r="N23" s="467">
        <f>已审横向BS!L23</f>
        <v>0</v>
      </c>
      <c r="O23" s="488" t="str">
        <f t="shared" si="10"/>
        <v/>
      </c>
      <c r="P23" s="468" t="str">
        <f t="shared" si="11"/>
        <v/>
      </c>
      <c r="Q23" s="447" t="str">
        <f t="shared" si="8"/>
        <v/>
      </c>
      <c r="R23" s="875"/>
    </row>
    <row r="24" spans="1:18" ht="13.9" customHeight="1">
      <c r="A24" s="257" t="str">
        <f>报表格式!B22</f>
        <v>一年内到期的长期债权投资</v>
      </c>
      <c r="B24" s="258">
        <v>18</v>
      </c>
      <c r="C24" s="467">
        <f>已审横向BS!C24</f>
        <v>0</v>
      </c>
      <c r="D24" s="488" t="str">
        <f t="shared" si="12"/>
        <v/>
      </c>
      <c r="E24" s="467">
        <f>已审横向BS!D24</f>
        <v>0</v>
      </c>
      <c r="F24" s="488" t="str">
        <f t="shared" si="1"/>
        <v/>
      </c>
      <c r="G24" s="468" t="str">
        <f t="shared" si="5"/>
        <v/>
      </c>
      <c r="H24" s="447" t="str">
        <f t="shared" si="6"/>
        <v/>
      </c>
      <c r="I24" s="260"/>
      <c r="J24" s="362" t="str">
        <f>报表格式!G22</f>
        <v>其他流动负债</v>
      </c>
      <c r="K24" s="259">
        <f t="shared" si="2"/>
        <v>75</v>
      </c>
      <c r="L24" s="467">
        <f>已审横向BS!K24</f>
        <v>0</v>
      </c>
      <c r="M24" s="488" t="str">
        <f t="shared" si="9"/>
        <v/>
      </c>
      <c r="N24" s="467">
        <f>已审横向BS!L24</f>
        <v>0</v>
      </c>
      <c r="O24" s="488" t="str">
        <f t="shared" si="10"/>
        <v/>
      </c>
      <c r="P24" s="468" t="str">
        <f t="shared" si="11"/>
        <v/>
      </c>
      <c r="Q24" s="447" t="str">
        <f t="shared" si="8"/>
        <v/>
      </c>
      <c r="R24" s="875"/>
    </row>
    <row r="25" spans="1:18" ht="13.9" customHeight="1">
      <c r="A25" s="257" t="str">
        <f>报表格式!B23</f>
        <v>其他流动资产</v>
      </c>
      <c r="B25" s="258">
        <v>19</v>
      </c>
      <c r="C25" s="467">
        <f>已审横向BS!C25</f>
        <v>0</v>
      </c>
      <c r="D25" s="488" t="str">
        <f t="shared" si="12"/>
        <v/>
      </c>
      <c r="E25" s="467">
        <f>已审横向BS!D25</f>
        <v>0</v>
      </c>
      <c r="F25" s="488" t="str">
        <f t="shared" si="1"/>
        <v/>
      </c>
      <c r="G25" s="468" t="str">
        <f t="shared" si="5"/>
        <v/>
      </c>
      <c r="H25" s="447" t="str">
        <f>IF(G25="","",IF(ABS(G25)&gt;=30%,"显著",IF(ABS(G25)&gt;=10%,"关注","")))</f>
        <v/>
      </c>
      <c r="I25" s="260"/>
      <c r="J25" s="362">
        <f>报表格式!G23</f>
        <v>0</v>
      </c>
      <c r="K25" s="259">
        <f t="shared" si="2"/>
        <v>76</v>
      </c>
      <c r="L25" s="467">
        <f>已审横向BS!K25</f>
        <v>0</v>
      </c>
      <c r="M25" s="488" t="str">
        <f t="shared" si="9"/>
        <v/>
      </c>
      <c r="N25" s="467">
        <f>已审横向BS!L25</f>
        <v>0</v>
      </c>
      <c r="O25" s="488" t="str">
        <f t="shared" si="10"/>
        <v/>
      </c>
      <c r="P25" s="468" t="str">
        <f t="shared" si="11"/>
        <v/>
      </c>
      <c r="Q25" s="447" t="str">
        <f t="shared" si="8"/>
        <v/>
      </c>
      <c r="R25" s="875"/>
    </row>
    <row r="26" spans="1:18" ht="13.9" customHeight="1">
      <c r="A26" s="257">
        <f>报表格式!B24</f>
        <v>0</v>
      </c>
      <c r="B26" s="258">
        <v>20</v>
      </c>
      <c r="C26" s="467">
        <f>已审横向BS!C26</f>
        <v>0</v>
      </c>
      <c r="D26" s="488" t="str">
        <f t="shared" si="12"/>
        <v/>
      </c>
      <c r="E26" s="467">
        <f>已审横向BS!D26</f>
        <v>0</v>
      </c>
      <c r="F26" s="488" t="str">
        <f t="shared" si="1"/>
        <v/>
      </c>
      <c r="G26" s="468" t="str">
        <f t="shared" si="5"/>
        <v/>
      </c>
      <c r="H26" s="447" t="str">
        <f t="shared" si="6"/>
        <v/>
      </c>
      <c r="I26" s="260"/>
      <c r="J26" s="362">
        <f>报表格式!G24</f>
        <v>0</v>
      </c>
      <c r="K26" s="259">
        <f t="shared" si="2"/>
        <v>77</v>
      </c>
      <c r="L26" s="467">
        <f>已审横向BS!K26</f>
        <v>0</v>
      </c>
      <c r="M26" s="488" t="str">
        <f t="shared" si="9"/>
        <v/>
      </c>
      <c r="N26" s="467">
        <f>已审横向BS!L26</f>
        <v>0</v>
      </c>
      <c r="O26" s="488" t="str">
        <f t="shared" si="10"/>
        <v/>
      </c>
      <c r="P26" s="468" t="str">
        <f t="shared" si="11"/>
        <v/>
      </c>
      <c r="Q26" s="447" t="str">
        <f t="shared" si="8"/>
        <v/>
      </c>
      <c r="R26" s="875"/>
    </row>
    <row r="27" spans="1:18" ht="13.9" customHeight="1">
      <c r="A27" s="257">
        <f>报表格式!B25</f>
        <v>0</v>
      </c>
      <c r="B27" s="258">
        <v>21</v>
      </c>
      <c r="C27" s="467">
        <f>已审横向BS!C27</f>
        <v>0</v>
      </c>
      <c r="D27" s="488" t="str">
        <f t="shared" si="12"/>
        <v/>
      </c>
      <c r="E27" s="467">
        <f>已审横向BS!D27</f>
        <v>0</v>
      </c>
      <c r="F27" s="488" t="str">
        <f t="shared" si="1"/>
        <v/>
      </c>
      <c r="G27" s="468" t="str">
        <f t="shared" si="5"/>
        <v/>
      </c>
      <c r="H27" s="447" t="str">
        <f t="shared" si="6"/>
        <v/>
      </c>
      <c r="I27" s="260"/>
      <c r="J27" s="261" t="str">
        <f>报表格式!G25</f>
        <v>流动负债合计</v>
      </c>
      <c r="K27" s="259">
        <f t="shared" si="2"/>
        <v>78</v>
      </c>
      <c r="L27" s="469">
        <f>SUM(L8:L26)</f>
        <v>0</v>
      </c>
      <c r="M27" s="606" t="str">
        <f t="shared" ref="M27:M63" si="13">IF(AND(L27&lt;&gt;0,$L$63&lt;&gt;0),L27/$L$63,"")</f>
        <v/>
      </c>
      <c r="N27" s="469">
        <f>SUM(N8:N26)</f>
        <v>0</v>
      </c>
      <c r="O27" s="606" t="str">
        <f t="shared" ref="O27:O63" si="14">IF(AND(N27&lt;&gt;0,$N$63&lt;&gt;0),N27/$N$63,"")</f>
        <v/>
      </c>
      <c r="P27" s="607" t="str">
        <f t="shared" si="7"/>
        <v/>
      </c>
      <c r="Q27" s="447" t="str">
        <f t="shared" si="8"/>
        <v/>
      </c>
      <c r="R27" s="875"/>
    </row>
    <row r="28" spans="1:18" ht="13.9" customHeight="1">
      <c r="A28" s="261" t="str">
        <f>报表格式!B26</f>
        <v>流动资产合计</v>
      </c>
      <c r="B28" s="258">
        <v>22</v>
      </c>
      <c r="C28" s="469">
        <f>SUM(C8:C27)-C20-C21</f>
        <v>0</v>
      </c>
      <c r="D28" s="606" t="str">
        <f t="shared" ref="D28:D56" si="15">IF(AND(C28&lt;&gt;0,$C$63&lt;&gt;0),C28/$C$63,"")</f>
        <v/>
      </c>
      <c r="E28" s="469">
        <f>SUM(E8:E27)-E20-E21</f>
        <v>0</v>
      </c>
      <c r="F28" s="606" t="str">
        <f t="shared" si="1"/>
        <v/>
      </c>
      <c r="G28" s="607" t="str">
        <f t="shared" si="5"/>
        <v/>
      </c>
      <c r="H28" s="447" t="str">
        <f t="shared" si="6"/>
        <v/>
      </c>
      <c r="I28" s="331"/>
      <c r="J28" s="363" t="str">
        <f>报表格式!G26</f>
        <v>长期负债：</v>
      </c>
      <c r="K28" s="259">
        <f t="shared" si="2"/>
        <v>79</v>
      </c>
      <c r="L28" s="467"/>
      <c r="M28" s="488" t="str">
        <f t="shared" si="13"/>
        <v/>
      </c>
      <c r="N28" s="467"/>
      <c r="O28" s="488" t="str">
        <f t="shared" si="14"/>
        <v/>
      </c>
      <c r="P28" s="468" t="str">
        <f t="shared" si="7"/>
        <v/>
      </c>
      <c r="Q28" s="447" t="str">
        <f t="shared" si="8"/>
        <v/>
      </c>
      <c r="R28" s="875"/>
    </row>
    <row r="29" spans="1:18" ht="13.9" customHeight="1">
      <c r="A29" s="257" t="str">
        <f>报表格式!B27</f>
        <v>长期投资</v>
      </c>
      <c r="B29" s="258">
        <v>23</v>
      </c>
      <c r="C29" s="467">
        <f>SUM(C30:C31)</f>
        <v>0</v>
      </c>
      <c r="D29" s="488" t="str">
        <f t="shared" si="15"/>
        <v/>
      </c>
      <c r="E29" s="467">
        <f>SUM(E30:E31)</f>
        <v>0</v>
      </c>
      <c r="F29" s="488" t="str">
        <f t="shared" si="1"/>
        <v/>
      </c>
      <c r="G29" s="468" t="str">
        <f t="shared" si="5"/>
        <v/>
      </c>
      <c r="H29" s="447" t="str">
        <f t="shared" si="6"/>
        <v/>
      </c>
      <c r="I29" s="260"/>
      <c r="J29" s="362" t="str">
        <f>报表格式!G27</f>
        <v>长期借款</v>
      </c>
      <c r="K29" s="259">
        <f t="shared" si="2"/>
        <v>80</v>
      </c>
      <c r="L29" s="467">
        <f>已审横向BS!K29</f>
        <v>0</v>
      </c>
      <c r="M29" s="488" t="str">
        <f t="shared" si="13"/>
        <v/>
      </c>
      <c r="N29" s="467">
        <f>已审横向BS!L29</f>
        <v>0</v>
      </c>
      <c r="O29" s="488" t="str">
        <f t="shared" si="14"/>
        <v/>
      </c>
      <c r="P29" s="468" t="str">
        <f t="shared" si="7"/>
        <v/>
      </c>
      <c r="Q29" s="447" t="str">
        <f t="shared" si="8"/>
        <v/>
      </c>
      <c r="R29" s="875"/>
    </row>
    <row r="30" spans="1:18" ht="13.9" customHeight="1">
      <c r="A30" s="257" t="str">
        <f>报表格式!B28</f>
        <v xml:space="preserve">  其中：长期股权投资</v>
      </c>
      <c r="B30" s="258">
        <v>24</v>
      </c>
      <c r="C30" s="467">
        <f>已审横向BS!C30</f>
        <v>0</v>
      </c>
      <c r="D30" s="488" t="str">
        <f t="shared" si="15"/>
        <v/>
      </c>
      <c r="E30" s="467">
        <f>已审横向BS!D30</f>
        <v>0</v>
      </c>
      <c r="F30" s="488" t="str">
        <f t="shared" si="1"/>
        <v/>
      </c>
      <c r="G30" s="468" t="str">
        <f t="shared" si="5"/>
        <v/>
      </c>
      <c r="H30" s="447" t="str">
        <f t="shared" si="6"/>
        <v/>
      </c>
      <c r="I30" s="260"/>
      <c r="J30" s="362" t="str">
        <f>报表格式!G28</f>
        <v>应付债券</v>
      </c>
      <c r="K30" s="259">
        <f t="shared" si="2"/>
        <v>81</v>
      </c>
      <c r="L30" s="467">
        <f>已审横向BS!K30</f>
        <v>0</v>
      </c>
      <c r="M30" s="488" t="str">
        <f t="shared" si="13"/>
        <v/>
      </c>
      <c r="N30" s="467">
        <f>已审横向BS!L30</f>
        <v>0</v>
      </c>
      <c r="O30" s="488" t="str">
        <f t="shared" si="14"/>
        <v/>
      </c>
      <c r="P30" s="468" t="str">
        <f t="shared" si="7"/>
        <v/>
      </c>
      <c r="Q30" s="447" t="str">
        <f>IF(P30="","",IF(ABS(P30)&gt;=30%,"显著",IF(ABS(P30)&gt;=10%,"关注","")))</f>
        <v/>
      </c>
      <c r="R30" s="875"/>
    </row>
    <row r="31" spans="1:18" ht="13.9" customHeight="1">
      <c r="A31" s="257" t="str">
        <f>报表格式!B29</f>
        <v xml:space="preserve">       长期债权投资</v>
      </c>
      <c r="B31" s="258">
        <v>25</v>
      </c>
      <c r="C31" s="467">
        <f>已审横向BS!C31</f>
        <v>0</v>
      </c>
      <c r="D31" s="488" t="str">
        <f t="shared" si="15"/>
        <v/>
      </c>
      <c r="E31" s="467">
        <f>已审横向BS!D31</f>
        <v>0</v>
      </c>
      <c r="F31" s="488" t="str">
        <f t="shared" si="1"/>
        <v/>
      </c>
      <c r="G31" s="468" t="str">
        <f t="shared" si="5"/>
        <v/>
      </c>
      <c r="H31" s="447" t="str">
        <f t="shared" si="6"/>
        <v/>
      </c>
      <c r="I31" s="260"/>
      <c r="J31" s="362" t="str">
        <f>报表格式!G29</f>
        <v>长期应付款</v>
      </c>
      <c r="K31" s="259">
        <f t="shared" si="2"/>
        <v>82</v>
      </c>
      <c r="L31" s="467">
        <f>已审横向BS!K31</f>
        <v>0</v>
      </c>
      <c r="M31" s="488" t="str">
        <f t="shared" si="13"/>
        <v/>
      </c>
      <c r="N31" s="467">
        <f>已审横向BS!L31</f>
        <v>0</v>
      </c>
      <c r="O31" s="488" t="str">
        <f t="shared" si="14"/>
        <v/>
      </c>
      <c r="P31" s="468" t="str">
        <f t="shared" si="7"/>
        <v/>
      </c>
      <c r="Q31" s="447" t="str">
        <f t="shared" si="8"/>
        <v/>
      </c>
      <c r="R31" s="875"/>
    </row>
    <row r="32" spans="1:18" ht="13.9" customHeight="1">
      <c r="A32" s="257" t="str">
        <f>报表格式!B30</f>
        <v>*合并价差</v>
      </c>
      <c r="B32" s="258">
        <v>26</v>
      </c>
      <c r="C32" s="467">
        <f>已审横向BS!C32</f>
        <v>0</v>
      </c>
      <c r="D32" s="488" t="str">
        <f t="shared" si="15"/>
        <v/>
      </c>
      <c r="E32" s="467">
        <f>已审横向BS!D32</f>
        <v>0</v>
      </c>
      <c r="F32" s="488" t="str">
        <f t="shared" si="1"/>
        <v/>
      </c>
      <c r="G32" s="468" t="str">
        <f t="shared" si="5"/>
        <v/>
      </c>
      <c r="H32" s="447" t="str">
        <f t="shared" si="6"/>
        <v/>
      </c>
      <c r="I32" s="260"/>
      <c r="J32" s="362" t="str">
        <f>报表格式!G30</f>
        <v>专项应付款</v>
      </c>
      <c r="K32" s="259">
        <f t="shared" si="2"/>
        <v>83</v>
      </c>
      <c r="L32" s="467">
        <f>已审横向BS!K32</f>
        <v>0</v>
      </c>
      <c r="M32" s="488" t="str">
        <f t="shared" si="13"/>
        <v/>
      </c>
      <c r="N32" s="467">
        <f>已审横向BS!L32</f>
        <v>0</v>
      </c>
      <c r="O32" s="488" t="str">
        <f t="shared" si="14"/>
        <v/>
      </c>
      <c r="P32" s="468" t="str">
        <f t="shared" si="7"/>
        <v/>
      </c>
      <c r="Q32" s="447" t="str">
        <f t="shared" si="8"/>
        <v/>
      </c>
      <c r="R32" s="875"/>
    </row>
    <row r="33" spans="1:18" ht="13.9" customHeight="1">
      <c r="A33" s="257">
        <f>报表格式!B31</f>
        <v>0</v>
      </c>
      <c r="B33" s="258">
        <v>27</v>
      </c>
      <c r="C33" s="467">
        <f>已审横向BS!C33</f>
        <v>0</v>
      </c>
      <c r="D33" s="488" t="str">
        <f t="shared" si="15"/>
        <v/>
      </c>
      <c r="E33" s="467">
        <f>已审横向BS!D33</f>
        <v>0</v>
      </c>
      <c r="F33" s="488" t="str">
        <f t="shared" si="1"/>
        <v/>
      </c>
      <c r="G33" s="468" t="str">
        <f t="shared" si="5"/>
        <v/>
      </c>
      <c r="H33" s="447" t="str">
        <f t="shared" si="6"/>
        <v/>
      </c>
      <c r="I33" s="260"/>
      <c r="J33" s="362" t="str">
        <f>报表格式!G31</f>
        <v>其他长期负债</v>
      </c>
      <c r="K33" s="259">
        <f t="shared" si="2"/>
        <v>84</v>
      </c>
      <c r="L33" s="467">
        <f>已审横向BS!K33</f>
        <v>0</v>
      </c>
      <c r="M33" s="488" t="str">
        <f t="shared" si="13"/>
        <v/>
      </c>
      <c r="N33" s="467">
        <f>已审横向BS!L33</f>
        <v>0</v>
      </c>
      <c r="O33" s="488" t="str">
        <f t="shared" si="14"/>
        <v/>
      </c>
      <c r="P33" s="468" t="str">
        <f t="shared" si="7"/>
        <v/>
      </c>
      <c r="Q33" s="447" t="str">
        <f t="shared" si="8"/>
        <v/>
      </c>
      <c r="R33" s="875"/>
    </row>
    <row r="34" spans="1:18" ht="13.9" customHeight="1">
      <c r="A34" s="257">
        <f>报表格式!B32</f>
        <v>0</v>
      </c>
      <c r="B34" s="258">
        <v>28</v>
      </c>
      <c r="C34" s="467">
        <f>已审横向BS!C34</f>
        <v>0</v>
      </c>
      <c r="D34" s="488" t="str">
        <f t="shared" si="15"/>
        <v/>
      </c>
      <c r="E34" s="467">
        <f>已审横向BS!D34</f>
        <v>0</v>
      </c>
      <c r="F34" s="488" t="str">
        <f t="shared" si="1"/>
        <v/>
      </c>
      <c r="G34" s="468" t="str">
        <f t="shared" si="5"/>
        <v/>
      </c>
      <c r="H34" s="447" t="str">
        <f t="shared" si="6"/>
        <v/>
      </c>
      <c r="I34" s="260"/>
      <c r="J34" s="362" t="str">
        <f>报表格式!G32</f>
        <v xml:space="preserve">  其中：特准储备资金</v>
      </c>
      <c r="K34" s="259">
        <f t="shared" si="2"/>
        <v>85</v>
      </c>
      <c r="L34" s="467">
        <f>已审横向BS!K34</f>
        <v>0</v>
      </c>
      <c r="M34" s="488" t="str">
        <f t="shared" si="13"/>
        <v/>
      </c>
      <c r="N34" s="467">
        <f>已审横向BS!L34</f>
        <v>0</v>
      </c>
      <c r="O34" s="488" t="str">
        <f t="shared" si="14"/>
        <v/>
      </c>
      <c r="P34" s="468" t="str">
        <f t="shared" si="7"/>
        <v/>
      </c>
      <c r="Q34" s="447" t="str">
        <f t="shared" si="8"/>
        <v/>
      </c>
      <c r="R34" s="875"/>
    </row>
    <row r="35" spans="1:18" ht="13.9" customHeight="1">
      <c r="A35" s="263" t="str">
        <f>报表格式!B33</f>
        <v>长期投资合计</v>
      </c>
      <c r="B35" s="258">
        <v>29</v>
      </c>
      <c r="C35" s="469">
        <f>SUM(C29,C32:C34)</f>
        <v>0</v>
      </c>
      <c r="D35" s="489" t="str">
        <f t="shared" si="15"/>
        <v/>
      </c>
      <c r="E35" s="469">
        <f>SUM(E29,E32:E34)</f>
        <v>0</v>
      </c>
      <c r="F35" s="489" t="str">
        <f t="shared" si="1"/>
        <v/>
      </c>
      <c r="G35" s="490" t="str">
        <f t="shared" si="5"/>
        <v/>
      </c>
      <c r="H35" s="447" t="str">
        <f t="shared" si="6"/>
        <v/>
      </c>
      <c r="I35" s="331"/>
      <c r="J35" s="362">
        <f>报表格式!G33</f>
        <v>0</v>
      </c>
      <c r="K35" s="259">
        <f t="shared" si="2"/>
        <v>86</v>
      </c>
      <c r="L35" s="467">
        <f>已审横向BS!K35</f>
        <v>0</v>
      </c>
      <c r="M35" s="488" t="str">
        <f t="shared" si="13"/>
        <v/>
      </c>
      <c r="N35" s="467">
        <f>已审横向BS!L35</f>
        <v>0</v>
      </c>
      <c r="O35" s="488" t="str">
        <f t="shared" si="14"/>
        <v/>
      </c>
      <c r="P35" s="468" t="str">
        <f t="shared" si="7"/>
        <v/>
      </c>
      <c r="Q35" s="447" t="str">
        <f t="shared" si="8"/>
        <v/>
      </c>
      <c r="R35" s="875"/>
    </row>
    <row r="36" spans="1:18" ht="13.9" customHeight="1">
      <c r="A36" s="262" t="str">
        <f>报表格式!B34</f>
        <v>固定资产：</v>
      </c>
      <c r="B36" s="258">
        <v>30</v>
      </c>
      <c r="C36" s="471"/>
      <c r="D36" s="488" t="str">
        <f t="shared" si="15"/>
        <v/>
      </c>
      <c r="E36" s="471"/>
      <c r="F36" s="488" t="str">
        <f t="shared" si="1"/>
        <v/>
      </c>
      <c r="G36" s="468" t="str">
        <f t="shared" si="5"/>
        <v/>
      </c>
      <c r="H36" s="447" t="str">
        <f t="shared" si="6"/>
        <v/>
      </c>
      <c r="I36" s="331"/>
      <c r="J36" s="362">
        <f>报表格式!G34</f>
        <v>0</v>
      </c>
      <c r="K36" s="259">
        <f t="shared" si="2"/>
        <v>87</v>
      </c>
      <c r="L36" s="467">
        <f>已审横向BS!K36</f>
        <v>0</v>
      </c>
      <c r="M36" s="488" t="str">
        <f t="shared" si="13"/>
        <v/>
      </c>
      <c r="N36" s="467">
        <f>已审横向BS!L36</f>
        <v>0</v>
      </c>
      <c r="O36" s="488" t="str">
        <f t="shared" si="14"/>
        <v/>
      </c>
      <c r="P36" s="468" t="str">
        <f t="shared" si="7"/>
        <v/>
      </c>
      <c r="Q36" s="447" t="str">
        <f t="shared" si="8"/>
        <v/>
      </c>
      <c r="R36" s="875"/>
    </row>
    <row r="37" spans="1:18" ht="13.9" customHeight="1">
      <c r="A37" s="257" t="str">
        <f>报表格式!B35</f>
        <v>固定资产原价</v>
      </c>
      <c r="B37" s="258">
        <v>31</v>
      </c>
      <c r="C37" s="467">
        <f>已审横向BS!C37</f>
        <v>0</v>
      </c>
      <c r="D37" s="488" t="str">
        <f t="shared" si="15"/>
        <v/>
      </c>
      <c r="E37" s="467">
        <f>已审横向BS!D37</f>
        <v>0</v>
      </c>
      <c r="F37" s="488" t="str">
        <f t="shared" si="1"/>
        <v/>
      </c>
      <c r="G37" s="468" t="str">
        <f t="shared" si="5"/>
        <v/>
      </c>
      <c r="H37" s="447" t="str">
        <f t="shared" si="6"/>
        <v/>
      </c>
      <c r="I37" s="260"/>
      <c r="J37" s="261" t="str">
        <f>报表格式!G35</f>
        <v>长期负债合计</v>
      </c>
      <c r="K37" s="259">
        <f t="shared" si="2"/>
        <v>88</v>
      </c>
      <c r="L37" s="469">
        <f>SUM(L29:L34)-L34+SUM(L35:L36)</f>
        <v>0</v>
      </c>
      <c r="M37" s="606" t="str">
        <f t="shared" si="13"/>
        <v/>
      </c>
      <c r="N37" s="469">
        <f>SUM(N29:N34)-N34+SUM(N35:N36)</f>
        <v>0</v>
      </c>
      <c r="O37" s="606" t="str">
        <f t="shared" si="14"/>
        <v/>
      </c>
      <c r="P37" s="607" t="str">
        <f t="shared" si="7"/>
        <v/>
      </c>
      <c r="Q37" s="447" t="str">
        <f t="shared" si="8"/>
        <v/>
      </c>
      <c r="R37" s="875"/>
    </row>
    <row r="38" spans="1:18" ht="13.9" customHeight="1">
      <c r="A38" s="257" t="str">
        <f>报表格式!B36</f>
        <v xml:space="preserve">  减：累计折旧</v>
      </c>
      <c r="B38" s="258">
        <v>32</v>
      </c>
      <c r="C38" s="467">
        <f>已审横向BS!C38</f>
        <v>0</v>
      </c>
      <c r="D38" s="488" t="str">
        <f t="shared" si="15"/>
        <v/>
      </c>
      <c r="E38" s="467">
        <f>已审横向BS!D38</f>
        <v>0</v>
      </c>
      <c r="F38" s="488" t="str">
        <f t="shared" si="1"/>
        <v/>
      </c>
      <c r="G38" s="468" t="str">
        <f t="shared" si="5"/>
        <v/>
      </c>
      <c r="H38" s="447" t="str">
        <f t="shared" si="6"/>
        <v/>
      </c>
      <c r="I38" s="260"/>
      <c r="J38" s="363" t="str">
        <f>报表格式!G36</f>
        <v>递延税项：</v>
      </c>
      <c r="K38" s="259">
        <f t="shared" si="2"/>
        <v>89</v>
      </c>
      <c r="L38" s="471"/>
      <c r="M38" s="488" t="str">
        <f t="shared" si="13"/>
        <v/>
      </c>
      <c r="N38" s="471"/>
      <c r="O38" s="488" t="str">
        <f t="shared" si="14"/>
        <v/>
      </c>
      <c r="P38" s="468" t="str">
        <f t="shared" si="7"/>
        <v/>
      </c>
      <c r="Q38" s="447" t="str">
        <f t="shared" si="8"/>
        <v/>
      </c>
      <c r="R38" s="875"/>
    </row>
    <row r="39" spans="1:18" ht="13.9" customHeight="1">
      <c r="A39" s="257" t="str">
        <f>报表格式!B37</f>
        <v>固定资产净值</v>
      </c>
      <c r="B39" s="258">
        <v>33</v>
      </c>
      <c r="C39" s="471">
        <f>C37-C38</f>
        <v>0</v>
      </c>
      <c r="D39" s="608" t="str">
        <f t="shared" si="15"/>
        <v/>
      </c>
      <c r="E39" s="471">
        <f>审定BS!C38</f>
        <v>0</v>
      </c>
      <c r="F39" s="608" t="str">
        <f t="shared" si="1"/>
        <v/>
      </c>
      <c r="G39" s="600" t="str">
        <f t="shared" si="5"/>
        <v/>
      </c>
      <c r="H39" s="447" t="str">
        <f t="shared" si="6"/>
        <v/>
      </c>
      <c r="I39" s="331"/>
      <c r="J39" s="362" t="str">
        <f>报表格式!G37</f>
        <v>递延税款贷项</v>
      </c>
      <c r="K39" s="259">
        <f t="shared" si="2"/>
        <v>90</v>
      </c>
      <c r="L39" s="467">
        <f>已审横向BS!K39</f>
        <v>0</v>
      </c>
      <c r="M39" s="488" t="str">
        <f t="shared" si="13"/>
        <v/>
      </c>
      <c r="N39" s="467">
        <f>已审横向BS!L39</f>
        <v>0</v>
      </c>
      <c r="O39" s="488" t="str">
        <f t="shared" si="14"/>
        <v/>
      </c>
      <c r="P39" s="468" t="str">
        <f t="shared" si="7"/>
        <v/>
      </c>
      <c r="Q39" s="447" t="str">
        <f t="shared" si="8"/>
        <v/>
      </c>
      <c r="R39" s="875"/>
    </row>
    <row r="40" spans="1:18" ht="13.9" customHeight="1">
      <c r="A40" s="257" t="str">
        <f>报表格式!B38</f>
        <v xml:space="preserve">  减：固定资产减值准备</v>
      </c>
      <c r="B40" s="258">
        <v>34</v>
      </c>
      <c r="C40" s="467">
        <f>已审横向BS!C40</f>
        <v>0</v>
      </c>
      <c r="D40" s="488" t="str">
        <f t="shared" si="15"/>
        <v/>
      </c>
      <c r="E40" s="467">
        <f>已审横向BS!D40</f>
        <v>0</v>
      </c>
      <c r="F40" s="488" t="str">
        <f t="shared" ref="F40:F56" si="16">IF(AND(E40&lt;&gt;0,$E$63&lt;&gt;0),E40/$E$63,"")</f>
        <v/>
      </c>
      <c r="G40" s="468" t="str">
        <f t="shared" si="5"/>
        <v/>
      </c>
      <c r="H40" s="447" t="str">
        <f t="shared" si="6"/>
        <v/>
      </c>
      <c r="I40" s="260"/>
      <c r="J40" s="261" t="str">
        <f>报表格式!G38</f>
        <v>负 债 合 计</v>
      </c>
      <c r="K40" s="259">
        <f t="shared" si="2"/>
        <v>91</v>
      </c>
      <c r="L40" s="469">
        <f>L27+L37+L39</f>
        <v>0</v>
      </c>
      <c r="M40" s="606" t="str">
        <f t="shared" si="13"/>
        <v/>
      </c>
      <c r="N40" s="469">
        <f>N27+N37+N39</f>
        <v>0</v>
      </c>
      <c r="O40" s="606" t="str">
        <f t="shared" si="14"/>
        <v/>
      </c>
      <c r="P40" s="607" t="str">
        <f t="shared" si="7"/>
        <v/>
      </c>
      <c r="Q40" s="447" t="str">
        <f t="shared" si="8"/>
        <v/>
      </c>
      <c r="R40" s="875"/>
    </row>
    <row r="41" spans="1:18" ht="13.9" customHeight="1">
      <c r="A41" s="257" t="str">
        <f>报表格式!B39</f>
        <v>固定资产净额</v>
      </c>
      <c r="B41" s="258">
        <v>35</v>
      </c>
      <c r="C41" s="471">
        <f>C39-C40</f>
        <v>0</v>
      </c>
      <c r="D41" s="608" t="str">
        <f t="shared" si="15"/>
        <v/>
      </c>
      <c r="E41" s="471">
        <f>审定BS!C40</f>
        <v>0</v>
      </c>
      <c r="F41" s="608" t="str">
        <f t="shared" si="16"/>
        <v/>
      </c>
      <c r="G41" s="600" t="str">
        <f t="shared" si="5"/>
        <v/>
      </c>
      <c r="H41" s="447" t="str">
        <f t="shared" si="6"/>
        <v/>
      </c>
      <c r="I41" s="331"/>
      <c r="J41" s="362" t="str">
        <f>报表格式!G39</f>
        <v>*少数股东权益</v>
      </c>
      <c r="K41" s="259">
        <f t="shared" si="2"/>
        <v>92</v>
      </c>
      <c r="L41" s="467">
        <f>已审横向BS!K41</f>
        <v>0</v>
      </c>
      <c r="M41" s="488" t="str">
        <f t="shared" si="13"/>
        <v/>
      </c>
      <c r="N41" s="467">
        <f>已审横向BS!L41</f>
        <v>0</v>
      </c>
      <c r="O41" s="488" t="str">
        <f t="shared" si="14"/>
        <v/>
      </c>
      <c r="P41" s="468" t="str">
        <f t="shared" si="7"/>
        <v/>
      </c>
      <c r="Q41" s="447" t="str">
        <f t="shared" si="8"/>
        <v/>
      </c>
      <c r="R41" s="875"/>
    </row>
    <row r="42" spans="1:18" ht="13.9" customHeight="1">
      <c r="A42" s="257" t="str">
        <f>报表格式!B40</f>
        <v>工程物资</v>
      </c>
      <c r="B42" s="258">
        <v>36</v>
      </c>
      <c r="C42" s="467">
        <f>已审横向BS!C42</f>
        <v>0</v>
      </c>
      <c r="D42" s="488" t="str">
        <f t="shared" si="15"/>
        <v/>
      </c>
      <c r="E42" s="467">
        <f>已审横向BS!D42</f>
        <v>0</v>
      </c>
      <c r="F42" s="488" t="str">
        <f t="shared" si="16"/>
        <v/>
      </c>
      <c r="G42" s="468" t="str">
        <f t="shared" si="5"/>
        <v/>
      </c>
      <c r="H42" s="447" t="str">
        <f t="shared" si="6"/>
        <v/>
      </c>
      <c r="I42" s="260"/>
      <c r="J42" s="362"/>
      <c r="K42" s="259">
        <f t="shared" si="2"/>
        <v>93</v>
      </c>
      <c r="L42" s="471"/>
      <c r="M42" s="488" t="str">
        <f t="shared" si="13"/>
        <v/>
      </c>
      <c r="N42" s="471"/>
      <c r="O42" s="488" t="str">
        <f t="shared" si="14"/>
        <v/>
      </c>
      <c r="P42" s="468" t="str">
        <f t="shared" si="7"/>
        <v/>
      </c>
      <c r="Q42" s="447" t="str">
        <f>IF(P42="","",IF(ABS(P42)&gt;=30%,"异常",IF(ABS(P42)&gt;=10%,"关注","")))</f>
        <v/>
      </c>
      <c r="R42" s="875"/>
    </row>
    <row r="43" spans="1:18" ht="13.9" customHeight="1">
      <c r="A43" s="257" t="str">
        <f>报表格式!B41</f>
        <v>在建工程</v>
      </c>
      <c r="B43" s="258">
        <v>37</v>
      </c>
      <c r="C43" s="467">
        <f>已审横向BS!C43</f>
        <v>0</v>
      </c>
      <c r="D43" s="488" t="str">
        <f t="shared" si="15"/>
        <v/>
      </c>
      <c r="E43" s="467">
        <f>已审横向BS!D43</f>
        <v>0</v>
      </c>
      <c r="F43" s="488" t="str">
        <f t="shared" si="16"/>
        <v/>
      </c>
      <c r="G43" s="468" t="str">
        <f t="shared" si="5"/>
        <v/>
      </c>
      <c r="H43" s="447" t="str">
        <f t="shared" si="6"/>
        <v/>
      </c>
      <c r="I43" s="260"/>
      <c r="J43" s="363" t="str">
        <f>报表格式!G41</f>
        <v>所有者权益：</v>
      </c>
      <c r="K43" s="259">
        <f t="shared" si="2"/>
        <v>94</v>
      </c>
      <c r="L43" s="471"/>
      <c r="M43" s="488" t="str">
        <f t="shared" si="13"/>
        <v/>
      </c>
      <c r="N43" s="471"/>
      <c r="O43" s="488" t="str">
        <f t="shared" si="14"/>
        <v/>
      </c>
      <c r="P43" s="468" t="str">
        <f t="shared" si="7"/>
        <v/>
      </c>
      <c r="Q43" s="447" t="str">
        <f>IF(P43="","",IF(ABS(P43)&gt;=30%,"异常",IF(ABS(P43)&gt;=10%,"关注","")))</f>
        <v/>
      </c>
      <c r="R43" s="875"/>
    </row>
    <row r="44" spans="1:18" ht="13.9" customHeight="1">
      <c r="A44" s="257" t="str">
        <f>报表格式!B42</f>
        <v>固定资产清理</v>
      </c>
      <c r="B44" s="258">
        <v>38</v>
      </c>
      <c r="C44" s="467">
        <f>已审横向BS!C44</f>
        <v>0</v>
      </c>
      <c r="D44" s="488" t="str">
        <f t="shared" si="15"/>
        <v/>
      </c>
      <c r="E44" s="467">
        <f>已审横向BS!D44</f>
        <v>0</v>
      </c>
      <c r="F44" s="488" t="str">
        <f t="shared" si="16"/>
        <v/>
      </c>
      <c r="G44" s="468" t="str">
        <f t="shared" si="5"/>
        <v/>
      </c>
      <c r="H44" s="447" t="str">
        <f>IF(G44="","",IF(ABS(G44)&gt;=30%,"显著",IF(ABS(G44)&gt;=10%,"关注","")))</f>
        <v/>
      </c>
      <c r="I44" s="260"/>
      <c r="J44" s="362" t="str">
        <f>报表格式!G42</f>
        <v>实收资本</v>
      </c>
      <c r="K44" s="259">
        <f t="shared" si="2"/>
        <v>95</v>
      </c>
      <c r="L44" s="467">
        <f>已审横向BS!K44</f>
        <v>0</v>
      </c>
      <c r="M44" s="488" t="str">
        <f t="shared" si="13"/>
        <v/>
      </c>
      <c r="N44" s="467">
        <f>已审横向BS!L44</f>
        <v>0</v>
      </c>
      <c r="O44" s="488" t="str">
        <f t="shared" si="14"/>
        <v/>
      </c>
      <c r="P44" s="468" t="str">
        <f t="shared" si="7"/>
        <v/>
      </c>
      <c r="Q44" s="447" t="str">
        <f t="shared" ref="Q44:Q63" si="17">IF(P44="","",IF(ABS(P44)&gt;=30%,"显著",IF(ABS(P44)&gt;=10%,"关注","")))</f>
        <v/>
      </c>
      <c r="R44" s="875"/>
    </row>
    <row r="45" spans="1:18" ht="13.9" customHeight="1">
      <c r="A45" s="257" t="str">
        <f>报表格式!B43</f>
        <v>待处理固定资产净损失</v>
      </c>
      <c r="B45" s="258">
        <v>39</v>
      </c>
      <c r="C45" s="467">
        <f>已审横向BS!C45</f>
        <v>0</v>
      </c>
      <c r="D45" s="488" t="str">
        <f t="shared" si="15"/>
        <v/>
      </c>
      <c r="E45" s="467">
        <f>已审横向BS!D45</f>
        <v>0</v>
      </c>
      <c r="F45" s="488" t="str">
        <f t="shared" si="16"/>
        <v/>
      </c>
      <c r="G45" s="468" t="str">
        <f t="shared" si="5"/>
        <v/>
      </c>
      <c r="H45" s="447" t="str">
        <f t="shared" si="6"/>
        <v/>
      </c>
      <c r="I45" s="260"/>
      <c r="J45" s="362" t="str">
        <f>报表格式!G43</f>
        <v xml:space="preserve"> 国家资本</v>
      </c>
      <c r="K45" s="259">
        <f t="shared" si="2"/>
        <v>96</v>
      </c>
      <c r="L45" s="467">
        <f>已审横向BS!K45</f>
        <v>0</v>
      </c>
      <c r="M45" s="488" t="str">
        <f t="shared" si="13"/>
        <v/>
      </c>
      <c r="N45" s="467">
        <f>已审横向BS!L45</f>
        <v>0</v>
      </c>
      <c r="O45" s="488" t="str">
        <f t="shared" si="14"/>
        <v/>
      </c>
      <c r="P45" s="468" t="str">
        <f t="shared" si="7"/>
        <v/>
      </c>
      <c r="Q45" s="447" t="str">
        <f t="shared" si="17"/>
        <v/>
      </c>
      <c r="R45" s="875"/>
    </row>
    <row r="46" spans="1:18" ht="13.9" customHeight="1">
      <c r="A46" s="257">
        <f>报表格式!B44</f>
        <v>0</v>
      </c>
      <c r="B46" s="258">
        <v>40</v>
      </c>
      <c r="C46" s="467">
        <f>已审横向BS!C46</f>
        <v>0</v>
      </c>
      <c r="D46" s="488" t="str">
        <f t="shared" si="15"/>
        <v/>
      </c>
      <c r="E46" s="467">
        <f>已审横向BS!D46</f>
        <v>0</v>
      </c>
      <c r="F46" s="488" t="str">
        <f t="shared" si="16"/>
        <v/>
      </c>
      <c r="G46" s="468" t="str">
        <f t="shared" si="5"/>
        <v/>
      </c>
      <c r="H46" s="447" t="str">
        <f t="shared" si="6"/>
        <v/>
      </c>
      <c r="I46" s="260"/>
      <c r="J46" s="362" t="str">
        <f>报表格式!G44</f>
        <v xml:space="preserve"> 集体资本</v>
      </c>
      <c r="K46" s="259">
        <f t="shared" si="2"/>
        <v>97</v>
      </c>
      <c r="L46" s="467">
        <f>已审横向BS!K46</f>
        <v>0</v>
      </c>
      <c r="M46" s="488" t="str">
        <f t="shared" si="13"/>
        <v/>
      </c>
      <c r="N46" s="467">
        <f>已审横向BS!L46</f>
        <v>0</v>
      </c>
      <c r="O46" s="488" t="str">
        <f t="shared" si="14"/>
        <v/>
      </c>
      <c r="P46" s="468" t="str">
        <f t="shared" si="7"/>
        <v/>
      </c>
      <c r="Q46" s="447" t="str">
        <f t="shared" si="17"/>
        <v/>
      </c>
      <c r="R46" s="875"/>
    </row>
    <row r="47" spans="1:18" ht="13.9" customHeight="1">
      <c r="A47" s="257">
        <f>报表格式!B45</f>
        <v>0</v>
      </c>
      <c r="B47" s="258">
        <v>41</v>
      </c>
      <c r="C47" s="467">
        <f>已审横向BS!C47</f>
        <v>0</v>
      </c>
      <c r="D47" s="488" t="str">
        <f t="shared" si="15"/>
        <v/>
      </c>
      <c r="E47" s="467">
        <f>已审横向BS!D47</f>
        <v>0</v>
      </c>
      <c r="F47" s="488" t="str">
        <f t="shared" si="16"/>
        <v/>
      </c>
      <c r="G47" s="468" t="str">
        <f t="shared" si="5"/>
        <v/>
      </c>
      <c r="H47" s="447" t="str">
        <f t="shared" si="6"/>
        <v/>
      </c>
      <c r="I47" s="260"/>
      <c r="J47" s="362" t="str">
        <f>报表格式!G45</f>
        <v xml:space="preserve"> 法人资本</v>
      </c>
      <c r="K47" s="259">
        <f t="shared" si="2"/>
        <v>98</v>
      </c>
      <c r="L47" s="467">
        <f>已审横向BS!K47</f>
        <v>0</v>
      </c>
      <c r="M47" s="488" t="str">
        <f t="shared" si="13"/>
        <v/>
      </c>
      <c r="N47" s="467">
        <f>已审横向BS!L47</f>
        <v>0</v>
      </c>
      <c r="O47" s="488" t="str">
        <f t="shared" si="14"/>
        <v/>
      </c>
      <c r="P47" s="468" t="str">
        <f t="shared" si="7"/>
        <v/>
      </c>
      <c r="Q47" s="447" t="str">
        <f t="shared" si="17"/>
        <v/>
      </c>
      <c r="R47" s="875"/>
    </row>
    <row r="48" spans="1:18" ht="13.9" customHeight="1">
      <c r="A48" s="263" t="str">
        <f>报表格式!B46</f>
        <v>固定资产合计</v>
      </c>
      <c r="B48" s="258">
        <v>42</v>
      </c>
      <c r="C48" s="469">
        <f>SUM(C41:C47)</f>
        <v>0</v>
      </c>
      <c r="D48" s="606" t="str">
        <f t="shared" si="15"/>
        <v/>
      </c>
      <c r="E48" s="469">
        <f>SUM(E41:E47)</f>
        <v>0</v>
      </c>
      <c r="F48" s="606" t="str">
        <f t="shared" si="16"/>
        <v/>
      </c>
      <c r="G48" s="607" t="str">
        <f t="shared" si="5"/>
        <v/>
      </c>
      <c r="H48" s="447" t="str">
        <f t="shared" si="6"/>
        <v/>
      </c>
      <c r="I48" s="331"/>
      <c r="J48" s="362" t="str">
        <f>报表格式!G46</f>
        <v xml:space="preserve">   其中：国有法人资本</v>
      </c>
      <c r="K48" s="259">
        <f t="shared" si="2"/>
        <v>99</v>
      </c>
      <c r="L48" s="467">
        <f>已审横向BS!K48</f>
        <v>0</v>
      </c>
      <c r="M48" s="488" t="str">
        <f t="shared" si="13"/>
        <v/>
      </c>
      <c r="N48" s="467">
        <f>已审横向BS!L48</f>
        <v>0</v>
      </c>
      <c r="O48" s="488" t="str">
        <f t="shared" si="14"/>
        <v/>
      </c>
      <c r="P48" s="468" t="str">
        <f t="shared" si="7"/>
        <v/>
      </c>
      <c r="Q48" s="447" t="str">
        <f t="shared" si="17"/>
        <v/>
      </c>
      <c r="R48" s="875"/>
    </row>
    <row r="49" spans="1:18" ht="13.9" customHeight="1">
      <c r="A49" s="262" t="str">
        <f>报表格式!B47</f>
        <v>无形资产及其他资产：</v>
      </c>
      <c r="B49" s="258">
        <v>43</v>
      </c>
      <c r="C49" s="471"/>
      <c r="D49" s="488" t="str">
        <f t="shared" si="15"/>
        <v/>
      </c>
      <c r="E49" s="471"/>
      <c r="F49" s="488" t="str">
        <f t="shared" si="16"/>
        <v/>
      </c>
      <c r="G49" s="468" t="str">
        <f t="shared" si="5"/>
        <v/>
      </c>
      <c r="H49" s="447" t="str">
        <f t="shared" si="6"/>
        <v/>
      </c>
      <c r="I49" s="331"/>
      <c r="J49" s="362" t="str">
        <f>报表格式!G47</f>
        <v xml:space="preserve">         集体法人资本</v>
      </c>
      <c r="K49" s="259">
        <f t="shared" si="2"/>
        <v>100</v>
      </c>
      <c r="L49" s="467">
        <f>已审横向BS!K49</f>
        <v>0</v>
      </c>
      <c r="M49" s="488" t="str">
        <f t="shared" si="13"/>
        <v/>
      </c>
      <c r="N49" s="467">
        <f>已审横向BS!L49</f>
        <v>0</v>
      </c>
      <c r="O49" s="488" t="str">
        <f t="shared" si="14"/>
        <v/>
      </c>
      <c r="P49" s="468" t="str">
        <f t="shared" si="7"/>
        <v/>
      </c>
      <c r="Q49" s="447" t="str">
        <f t="shared" si="17"/>
        <v/>
      </c>
      <c r="R49" s="875"/>
    </row>
    <row r="50" spans="1:18" ht="13.9" customHeight="1">
      <c r="A50" s="257" t="str">
        <f>报表格式!B48</f>
        <v>无形资产</v>
      </c>
      <c r="B50" s="258">
        <v>44</v>
      </c>
      <c r="C50" s="467">
        <f>已审横向BS!C50</f>
        <v>0</v>
      </c>
      <c r="D50" s="488" t="str">
        <f t="shared" si="15"/>
        <v/>
      </c>
      <c r="E50" s="467">
        <f>已审横向BS!D50</f>
        <v>0</v>
      </c>
      <c r="F50" s="488" t="str">
        <f t="shared" si="16"/>
        <v/>
      </c>
      <c r="G50" s="468" t="str">
        <f t="shared" si="5"/>
        <v/>
      </c>
      <c r="H50" s="447" t="str">
        <f t="shared" si="6"/>
        <v/>
      </c>
      <c r="I50" s="260"/>
      <c r="J50" s="362" t="str">
        <f>报表格式!G48</f>
        <v xml:space="preserve"> 个人资本</v>
      </c>
      <c r="K50" s="259">
        <f t="shared" si="2"/>
        <v>101</v>
      </c>
      <c r="L50" s="467">
        <f>已审横向BS!K50</f>
        <v>0</v>
      </c>
      <c r="M50" s="488" t="str">
        <f t="shared" si="13"/>
        <v/>
      </c>
      <c r="N50" s="467">
        <f>已审横向BS!L50</f>
        <v>0</v>
      </c>
      <c r="O50" s="488" t="str">
        <f t="shared" si="14"/>
        <v/>
      </c>
      <c r="P50" s="468" t="str">
        <f t="shared" si="7"/>
        <v/>
      </c>
      <c r="Q50" s="447" t="str">
        <f t="shared" si="17"/>
        <v/>
      </c>
      <c r="R50" s="875"/>
    </row>
    <row r="51" spans="1:18" s="151" customFormat="1" ht="13.9" customHeight="1">
      <c r="A51" s="257" t="str">
        <f>报表格式!B49</f>
        <v xml:space="preserve">  其中：土地使用权</v>
      </c>
      <c r="B51" s="258">
        <v>45</v>
      </c>
      <c r="C51" s="467">
        <f>已审横向BS!C51</f>
        <v>0</v>
      </c>
      <c r="D51" s="488" t="str">
        <f t="shared" si="15"/>
        <v/>
      </c>
      <c r="E51" s="467">
        <f>已审横向BS!D51</f>
        <v>0</v>
      </c>
      <c r="F51" s="488" t="str">
        <f t="shared" si="16"/>
        <v/>
      </c>
      <c r="G51" s="468" t="str">
        <f t="shared" si="5"/>
        <v/>
      </c>
      <c r="H51" s="447" t="str">
        <f t="shared" si="6"/>
        <v/>
      </c>
      <c r="I51" s="260"/>
      <c r="J51" s="362" t="str">
        <f>报表格式!G49</f>
        <v xml:space="preserve"> 外商资本</v>
      </c>
      <c r="K51" s="259">
        <f t="shared" si="2"/>
        <v>102</v>
      </c>
      <c r="L51" s="467">
        <f>已审横向BS!K51</f>
        <v>0</v>
      </c>
      <c r="M51" s="488" t="str">
        <f t="shared" si="13"/>
        <v/>
      </c>
      <c r="N51" s="467">
        <f>已审横向BS!L51</f>
        <v>0</v>
      </c>
      <c r="O51" s="488" t="str">
        <f t="shared" si="14"/>
        <v/>
      </c>
      <c r="P51" s="468" t="str">
        <f t="shared" si="7"/>
        <v/>
      </c>
      <c r="Q51" s="447" t="str">
        <f t="shared" si="17"/>
        <v/>
      </c>
      <c r="R51" s="875"/>
    </row>
    <row r="52" spans="1:18">
      <c r="A52" s="257" t="str">
        <f>报表格式!B50</f>
        <v>长期待摊费用</v>
      </c>
      <c r="B52" s="258">
        <v>46</v>
      </c>
      <c r="C52" s="467">
        <f>已审横向BS!C52</f>
        <v>0</v>
      </c>
      <c r="D52" s="488" t="str">
        <f t="shared" si="15"/>
        <v/>
      </c>
      <c r="E52" s="467">
        <f>已审横向BS!D52</f>
        <v>0</v>
      </c>
      <c r="F52" s="488" t="str">
        <f t="shared" si="16"/>
        <v/>
      </c>
      <c r="G52" s="468" t="str">
        <f t="shared" si="5"/>
        <v/>
      </c>
      <c r="H52" s="447" t="str">
        <f t="shared" si="6"/>
        <v/>
      </c>
      <c r="I52" s="260"/>
      <c r="J52" s="362" t="str">
        <f>报表格式!G50</f>
        <v>资本公积</v>
      </c>
      <c r="K52" s="259">
        <f t="shared" si="2"/>
        <v>103</v>
      </c>
      <c r="L52" s="467">
        <f>已审横向BS!K52</f>
        <v>0</v>
      </c>
      <c r="M52" s="488" t="str">
        <f t="shared" si="13"/>
        <v/>
      </c>
      <c r="N52" s="467">
        <f>已审横向BS!L52</f>
        <v>0</v>
      </c>
      <c r="O52" s="488" t="str">
        <f t="shared" si="14"/>
        <v/>
      </c>
      <c r="P52" s="468" t="str">
        <f t="shared" si="7"/>
        <v/>
      </c>
      <c r="Q52" s="447" t="str">
        <f t="shared" si="17"/>
        <v/>
      </c>
      <c r="R52" s="875"/>
    </row>
    <row r="53" spans="1:18">
      <c r="A53" s="257" t="str">
        <f>报表格式!B51</f>
        <v xml:space="preserve">  其中：固定资产修理</v>
      </c>
      <c r="B53" s="258">
        <v>47</v>
      </c>
      <c r="C53" s="467">
        <f>已审横向BS!C53</f>
        <v>0</v>
      </c>
      <c r="D53" s="488" t="str">
        <f t="shared" si="15"/>
        <v/>
      </c>
      <c r="E53" s="467">
        <f>已审横向BS!D53</f>
        <v>0</v>
      </c>
      <c r="F53" s="488" t="str">
        <f t="shared" si="16"/>
        <v/>
      </c>
      <c r="G53" s="468" t="str">
        <f t="shared" si="5"/>
        <v/>
      </c>
      <c r="H53" s="447" t="str">
        <f t="shared" si="6"/>
        <v/>
      </c>
      <c r="I53" s="260"/>
      <c r="J53" s="362" t="str">
        <f>报表格式!G51</f>
        <v>盈余公积</v>
      </c>
      <c r="K53" s="259">
        <f t="shared" si="2"/>
        <v>104</v>
      </c>
      <c r="L53" s="467">
        <f>已审横向BS!K53</f>
        <v>0</v>
      </c>
      <c r="M53" s="488" t="str">
        <f t="shared" si="13"/>
        <v/>
      </c>
      <c r="N53" s="467">
        <f>已审横向BS!L53</f>
        <v>0</v>
      </c>
      <c r="O53" s="488" t="str">
        <f t="shared" si="14"/>
        <v/>
      </c>
      <c r="P53" s="468" t="str">
        <f t="shared" si="7"/>
        <v/>
      </c>
      <c r="Q53" s="447" t="str">
        <f t="shared" si="17"/>
        <v/>
      </c>
      <c r="R53" s="875"/>
    </row>
    <row r="54" spans="1:18">
      <c r="A54" s="257" t="str">
        <f>报表格式!B52</f>
        <v xml:space="preserve">       固定资产改良支出</v>
      </c>
      <c r="B54" s="258">
        <v>48</v>
      </c>
      <c r="C54" s="467">
        <f>已审横向BS!C54</f>
        <v>0</v>
      </c>
      <c r="D54" s="488" t="str">
        <f t="shared" si="15"/>
        <v/>
      </c>
      <c r="E54" s="467">
        <f>已审横向BS!D54</f>
        <v>0</v>
      </c>
      <c r="F54" s="488" t="str">
        <f t="shared" si="16"/>
        <v/>
      </c>
      <c r="G54" s="468" t="str">
        <f t="shared" si="5"/>
        <v/>
      </c>
      <c r="H54" s="447" t="str">
        <f t="shared" si="6"/>
        <v/>
      </c>
      <c r="I54" s="260"/>
      <c r="J54" s="362" t="str">
        <f>报表格式!G52</f>
        <v xml:space="preserve">  其中：法定公益金</v>
      </c>
      <c r="K54" s="259">
        <f t="shared" si="2"/>
        <v>105</v>
      </c>
      <c r="L54" s="467">
        <f>已审横向BS!K54</f>
        <v>0</v>
      </c>
      <c r="M54" s="488" t="str">
        <f t="shared" si="13"/>
        <v/>
      </c>
      <c r="N54" s="467">
        <f>已审横向BS!L54</f>
        <v>0</v>
      </c>
      <c r="O54" s="488" t="str">
        <f t="shared" si="14"/>
        <v/>
      </c>
      <c r="P54" s="468" t="str">
        <f t="shared" si="7"/>
        <v/>
      </c>
      <c r="Q54" s="447" t="str">
        <f t="shared" si="17"/>
        <v/>
      </c>
      <c r="R54" s="875"/>
    </row>
    <row r="55" spans="1:18">
      <c r="A55" s="257" t="str">
        <f>报表格式!B53</f>
        <v>股权分置流通权</v>
      </c>
      <c r="B55" s="258">
        <v>49</v>
      </c>
      <c r="C55" s="467">
        <f>已审横向BS!C55</f>
        <v>0</v>
      </c>
      <c r="D55" s="488" t="str">
        <f t="shared" si="15"/>
        <v/>
      </c>
      <c r="E55" s="467">
        <f>已审横向BS!D55</f>
        <v>0</v>
      </c>
      <c r="F55" s="488" t="str">
        <f t="shared" si="16"/>
        <v/>
      </c>
      <c r="G55" s="468" t="str">
        <f t="shared" si="5"/>
        <v/>
      </c>
      <c r="H55" s="447" t="str">
        <f t="shared" si="6"/>
        <v/>
      </c>
      <c r="I55" s="260"/>
      <c r="J55" s="362" t="str">
        <f>报表格式!G53</f>
        <v>*未确认的投资损失（以“-”号填列）</v>
      </c>
      <c r="K55" s="259">
        <f t="shared" si="2"/>
        <v>106</v>
      </c>
      <c r="L55" s="467">
        <f>已审横向BS!K55</f>
        <v>0</v>
      </c>
      <c r="M55" s="488" t="str">
        <f t="shared" si="13"/>
        <v/>
      </c>
      <c r="N55" s="467">
        <f>已审横向BS!L55</f>
        <v>0</v>
      </c>
      <c r="O55" s="488" t="str">
        <f t="shared" si="14"/>
        <v/>
      </c>
      <c r="P55" s="468" t="str">
        <f t="shared" si="7"/>
        <v/>
      </c>
      <c r="Q55" s="447" t="str">
        <f t="shared" si="17"/>
        <v/>
      </c>
      <c r="R55" s="876"/>
    </row>
    <row r="56" spans="1:18">
      <c r="A56" s="257" t="str">
        <f>报表格式!B54</f>
        <v>其他长期资产</v>
      </c>
      <c r="B56" s="258">
        <v>50</v>
      </c>
      <c r="C56" s="467">
        <f>已审横向BS!C56</f>
        <v>0</v>
      </c>
      <c r="D56" s="488" t="str">
        <f t="shared" si="15"/>
        <v/>
      </c>
      <c r="E56" s="467">
        <f>已审横向BS!D56</f>
        <v>0</v>
      </c>
      <c r="F56" s="488" t="str">
        <f t="shared" si="16"/>
        <v/>
      </c>
      <c r="G56" s="468" t="str">
        <f t="shared" si="5"/>
        <v/>
      </c>
      <c r="H56" s="447" t="str">
        <f t="shared" si="6"/>
        <v/>
      </c>
      <c r="I56" s="260"/>
      <c r="J56" s="362" t="str">
        <f>报表格式!G54</f>
        <v>未分配利润</v>
      </c>
      <c r="K56" s="259">
        <f t="shared" si="2"/>
        <v>107</v>
      </c>
      <c r="L56" s="467">
        <f>已审横向BS!K56</f>
        <v>0</v>
      </c>
      <c r="M56" s="488" t="str">
        <f t="shared" si="13"/>
        <v/>
      </c>
      <c r="N56" s="467">
        <f>已审横向BS!L56</f>
        <v>0</v>
      </c>
      <c r="O56" s="488" t="str">
        <f t="shared" si="14"/>
        <v/>
      </c>
      <c r="P56" s="468" t="str">
        <f t="shared" si="7"/>
        <v/>
      </c>
      <c r="Q56" s="447" t="str">
        <f t="shared" si="17"/>
        <v/>
      </c>
      <c r="R56" s="875"/>
    </row>
    <row r="57" spans="1:18">
      <c r="A57" s="257" t="str">
        <f>报表格式!B55</f>
        <v xml:space="preserve">  其中：特准储备物资</v>
      </c>
      <c r="B57" s="258">
        <v>51</v>
      </c>
      <c r="C57" s="467">
        <f>已审横向BS!C57</f>
        <v>0</v>
      </c>
      <c r="D57" s="488" t="str">
        <f t="shared" ref="D57:D63" si="18">IF(AND(C57&lt;&gt;0,$C$63&lt;&gt;0),C57/$C$63,"")</f>
        <v/>
      </c>
      <c r="E57" s="467">
        <f>已审横向BS!D57</f>
        <v>0</v>
      </c>
      <c r="F57" s="488" t="str">
        <f t="shared" ref="F57:F63" si="19">IF(AND(E57&lt;&gt;0,$E$63&lt;&gt;0),E57/$E$63,"")</f>
        <v/>
      </c>
      <c r="G57" s="468" t="str">
        <f t="shared" si="5"/>
        <v/>
      </c>
      <c r="H57" s="447" t="str">
        <f t="shared" si="6"/>
        <v/>
      </c>
      <c r="I57" s="260"/>
      <c r="J57" s="362" t="str">
        <f>报表格式!G55</f>
        <v xml:space="preserve">  其中：现金股利</v>
      </c>
      <c r="K57" s="259">
        <f t="shared" si="2"/>
        <v>108</v>
      </c>
      <c r="L57" s="467">
        <f>已审横向BS!K57</f>
        <v>0</v>
      </c>
      <c r="M57" s="488" t="str">
        <f t="shared" si="13"/>
        <v/>
      </c>
      <c r="N57" s="467">
        <f>已审横向BS!L57</f>
        <v>0</v>
      </c>
      <c r="O57" s="488" t="str">
        <f t="shared" si="14"/>
        <v/>
      </c>
      <c r="P57" s="468" t="str">
        <f t="shared" si="7"/>
        <v/>
      </c>
      <c r="Q57" s="447" t="str">
        <f t="shared" si="17"/>
        <v/>
      </c>
      <c r="R57" s="875"/>
    </row>
    <row r="58" spans="1:18">
      <c r="A58" s="257">
        <f>报表格式!B56</f>
        <v>0</v>
      </c>
      <c r="B58" s="258">
        <v>52</v>
      </c>
      <c r="C58" s="467">
        <f>已审横向BS!C58</f>
        <v>0</v>
      </c>
      <c r="D58" s="488" t="str">
        <f t="shared" si="18"/>
        <v/>
      </c>
      <c r="E58" s="467">
        <f>已审横向BS!D58</f>
        <v>0</v>
      </c>
      <c r="F58" s="488" t="str">
        <f t="shared" si="19"/>
        <v/>
      </c>
      <c r="G58" s="468" t="str">
        <f t="shared" si="5"/>
        <v/>
      </c>
      <c r="H58" s="447" t="str">
        <f t="shared" si="6"/>
        <v/>
      </c>
      <c r="I58" s="260"/>
      <c r="J58" s="362" t="str">
        <f>报表格式!G56</f>
        <v>外币报表折算差额</v>
      </c>
      <c r="K58" s="259">
        <f t="shared" si="2"/>
        <v>109</v>
      </c>
      <c r="L58" s="467">
        <f>已审横向BS!K58</f>
        <v>0</v>
      </c>
      <c r="M58" s="488" t="str">
        <f t="shared" si="13"/>
        <v/>
      </c>
      <c r="N58" s="467">
        <f>已审横向BS!L58</f>
        <v>0</v>
      </c>
      <c r="O58" s="488" t="str">
        <f t="shared" si="14"/>
        <v/>
      </c>
      <c r="P58" s="468" t="str">
        <f t="shared" si="7"/>
        <v/>
      </c>
      <c r="Q58" s="447" t="str">
        <f t="shared" si="17"/>
        <v/>
      </c>
      <c r="R58" s="875"/>
    </row>
    <row r="59" spans="1:18">
      <c r="A59" s="263" t="str">
        <f>报表格式!B57</f>
        <v>无形资产及其他资产合计</v>
      </c>
      <c r="B59" s="258">
        <v>53</v>
      </c>
      <c r="C59" s="469">
        <f>SUM(C50,C52,C55:C56,C58)</f>
        <v>0</v>
      </c>
      <c r="D59" s="606" t="str">
        <f t="shared" si="18"/>
        <v/>
      </c>
      <c r="E59" s="469">
        <f>SUM(E50,E52,E55:E56,E58)</f>
        <v>0</v>
      </c>
      <c r="F59" s="606" t="str">
        <f t="shared" si="19"/>
        <v/>
      </c>
      <c r="G59" s="607" t="str">
        <f t="shared" si="5"/>
        <v/>
      </c>
      <c r="H59" s="447" t="str">
        <f t="shared" si="6"/>
        <v/>
      </c>
      <c r="I59" s="331"/>
      <c r="J59" s="362">
        <f>报表格式!G57</f>
        <v>0</v>
      </c>
      <c r="K59" s="259">
        <f t="shared" si="2"/>
        <v>110</v>
      </c>
      <c r="L59" s="467">
        <f>已审横向BS!K59</f>
        <v>0</v>
      </c>
      <c r="M59" s="488" t="str">
        <f t="shared" si="13"/>
        <v/>
      </c>
      <c r="N59" s="467">
        <f>已审横向BS!L59</f>
        <v>0</v>
      </c>
      <c r="O59" s="488" t="str">
        <f t="shared" si="14"/>
        <v/>
      </c>
      <c r="P59" s="468" t="str">
        <f t="shared" si="7"/>
        <v/>
      </c>
      <c r="Q59" s="447" t="str">
        <f t="shared" si="17"/>
        <v/>
      </c>
      <c r="R59" s="875"/>
    </row>
    <row r="60" spans="1:18">
      <c r="A60" s="262" t="str">
        <f>报表格式!B58</f>
        <v>递延税项：</v>
      </c>
      <c r="B60" s="258">
        <v>54</v>
      </c>
      <c r="C60" s="471"/>
      <c r="D60" s="488" t="str">
        <f>IF(AND(C60&lt;&gt;0,$C$63&lt;&gt;0),C60/$C$63,"")</f>
        <v/>
      </c>
      <c r="E60" s="471"/>
      <c r="F60" s="488" t="str">
        <f t="shared" si="19"/>
        <v/>
      </c>
      <c r="G60" s="468" t="str">
        <f t="shared" si="5"/>
        <v/>
      </c>
      <c r="H60" s="447" t="str">
        <f t="shared" si="6"/>
        <v/>
      </c>
      <c r="I60" s="331"/>
      <c r="J60" s="261" t="str">
        <f>报表格式!G58</f>
        <v>所有者权益小计</v>
      </c>
      <c r="K60" s="259">
        <f t="shared" si="2"/>
        <v>111</v>
      </c>
      <c r="L60" s="470">
        <f>SUM(L44,L52,L53,L55,L56,L58:L59)</f>
        <v>0</v>
      </c>
      <c r="M60" s="606" t="str">
        <f t="shared" si="13"/>
        <v/>
      </c>
      <c r="N60" s="469">
        <f>SUM(N44,N52,N53,N55,N56,N58:N59)</f>
        <v>0</v>
      </c>
      <c r="O60" s="606" t="str">
        <f t="shared" si="14"/>
        <v/>
      </c>
      <c r="P60" s="607" t="str">
        <f t="shared" si="7"/>
        <v/>
      </c>
      <c r="Q60" s="447" t="str">
        <f t="shared" si="17"/>
        <v/>
      </c>
      <c r="R60" s="875"/>
    </row>
    <row r="61" spans="1:18">
      <c r="A61" s="257" t="str">
        <f>报表格式!B59</f>
        <v>递延税款借项</v>
      </c>
      <c r="B61" s="258">
        <v>55</v>
      </c>
      <c r="C61" s="467">
        <f>已审横向BS!C61</f>
        <v>0</v>
      </c>
      <c r="D61" s="488" t="str">
        <f t="shared" si="18"/>
        <v/>
      </c>
      <c r="E61" s="467">
        <f>已审横向BS!D61</f>
        <v>0</v>
      </c>
      <c r="F61" s="488" t="str">
        <f t="shared" si="19"/>
        <v/>
      </c>
      <c r="G61" s="468" t="str">
        <f t="shared" si="5"/>
        <v/>
      </c>
      <c r="H61" s="447" t="str">
        <f t="shared" si="6"/>
        <v/>
      </c>
      <c r="I61" s="260"/>
      <c r="J61" s="362" t="str">
        <f>报表格式!G59</f>
        <v>减：未处理资产损失</v>
      </c>
      <c r="K61" s="259">
        <f t="shared" si="2"/>
        <v>112</v>
      </c>
      <c r="L61" s="467">
        <f>已审横向BS!K61</f>
        <v>0</v>
      </c>
      <c r="M61" s="488" t="str">
        <f t="shared" si="13"/>
        <v/>
      </c>
      <c r="N61" s="467">
        <f>已审横向BS!L61</f>
        <v>0</v>
      </c>
      <c r="O61" s="488" t="str">
        <f t="shared" si="14"/>
        <v/>
      </c>
      <c r="P61" s="468" t="str">
        <f t="shared" si="7"/>
        <v/>
      </c>
      <c r="Q61" s="447" t="str">
        <f t="shared" si="17"/>
        <v/>
      </c>
      <c r="R61" s="875"/>
    </row>
    <row r="62" spans="1:18">
      <c r="A62" s="257">
        <f>报表格式!B60</f>
        <v>0</v>
      </c>
      <c r="B62" s="258">
        <v>56</v>
      </c>
      <c r="C62" s="467">
        <f>已审横向BS!C62</f>
        <v>0</v>
      </c>
      <c r="D62" s="488" t="str">
        <f t="shared" si="18"/>
        <v/>
      </c>
      <c r="E62" s="467">
        <f>已审横向BS!D62</f>
        <v>0</v>
      </c>
      <c r="F62" s="488" t="str">
        <f t="shared" si="19"/>
        <v/>
      </c>
      <c r="G62" s="468" t="str">
        <f t="shared" si="5"/>
        <v/>
      </c>
      <c r="H62" s="447" t="str">
        <f t="shared" si="6"/>
        <v/>
      </c>
      <c r="I62" s="260"/>
      <c r="J62" s="360" t="str">
        <f>报表格式!G60</f>
        <v>所有者权益合计(剔除未处理资产损失后的金额)</v>
      </c>
      <c r="K62" s="259">
        <f t="shared" si="2"/>
        <v>113</v>
      </c>
      <c r="L62" s="476">
        <f>L60-L61</f>
        <v>0</v>
      </c>
      <c r="M62" s="606" t="str">
        <f t="shared" si="13"/>
        <v/>
      </c>
      <c r="N62" s="476">
        <f>N60-N61</f>
        <v>0</v>
      </c>
      <c r="O62" s="606" t="str">
        <f t="shared" si="14"/>
        <v/>
      </c>
      <c r="P62" s="607" t="str">
        <f t="shared" si="7"/>
        <v/>
      </c>
      <c r="Q62" s="447" t="str">
        <f t="shared" si="17"/>
        <v/>
      </c>
      <c r="R62" s="877"/>
    </row>
    <row r="63" spans="1:18" ht="15" thickBot="1">
      <c r="A63" s="264" t="str">
        <f>报表格式!B73</f>
        <v>资 产 总 计</v>
      </c>
      <c r="B63" s="265">
        <v>57</v>
      </c>
      <c r="C63" s="472">
        <f>SUM(C61:C62,C59,C48,C35,C28)</f>
        <v>0</v>
      </c>
      <c r="D63" s="609" t="str">
        <f t="shared" si="18"/>
        <v/>
      </c>
      <c r="E63" s="472">
        <f>SUM(E61:E62,E59,E48,E35,E28)</f>
        <v>0</v>
      </c>
      <c r="F63" s="609" t="str">
        <f t="shared" si="19"/>
        <v/>
      </c>
      <c r="G63" s="609" t="str">
        <f t="shared" si="5"/>
        <v/>
      </c>
      <c r="H63" s="452" t="str">
        <f t="shared" si="6"/>
        <v/>
      </c>
      <c r="I63" s="332"/>
      <c r="J63" s="364" t="str">
        <f>报表格式!G73</f>
        <v>负债及所有者权益合计</v>
      </c>
      <c r="K63" s="266">
        <f t="shared" si="2"/>
        <v>114</v>
      </c>
      <c r="L63" s="472">
        <f>L40+L41+L42+L62</f>
        <v>0</v>
      </c>
      <c r="M63" s="610" t="str">
        <f t="shared" si="13"/>
        <v/>
      </c>
      <c r="N63" s="472">
        <f>N40+N41+N42+N62</f>
        <v>0</v>
      </c>
      <c r="O63" s="610" t="str">
        <f t="shared" si="14"/>
        <v/>
      </c>
      <c r="P63" s="609" t="str">
        <f>IF(AND(M63="",O63=""),"",IF(M63="",O63,IF(O63="",-M63,O63-M63)))</f>
        <v/>
      </c>
      <c r="Q63" s="452" t="str">
        <f t="shared" si="17"/>
        <v/>
      </c>
      <c r="R63" s="878"/>
    </row>
  </sheetData>
  <sheetProtection formatCells="0" insertRows="0" autoFilter="0" pivotTables="0"/>
  <mergeCells count="16">
    <mergeCell ref="P4:P5"/>
    <mergeCell ref="C4:D4"/>
    <mergeCell ref="E4:F4"/>
    <mergeCell ref="G4:G5"/>
    <mergeCell ref="L4:M4"/>
    <mergeCell ref="K4:K6"/>
    <mergeCell ref="J1:R1"/>
    <mergeCell ref="A4:A6"/>
    <mergeCell ref="J4:J6"/>
    <mergeCell ref="H4:H6"/>
    <mergeCell ref="I4:I6"/>
    <mergeCell ref="B4:B6"/>
    <mergeCell ref="A1:I1"/>
    <mergeCell ref="Q4:Q6"/>
    <mergeCell ref="R4:R6"/>
    <mergeCell ref="N4:O4"/>
  </mergeCells>
  <phoneticPr fontId="3" type="noConversion"/>
  <conditionalFormatting sqref="H7">
    <cfRule type="cellIs" dxfId="16" priority="1" stopIfTrue="1" operator="equal">
      <formula>"异常"</formula>
    </cfRule>
  </conditionalFormatting>
  <conditionalFormatting sqref="I7:O7 C7:G7">
    <cfRule type="cellIs" dxfId="15" priority="2" stopIfTrue="1" operator="equal">
      <formula>"            对不起，请到参数表中确定报表类型！"</formula>
    </cfRule>
    <cfRule type="cellIs" dxfId="14" priority="3" stopIfTrue="1" operator="equal">
      <formula>"对不起，试用期已到，请查看系统信息，并与作者联系。"</formula>
    </cfRule>
  </conditionalFormatting>
  <conditionalFormatting sqref="H8:H63 Q8:Q63">
    <cfRule type="cellIs" dxfId="13" priority="4" stopIfTrue="1" operator="equal">
      <formula>"显著"</formula>
    </cfRule>
  </conditionalFormatting>
  <printOptions horizontalCentered="1"/>
  <pageMargins left="0.35" right="0.23622047244094491" top="0.38" bottom="0.27" header="0.23" footer="0.2"/>
  <pageSetup paperSize="9" scale="87" fitToWidth="2" orientation="portrait" blackAndWhite="1" r:id="rId1"/>
  <headerFooter alignWithMargins="0"/>
  <colBreaks count="1" manualBreakCount="1">
    <brk id="9" max="62" man="1"/>
  </colBreak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39"/>
    <pageSetUpPr fitToPage="1"/>
  </sheetPr>
  <dimension ref="A1:P79"/>
  <sheetViews>
    <sheetView workbookViewId="0">
      <pane xSplit="2" ySplit="6" topLeftCell="C61" activePane="bottomRight" state="frozen"/>
      <selection sqref="A1:H1"/>
      <selection pane="topRight" sqref="A1:H1"/>
      <selection pane="bottomLeft" sqref="A1:H1"/>
      <selection pane="bottomRight" sqref="A1:I1"/>
    </sheetView>
  </sheetViews>
  <sheetFormatPr defaultRowHeight="14.25"/>
  <cols>
    <col min="1" max="1" width="42.625" style="152" customWidth="1"/>
    <col min="2" max="2" width="4.5" style="152" customWidth="1"/>
    <col min="3" max="3" width="10.875" style="152" customWidth="1"/>
    <col min="4" max="4" width="9.625" style="152" customWidth="1"/>
    <col min="5" max="5" width="10.75" style="152" customWidth="1"/>
    <col min="6" max="6" width="9.625" style="152" customWidth="1"/>
    <col min="7" max="7" width="9.375" style="152" customWidth="1"/>
    <col min="8" max="8" width="7.625" style="152" customWidth="1"/>
    <col min="9" max="9" width="12.875" style="152" customWidth="1"/>
    <col min="10" max="16384" width="9" style="152"/>
  </cols>
  <sheetData>
    <row r="1" spans="1:16" ht="18.75">
      <c r="A1" s="969" t="s">
        <v>629</v>
      </c>
      <c r="B1" s="969"/>
      <c r="C1" s="969"/>
      <c r="D1" s="969"/>
      <c r="E1" s="969"/>
      <c r="F1" s="969"/>
      <c r="G1" s="969"/>
      <c r="H1" s="969"/>
      <c r="I1" s="969"/>
    </row>
    <row r="2" spans="1:16" s="61" customFormat="1" ht="15" customHeight="1">
      <c r="A2" s="171" t="str">
        <f>CONCATENATE("客户名称：",参数!D3)</f>
        <v>客户名称：</v>
      </c>
      <c r="B2" s="172" t="str">
        <f>CONCATENATE("编制：",参数!D17)</f>
        <v>编制：</v>
      </c>
      <c r="F2" s="171" t="str">
        <f>CONCATENATE("复核：",参数!D18)</f>
        <v>复核：</v>
      </c>
      <c r="I2" s="172" t="s">
        <v>616</v>
      </c>
      <c r="J2" s="174"/>
      <c r="K2" s="175"/>
      <c r="N2" s="188"/>
      <c r="O2" s="42"/>
      <c r="P2" s="189"/>
    </row>
    <row r="3" spans="1:16" s="61" customFormat="1" ht="17.25" customHeight="1" thickBot="1">
      <c r="A3" s="174" t="str">
        <f>CONCATENATE("会计期间：",TEXT(参数!D10,"yyyy.mm.dd"))</f>
        <v>会计期间：2007年度</v>
      </c>
      <c r="B3" s="176" t="str">
        <f ca="1">CONCATENATE("日期：",TEXT(NOW(),"yyyy.mm.dd"))</f>
        <v>日期：2023.08.14</v>
      </c>
      <c r="F3" s="172" t="s">
        <v>268</v>
      </c>
      <c r="I3" s="172" t="s">
        <v>617</v>
      </c>
      <c r="J3" s="174"/>
      <c r="K3" s="174"/>
      <c r="N3" s="188"/>
      <c r="O3" s="42"/>
      <c r="P3" s="189"/>
    </row>
    <row r="4" spans="1:16" s="340" customFormat="1" ht="12" customHeight="1">
      <c r="A4" s="990" t="s">
        <v>134</v>
      </c>
      <c r="B4" s="1013" t="s">
        <v>165</v>
      </c>
      <c r="C4" s="976" t="s">
        <v>587</v>
      </c>
      <c r="D4" s="976"/>
      <c r="E4" s="976" t="s">
        <v>622</v>
      </c>
      <c r="F4" s="976"/>
      <c r="G4" s="1017" t="s">
        <v>613</v>
      </c>
      <c r="H4" s="981" t="s">
        <v>704</v>
      </c>
      <c r="I4" s="1000" t="s">
        <v>705</v>
      </c>
    </row>
    <row r="5" spans="1:16" s="340" customFormat="1" ht="12.75">
      <c r="A5" s="991"/>
      <c r="B5" s="1014"/>
      <c r="C5" s="337" t="s">
        <v>606</v>
      </c>
      <c r="D5" s="337" t="s">
        <v>607</v>
      </c>
      <c r="E5" s="337" t="s">
        <v>707</v>
      </c>
      <c r="F5" s="337" t="s">
        <v>607</v>
      </c>
      <c r="G5" s="977"/>
      <c r="H5" s="982"/>
      <c r="I5" s="1001"/>
    </row>
    <row r="6" spans="1:16" s="340" customFormat="1" ht="12.75">
      <c r="A6" s="992"/>
      <c r="B6" s="1015"/>
      <c r="C6" s="339" t="s">
        <v>590</v>
      </c>
      <c r="D6" s="359" t="s">
        <v>619</v>
      </c>
      <c r="E6" s="359" t="s">
        <v>609</v>
      </c>
      <c r="F6" s="359" t="s">
        <v>620</v>
      </c>
      <c r="G6" s="359" t="s">
        <v>621</v>
      </c>
      <c r="H6" s="983"/>
      <c r="I6" s="1002"/>
    </row>
    <row r="7" spans="1:16" s="340" customFormat="1" ht="12.75">
      <c r="A7" s="354" t="str">
        <f>报表格式!L5</f>
        <v>一、主营业务收入</v>
      </c>
      <c r="B7" s="355">
        <v>1</v>
      </c>
      <c r="C7" s="478">
        <f>已审横向PL!C7</f>
        <v>0</v>
      </c>
      <c r="D7" s="486" t="str">
        <f>IF(AND(C7&lt;&gt;0,$C$7&lt;&gt;0),C7/$C$7,"")</f>
        <v/>
      </c>
      <c r="E7" s="478">
        <f>已审横向PL!D7</f>
        <v>0</v>
      </c>
      <c r="F7" s="486" t="str">
        <f>IF(AND(E7&lt;&gt;0,$E$7&lt;&gt;0),E7/$E$7,"")</f>
        <v/>
      </c>
      <c r="G7" s="487" t="str">
        <f>IF(AND(D7="",F7=""),"",IF(D7="",F7,IF(F7="",-D7,F7-D7)))</f>
        <v/>
      </c>
      <c r="H7" s="447" t="str">
        <f>IF(G7="","",IF(ABS(G7)&gt;=30%,"显著",IF(ABS(G7)&gt;=10%,"关注","")))</f>
        <v/>
      </c>
      <c r="I7" s="869"/>
    </row>
    <row r="8" spans="1:16" s="340" customFormat="1" ht="12.75">
      <c r="A8" s="349" t="str">
        <f>报表格式!L6</f>
        <v xml:space="preserve">    其中：进口产品（商品）销售收入</v>
      </c>
      <c r="B8" s="348">
        <v>2</v>
      </c>
      <c r="C8" s="479">
        <f>已审横向PL!C8</f>
        <v>0</v>
      </c>
      <c r="D8" s="451" t="str">
        <f t="shared" ref="D8:D73" si="0">IF(AND(C8&lt;&gt;0,$C$7&lt;&gt;0),C8/$C$7,"")</f>
        <v/>
      </c>
      <c r="E8" s="480">
        <f>已审横向PL!D8</f>
        <v>0</v>
      </c>
      <c r="F8" s="451" t="str">
        <f t="shared" ref="F8:F73" si="1">IF(AND(E8&lt;&gt;0,$E$7&lt;&gt;0),E8/$E$7,"")</f>
        <v/>
      </c>
      <c r="G8" s="446" t="str">
        <f>IF(AND(D8="",F8=""),"",IF(D8="",F8,IF(F8="",-D8,F8-D8)))</f>
        <v/>
      </c>
      <c r="H8" s="447" t="str">
        <f t="shared" ref="H8:H73" si="2">IF(G8="","",IF(ABS(G8)&gt;=30%,"显著",IF(ABS(G8)&gt;=10%,"关注","")))</f>
        <v/>
      </c>
      <c r="I8" s="860"/>
    </row>
    <row r="9" spans="1:16" s="340" customFormat="1" ht="12.75">
      <c r="A9" s="349" t="str">
        <f>报表格式!L7</f>
        <v xml:space="preserve">          出口产品（商品）销售收入</v>
      </c>
      <c r="B9" s="348">
        <v>3</v>
      </c>
      <c r="C9" s="479">
        <f>已审横向PL!C9</f>
        <v>0</v>
      </c>
      <c r="D9" s="451" t="str">
        <f t="shared" si="0"/>
        <v/>
      </c>
      <c r="E9" s="480">
        <f>已审横向PL!D9</f>
        <v>0</v>
      </c>
      <c r="F9" s="451" t="str">
        <f t="shared" si="1"/>
        <v/>
      </c>
      <c r="G9" s="446" t="str">
        <f>IF(AND(D9="",F9=""),"",IF(D9="",F9,IF(F9="",-D9,F9-D9)))</f>
        <v/>
      </c>
      <c r="H9" s="447" t="str">
        <f t="shared" si="2"/>
        <v/>
      </c>
      <c r="I9" s="870"/>
    </row>
    <row r="10" spans="1:16" s="340" customFormat="1" ht="12.75">
      <c r="A10" s="349" t="str">
        <f>报表格式!L8</f>
        <v xml:space="preserve">    减：折扣与折让</v>
      </c>
      <c r="B10" s="348">
        <v>4</v>
      </c>
      <c r="C10" s="479">
        <f>已审横向PL!C10</f>
        <v>0</v>
      </c>
      <c r="D10" s="451" t="str">
        <f t="shared" si="0"/>
        <v/>
      </c>
      <c r="E10" s="480">
        <f>已审横向PL!D10</f>
        <v>0</v>
      </c>
      <c r="F10" s="451" t="str">
        <f t="shared" si="1"/>
        <v/>
      </c>
      <c r="G10" s="446" t="str">
        <f>IF(AND(D10="",F10=""),"",IF(D10="",F10,IF(F10="",-D10,F10-D10)))</f>
        <v/>
      </c>
      <c r="H10" s="447" t="str">
        <f t="shared" si="2"/>
        <v/>
      </c>
      <c r="I10" s="870"/>
    </row>
    <row r="11" spans="1:16" s="340" customFormat="1" ht="12.75">
      <c r="A11" s="347" t="str">
        <f>报表格式!L9</f>
        <v>二、主营业务收入净额</v>
      </c>
      <c r="B11" s="348">
        <v>5</v>
      </c>
      <c r="C11" s="601">
        <f>C7-C10</f>
        <v>0</v>
      </c>
      <c r="D11" s="611" t="str">
        <f t="shared" si="0"/>
        <v/>
      </c>
      <c r="E11" s="601">
        <f>审定PL!C10</f>
        <v>0</v>
      </c>
      <c r="F11" s="611" t="str">
        <f t="shared" si="1"/>
        <v/>
      </c>
      <c r="G11" s="603" t="str">
        <f>IF(AND(D11="",F11=""),"",IF(D11="",F11,IF(F11="",-D11,F11-D11)))</f>
        <v/>
      </c>
      <c r="H11" s="447" t="str">
        <f t="shared" si="2"/>
        <v/>
      </c>
      <c r="I11" s="870"/>
    </row>
    <row r="12" spans="1:16" s="340" customFormat="1" ht="12.75">
      <c r="A12" s="349" t="str">
        <f>报表格式!L10</f>
        <v xml:space="preserve">    减：（一）主营业务成本</v>
      </c>
      <c r="B12" s="348">
        <v>6</v>
      </c>
      <c r="C12" s="480">
        <f>已审横向PL!C12</f>
        <v>0</v>
      </c>
      <c r="D12" s="451" t="str">
        <f t="shared" si="0"/>
        <v/>
      </c>
      <c r="E12" s="480">
        <f>已审横向PL!D12</f>
        <v>0</v>
      </c>
      <c r="F12" s="451" t="str">
        <f t="shared" si="1"/>
        <v/>
      </c>
      <c r="G12" s="446" t="str">
        <f t="shared" ref="G12:G73" si="3">IF(AND(D12="",F12=""),"",IF(D12="",F12,IF(F12="",-D12,F12-D12)))</f>
        <v/>
      </c>
      <c r="H12" s="447" t="str">
        <f t="shared" si="2"/>
        <v/>
      </c>
      <c r="I12" s="870"/>
    </row>
    <row r="13" spans="1:16" s="340" customFormat="1" ht="12.75">
      <c r="A13" s="349" t="str">
        <f>报表格式!L11</f>
        <v xml:space="preserve">              其中：出口产品（商品）销售成本</v>
      </c>
      <c r="B13" s="348">
        <v>7</v>
      </c>
      <c r="C13" s="480">
        <f>已审横向PL!C13</f>
        <v>0</v>
      </c>
      <c r="D13" s="451" t="str">
        <f t="shared" si="0"/>
        <v/>
      </c>
      <c r="E13" s="480">
        <f>已审横向PL!D13</f>
        <v>0</v>
      </c>
      <c r="F13" s="451" t="str">
        <f t="shared" si="1"/>
        <v/>
      </c>
      <c r="G13" s="446" t="str">
        <f t="shared" si="3"/>
        <v/>
      </c>
      <c r="H13" s="447" t="str">
        <f t="shared" si="2"/>
        <v/>
      </c>
      <c r="I13" s="870"/>
    </row>
    <row r="14" spans="1:16" s="340" customFormat="1" ht="12.75">
      <c r="A14" s="349" t="str">
        <f>报表格式!L12</f>
        <v xml:space="preserve">        （二）主营业务税金及附加</v>
      </c>
      <c r="B14" s="348">
        <v>8</v>
      </c>
      <c r="C14" s="480">
        <f>已审横向PL!C14</f>
        <v>0</v>
      </c>
      <c r="D14" s="451" t="str">
        <f t="shared" si="0"/>
        <v/>
      </c>
      <c r="E14" s="480">
        <f>已审横向PL!D14</f>
        <v>0</v>
      </c>
      <c r="F14" s="451" t="str">
        <f t="shared" si="1"/>
        <v/>
      </c>
      <c r="G14" s="446" t="str">
        <f t="shared" si="3"/>
        <v/>
      </c>
      <c r="H14" s="447" t="str">
        <f t="shared" si="2"/>
        <v/>
      </c>
      <c r="I14" s="870"/>
    </row>
    <row r="15" spans="1:16" s="340" customFormat="1" ht="12.75">
      <c r="A15" s="349" t="str">
        <f>报表格式!L13</f>
        <v xml:space="preserve">        （三）经营费用</v>
      </c>
      <c r="B15" s="348">
        <v>9</v>
      </c>
      <c r="C15" s="480">
        <f>已审横向PL!C15</f>
        <v>0</v>
      </c>
      <c r="D15" s="451" t="str">
        <f t="shared" si="0"/>
        <v/>
      </c>
      <c r="E15" s="480">
        <f>已审横向PL!D15</f>
        <v>0</v>
      </c>
      <c r="F15" s="451" t="str">
        <f t="shared" si="1"/>
        <v/>
      </c>
      <c r="G15" s="446" t="str">
        <f t="shared" si="3"/>
        <v/>
      </c>
      <c r="H15" s="447" t="str">
        <f t="shared" si="2"/>
        <v/>
      </c>
      <c r="I15" s="870"/>
    </row>
    <row r="16" spans="1:16" s="340" customFormat="1" ht="12.75">
      <c r="A16" s="349" t="str">
        <f>报表格式!L14</f>
        <v xml:space="preserve">        （四）其他</v>
      </c>
      <c r="B16" s="348">
        <v>10</v>
      </c>
      <c r="C16" s="480">
        <f>已审横向PL!C16</f>
        <v>0</v>
      </c>
      <c r="D16" s="451" t="str">
        <f t="shared" si="0"/>
        <v/>
      </c>
      <c r="E16" s="480">
        <f>已审横向PL!D16</f>
        <v>0</v>
      </c>
      <c r="F16" s="451" t="str">
        <f t="shared" si="1"/>
        <v/>
      </c>
      <c r="G16" s="446" t="str">
        <f t="shared" si="3"/>
        <v/>
      </c>
      <c r="H16" s="447" t="str">
        <f t="shared" si="2"/>
        <v/>
      </c>
      <c r="I16" s="870"/>
    </row>
    <row r="17" spans="1:9" s="340" customFormat="1" ht="12.75">
      <c r="A17" s="349" t="str">
        <f>报表格式!L15</f>
        <v xml:space="preserve">    加：（一）递延收益</v>
      </c>
      <c r="B17" s="348">
        <v>11</v>
      </c>
      <c r="C17" s="480">
        <f>已审横向PL!C17</f>
        <v>0</v>
      </c>
      <c r="D17" s="451" t="str">
        <f t="shared" si="0"/>
        <v/>
      </c>
      <c r="E17" s="480">
        <f>已审横向PL!D17</f>
        <v>0</v>
      </c>
      <c r="F17" s="451" t="str">
        <f t="shared" si="1"/>
        <v/>
      </c>
      <c r="G17" s="446" t="str">
        <f t="shared" si="3"/>
        <v/>
      </c>
      <c r="H17" s="447" t="str">
        <f t="shared" si="2"/>
        <v/>
      </c>
      <c r="I17" s="870"/>
    </row>
    <row r="18" spans="1:9" s="340" customFormat="1" ht="12.75">
      <c r="A18" s="349" t="str">
        <f>报表格式!L16</f>
        <v xml:space="preserve">        （二）代购代销收入</v>
      </c>
      <c r="B18" s="348">
        <v>12</v>
      </c>
      <c r="C18" s="480">
        <f>已审横向PL!C18</f>
        <v>0</v>
      </c>
      <c r="D18" s="451" t="str">
        <f t="shared" si="0"/>
        <v/>
      </c>
      <c r="E18" s="480">
        <f>已审横向PL!D18</f>
        <v>0</v>
      </c>
      <c r="F18" s="451" t="str">
        <f t="shared" si="1"/>
        <v/>
      </c>
      <c r="G18" s="446" t="str">
        <f t="shared" si="3"/>
        <v/>
      </c>
      <c r="H18" s="447" t="str">
        <f t="shared" si="2"/>
        <v/>
      </c>
      <c r="I18" s="870"/>
    </row>
    <row r="19" spans="1:9" s="340" customFormat="1" ht="12.75">
      <c r="A19" s="349" t="str">
        <f>报表格式!L17</f>
        <v xml:space="preserve">        （三）其他</v>
      </c>
      <c r="B19" s="348">
        <v>13</v>
      </c>
      <c r="C19" s="480">
        <f>已审横向PL!C19</f>
        <v>0</v>
      </c>
      <c r="D19" s="451" t="str">
        <f t="shared" si="0"/>
        <v/>
      </c>
      <c r="E19" s="480">
        <f>已审横向PL!D19</f>
        <v>0</v>
      </c>
      <c r="F19" s="451" t="str">
        <f t="shared" si="1"/>
        <v/>
      </c>
      <c r="G19" s="446" t="str">
        <f t="shared" si="3"/>
        <v/>
      </c>
      <c r="H19" s="447" t="str">
        <f t="shared" si="2"/>
        <v/>
      </c>
      <c r="I19" s="870"/>
    </row>
    <row r="20" spans="1:9" s="340" customFormat="1" ht="12.75">
      <c r="A20" s="347" t="str">
        <f>报表格式!L18</f>
        <v>三、主营业务利润</v>
      </c>
      <c r="B20" s="348">
        <v>14</v>
      </c>
      <c r="C20" s="601">
        <f>C11-C12-C14-C15-C16+C17+C18+C19</f>
        <v>0</v>
      </c>
      <c r="D20" s="611" t="str">
        <f t="shared" si="0"/>
        <v/>
      </c>
      <c r="E20" s="601">
        <f>审定PL!C19</f>
        <v>0</v>
      </c>
      <c r="F20" s="611" t="str">
        <f t="shared" si="1"/>
        <v/>
      </c>
      <c r="G20" s="603" t="str">
        <f t="shared" si="3"/>
        <v/>
      </c>
      <c r="H20" s="447" t="str">
        <f t="shared" si="2"/>
        <v/>
      </c>
      <c r="I20" s="870"/>
    </row>
    <row r="21" spans="1:9" s="340" customFormat="1" ht="12.75">
      <c r="A21" s="349" t="str">
        <f>报表格式!L19</f>
        <v xml:space="preserve">    加：其他业务利润</v>
      </c>
      <c r="B21" s="348">
        <v>15</v>
      </c>
      <c r="C21" s="480">
        <f>已审横向PL!C21</f>
        <v>0</v>
      </c>
      <c r="D21" s="451" t="str">
        <f t="shared" si="0"/>
        <v/>
      </c>
      <c r="E21" s="480">
        <f>已审横向PL!D21</f>
        <v>0</v>
      </c>
      <c r="F21" s="451" t="str">
        <f t="shared" si="1"/>
        <v/>
      </c>
      <c r="G21" s="446" t="str">
        <f t="shared" si="3"/>
        <v/>
      </c>
      <c r="H21" s="447" t="str">
        <f t="shared" si="2"/>
        <v/>
      </c>
      <c r="I21" s="870"/>
    </row>
    <row r="22" spans="1:9" s="340" customFormat="1" ht="12.75">
      <c r="A22" s="349" t="str">
        <f>报表格式!L20</f>
        <v xml:space="preserve">    减：（一）营业费用</v>
      </c>
      <c r="B22" s="348">
        <v>16</v>
      </c>
      <c r="C22" s="480">
        <f>已审横向PL!C22</f>
        <v>0</v>
      </c>
      <c r="D22" s="451" t="str">
        <f t="shared" si="0"/>
        <v/>
      </c>
      <c r="E22" s="480">
        <f>已审横向PL!D22</f>
        <v>0</v>
      </c>
      <c r="F22" s="451" t="str">
        <f t="shared" si="1"/>
        <v/>
      </c>
      <c r="G22" s="446" t="str">
        <f t="shared" si="3"/>
        <v/>
      </c>
      <c r="H22" s="447" t="str">
        <f t="shared" si="2"/>
        <v/>
      </c>
      <c r="I22" s="870"/>
    </row>
    <row r="23" spans="1:9" s="340" customFormat="1" ht="12.75">
      <c r="A23" s="349" t="str">
        <f>报表格式!L21</f>
        <v xml:space="preserve">        （二）管理费用</v>
      </c>
      <c r="B23" s="348">
        <v>17</v>
      </c>
      <c r="C23" s="480">
        <f>已审横向PL!C23</f>
        <v>0</v>
      </c>
      <c r="D23" s="451" t="str">
        <f t="shared" si="0"/>
        <v/>
      </c>
      <c r="E23" s="480">
        <f>已审横向PL!D23</f>
        <v>0</v>
      </c>
      <c r="F23" s="451" t="str">
        <f t="shared" si="1"/>
        <v/>
      </c>
      <c r="G23" s="446" t="str">
        <f t="shared" si="3"/>
        <v/>
      </c>
      <c r="H23" s="447" t="str">
        <f t="shared" si="2"/>
        <v/>
      </c>
      <c r="I23" s="870"/>
    </row>
    <row r="24" spans="1:9" s="340" customFormat="1" ht="12.75">
      <c r="A24" s="349" t="str">
        <f>报表格式!L22</f>
        <v xml:space="preserve">         其中：业务招待费</v>
      </c>
      <c r="B24" s="348">
        <v>18</v>
      </c>
      <c r="C24" s="480">
        <f>已审横向PL!C24</f>
        <v>0</v>
      </c>
      <c r="D24" s="451" t="str">
        <f t="shared" si="0"/>
        <v/>
      </c>
      <c r="E24" s="480">
        <f>已审横向PL!D24</f>
        <v>0</v>
      </c>
      <c r="F24" s="451" t="str">
        <f t="shared" si="1"/>
        <v/>
      </c>
      <c r="G24" s="446" t="str">
        <f>IF(AND(D24="",F24=""),"",IF(D24="",F24,IF(F24="",-D24,F24-D24)))</f>
        <v/>
      </c>
      <c r="H24" s="447" t="str">
        <f t="shared" si="2"/>
        <v/>
      </c>
      <c r="I24" s="870"/>
    </row>
    <row r="25" spans="1:9" s="340" customFormat="1" ht="12.75">
      <c r="A25" s="349" t="str">
        <f>报表格式!L23</f>
        <v xml:space="preserve">               研究与开发费</v>
      </c>
      <c r="B25" s="348">
        <v>19</v>
      </c>
      <c r="C25" s="480">
        <f>已审横向PL!C25</f>
        <v>0</v>
      </c>
      <c r="D25" s="451" t="str">
        <f t="shared" si="0"/>
        <v/>
      </c>
      <c r="E25" s="480">
        <f>已审横向PL!D25</f>
        <v>0</v>
      </c>
      <c r="F25" s="451" t="str">
        <f t="shared" si="1"/>
        <v/>
      </c>
      <c r="G25" s="446" t="str">
        <f>IF(AND(D25="",F25=""),"",IF(D25="",F25,IF(F25="",-D25,F25-D25)))</f>
        <v/>
      </c>
      <c r="H25" s="447" t="str">
        <f t="shared" si="2"/>
        <v/>
      </c>
      <c r="I25" s="870"/>
    </row>
    <row r="26" spans="1:9" s="340" customFormat="1" ht="12.75">
      <c r="A26" s="349" t="str">
        <f>报表格式!L24</f>
        <v xml:space="preserve">        （三）财务费用</v>
      </c>
      <c r="B26" s="348">
        <v>20</v>
      </c>
      <c r="C26" s="480">
        <f>已审横向PL!C26</f>
        <v>0</v>
      </c>
      <c r="D26" s="451" t="str">
        <f t="shared" si="0"/>
        <v/>
      </c>
      <c r="E26" s="480">
        <f>已审横向PL!D26</f>
        <v>0</v>
      </c>
      <c r="F26" s="451" t="str">
        <f t="shared" si="1"/>
        <v/>
      </c>
      <c r="G26" s="446" t="str">
        <f t="shared" si="3"/>
        <v/>
      </c>
      <c r="H26" s="447" t="str">
        <f t="shared" si="2"/>
        <v/>
      </c>
      <c r="I26" s="870"/>
    </row>
    <row r="27" spans="1:9" s="340" customFormat="1" ht="12.75">
      <c r="A27" s="349" t="str">
        <f>报表格式!L25</f>
        <v xml:space="preserve">         其中：利息支出</v>
      </c>
      <c r="B27" s="348">
        <v>21</v>
      </c>
      <c r="C27" s="480">
        <f>已审横向PL!C27</f>
        <v>0</v>
      </c>
      <c r="D27" s="451" t="str">
        <f t="shared" si="0"/>
        <v/>
      </c>
      <c r="E27" s="480">
        <f>已审横向PL!D27</f>
        <v>0</v>
      </c>
      <c r="F27" s="451" t="str">
        <f>IF(AND(E27&lt;&gt;0,$E$7&lt;&gt;0),E27/$E$7,"")</f>
        <v/>
      </c>
      <c r="G27" s="446" t="str">
        <f t="shared" si="3"/>
        <v/>
      </c>
      <c r="H27" s="447" t="str">
        <f t="shared" si="2"/>
        <v/>
      </c>
      <c r="I27" s="870"/>
    </row>
    <row r="28" spans="1:9" s="340" customFormat="1" ht="12.75">
      <c r="A28" s="349" t="str">
        <f>报表格式!L26</f>
        <v xml:space="preserve">               利息收入</v>
      </c>
      <c r="B28" s="348">
        <v>22</v>
      </c>
      <c r="C28" s="480">
        <f>已审横向PL!C28</f>
        <v>0</v>
      </c>
      <c r="D28" s="451" t="str">
        <f t="shared" si="0"/>
        <v/>
      </c>
      <c r="E28" s="480">
        <f>已审横向PL!D28</f>
        <v>0</v>
      </c>
      <c r="F28" s="451" t="str">
        <f t="shared" si="1"/>
        <v/>
      </c>
      <c r="G28" s="446" t="str">
        <f t="shared" si="3"/>
        <v/>
      </c>
      <c r="H28" s="447" t="str">
        <f t="shared" si="2"/>
        <v/>
      </c>
      <c r="I28" s="870"/>
    </row>
    <row r="29" spans="1:9" s="340" customFormat="1" ht="12.75">
      <c r="A29" s="349" t="str">
        <f>报表格式!L27</f>
        <v xml:space="preserve">               汇兑净损失</v>
      </c>
      <c r="B29" s="348">
        <v>23</v>
      </c>
      <c r="C29" s="480">
        <f>已审横向PL!C29</f>
        <v>0</v>
      </c>
      <c r="D29" s="451" t="str">
        <f t="shared" si="0"/>
        <v/>
      </c>
      <c r="E29" s="480">
        <f>已审横向PL!D29</f>
        <v>0</v>
      </c>
      <c r="F29" s="451" t="str">
        <f t="shared" si="1"/>
        <v/>
      </c>
      <c r="G29" s="446" t="str">
        <f t="shared" si="3"/>
        <v/>
      </c>
      <c r="H29" s="447" t="str">
        <f t="shared" si="2"/>
        <v/>
      </c>
      <c r="I29" s="870"/>
    </row>
    <row r="30" spans="1:9" s="340" customFormat="1" ht="12.75">
      <c r="A30" s="349" t="str">
        <f>报表格式!L28</f>
        <v xml:space="preserve">        （四）其他</v>
      </c>
      <c r="B30" s="348">
        <v>24</v>
      </c>
      <c r="C30" s="480">
        <f>已审横向PL!C30</f>
        <v>0</v>
      </c>
      <c r="D30" s="451" t="str">
        <f t="shared" si="0"/>
        <v/>
      </c>
      <c r="E30" s="480">
        <f>已审横向PL!D30</f>
        <v>0</v>
      </c>
      <c r="F30" s="451" t="str">
        <f t="shared" si="1"/>
        <v/>
      </c>
      <c r="G30" s="446" t="str">
        <f t="shared" si="3"/>
        <v/>
      </c>
      <c r="H30" s="447" t="str">
        <f t="shared" si="2"/>
        <v/>
      </c>
      <c r="I30" s="870"/>
    </row>
    <row r="31" spans="1:9" s="340" customFormat="1" ht="12.75">
      <c r="A31" s="347" t="str">
        <f>报表格式!L29</f>
        <v>四、营业利润</v>
      </c>
      <c r="B31" s="348">
        <v>25</v>
      </c>
      <c r="C31" s="601">
        <f>C20+C21-C22-C23-C26-C30</f>
        <v>0</v>
      </c>
      <c r="D31" s="611" t="str">
        <f t="shared" si="0"/>
        <v/>
      </c>
      <c r="E31" s="601">
        <f>审定PL!C30</f>
        <v>0</v>
      </c>
      <c r="F31" s="611" t="str">
        <f t="shared" si="1"/>
        <v/>
      </c>
      <c r="G31" s="603" t="str">
        <f t="shared" si="3"/>
        <v/>
      </c>
      <c r="H31" s="447" t="str">
        <f t="shared" si="2"/>
        <v/>
      </c>
      <c r="I31" s="870"/>
    </row>
    <row r="32" spans="1:9" s="340" customFormat="1" ht="12.75">
      <c r="A32" s="349" t="str">
        <f>报表格式!L30</f>
        <v xml:space="preserve">    加：（一）投资收益</v>
      </c>
      <c r="B32" s="348">
        <v>26</v>
      </c>
      <c r="C32" s="480">
        <f>已审横向PL!C32</f>
        <v>0</v>
      </c>
      <c r="D32" s="451" t="str">
        <f t="shared" si="0"/>
        <v/>
      </c>
      <c r="E32" s="480">
        <f>已审横向PL!D32</f>
        <v>0</v>
      </c>
      <c r="F32" s="451" t="str">
        <f t="shared" si="1"/>
        <v/>
      </c>
      <c r="G32" s="446" t="str">
        <f t="shared" si="3"/>
        <v/>
      </c>
      <c r="H32" s="447" t="str">
        <f t="shared" si="2"/>
        <v/>
      </c>
      <c r="I32" s="870"/>
    </row>
    <row r="33" spans="1:9" s="340" customFormat="1" ht="12.75">
      <c r="A33" s="349" t="str">
        <f>报表格式!L31</f>
        <v xml:space="preserve">        （二）期货收益</v>
      </c>
      <c r="B33" s="348">
        <v>27</v>
      </c>
      <c r="C33" s="480">
        <f>已审横向PL!C33</f>
        <v>0</v>
      </c>
      <c r="D33" s="451" t="str">
        <f t="shared" si="0"/>
        <v/>
      </c>
      <c r="E33" s="480">
        <f>已审横向PL!D33</f>
        <v>0</v>
      </c>
      <c r="F33" s="451" t="str">
        <f t="shared" si="1"/>
        <v/>
      </c>
      <c r="G33" s="446" t="str">
        <f t="shared" si="3"/>
        <v/>
      </c>
      <c r="H33" s="447" t="str">
        <f t="shared" si="2"/>
        <v/>
      </c>
      <c r="I33" s="870"/>
    </row>
    <row r="34" spans="1:9" s="340" customFormat="1" ht="12.75">
      <c r="A34" s="349" t="str">
        <f>报表格式!L32</f>
        <v xml:space="preserve">        （三）补贴收入</v>
      </c>
      <c r="B34" s="348">
        <v>28</v>
      </c>
      <c r="C34" s="480">
        <f>已审横向PL!C34</f>
        <v>0</v>
      </c>
      <c r="D34" s="451" t="str">
        <f t="shared" si="0"/>
        <v/>
      </c>
      <c r="E34" s="480">
        <f>已审横向PL!D34</f>
        <v>0</v>
      </c>
      <c r="F34" s="451" t="str">
        <f t="shared" si="1"/>
        <v/>
      </c>
      <c r="G34" s="446" t="str">
        <f t="shared" si="3"/>
        <v/>
      </c>
      <c r="H34" s="447" t="str">
        <f t="shared" si="2"/>
        <v/>
      </c>
      <c r="I34" s="870"/>
    </row>
    <row r="35" spans="1:9" s="340" customFormat="1" ht="12.75">
      <c r="A35" s="349" t="str">
        <f>报表格式!L33</f>
        <v xml:space="preserve">             其中：补贴前亏损的企业补贴收入</v>
      </c>
      <c r="B35" s="348">
        <v>29</v>
      </c>
      <c r="C35" s="480">
        <f>已审横向PL!C35</f>
        <v>0</v>
      </c>
      <c r="D35" s="451" t="str">
        <f t="shared" si="0"/>
        <v/>
      </c>
      <c r="E35" s="480">
        <f>已审横向PL!D35</f>
        <v>0</v>
      </c>
      <c r="F35" s="451" t="str">
        <f t="shared" si="1"/>
        <v/>
      </c>
      <c r="G35" s="446" t="str">
        <f t="shared" si="3"/>
        <v/>
      </c>
      <c r="H35" s="447" t="str">
        <f t="shared" si="2"/>
        <v/>
      </c>
      <c r="I35" s="870"/>
    </row>
    <row r="36" spans="1:9" s="340" customFormat="1" ht="12.75">
      <c r="A36" s="349" t="str">
        <f>报表格式!L34</f>
        <v xml:space="preserve">        （四）营业外收入</v>
      </c>
      <c r="B36" s="348">
        <v>30</v>
      </c>
      <c r="C36" s="480">
        <f>已审横向PL!C36</f>
        <v>0</v>
      </c>
      <c r="D36" s="451" t="str">
        <f t="shared" si="0"/>
        <v/>
      </c>
      <c r="E36" s="480">
        <f>已审横向PL!D36</f>
        <v>0</v>
      </c>
      <c r="F36" s="451" t="str">
        <f t="shared" si="1"/>
        <v/>
      </c>
      <c r="G36" s="446" t="str">
        <f t="shared" si="3"/>
        <v/>
      </c>
      <c r="H36" s="447" t="str">
        <f t="shared" si="2"/>
        <v/>
      </c>
      <c r="I36" s="870"/>
    </row>
    <row r="37" spans="1:9" s="340" customFormat="1" ht="12.75">
      <c r="A37" s="349" t="str">
        <f>报表格式!L35</f>
        <v xml:space="preserve">             其中：处置固定资产净收益</v>
      </c>
      <c r="B37" s="348">
        <v>31</v>
      </c>
      <c r="C37" s="480">
        <f>已审横向PL!C37</f>
        <v>0</v>
      </c>
      <c r="D37" s="451" t="str">
        <f t="shared" si="0"/>
        <v/>
      </c>
      <c r="E37" s="480">
        <f>已审横向PL!D37</f>
        <v>0</v>
      </c>
      <c r="F37" s="451" t="str">
        <f t="shared" si="1"/>
        <v/>
      </c>
      <c r="G37" s="446" t="str">
        <f t="shared" si="3"/>
        <v/>
      </c>
      <c r="H37" s="447" t="str">
        <f t="shared" si="2"/>
        <v/>
      </c>
      <c r="I37" s="870"/>
    </row>
    <row r="38" spans="1:9" s="340" customFormat="1" ht="12.75">
      <c r="A38" s="349" t="str">
        <f>报表格式!L36</f>
        <v xml:space="preserve">                   非货币性交易收益</v>
      </c>
      <c r="B38" s="348">
        <v>32</v>
      </c>
      <c r="C38" s="480">
        <f>已审横向PL!C38</f>
        <v>0</v>
      </c>
      <c r="D38" s="451" t="str">
        <f t="shared" si="0"/>
        <v/>
      </c>
      <c r="E38" s="480">
        <f>已审横向PL!D38</f>
        <v>0</v>
      </c>
      <c r="F38" s="451" t="str">
        <f>IF(AND(E38&lt;&gt;0,$E$7&lt;&gt;0),E38/$E$7,"")</f>
        <v/>
      </c>
      <c r="G38" s="446" t="str">
        <f t="shared" si="3"/>
        <v/>
      </c>
      <c r="H38" s="447" t="str">
        <f t="shared" si="2"/>
        <v/>
      </c>
      <c r="I38" s="870"/>
    </row>
    <row r="39" spans="1:9" s="340" customFormat="1" ht="12.75">
      <c r="A39" s="349" t="str">
        <f>报表格式!L37</f>
        <v xml:space="preserve">                   出售无形资产收益</v>
      </c>
      <c r="B39" s="348">
        <v>33</v>
      </c>
      <c r="C39" s="480">
        <f>已审横向PL!C39</f>
        <v>0</v>
      </c>
      <c r="D39" s="451" t="str">
        <f t="shared" si="0"/>
        <v/>
      </c>
      <c r="E39" s="480">
        <f>已审横向PL!D39</f>
        <v>0</v>
      </c>
      <c r="F39" s="451" t="str">
        <f t="shared" si="1"/>
        <v/>
      </c>
      <c r="G39" s="446" t="str">
        <f t="shared" si="3"/>
        <v/>
      </c>
      <c r="H39" s="447" t="str">
        <f t="shared" si="2"/>
        <v/>
      </c>
      <c r="I39" s="870"/>
    </row>
    <row r="40" spans="1:9" s="340" customFormat="1" ht="12.75">
      <c r="A40" s="349" t="str">
        <f>报表格式!L38</f>
        <v xml:space="preserve">                   罚款净收入</v>
      </c>
      <c r="B40" s="348">
        <v>34</v>
      </c>
      <c r="C40" s="480">
        <f>已审横向PL!C40</f>
        <v>0</v>
      </c>
      <c r="D40" s="451" t="str">
        <f t="shared" si="0"/>
        <v/>
      </c>
      <c r="E40" s="480">
        <f>已审横向PL!D40</f>
        <v>0</v>
      </c>
      <c r="F40" s="451" t="str">
        <f t="shared" si="1"/>
        <v/>
      </c>
      <c r="G40" s="446" t="str">
        <f t="shared" si="3"/>
        <v/>
      </c>
      <c r="H40" s="447" t="str">
        <f t="shared" si="2"/>
        <v/>
      </c>
      <c r="I40" s="870"/>
    </row>
    <row r="41" spans="1:9" s="340" customFormat="1" ht="12.75">
      <c r="A41" s="349" t="str">
        <f>报表格式!L39</f>
        <v xml:space="preserve">        （五）其他</v>
      </c>
      <c r="B41" s="348">
        <v>35</v>
      </c>
      <c r="C41" s="480">
        <f>已审横向PL!C41</f>
        <v>0</v>
      </c>
      <c r="D41" s="451" t="str">
        <f t="shared" si="0"/>
        <v/>
      </c>
      <c r="E41" s="480">
        <f>已审横向PL!D41</f>
        <v>0</v>
      </c>
      <c r="F41" s="451" t="str">
        <f t="shared" si="1"/>
        <v/>
      </c>
      <c r="G41" s="446" t="str">
        <f t="shared" si="3"/>
        <v/>
      </c>
      <c r="H41" s="447" t="str">
        <f t="shared" si="2"/>
        <v/>
      </c>
      <c r="I41" s="870"/>
    </row>
    <row r="42" spans="1:9" s="340" customFormat="1" ht="12.75">
      <c r="A42" s="349" t="str">
        <f>报表格式!L40</f>
        <v xml:space="preserve">             其中：用以前年度含量工资结余弥补利润</v>
      </c>
      <c r="B42" s="348">
        <v>36</v>
      </c>
      <c r="C42" s="480">
        <f>已审横向PL!C42</f>
        <v>0</v>
      </c>
      <c r="D42" s="451" t="str">
        <f t="shared" si="0"/>
        <v/>
      </c>
      <c r="E42" s="480">
        <f>已审横向PL!D42</f>
        <v>0</v>
      </c>
      <c r="F42" s="451" t="str">
        <f t="shared" si="1"/>
        <v/>
      </c>
      <c r="G42" s="446" t="str">
        <f t="shared" si="3"/>
        <v/>
      </c>
      <c r="H42" s="447" t="str">
        <f t="shared" si="2"/>
        <v/>
      </c>
      <c r="I42" s="870"/>
    </row>
    <row r="43" spans="1:9" s="340" customFormat="1" ht="12.75">
      <c r="A43" s="349" t="str">
        <f>报表格式!L41</f>
        <v xml:space="preserve">    减：（一）营业外支出</v>
      </c>
      <c r="B43" s="348">
        <v>37</v>
      </c>
      <c r="C43" s="480">
        <f>已审横向PL!C43</f>
        <v>0</v>
      </c>
      <c r="D43" s="451" t="str">
        <f t="shared" si="0"/>
        <v/>
      </c>
      <c r="E43" s="480">
        <f>已审横向PL!D43</f>
        <v>0</v>
      </c>
      <c r="F43" s="451" t="str">
        <f t="shared" si="1"/>
        <v/>
      </c>
      <c r="G43" s="446" t="str">
        <f t="shared" si="3"/>
        <v/>
      </c>
      <c r="H43" s="447" t="str">
        <f t="shared" si="2"/>
        <v/>
      </c>
      <c r="I43" s="870"/>
    </row>
    <row r="44" spans="1:9" s="340" customFormat="1" ht="12.75">
      <c r="A44" s="349" t="str">
        <f>报表格式!L42</f>
        <v xml:space="preserve">             其中：处置固定资产净损失</v>
      </c>
      <c r="B44" s="348">
        <v>38</v>
      </c>
      <c r="C44" s="480">
        <f>已审横向PL!C44</f>
        <v>0</v>
      </c>
      <c r="D44" s="451" t="str">
        <f t="shared" si="0"/>
        <v/>
      </c>
      <c r="E44" s="480">
        <f>已审横向PL!D44</f>
        <v>0</v>
      </c>
      <c r="F44" s="451" t="str">
        <f t="shared" si="1"/>
        <v/>
      </c>
      <c r="G44" s="446" t="str">
        <f t="shared" si="3"/>
        <v/>
      </c>
      <c r="H44" s="447" t="str">
        <f t="shared" si="2"/>
        <v/>
      </c>
      <c r="I44" s="870"/>
    </row>
    <row r="45" spans="1:9" s="340" customFormat="1" ht="12.75">
      <c r="A45" s="349" t="str">
        <f>报表格式!L43</f>
        <v xml:space="preserve">                   出售无形资产损失</v>
      </c>
      <c r="B45" s="348">
        <v>39</v>
      </c>
      <c r="C45" s="480">
        <f>已审横向PL!C45</f>
        <v>0</v>
      </c>
      <c r="D45" s="451" t="str">
        <f t="shared" si="0"/>
        <v/>
      </c>
      <c r="E45" s="480">
        <f>已审横向PL!D45</f>
        <v>0</v>
      </c>
      <c r="F45" s="451" t="str">
        <f t="shared" si="1"/>
        <v/>
      </c>
      <c r="G45" s="446" t="str">
        <f t="shared" si="3"/>
        <v/>
      </c>
      <c r="H45" s="447" t="str">
        <f t="shared" si="2"/>
        <v/>
      </c>
      <c r="I45" s="870"/>
    </row>
    <row r="46" spans="1:9" s="340" customFormat="1" ht="12.75">
      <c r="A46" s="349" t="str">
        <f>报表格式!L44</f>
        <v xml:space="preserve">                   罚款支出</v>
      </c>
      <c r="B46" s="348">
        <v>40</v>
      </c>
      <c r="C46" s="480">
        <f>已审横向PL!C46</f>
        <v>0</v>
      </c>
      <c r="D46" s="451" t="str">
        <f t="shared" si="0"/>
        <v/>
      </c>
      <c r="E46" s="480">
        <f>已审横向PL!D46</f>
        <v>0</v>
      </c>
      <c r="F46" s="451" t="str">
        <f t="shared" si="1"/>
        <v/>
      </c>
      <c r="G46" s="446" t="str">
        <f t="shared" si="3"/>
        <v/>
      </c>
      <c r="H46" s="447" t="str">
        <f t="shared" si="2"/>
        <v/>
      </c>
      <c r="I46" s="870"/>
    </row>
    <row r="47" spans="1:9" s="340" customFormat="1" ht="12.75">
      <c r="A47" s="349" t="str">
        <f>报表格式!L45</f>
        <v xml:space="preserve">                   捐赠支出</v>
      </c>
      <c r="B47" s="348">
        <v>41</v>
      </c>
      <c r="C47" s="480">
        <f>已审横向PL!C47</f>
        <v>0</v>
      </c>
      <c r="D47" s="451" t="str">
        <f t="shared" si="0"/>
        <v/>
      </c>
      <c r="E47" s="480">
        <f>已审横向PL!D47</f>
        <v>0</v>
      </c>
      <c r="F47" s="451" t="str">
        <f t="shared" si="1"/>
        <v/>
      </c>
      <c r="G47" s="446" t="str">
        <f t="shared" si="3"/>
        <v/>
      </c>
      <c r="H47" s="447" t="str">
        <f t="shared" si="2"/>
        <v/>
      </c>
      <c r="I47" s="870"/>
    </row>
    <row r="48" spans="1:9" s="340" customFormat="1" ht="12.75">
      <c r="A48" s="349" t="str">
        <f>报表格式!L46</f>
        <v xml:space="preserve">        （二）其他支出</v>
      </c>
      <c r="B48" s="348">
        <v>42</v>
      </c>
      <c r="C48" s="480">
        <f>已审横向PL!C48</f>
        <v>0</v>
      </c>
      <c r="D48" s="451" t="str">
        <f t="shared" si="0"/>
        <v/>
      </c>
      <c r="E48" s="480">
        <f>已审横向PL!D48</f>
        <v>0</v>
      </c>
      <c r="F48" s="451" t="str">
        <f t="shared" si="1"/>
        <v/>
      </c>
      <c r="G48" s="446" t="str">
        <f t="shared" si="3"/>
        <v/>
      </c>
      <c r="H48" s="447" t="str">
        <f t="shared" si="2"/>
        <v/>
      </c>
      <c r="I48" s="870"/>
    </row>
    <row r="49" spans="1:9" s="340" customFormat="1" ht="12.75">
      <c r="A49" s="349" t="str">
        <f>报表格式!L47</f>
        <v xml:space="preserve">             其中：结转的含量工资包干结余</v>
      </c>
      <c r="B49" s="348">
        <v>43</v>
      </c>
      <c r="C49" s="480">
        <f>已审横向PL!C49</f>
        <v>0</v>
      </c>
      <c r="D49" s="451" t="str">
        <f t="shared" si="0"/>
        <v/>
      </c>
      <c r="E49" s="480">
        <f>已审横向PL!D49</f>
        <v>0</v>
      </c>
      <c r="F49" s="451" t="str">
        <f t="shared" si="1"/>
        <v/>
      </c>
      <c r="G49" s="446" t="str">
        <f t="shared" si="3"/>
        <v/>
      </c>
      <c r="H49" s="447" t="str">
        <f t="shared" si="2"/>
        <v/>
      </c>
      <c r="I49" s="870"/>
    </row>
    <row r="50" spans="1:9" s="340" customFormat="1" ht="12.75">
      <c r="A50" s="347" t="str">
        <f>报表格式!L48</f>
        <v>五、利润总额</v>
      </c>
      <c r="B50" s="348">
        <v>44</v>
      </c>
      <c r="C50" s="601">
        <f>C31+C32+C33+C34+C36+C41-C43-C48</f>
        <v>0</v>
      </c>
      <c r="D50" s="611" t="str">
        <f t="shared" si="0"/>
        <v/>
      </c>
      <c r="E50" s="601">
        <f>审定PL!C49</f>
        <v>0</v>
      </c>
      <c r="F50" s="611" t="str">
        <f t="shared" si="1"/>
        <v/>
      </c>
      <c r="G50" s="603" t="str">
        <f t="shared" si="3"/>
        <v/>
      </c>
      <c r="H50" s="447" t="str">
        <f t="shared" si="2"/>
        <v/>
      </c>
      <c r="I50" s="870"/>
    </row>
    <row r="51" spans="1:9" s="340" customFormat="1" ht="12.75">
      <c r="A51" s="349" t="str">
        <f>报表格式!L49</f>
        <v xml:space="preserve">    减：所得税</v>
      </c>
      <c r="B51" s="348">
        <v>45</v>
      </c>
      <c r="C51" s="480">
        <f>已审横向PL!C51</f>
        <v>0</v>
      </c>
      <c r="D51" s="451" t="str">
        <f t="shared" si="0"/>
        <v/>
      </c>
      <c r="E51" s="480">
        <f>已审横向PL!D51</f>
        <v>0</v>
      </c>
      <c r="F51" s="451" t="str">
        <f t="shared" si="1"/>
        <v/>
      </c>
      <c r="G51" s="446" t="str">
        <f t="shared" si="3"/>
        <v/>
      </c>
      <c r="H51" s="447" t="str">
        <f t="shared" si="2"/>
        <v/>
      </c>
      <c r="I51" s="870"/>
    </row>
    <row r="52" spans="1:9" s="340" customFormat="1" ht="12.75">
      <c r="A52" s="349" t="str">
        <f>报表格式!L50</f>
        <v xml:space="preserve">       *少数股东损益</v>
      </c>
      <c r="B52" s="348">
        <v>46</v>
      </c>
      <c r="C52" s="480">
        <f>已审横向PL!C52</f>
        <v>0</v>
      </c>
      <c r="D52" s="451" t="str">
        <f t="shared" si="0"/>
        <v/>
      </c>
      <c r="E52" s="480">
        <f>已审横向PL!D52</f>
        <v>0</v>
      </c>
      <c r="F52" s="451" t="str">
        <f t="shared" si="1"/>
        <v/>
      </c>
      <c r="G52" s="446" t="str">
        <f t="shared" si="3"/>
        <v/>
      </c>
      <c r="H52" s="447" t="str">
        <f t="shared" si="2"/>
        <v/>
      </c>
      <c r="I52" s="870"/>
    </row>
    <row r="53" spans="1:9" s="340" customFormat="1" ht="12.75">
      <c r="A53" s="349" t="str">
        <f>报表格式!L51</f>
        <v xml:space="preserve">    加：*未确认的投资损失</v>
      </c>
      <c r="B53" s="348">
        <v>47</v>
      </c>
      <c r="C53" s="480">
        <f>已审横向PL!C53</f>
        <v>0</v>
      </c>
      <c r="D53" s="451" t="str">
        <f t="shared" si="0"/>
        <v/>
      </c>
      <c r="E53" s="480">
        <f>已审横向PL!D53</f>
        <v>0</v>
      </c>
      <c r="F53" s="451" t="str">
        <f t="shared" si="1"/>
        <v/>
      </c>
      <c r="G53" s="446" t="str">
        <f t="shared" si="3"/>
        <v/>
      </c>
      <c r="H53" s="447" t="str">
        <f t="shared" si="2"/>
        <v/>
      </c>
      <c r="I53" s="870"/>
    </row>
    <row r="54" spans="1:9" s="340" customFormat="1" ht="12.75">
      <c r="A54" s="347" t="str">
        <f>报表格式!L52</f>
        <v>六、净利润</v>
      </c>
      <c r="B54" s="348">
        <v>48</v>
      </c>
      <c r="C54" s="601">
        <f>C50-C51-C52+C53</f>
        <v>0</v>
      </c>
      <c r="D54" s="611" t="str">
        <f t="shared" si="0"/>
        <v/>
      </c>
      <c r="E54" s="601">
        <f>审定PL!C53</f>
        <v>0</v>
      </c>
      <c r="F54" s="611" t="str">
        <f t="shared" si="1"/>
        <v/>
      </c>
      <c r="G54" s="603" t="str">
        <f t="shared" si="3"/>
        <v/>
      </c>
      <c r="H54" s="447" t="str">
        <f t="shared" si="2"/>
        <v/>
      </c>
      <c r="I54" s="870"/>
    </row>
    <row r="55" spans="1:9" s="340" customFormat="1" ht="12.75">
      <c r="A55" s="349" t="str">
        <f>报表格式!L53</f>
        <v xml:space="preserve">    加：（一）年初未分配利润</v>
      </c>
      <c r="B55" s="348">
        <v>49</v>
      </c>
      <c r="C55" s="480">
        <f>已审横向PL!C55</f>
        <v>0</v>
      </c>
      <c r="D55" s="451" t="str">
        <f t="shared" si="0"/>
        <v/>
      </c>
      <c r="E55" s="480">
        <f>已审横向PL!D55</f>
        <v>0</v>
      </c>
      <c r="F55" s="451" t="str">
        <f t="shared" si="1"/>
        <v/>
      </c>
      <c r="G55" s="446" t="str">
        <f t="shared" si="3"/>
        <v/>
      </c>
      <c r="H55" s="447" t="str">
        <f t="shared" si="2"/>
        <v/>
      </c>
      <c r="I55" s="870"/>
    </row>
    <row r="56" spans="1:9" s="340" customFormat="1" ht="12.75">
      <c r="A56" s="349" t="str">
        <f>报表格式!L54</f>
        <v xml:space="preserve">        （二）盈余公积补亏</v>
      </c>
      <c r="B56" s="348">
        <v>50</v>
      </c>
      <c r="C56" s="480">
        <f>已审横向PL!C56</f>
        <v>0</v>
      </c>
      <c r="D56" s="451" t="str">
        <f t="shared" si="0"/>
        <v/>
      </c>
      <c r="E56" s="480">
        <f>已审横向PL!D56</f>
        <v>0</v>
      </c>
      <c r="F56" s="451" t="str">
        <f>IF(AND(E56&lt;&gt;0,$E$7&lt;&gt;0),E56/$E$7,"")</f>
        <v/>
      </c>
      <c r="G56" s="446" t="str">
        <f t="shared" si="3"/>
        <v/>
      </c>
      <c r="H56" s="447" t="str">
        <f t="shared" si="2"/>
        <v/>
      </c>
      <c r="I56" s="870"/>
    </row>
    <row r="57" spans="1:9" s="340" customFormat="1" ht="12.75">
      <c r="A57" s="349" t="str">
        <f>报表格式!L55</f>
        <v xml:space="preserve">        （三）其他调整因素</v>
      </c>
      <c r="B57" s="348">
        <v>51</v>
      </c>
      <c r="C57" s="480">
        <f>已审横向PL!C57</f>
        <v>0</v>
      </c>
      <c r="D57" s="451" t="str">
        <f t="shared" si="0"/>
        <v/>
      </c>
      <c r="E57" s="480">
        <f>已审横向PL!D57</f>
        <v>0</v>
      </c>
      <c r="F57" s="451" t="str">
        <f t="shared" si="1"/>
        <v/>
      </c>
      <c r="G57" s="446" t="str">
        <f t="shared" si="3"/>
        <v/>
      </c>
      <c r="H57" s="447" t="str">
        <f t="shared" si="2"/>
        <v/>
      </c>
      <c r="I57" s="870"/>
    </row>
    <row r="58" spans="1:9" s="340" customFormat="1" ht="12.75">
      <c r="A58" s="347" t="str">
        <f>报表格式!L56</f>
        <v>七、可供分配的利润</v>
      </c>
      <c r="B58" s="348">
        <v>52</v>
      </c>
      <c r="C58" s="601">
        <f>C54+C55+C56+C57</f>
        <v>0</v>
      </c>
      <c r="D58" s="611" t="str">
        <f t="shared" si="0"/>
        <v/>
      </c>
      <c r="E58" s="601">
        <f>审定PL!C57</f>
        <v>0</v>
      </c>
      <c r="F58" s="611" t="str">
        <f t="shared" si="1"/>
        <v/>
      </c>
      <c r="G58" s="603" t="str">
        <f t="shared" si="3"/>
        <v/>
      </c>
      <c r="H58" s="447" t="str">
        <f t="shared" si="2"/>
        <v/>
      </c>
      <c r="I58" s="870"/>
    </row>
    <row r="59" spans="1:9" s="340" customFormat="1" ht="12.75">
      <c r="A59" s="349" t="str">
        <f>报表格式!L57</f>
        <v xml:space="preserve">    减：（一）提取法定盈余公积</v>
      </c>
      <c r="B59" s="348">
        <v>53</v>
      </c>
      <c r="C59" s="480">
        <f>已审横向PL!C59</f>
        <v>0</v>
      </c>
      <c r="D59" s="451" t="str">
        <f t="shared" si="0"/>
        <v/>
      </c>
      <c r="E59" s="480">
        <f>已审横向PL!D59</f>
        <v>0</v>
      </c>
      <c r="F59" s="451" t="str">
        <f t="shared" si="1"/>
        <v/>
      </c>
      <c r="G59" s="446" t="str">
        <f t="shared" si="3"/>
        <v/>
      </c>
      <c r="H59" s="447" t="str">
        <f t="shared" si="2"/>
        <v/>
      </c>
      <c r="I59" s="870"/>
    </row>
    <row r="60" spans="1:9" s="340" customFormat="1" ht="12.75">
      <c r="A60" s="349" t="str">
        <f>报表格式!L58</f>
        <v xml:space="preserve">        （二）提取法定公益金</v>
      </c>
      <c r="B60" s="348">
        <v>54</v>
      </c>
      <c r="C60" s="480">
        <f>已审横向PL!C60</f>
        <v>0</v>
      </c>
      <c r="D60" s="451" t="str">
        <f t="shared" si="0"/>
        <v/>
      </c>
      <c r="E60" s="480">
        <f>已审横向PL!D60</f>
        <v>0</v>
      </c>
      <c r="F60" s="451" t="str">
        <f t="shared" si="1"/>
        <v/>
      </c>
      <c r="G60" s="446" t="str">
        <f t="shared" si="3"/>
        <v/>
      </c>
      <c r="H60" s="447" t="str">
        <f t="shared" si="2"/>
        <v/>
      </c>
      <c r="I60" s="870"/>
    </row>
    <row r="61" spans="1:9" s="340" customFormat="1" ht="12.75">
      <c r="A61" s="349" t="str">
        <f>报表格式!L59</f>
        <v xml:space="preserve">        （三）提取职工奖励及福利基金</v>
      </c>
      <c r="B61" s="348">
        <v>55</v>
      </c>
      <c r="C61" s="480">
        <f>已审横向PL!C61</f>
        <v>0</v>
      </c>
      <c r="D61" s="451" t="str">
        <f t="shared" si="0"/>
        <v/>
      </c>
      <c r="E61" s="480">
        <f>已审横向PL!D61</f>
        <v>0</v>
      </c>
      <c r="F61" s="451" t="str">
        <f t="shared" si="1"/>
        <v/>
      </c>
      <c r="G61" s="446" t="str">
        <f t="shared" si="3"/>
        <v/>
      </c>
      <c r="H61" s="447" t="str">
        <f t="shared" si="2"/>
        <v/>
      </c>
      <c r="I61" s="870"/>
    </row>
    <row r="62" spans="1:9" s="340" customFormat="1" ht="12.75">
      <c r="A62" s="349" t="str">
        <f>报表格式!L60</f>
        <v xml:space="preserve">        （四）提取储备基金</v>
      </c>
      <c r="B62" s="348">
        <v>56</v>
      </c>
      <c r="C62" s="480">
        <f>已审横向PL!C62</f>
        <v>0</v>
      </c>
      <c r="D62" s="451" t="str">
        <f t="shared" si="0"/>
        <v/>
      </c>
      <c r="E62" s="480">
        <f>已审横向PL!D62</f>
        <v>0</v>
      </c>
      <c r="F62" s="451" t="str">
        <f t="shared" si="1"/>
        <v/>
      </c>
      <c r="G62" s="446" t="str">
        <f t="shared" si="3"/>
        <v/>
      </c>
      <c r="H62" s="447" t="str">
        <f t="shared" si="2"/>
        <v/>
      </c>
      <c r="I62" s="870"/>
    </row>
    <row r="63" spans="1:9" s="340" customFormat="1" ht="12.75">
      <c r="A63" s="349" t="str">
        <f>报表格式!L61</f>
        <v xml:space="preserve">        （五）提取企业发展基金 </v>
      </c>
      <c r="B63" s="348">
        <v>57</v>
      </c>
      <c r="C63" s="480">
        <f>已审横向PL!C63</f>
        <v>0</v>
      </c>
      <c r="D63" s="451" t="str">
        <f t="shared" si="0"/>
        <v/>
      </c>
      <c r="E63" s="480">
        <f>已审横向PL!D63</f>
        <v>0</v>
      </c>
      <c r="F63" s="451" t="str">
        <f t="shared" si="1"/>
        <v/>
      </c>
      <c r="G63" s="446" t="str">
        <f t="shared" si="3"/>
        <v/>
      </c>
      <c r="H63" s="447" t="str">
        <f t="shared" si="2"/>
        <v/>
      </c>
      <c r="I63" s="870"/>
    </row>
    <row r="64" spans="1:9" s="340" customFormat="1" ht="12.75">
      <c r="A64" s="349" t="str">
        <f>报表格式!L62</f>
        <v xml:space="preserve">        （六）利润归还投资 </v>
      </c>
      <c r="B64" s="348">
        <v>58</v>
      </c>
      <c r="C64" s="480">
        <f>已审横向PL!C64</f>
        <v>0</v>
      </c>
      <c r="D64" s="451" t="str">
        <f t="shared" si="0"/>
        <v/>
      </c>
      <c r="E64" s="480">
        <f>已审横向PL!D64</f>
        <v>0</v>
      </c>
      <c r="F64" s="451" t="str">
        <f t="shared" si="1"/>
        <v/>
      </c>
      <c r="G64" s="446" t="str">
        <f t="shared" si="3"/>
        <v/>
      </c>
      <c r="H64" s="447" t="str">
        <f t="shared" si="2"/>
        <v/>
      </c>
      <c r="I64" s="870"/>
    </row>
    <row r="65" spans="1:9" s="340" customFormat="1" ht="12.75">
      <c r="A65" s="349" t="str">
        <f>报表格式!L63</f>
        <v xml:space="preserve">        （七）补充流动资本</v>
      </c>
      <c r="B65" s="348">
        <v>59</v>
      </c>
      <c r="C65" s="480">
        <f>已审横向PL!C65</f>
        <v>0</v>
      </c>
      <c r="D65" s="451" t="str">
        <f t="shared" si="0"/>
        <v/>
      </c>
      <c r="E65" s="480">
        <f>已审横向PL!D65</f>
        <v>0</v>
      </c>
      <c r="F65" s="451" t="str">
        <f t="shared" si="1"/>
        <v/>
      </c>
      <c r="G65" s="446" t="str">
        <f t="shared" si="3"/>
        <v/>
      </c>
      <c r="H65" s="447" t="str">
        <f t="shared" si="2"/>
        <v/>
      </c>
      <c r="I65" s="870"/>
    </row>
    <row r="66" spans="1:9" s="340" customFormat="1" ht="12.75">
      <c r="A66" s="349" t="str">
        <f>报表格式!L64</f>
        <v xml:space="preserve">        （八）单项留用的利润</v>
      </c>
      <c r="B66" s="348">
        <v>60</v>
      </c>
      <c r="C66" s="480">
        <f>已审横向PL!C66</f>
        <v>0</v>
      </c>
      <c r="D66" s="451" t="str">
        <f t="shared" si="0"/>
        <v/>
      </c>
      <c r="E66" s="480">
        <f>已审横向PL!D66</f>
        <v>0</v>
      </c>
      <c r="F66" s="451" t="str">
        <f>IF(AND(E66&lt;&gt;0,$E$7&lt;&gt;0),E66/$E$7,"")</f>
        <v/>
      </c>
      <c r="G66" s="446" t="str">
        <f t="shared" si="3"/>
        <v/>
      </c>
      <c r="H66" s="447" t="str">
        <f t="shared" si="2"/>
        <v/>
      </c>
      <c r="I66" s="870"/>
    </row>
    <row r="67" spans="1:9" s="340" customFormat="1" ht="12.75">
      <c r="A67" s="349" t="str">
        <f>报表格式!L65</f>
        <v xml:space="preserve">        （九）其他</v>
      </c>
      <c r="B67" s="348">
        <v>61</v>
      </c>
      <c r="C67" s="480">
        <f>已审横向PL!C67</f>
        <v>0</v>
      </c>
      <c r="D67" s="451" t="str">
        <f t="shared" si="0"/>
        <v/>
      </c>
      <c r="E67" s="480">
        <f>已审横向PL!D67</f>
        <v>0</v>
      </c>
      <c r="F67" s="451" t="str">
        <f t="shared" si="1"/>
        <v/>
      </c>
      <c r="G67" s="446" t="str">
        <f t="shared" si="3"/>
        <v/>
      </c>
      <c r="H67" s="447" t="str">
        <f t="shared" si="2"/>
        <v/>
      </c>
      <c r="I67" s="870"/>
    </row>
    <row r="68" spans="1:9" s="340" customFormat="1" ht="12.75">
      <c r="A68" s="347" t="str">
        <f>报表格式!L66</f>
        <v>八、可供投资者分配的利润</v>
      </c>
      <c r="B68" s="348">
        <v>62</v>
      </c>
      <c r="C68" s="601">
        <f>C58-C59-C60-C61-C62-C63-C64-C65-C66-C67</f>
        <v>0</v>
      </c>
      <c r="D68" s="611" t="str">
        <f t="shared" si="0"/>
        <v/>
      </c>
      <c r="E68" s="601">
        <f>审定PL!C67</f>
        <v>0</v>
      </c>
      <c r="F68" s="611" t="str">
        <f t="shared" si="1"/>
        <v/>
      </c>
      <c r="G68" s="603" t="str">
        <f t="shared" si="3"/>
        <v/>
      </c>
      <c r="H68" s="447" t="str">
        <f t="shared" si="2"/>
        <v/>
      </c>
      <c r="I68" s="870"/>
    </row>
    <row r="69" spans="1:9" s="340" customFormat="1" ht="12.75">
      <c r="A69" s="349" t="str">
        <f>报表格式!L67</f>
        <v xml:space="preserve">    减：（一）应付优先股股利</v>
      </c>
      <c r="B69" s="348">
        <v>63</v>
      </c>
      <c r="C69" s="480">
        <f>已审横向PL!C69</f>
        <v>0</v>
      </c>
      <c r="D69" s="451" t="str">
        <f t="shared" si="0"/>
        <v/>
      </c>
      <c r="E69" s="480">
        <f>已审横向PL!D69</f>
        <v>0</v>
      </c>
      <c r="F69" s="451" t="str">
        <f t="shared" si="1"/>
        <v/>
      </c>
      <c r="G69" s="446" t="str">
        <f t="shared" si="3"/>
        <v/>
      </c>
      <c r="H69" s="447" t="str">
        <f t="shared" si="2"/>
        <v/>
      </c>
      <c r="I69" s="870"/>
    </row>
    <row r="70" spans="1:9" s="340" customFormat="1" ht="12.75">
      <c r="A70" s="349" t="str">
        <f>报表格式!L68</f>
        <v xml:space="preserve">        （二）提取任意盈余公积</v>
      </c>
      <c r="B70" s="348">
        <v>64</v>
      </c>
      <c r="C70" s="480">
        <f>已审横向PL!C70</f>
        <v>0</v>
      </c>
      <c r="D70" s="451" t="str">
        <f t="shared" si="0"/>
        <v/>
      </c>
      <c r="E70" s="480">
        <f>已审横向PL!D70</f>
        <v>0</v>
      </c>
      <c r="F70" s="451" t="str">
        <f t="shared" si="1"/>
        <v/>
      </c>
      <c r="G70" s="446" t="str">
        <f t="shared" si="3"/>
        <v/>
      </c>
      <c r="H70" s="447" t="str">
        <f t="shared" si="2"/>
        <v/>
      </c>
      <c r="I70" s="870"/>
    </row>
    <row r="71" spans="1:9" s="340" customFormat="1" ht="12.75">
      <c r="A71" s="349" t="str">
        <f>报表格式!L69</f>
        <v xml:space="preserve">        （三）应付普通股股利（应付利润）</v>
      </c>
      <c r="B71" s="348">
        <v>65</v>
      </c>
      <c r="C71" s="480">
        <f>已审横向PL!C71</f>
        <v>0</v>
      </c>
      <c r="D71" s="451" t="str">
        <f t="shared" si="0"/>
        <v/>
      </c>
      <c r="E71" s="480">
        <f>已审横向PL!D71</f>
        <v>0</v>
      </c>
      <c r="F71" s="451" t="str">
        <f t="shared" si="1"/>
        <v/>
      </c>
      <c r="G71" s="446" t="str">
        <f t="shared" si="3"/>
        <v/>
      </c>
      <c r="H71" s="447" t="str">
        <f t="shared" si="2"/>
        <v/>
      </c>
      <c r="I71" s="870"/>
    </row>
    <row r="72" spans="1:9" s="340" customFormat="1" ht="12.75">
      <c r="A72" s="349" t="str">
        <f>报表格式!L70</f>
        <v xml:space="preserve">        （四）转作资本（股本）的普通股股利</v>
      </c>
      <c r="B72" s="348">
        <v>66</v>
      </c>
      <c r="C72" s="480">
        <f>已审横向PL!C72</f>
        <v>0</v>
      </c>
      <c r="D72" s="451" t="str">
        <f t="shared" si="0"/>
        <v/>
      </c>
      <c r="E72" s="480">
        <f>已审横向PL!D72</f>
        <v>0</v>
      </c>
      <c r="F72" s="451" t="str">
        <f t="shared" si="1"/>
        <v/>
      </c>
      <c r="G72" s="446" t="str">
        <f t="shared" si="3"/>
        <v/>
      </c>
      <c r="H72" s="447" t="str">
        <f t="shared" si="2"/>
        <v/>
      </c>
      <c r="I72" s="870"/>
    </row>
    <row r="73" spans="1:9">
      <c r="A73" s="349" t="str">
        <f>报表格式!L71</f>
        <v xml:space="preserve">        （五）其他</v>
      </c>
      <c r="B73" s="348">
        <v>67</v>
      </c>
      <c r="C73" s="480">
        <f>已审横向PL!C73</f>
        <v>0</v>
      </c>
      <c r="D73" s="453" t="str">
        <f t="shared" si="0"/>
        <v/>
      </c>
      <c r="E73" s="480">
        <f>已审横向PL!D73</f>
        <v>0</v>
      </c>
      <c r="F73" s="453" t="str">
        <f t="shared" si="1"/>
        <v/>
      </c>
      <c r="G73" s="450" t="str">
        <f t="shared" si="3"/>
        <v/>
      </c>
      <c r="H73" s="449" t="str">
        <f t="shared" si="2"/>
        <v/>
      </c>
      <c r="I73" s="871"/>
    </row>
    <row r="74" spans="1:9">
      <c r="A74" s="350" t="str">
        <f>报表格式!L72</f>
        <v>九、未分配利润</v>
      </c>
      <c r="B74" s="351">
        <v>68</v>
      </c>
      <c r="C74" s="604">
        <f>C68-C69-C70-C71-C72-C73</f>
        <v>0</v>
      </c>
      <c r="D74" s="612" t="str">
        <f>IF(AND(C74&lt;&gt;0,$C$7&lt;&gt;0),C74/$C$7,"")</f>
        <v/>
      </c>
      <c r="E74" s="604">
        <f>审定PL!C73</f>
        <v>0</v>
      </c>
      <c r="F74" s="612" t="str">
        <f>IF(AND(E74&lt;&gt;0,$E$7&lt;&gt;0),E74/$E$7,"")</f>
        <v/>
      </c>
      <c r="G74" s="613" t="str">
        <f>IF(AND(D74="",F74=""),"",IF(D74="",F74,IF(F74="",-D74,F74-D74)))</f>
        <v/>
      </c>
      <c r="H74" s="482" t="str">
        <f>IF(G74="","",IF(ABS(G74)&gt;=30%,"显著",IF(ABS(G74)&gt;=10%,"关注","")))</f>
        <v/>
      </c>
      <c r="I74" s="872"/>
    </row>
    <row r="75" spans="1:9" ht="15" thickBot="1">
      <c r="A75" s="352" t="str">
        <f>报表格式!L73</f>
        <v xml:space="preserve">    其中：应由以后年度税前利润弥补的亏损（以“+”号填列）</v>
      </c>
      <c r="B75" s="353">
        <v>69</v>
      </c>
      <c r="C75" s="481">
        <f>审定PL!E74</f>
        <v>0</v>
      </c>
      <c r="D75" s="492" t="str">
        <f>IF(AND(C75&lt;&gt;0,$C$7&lt;&gt;0),C75/$C$7,"")</f>
        <v/>
      </c>
      <c r="E75" s="481">
        <f>审定PL!C74</f>
        <v>0</v>
      </c>
      <c r="F75" s="492" t="str">
        <f>IF(AND(E75&lt;&gt;0,$E$7&lt;&gt;0),E75/$E$7,"")</f>
        <v/>
      </c>
      <c r="G75" s="483" t="str">
        <f>IF(AND(D75="",F75=""),"",IF(D75="",F75,IF(F75="",-D75,F75-D75)))</f>
        <v/>
      </c>
      <c r="H75" s="484" t="str">
        <f>IF(G75="","",IF(ABS(G75)&gt;=30%,"显著",IF(ABS(G75)&gt;=10%,"关注","")))</f>
        <v/>
      </c>
      <c r="I75" s="873"/>
    </row>
    <row r="78" spans="1:9">
      <c r="G78" s="341"/>
    </row>
    <row r="79" spans="1:9">
      <c r="G79" s="342"/>
    </row>
  </sheetData>
  <sheetProtection insertRows="0"/>
  <mergeCells count="8">
    <mergeCell ref="A4:A6"/>
    <mergeCell ref="B4:B6"/>
    <mergeCell ref="A1:I1"/>
    <mergeCell ref="H4:H6"/>
    <mergeCell ref="I4:I6"/>
    <mergeCell ref="C4:D4"/>
    <mergeCell ref="E4:F4"/>
    <mergeCell ref="G4:G5"/>
  </mergeCells>
  <phoneticPr fontId="3" type="noConversion"/>
  <conditionalFormatting sqref="I8">
    <cfRule type="cellIs" dxfId="12" priority="1" stopIfTrue="1" operator="equal">
      <formula>"异常"</formula>
    </cfRule>
  </conditionalFormatting>
  <conditionalFormatting sqref="H7:H75">
    <cfRule type="cellIs" dxfId="11" priority="2" stopIfTrue="1" operator="equal">
      <formula>"显著"</formula>
    </cfRule>
  </conditionalFormatting>
  <printOptions horizontalCentered="1"/>
  <pageMargins left="0.63" right="0.23622047244094491" top="0.34" bottom="0.25" header="0.2" footer="0.2"/>
  <pageSetup paperSize="9" scale="75" orientation="portrait" blackAndWhite="1"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tabColor indexed="39"/>
  </sheetPr>
  <dimension ref="A1:P399"/>
  <sheetViews>
    <sheetView showZeros="0" workbookViewId="0">
      <pane xSplit="2" ySplit="6" topLeftCell="C7" activePane="bottomRight" state="frozen"/>
      <selection pane="topRight" activeCell="C1" sqref="C1"/>
      <selection pane="bottomLeft" activeCell="A7" sqref="A7"/>
      <selection pane="bottomRight" sqref="A1:J1"/>
    </sheetView>
  </sheetViews>
  <sheetFormatPr defaultRowHeight="11.25"/>
  <cols>
    <col min="1" max="1" width="18.75" style="381" customWidth="1"/>
    <col min="2" max="2" width="41.375" style="411" customWidth="1"/>
    <col min="3" max="3" width="12.25" style="385" customWidth="1"/>
    <col min="4" max="4" width="11" style="385" customWidth="1"/>
    <col min="5" max="5" width="7.375" style="381" customWidth="1"/>
    <col min="6" max="6" width="10.75" style="385" customWidth="1"/>
    <col min="7" max="7" width="11.25" style="385" customWidth="1"/>
    <col min="8" max="8" width="7.25" style="381" customWidth="1"/>
    <col min="9" max="9" width="6.875" style="381" customWidth="1"/>
    <col min="10" max="10" width="9.875" style="381" customWidth="1"/>
    <col min="11" max="11" width="6.875" style="381" customWidth="1"/>
    <col min="12" max="16384" width="9" style="381"/>
  </cols>
  <sheetData>
    <row r="1" spans="1:16" ht="18.75">
      <c r="A1" s="1003" t="s">
        <v>785</v>
      </c>
      <c r="B1" s="1003"/>
      <c r="C1" s="1003"/>
      <c r="D1" s="1003"/>
      <c r="E1" s="1003"/>
      <c r="F1" s="1003"/>
      <c r="G1" s="1003"/>
      <c r="H1" s="1003"/>
      <c r="I1" s="1003"/>
      <c r="J1" s="1003"/>
    </row>
    <row r="2" spans="1:16" s="372" customFormat="1" ht="16.5">
      <c r="A2" s="371" t="str">
        <f>CONCATENATE("客户名称：",参数!D3)</f>
        <v>客户名称：</v>
      </c>
      <c r="B2" s="403"/>
      <c r="C2" s="373" t="str">
        <f>CONCATENATE("编制：",参数!D17)</f>
        <v>编制：</v>
      </c>
      <c r="F2" s="371" t="str">
        <f>CONCATENATE("复核：",参数!D18)</f>
        <v>复核：</v>
      </c>
      <c r="I2" s="373" t="s">
        <v>616</v>
      </c>
      <c r="J2" s="374"/>
      <c r="K2" s="375"/>
      <c r="N2" s="376"/>
      <c r="O2" s="377"/>
      <c r="P2" s="235"/>
    </row>
    <row r="3" spans="1:16" s="372" customFormat="1" ht="14.25" thickBot="1">
      <c r="A3" s="374" t="str">
        <f>CONCATENATE("会计期间：",TEXT(参数!D10,"yyyy.mm.dd"))</f>
        <v>会计期间：2007年度</v>
      </c>
      <c r="B3" s="403"/>
      <c r="C3" s="378" t="str">
        <f ca="1">CONCATENATE("日期：",TEXT(NOW(),"yyyy.mm.dd"))</f>
        <v>日期：2023.08.14</v>
      </c>
      <c r="F3" s="373" t="s">
        <v>268</v>
      </c>
      <c r="I3" s="373" t="s">
        <v>617</v>
      </c>
      <c r="J3" s="374"/>
      <c r="K3" s="374"/>
      <c r="N3" s="376"/>
      <c r="O3" s="377"/>
      <c r="P3" s="235"/>
    </row>
    <row r="4" spans="1:16" s="400" customFormat="1" ht="12" customHeight="1">
      <c r="A4" s="1009" t="s">
        <v>630</v>
      </c>
      <c r="B4" s="1011" t="s">
        <v>681</v>
      </c>
      <c r="C4" s="1004" t="str">
        <f>CONCATENATE(参数!D9,"已审数")</f>
        <v>2006年度已审数</v>
      </c>
      <c r="D4" s="1004"/>
      <c r="E4" s="1004"/>
      <c r="F4" s="1004" t="str">
        <f>CONCATENATE(参数!D10,"已审数")</f>
        <v>2007年度已审数</v>
      </c>
      <c r="G4" s="1004"/>
      <c r="H4" s="1004"/>
      <c r="I4" s="1005" t="s">
        <v>633</v>
      </c>
      <c r="J4" s="1007" t="s">
        <v>634</v>
      </c>
    </row>
    <row r="5" spans="1:16" s="400" customFormat="1" ht="12" customHeight="1">
      <c r="A5" s="1010"/>
      <c r="B5" s="1012"/>
      <c r="C5" s="402" t="s">
        <v>631</v>
      </c>
      <c r="D5" s="402" t="s">
        <v>632</v>
      </c>
      <c r="E5" s="401" t="s">
        <v>680</v>
      </c>
      <c r="F5" s="402" t="s">
        <v>631</v>
      </c>
      <c r="G5" s="402" t="s">
        <v>632</v>
      </c>
      <c r="H5" s="401" t="s">
        <v>680</v>
      </c>
      <c r="I5" s="1006"/>
      <c r="J5" s="1008"/>
    </row>
    <row r="6" spans="1:16" ht="12.75" customHeight="1">
      <c r="A6" s="393" t="s">
        <v>635</v>
      </c>
      <c r="B6" s="404"/>
      <c r="C6" s="394"/>
      <c r="D6" s="394"/>
      <c r="E6" s="395"/>
      <c r="F6" s="394"/>
      <c r="G6" s="394"/>
      <c r="H6" s="395"/>
      <c r="I6" s="395"/>
      <c r="J6" s="396"/>
      <c r="K6" s="380"/>
    </row>
    <row r="7" spans="1:16" ht="12" customHeight="1">
      <c r="A7" s="386" t="s">
        <v>636</v>
      </c>
      <c r="B7" s="405" t="s">
        <v>686</v>
      </c>
      <c r="C7" s="493">
        <f>(审定PL!E49+审定PL!E26-审定PL!E27)/参数!I11*12</f>
        <v>0</v>
      </c>
      <c r="D7" s="493">
        <f>('审定BS(上期)'!C97+'审定BS(上期)'!E97)/2+('审定BS(上期)'!C122+'审定BS(上期)'!E122)/2</f>
        <v>0</v>
      </c>
      <c r="E7" s="494">
        <f t="shared" ref="E7:E14" si="0">IF(D7=0,0,C7/D7)</f>
        <v>0</v>
      </c>
      <c r="F7" s="493">
        <f>(审定PL!C49+审定PL!C26-审定PL!C27)/参数!I12*12</f>
        <v>0</v>
      </c>
      <c r="G7" s="493">
        <f>(审定BS!C99+审定BS!E99)/2+(审定BS!C122+审定BS!E122)/2</f>
        <v>0</v>
      </c>
      <c r="H7" s="494">
        <f t="shared" ref="H7:H14" si="1">IF(G7=0,0,F7/G7)</f>
        <v>0</v>
      </c>
      <c r="I7" s="494">
        <f t="shared" ref="I7:I14" si="2">IF(E7=0,0,(H7-E7)/E7)</f>
        <v>0</v>
      </c>
      <c r="J7" s="387" t="str">
        <f t="shared" ref="J7:J14" si="3">IF(ABS(I7)&lt;20%,"",IF(ABS(I7)&lt;50%,"关注","显著"))</f>
        <v/>
      </c>
      <c r="K7" s="380"/>
    </row>
    <row r="8" spans="1:16" ht="12" customHeight="1">
      <c r="A8" s="388" t="s">
        <v>637</v>
      </c>
      <c r="B8" s="405" t="s">
        <v>777</v>
      </c>
      <c r="C8" s="493">
        <f>审定PL!E53/参数!I11*12</f>
        <v>0</v>
      </c>
      <c r="D8" s="493">
        <f>审定BS!E106</f>
        <v>0</v>
      </c>
      <c r="E8" s="494">
        <f t="shared" si="0"/>
        <v>0</v>
      </c>
      <c r="F8" s="493">
        <f>审定PL!C53/参数!I12*12</f>
        <v>0</v>
      </c>
      <c r="G8" s="493">
        <f>审定BS!C106</f>
        <v>0</v>
      </c>
      <c r="H8" s="494">
        <f t="shared" si="1"/>
        <v>0</v>
      </c>
      <c r="I8" s="494">
        <f t="shared" si="2"/>
        <v>0</v>
      </c>
      <c r="J8" s="387" t="str">
        <f t="shared" si="3"/>
        <v/>
      </c>
      <c r="K8" s="380"/>
    </row>
    <row r="9" spans="1:16" ht="12" customHeight="1">
      <c r="A9" s="386" t="s">
        <v>638</v>
      </c>
      <c r="B9" s="405" t="s">
        <v>778</v>
      </c>
      <c r="C9" s="493">
        <f>审定PL!E53/参数!I11*12</f>
        <v>0</v>
      </c>
      <c r="D9" s="493">
        <f>('审定BS(上期)'!C122+'审定BS(上期)'!E122)/2</f>
        <v>0</v>
      </c>
      <c r="E9" s="494">
        <f t="shared" si="0"/>
        <v>0</v>
      </c>
      <c r="F9" s="493">
        <f>审定PL!C53/参数!I12*12</f>
        <v>0</v>
      </c>
      <c r="G9" s="493">
        <f>(审定BS!C124+审定BS!E124)/2</f>
        <v>0</v>
      </c>
      <c r="H9" s="494">
        <f t="shared" si="1"/>
        <v>0</v>
      </c>
      <c r="I9" s="494">
        <f t="shared" si="2"/>
        <v>0</v>
      </c>
      <c r="J9" s="387" t="str">
        <f t="shared" si="3"/>
        <v/>
      </c>
      <c r="K9" s="380"/>
    </row>
    <row r="10" spans="1:16" ht="12" customHeight="1">
      <c r="A10" s="386" t="s">
        <v>687</v>
      </c>
      <c r="B10" s="405" t="s">
        <v>779</v>
      </c>
      <c r="C10" s="493">
        <f>(审定PL!E49+审定PL!E26-审定PL!E27)/参数!I11*12</f>
        <v>0</v>
      </c>
      <c r="D10" s="493">
        <f>('审定BS(上期)'!C61+'审定BS(上期)'!E61)/2</f>
        <v>0</v>
      </c>
      <c r="E10" s="494">
        <f t="shared" si="0"/>
        <v>0</v>
      </c>
      <c r="F10" s="493">
        <f>(审定PL!C49+审定PL!C26-审定PL!C27)/参数!I12*12</f>
        <v>0</v>
      </c>
      <c r="G10" s="493">
        <f>(审定BS!C62+审定BS!E62)/2</f>
        <v>0</v>
      </c>
      <c r="H10" s="494">
        <f t="shared" si="1"/>
        <v>0</v>
      </c>
      <c r="I10" s="494">
        <f t="shared" si="2"/>
        <v>0</v>
      </c>
      <c r="J10" s="387" t="str">
        <f t="shared" si="3"/>
        <v/>
      </c>
      <c r="K10" s="380"/>
    </row>
    <row r="11" spans="1:16" ht="12" customHeight="1">
      <c r="A11" s="386" t="s">
        <v>639</v>
      </c>
      <c r="B11" s="405" t="s">
        <v>772</v>
      </c>
      <c r="C11" s="493">
        <f>审定PL!E10-审定PL!E11</f>
        <v>0</v>
      </c>
      <c r="D11" s="493">
        <f>审定PL!E10</f>
        <v>0</v>
      </c>
      <c r="E11" s="494">
        <f t="shared" si="0"/>
        <v>0</v>
      </c>
      <c r="F11" s="493">
        <f>审定PL!C10-审定PL!C11</f>
        <v>0</v>
      </c>
      <c r="G11" s="493">
        <f>审定PL!C10</f>
        <v>0</v>
      </c>
      <c r="H11" s="494">
        <f t="shared" si="1"/>
        <v>0</v>
      </c>
      <c r="I11" s="494">
        <f t="shared" si="2"/>
        <v>0</v>
      </c>
      <c r="J11" s="387" t="str">
        <f t="shared" si="3"/>
        <v/>
      </c>
      <c r="K11" s="380"/>
    </row>
    <row r="12" spans="1:16" ht="12" customHeight="1">
      <c r="A12" s="386" t="s">
        <v>640</v>
      </c>
      <c r="B12" s="405" t="s">
        <v>771</v>
      </c>
      <c r="C12" s="493">
        <f>审定PL!E49+审定PL!E26-审定PL!E27</f>
        <v>0</v>
      </c>
      <c r="D12" s="493">
        <f>审定PL!E10</f>
        <v>0</v>
      </c>
      <c r="E12" s="494">
        <f t="shared" si="0"/>
        <v>0</v>
      </c>
      <c r="F12" s="493">
        <f>审定PL!C30+审定PL!C26-审定PL!C27</f>
        <v>0</v>
      </c>
      <c r="G12" s="493">
        <f>审定PL!C10</f>
        <v>0</v>
      </c>
      <c r="H12" s="494">
        <f t="shared" si="1"/>
        <v>0</v>
      </c>
      <c r="I12" s="494">
        <f t="shared" si="2"/>
        <v>0</v>
      </c>
      <c r="J12" s="387" t="str">
        <f t="shared" si="3"/>
        <v/>
      </c>
      <c r="K12" s="380"/>
    </row>
    <row r="13" spans="1:16" ht="12" customHeight="1">
      <c r="A13" s="386" t="s">
        <v>641</v>
      </c>
      <c r="B13" s="405" t="s">
        <v>773</v>
      </c>
      <c r="C13" s="493">
        <f>审定PL!E53</f>
        <v>0</v>
      </c>
      <c r="D13" s="493">
        <f>审定PL!E10</f>
        <v>0</v>
      </c>
      <c r="E13" s="494">
        <f t="shared" si="0"/>
        <v>0</v>
      </c>
      <c r="F13" s="493">
        <f>审定PL!C53</f>
        <v>0</v>
      </c>
      <c r="G13" s="493">
        <f>审定PL!C10</f>
        <v>0</v>
      </c>
      <c r="H13" s="494">
        <f t="shared" si="1"/>
        <v>0</v>
      </c>
      <c r="I13" s="494">
        <f t="shared" si="2"/>
        <v>0</v>
      </c>
      <c r="J13" s="387" t="str">
        <f t="shared" si="3"/>
        <v/>
      </c>
      <c r="K13" s="380"/>
    </row>
    <row r="14" spans="1:16" ht="12" customHeight="1">
      <c r="A14" s="386" t="s">
        <v>642</v>
      </c>
      <c r="B14" s="405" t="s">
        <v>643</v>
      </c>
      <c r="C14" s="493">
        <f>审定PL!E30</f>
        <v>0</v>
      </c>
      <c r="D14" s="493">
        <f>审定PL!E11+审定PL!E21+审定PL!E22+审定PL!E25</f>
        <v>0</v>
      </c>
      <c r="E14" s="494">
        <f t="shared" si="0"/>
        <v>0</v>
      </c>
      <c r="F14" s="493">
        <f>审定PL!C30</f>
        <v>0</v>
      </c>
      <c r="G14" s="493">
        <f>审定PL!C11+审定PL!C21+审定PL!C22+审定PL!C25</f>
        <v>0</v>
      </c>
      <c r="H14" s="494">
        <f t="shared" si="1"/>
        <v>0</v>
      </c>
      <c r="I14" s="494">
        <f t="shared" si="2"/>
        <v>0</v>
      </c>
      <c r="J14" s="387" t="str">
        <f t="shared" si="3"/>
        <v/>
      </c>
      <c r="K14" s="380"/>
    </row>
    <row r="15" spans="1:16" ht="12" customHeight="1">
      <c r="A15" s="397" t="s">
        <v>644</v>
      </c>
      <c r="B15" s="406"/>
      <c r="C15" s="495"/>
      <c r="D15" s="495"/>
      <c r="E15" s="496"/>
      <c r="F15" s="495"/>
      <c r="G15" s="495"/>
      <c r="H15" s="496"/>
      <c r="I15" s="496"/>
      <c r="J15" s="398"/>
      <c r="K15" s="380"/>
    </row>
    <row r="16" spans="1:16" ht="12" customHeight="1">
      <c r="A16" s="386" t="s">
        <v>645</v>
      </c>
      <c r="B16" s="405" t="s">
        <v>646</v>
      </c>
      <c r="C16" s="493">
        <f>审定BS!E27</f>
        <v>0</v>
      </c>
      <c r="D16" s="493">
        <f>审定BS!E89</f>
        <v>0</v>
      </c>
      <c r="E16" s="494">
        <f>IF(D16=0,0,C16/D16)</f>
        <v>0</v>
      </c>
      <c r="F16" s="493">
        <f>审定BS!C27</f>
        <v>0</v>
      </c>
      <c r="G16" s="493">
        <f>审定BS!C89</f>
        <v>0</v>
      </c>
      <c r="H16" s="494">
        <f>IF(G16=0,0,F16/G16)</f>
        <v>0</v>
      </c>
      <c r="I16" s="494">
        <f>IF(E16=0,0,(H16-E16)/E16)</f>
        <v>0</v>
      </c>
      <c r="J16" s="387" t="str">
        <f>IF(AND(H16=0,I16=0),"",IF(AND(ABS(I16)&lt;20%,H16&gt;=1.6),"",IF(OR(ABS(I16)&gt;=50%,H16&lt;=1),"显著","关注")))</f>
        <v/>
      </c>
      <c r="K16" s="380"/>
    </row>
    <row r="17" spans="1:11" ht="12" customHeight="1">
      <c r="A17" s="386" t="s">
        <v>647</v>
      </c>
      <c r="B17" s="405" t="s">
        <v>648</v>
      </c>
      <c r="C17" s="493">
        <f>审定BS!E27-审定BS!E18-审定BS!E21-审定BS!E22-审定BS!E24-审定BS!E25-审定BS!E26</f>
        <v>0</v>
      </c>
      <c r="D17" s="493">
        <f>审定BS!E89</f>
        <v>0</v>
      </c>
      <c r="E17" s="494">
        <f>IF(D17=0,0,C17/D17)</f>
        <v>0</v>
      </c>
      <c r="F17" s="493">
        <f>审定BS!C18-审定BS!C21-审定BS!C22-审定BS!C25-审定BS!C26-审定BS!C24</f>
        <v>0</v>
      </c>
      <c r="G17" s="493">
        <f>审定BS!C89</f>
        <v>0</v>
      </c>
      <c r="H17" s="494">
        <f>IF(G17=0,0,F17/G17)</f>
        <v>0</v>
      </c>
      <c r="I17" s="494">
        <f>IF(E17=0,0,(H17-E17)/E17)</f>
        <v>0</v>
      </c>
      <c r="J17" s="387" t="str">
        <f>IF(AND(H17=0,I17=0),"",IF(AND(ABS(I17)&lt;20%,H17&gt;=0.8),"",IF(OR(ABS(I17)&gt;=50%,H17&lt;=0.5),"显著","关注")))</f>
        <v/>
      </c>
      <c r="K17" s="380"/>
    </row>
    <row r="18" spans="1:11" ht="12" customHeight="1">
      <c r="A18" s="386" t="s">
        <v>649</v>
      </c>
      <c r="B18" s="405" t="s">
        <v>650</v>
      </c>
      <c r="C18" s="493">
        <f>审定BS!E7+审定BS!E8</f>
        <v>0</v>
      </c>
      <c r="D18" s="493">
        <f>审定BS!E89</f>
        <v>0</v>
      </c>
      <c r="E18" s="494">
        <f>IF(D18=0,0,C18/D18)</f>
        <v>0</v>
      </c>
      <c r="F18" s="493">
        <f>审定BS!C7+审定BS!C8</f>
        <v>0</v>
      </c>
      <c r="G18" s="493">
        <f>审定BS!C89</f>
        <v>0</v>
      </c>
      <c r="H18" s="494">
        <f>IF(G18=0,0,F18/G18)</f>
        <v>0</v>
      </c>
      <c r="I18" s="494">
        <f>IF(E18=0,0,(H18-E18)/E18)</f>
        <v>0</v>
      </c>
      <c r="J18" s="387" t="str">
        <f>IF(AND(H18=0,I18=0),"",IF(AND(ABS(I18)&lt;20%,H18&gt;=0.24),"",IF(OR(ABS(I18)&gt;=50%,H18&lt;=0.15),"显著","关注")))</f>
        <v/>
      </c>
      <c r="K18" s="380"/>
    </row>
    <row r="19" spans="1:11" ht="12" customHeight="1">
      <c r="A19" s="397" t="s">
        <v>651</v>
      </c>
      <c r="B19" s="407"/>
      <c r="C19" s="495"/>
      <c r="D19" s="495"/>
      <c r="E19" s="496"/>
      <c r="F19" s="495"/>
      <c r="G19" s="495"/>
      <c r="H19" s="496"/>
      <c r="I19" s="496"/>
      <c r="J19" s="398" t="str">
        <f>IF(ABS(I19)&lt;20%,"",IF(ABS(I19)&lt;50%,"关注","异常"))</f>
        <v/>
      </c>
      <c r="K19" s="380"/>
    </row>
    <row r="20" spans="1:11" ht="12" customHeight="1">
      <c r="A20" s="386" t="s">
        <v>652</v>
      </c>
      <c r="B20" s="405" t="s">
        <v>653</v>
      </c>
      <c r="C20" s="493">
        <f>审定BS!E102</f>
        <v>0</v>
      </c>
      <c r="D20" s="493">
        <f>审定BS!E62</f>
        <v>0</v>
      </c>
      <c r="E20" s="494">
        <f t="shared" ref="E20:E26" si="4">IF(D20=0,0,C20/D20)</f>
        <v>0</v>
      </c>
      <c r="F20" s="493">
        <f>审定BS!C102</f>
        <v>0</v>
      </c>
      <c r="G20" s="493">
        <f>审定BS!C62</f>
        <v>0</v>
      </c>
      <c r="H20" s="494">
        <f t="shared" ref="H20:H26" si="5">IF(G20=0,0,F20/G20)</f>
        <v>0</v>
      </c>
      <c r="I20" s="494">
        <f t="shared" ref="I20:I26" si="6">IF(E20=0,0,(H20-E20)/E20)</f>
        <v>0</v>
      </c>
      <c r="J20" s="387" t="str">
        <f>IF(AND(ABS(I20)&lt;20%,H20&lt;=60%),"",IF(OR(ABS(I20)&gt;=50%,H20&gt;=90%),"显著","关注"))</f>
        <v/>
      </c>
      <c r="K20" s="380"/>
    </row>
    <row r="21" spans="1:11" ht="12" customHeight="1">
      <c r="A21" s="386" t="s">
        <v>654</v>
      </c>
      <c r="B21" s="405" t="s">
        <v>655</v>
      </c>
      <c r="C21" s="493">
        <f>审定BS!E102</f>
        <v>0</v>
      </c>
      <c r="D21" s="493">
        <f>审定BS!E124</f>
        <v>0</v>
      </c>
      <c r="E21" s="494">
        <f t="shared" si="4"/>
        <v>0</v>
      </c>
      <c r="F21" s="493">
        <f>审定BS!C102</f>
        <v>0</v>
      </c>
      <c r="G21" s="493">
        <f>审定BS!C124</f>
        <v>0</v>
      </c>
      <c r="H21" s="494">
        <f t="shared" si="5"/>
        <v>0</v>
      </c>
      <c r="I21" s="494">
        <f t="shared" si="6"/>
        <v>0</v>
      </c>
      <c r="J21" s="387" t="str">
        <f>IF(AND(ABS(I21)&lt;20%,H21&lt;=100%),"",IF(OR(ABS(I21)&gt;=50%,H21&gt;=150%),"显著","关注"))</f>
        <v/>
      </c>
      <c r="K21" s="380"/>
    </row>
    <row r="22" spans="1:11" ht="12" customHeight="1">
      <c r="A22" s="386" t="s">
        <v>656</v>
      </c>
      <c r="B22" s="405" t="s">
        <v>657</v>
      </c>
      <c r="C22" s="493">
        <f>审定BS!E102</f>
        <v>0</v>
      </c>
      <c r="D22" s="493">
        <f>审定BS!E124-审定BS!E58-审定BS!E44</f>
        <v>0</v>
      </c>
      <c r="E22" s="494">
        <f t="shared" si="4"/>
        <v>0</v>
      </c>
      <c r="F22" s="493">
        <f>审定BS!C102</f>
        <v>0</v>
      </c>
      <c r="G22" s="493">
        <f>审定BS!C124-审定BS!C58-审定BS!C44</f>
        <v>0</v>
      </c>
      <c r="H22" s="494">
        <f t="shared" si="5"/>
        <v>0</v>
      </c>
      <c r="I22" s="494">
        <f t="shared" si="6"/>
        <v>0</v>
      </c>
      <c r="J22" s="387" t="str">
        <f>IF(AND(ABS(I22)&lt;20%,H22&lt;=150%),"",IF(OR(ABS(I22)&gt;=50%,H22&gt;=200%),"显著","关注"))</f>
        <v/>
      </c>
      <c r="K22" s="380"/>
    </row>
    <row r="23" spans="1:11" ht="12" customHeight="1">
      <c r="A23" s="386" t="s">
        <v>658</v>
      </c>
      <c r="B23" s="405" t="s">
        <v>774</v>
      </c>
      <c r="C23" s="493">
        <f>审定PL!E49+审定PL!E26</f>
        <v>0</v>
      </c>
      <c r="D23" s="493">
        <f>审定PL!E26</f>
        <v>0</v>
      </c>
      <c r="E23" s="494">
        <f t="shared" si="4"/>
        <v>0</v>
      </c>
      <c r="F23" s="493">
        <f>审定PL!C49+审定PL!C26</f>
        <v>0</v>
      </c>
      <c r="G23" s="493">
        <f>审定PL!C26</f>
        <v>0</v>
      </c>
      <c r="H23" s="494">
        <f t="shared" si="5"/>
        <v>0</v>
      </c>
      <c r="I23" s="494">
        <f t="shared" si="6"/>
        <v>0</v>
      </c>
      <c r="J23" s="387" t="str">
        <f>IF(AND(H23=0,I23=0),"",IF(AND(ABS(I23)&lt;20%,H23&gt;=100%),"",IF(OR(ABS(I23)&gt;=50%,H23&lt;=50%),"显著","关注")))</f>
        <v/>
      </c>
      <c r="K23" s="380"/>
    </row>
    <row r="24" spans="1:11" ht="12" customHeight="1">
      <c r="A24" s="386" t="s">
        <v>659</v>
      </c>
      <c r="B24" s="405" t="s">
        <v>660</v>
      </c>
      <c r="C24" s="493">
        <f>审定BS!E27-审定BS!E89</f>
        <v>0</v>
      </c>
      <c r="D24" s="493">
        <f>审定BS!E99</f>
        <v>0</v>
      </c>
      <c r="E24" s="494">
        <f t="shared" si="4"/>
        <v>0</v>
      </c>
      <c r="F24" s="493">
        <f>审定BS!C27-审定BS!C89</f>
        <v>0</v>
      </c>
      <c r="G24" s="493">
        <f>审定BS!C99</f>
        <v>0</v>
      </c>
      <c r="H24" s="494">
        <f t="shared" si="5"/>
        <v>0</v>
      </c>
      <c r="I24" s="494">
        <f t="shared" si="6"/>
        <v>0</v>
      </c>
      <c r="J24" s="387" t="str">
        <f>IF(AND(H24=0,I24=0),"",IF(AND(ABS(I24)&lt;20%,H24&gt;=100%),"",IF(OR(ABS(I24)&gt;=50%,H24&lt;=50%),"显著","关注")))</f>
        <v/>
      </c>
      <c r="K24" s="380"/>
    </row>
    <row r="25" spans="1:11" ht="12" customHeight="1">
      <c r="A25" s="386" t="s">
        <v>661</v>
      </c>
      <c r="B25" s="405" t="s">
        <v>662</v>
      </c>
      <c r="C25" s="493">
        <f>审定BS!E99</f>
        <v>0</v>
      </c>
      <c r="D25" s="493">
        <f>审定BS!E102</f>
        <v>0</v>
      </c>
      <c r="E25" s="494">
        <f t="shared" si="4"/>
        <v>0</v>
      </c>
      <c r="F25" s="493">
        <f>审定BS!C99</f>
        <v>0</v>
      </c>
      <c r="G25" s="493">
        <f>审定BS!C102</f>
        <v>0</v>
      </c>
      <c r="H25" s="494">
        <f t="shared" si="5"/>
        <v>0</v>
      </c>
      <c r="I25" s="494">
        <f t="shared" si="6"/>
        <v>0</v>
      </c>
      <c r="J25" s="387" t="str">
        <f>IF(ABS(I25)&lt;20%,"",IF(ABS(I25)&lt;50%,"关注","显著"))</f>
        <v/>
      </c>
      <c r="K25" s="380"/>
    </row>
    <row r="26" spans="1:11" ht="12" customHeight="1">
      <c r="A26" s="386" t="s">
        <v>663</v>
      </c>
      <c r="B26" s="405" t="s">
        <v>776</v>
      </c>
      <c r="C26" s="493">
        <f>审定BS!E89+审定PL!E73</f>
        <v>0</v>
      </c>
      <c r="D26" s="493">
        <f>审定BS!E102+审定BS!E124</f>
        <v>0</v>
      </c>
      <c r="E26" s="494">
        <f t="shared" si="4"/>
        <v>0</v>
      </c>
      <c r="F26" s="493">
        <f>审定BS!C89+审定PL!C73</f>
        <v>0</v>
      </c>
      <c r="G26" s="493">
        <f>审定BS!C102+审定BS!C124</f>
        <v>0</v>
      </c>
      <c r="H26" s="494">
        <f t="shared" si="5"/>
        <v>0</v>
      </c>
      <c r="I26" s="494">
        <f t="shared" si="6"/>
        <v>0</v>
      </c>
      <c r="J26" s="387" t="str">
        <f>IF(AND(H26=0,I26=0),"",IF(AND(ABS(I26)&lt;20%,H26&gt;=50%),"",IF(OR(ABS(I26)&gt;=50%,H26&lt;=30%),"显著","关注")))</f>
        <v/>
      </c>
      <c r="K26" s="380"/>
    </row>
    <row r="27" spans="1:11" ht="12" customHeight="1">
      <c r="A27" s="397" t="s">
        <v>688</v>
      </c>
      <c r="B27" s="406"/>
      <c r="C27" s="495"/>
      <c r="D27" s="495"/>
      <c r="E27" s="496"/>
      <c r="F27" s="495"/>
      <c r="G27" s="495"/>
      <c r="H27" s="496"/>
      <c r="I27" s="496"/>
      <c r="J27" s="398"/>
      <c r="K27" s="380"/>
    </row>
    <row r="28" spans="1:11" ht="12" customHeight="1">
      <c r="A28" s="386" t="s">
        <v>664</v>
      </c>
      <c r="B28" s="405" t="s">
        <v>682</v>
      </c>
      <c r="C28" s="493">
        <f>审定PL!E10/参数!I11*12</f>
        <v>0</v>
      </c>
      <c r="D28" s="493">
        <f>('审定BS(上期)'!C61+'审定BS(上期)'!E61)/2</f>
        <v>0</v>
      </c>
      <c r="E28" s="494">
        <f>IF(D28=0,0,C28/D28)</f>
        <v>0</v>
      </c>
      <c r="F28" s="493">
        <f>审定PL!C10/参数!I12*12</f>
        <v>0</v>
      </c>
      <c r="G28" s="493">
        <f>(审定BS!C62+审定BS!E62)/2</f>
        <v>0</v>
      </c>
      <c r="H28" s="494">
        <f>IF(G28=0,0,F28/G28)</f>
        <v>0</v>
      </c>
      <c r="I28" s="494">
        <f t="shared" ref="I28:I33" si="7">IF(E28=0,0,(H28-E28)/E28)</f>
        <v>0</v>
      </c>
      <c r="J28" s="387" t="str">
        <f t="shared" ref="J28:J33" si="8">IF(ABS(I28)&lt;20%,"",IF(ABS(I28)&lt;50%,"关注","显著"))</f>
        <v/>
      </c>
      <c r="K28" s="380"/>
    </row>
    <row r="29" spans="1:11" ht="12" customHeight="1">
      <c r="A29" s="386" t="s">
        <v>665</v>
      </c>
      <c r="B29" s="405" t="s">
        <v>683</v>
      </c>
      <c r="C29" s="493">
        <f>审定PL!E10/参数!I11*12</f>
        <v>0</v>
      </c>
      <c r="D29" s="493">
        <f>('审定BS(上期)'!C46+'审定BS(上期)'!E46)/2</f>
        <v>0</v>
      </c>
      <c r="E29" s="494">
        <f>IF(D29=0,0,C29/D29)</f>
        <v>0</v>
      </c>
      <c r="F29" s="493">
        <f>审定PL!C10/参数!I12*12</f>
        <v>0</v>
      </c>
      <c r="G29" s="493">
        <f>(审定BS!C40+审定BS!E40)/2</f>
        <v>0</v>
      </c>
      <c r="H29" s="494">
        <f>IF(G29=0,0,F29/G29)</f>
        <v>0</v>
      </c>
      <c r="I29" s="494">
        <f t="shared" si="7"/>
        <v>0</v>
      </c>
      <c r="J29" s="387" t="str">
        <f t="shared" si="8"/>
        <v/>
      </c>
      <c r="K29" s="380"/>
    </row>
    <row r="30" spans="1:11" ht="12" customHeight="1">
      <c r="A30" s="386" t="s">
        <v>666</v>
      </c>
      <c r="B30" s="405" t="s">
        <v>1031</v>
      </c>
      <c r="C30" s="493">
        <f>审定PL!E10/参数!I11*12</f>
        <v>0</v>
      </c>
      <c r="D30" s="493">
        <f>('审定BS(上期)'!C26+'审定BS(上期)'!E26)/2</f>
        <v>0</v>
      </c>
      <c r="E30" s="494">
        <f>IF(D30=0,0,C30/D30)</f>
        <v>0</v>
      </c>
      <c r="F30" s="493">
        <f>审定PL!C10/参数!I12*12</f>
        <v>0</v>
      </c>
      <c r="G30" s="493">
        <f>(审定BS!C27+审定BS!E27)/2</f>
        <v>0</v>
      </c>
      <c r="H30" s="494">
        <f>IF(G30=0,0,F30/G30)</f>
        <v>0</v>
      </c>
      <c r="I30" s="494">
        <f t="shared" si="7"/>
        <v>0</v>
      </c>
      <c r="J30" s="387" t="str">
        <f t="shared" si="8"/>
        <v/>
      </c>
      <c r="K30" s="380"/>
    </row>
    <row r="31" spans="1:11" ht="12" customHeight="1">
      <c r="A31" s="386" t="s">
        <v>667</v>
      </c>
      <c r="B31" s="405" t="s">
        <v>684</v>
      </c>
      <c r="C31" s="493">
        <f>审定PL!E10/参数!I11*12</f>
        <v>0</v>
      </c>
      <c r="D31" s="493">
        <f>('审定BS(上期)'!C11+'审定BS(上期)'!E11)/2</f>
        <v>0</v>
      </c>
      <c r="E31" s="620">
        <f>IF(D31=0,0,C31/D31)</f>
        <v>0</v>
      </c>
      <c r="F31" s="493">
        <f>审定PL!C10/参数!I12*12</f>
        <v>0</v>
      </c>
      <c r="G31" s="493">
        <f>(审定BS!C12+审定BS!E12)/2</f>
        <v>0</v>
      </c>
      <c r="H31" s="620">
        <f>IF(G31=0,0,F31/G31)</f>
        <v>0</v>
      </c>
      <c r="I31" s="494">
        <f t="shared" si="7"/>
        <v>0</v>
      </c>
      <c r="J31" s="387" t="str">
        <f t="shared" si="8"/>
        <v/>
      </c>
      <c r="K31" s="380"/>
    </row>
    <row r="32" spans="1:11" ht="12" customHeight="1">
      <c r="A32" s="386" t="s">
        <v>668</v>
      </c>
      <c r="B32" s="405" t="s">
        <v>685</v>
      </c>
      <c r="C32" s="493">
        <f>审定PL!E11/参数!I11*12</f>
        <v>0</v>
      </c>
      <c r="D32" s="493">
        <f>('审定BS(上期)'!C17+'审定BS(上期)'!E17)/2</f>
        <v>0</v>
      </c>
      <c r="E32" s="620">
        <f>IF(D32=0,0,C32/D32)</f>
        <v>0</v>
      </c>
      <c r="F32" s="493">
        <f>审定PL!C11/参数!I12*12</f>
        <v>0</v>
      </c>
      <c r="G32" s="493">
        <f>(审定BS!C18+审定BS!E18)/2</f>
        <v>0</v>
      </c>
      <c r="H32" s="620">
        <f>IF(G32=0,0,F32/G32)</f>
        <v>0</v>
      </c>
      <c r="I32" s="494">
        <f t="shared" si="7"/>
        <v>0</v>
      </c>
      <c r="J32" s="387" t="str">
        <f t="shared" si="8"/>
        <v/>
      </c>
      <c r="K32" s="380"/>
    </row>
    <row r="33" spans="1:11" ht="12" customHeight="1">
      <c r="A33" s="386" t="s">
        <v>669</v>
      </c>
      <c r="B33" s="405" t="s">
        <v>670</v>
      </c>
      <c r="C33" s="493">
        <f>IF(E31&lt;&gt;0,365/E31,)</f>
        <v>0</v>
      </c>
      <c r="D33" s="493">
        <f>IF(E32&lt;&gt;0,365/E32,)</f>
        <v>0</v>
      </c>
      <c r="E33" s="497">
        <f>SUM(C33:D33)</f>
        <v>0</v>
      </c>
      <c r="F33" s="493">
        <f>IF(H31&lt;&gt;0,365/H31,)</f>
        <v>0</v>
      </c>
      <c r="G33" s="493">
        <f>IF(H32&lt;&gt;0,365/H32,)</f>
        <v>0</v>
      </c>
      <c r="H33" s="497">
        <f>SUM(F33:G33)</f>
        <v>0</v>
      </c>
      <c r="I33" s="494">
        <f t="shared" si="7"/>
        <v>0</v>
      </c>
      <c r="J33" s="387" t="str">
        <f t="shared" si="8"/>
        <v/>
      </c>
      <c r="K33" s="380"/>
    </row>
    <row r="34" spans="1:11" ht="12" customHeight="1">
      <c r="A34" s="397" t="s">
        <v>690</v>
      </c>
      <c r="B34" s="406"/>
      <c r="C34" s="495"/>
      <c r="D34" s="495"/>
      <c r="E34" s="498"/>
      <c r="F34" s="495"/>
      <c r="G34" s="495"/>
      <c r="H34" s="498"/>
      <c r="I34" s="496"/>
      <c r="J34" s="398"/>
      <c r="K34" s="380"/>
    </row>
    <row r="35" spans="1:11" ht="12" customHeight="1">
      <c r="A35" s="386" t="s">
        <v>780</v>
      </c>
      <c r="B35" s="405" t="s">
        <v>781</v>
      </c>
      <c r="C35" s="493">
        <f>审定BS!E124</f>
        <v>0</v>
      </c>
      <c r="D35" s="493">
        <f>'审定BS(上期)'!E122</f>
        <v>0</v>
      </c>
      <c r="E35" s="494">
        <f t="shared" ref="E35:E40" si="9">IF(D35=0,0,C35/D35)</f>
        <v>0</v>
      </c>
      <c r="F35" s="493">
        <f>审定BS!C124</f>
        <v>0</v>
      </c>
      <c r="G35" s="493">
        <f>审定BS!E124</f>
        <v>0</v>
      </c>
      <c r="H35" s="494">
        <f t="shared" ref="H35:H40" si="10">IF(G35=0,0,F35/G35)</f>
        <v>0</v>
      </c>
      <c r="I35" s="494">
        <f t="shared" ref="I35:I40" si="11">IF(E35=0,0,(H35-E35)/E35)</f>
        <v>0</v>
      </c>
      <c r="J35" s="387" t="str">
        <f t="shared" ref="J35:J40" si="12">IF(ABS(I35)&lt;20%,"",IF(ABS(I35)&lt;50%,"关注","显著"))</f>
        <v/>
      </c>
      <c r="K35" s="380"/>
    </row>
    <row r="36" spans="1:11" ht="12" customHeight="1">
      <c r="A36" s="386" t="s">
        <v>782</v>
      </c>
      <c r="B36" s="405" t="s">
        <v>786</v>
      </c>
      <c r="C36" s="593"/>
      <c r="D36" s="493">
        <f>('审定BS(上期)'!C61+'审定BS(上期)'!E61)/2</f>
        <v>0</v>
      </c>
      <c r="E36" s="494">
        <f t="shared" si="9"/>
        <v>0</v>
      </c>
      <c r="F36" s="593"/>
      <c r="G36" s="493">
        <f>(审定BS!C62+审定BS!E62)/2</f>
        <v>0</v>
      </c>
      <c r="H36" s="494">
        <f t="shared" si="10"/>
        <v>0</v>
      </c>
      <c r="I36" s="494">
        <f t="shared" si="11"/>
        <v>0</v>
      </c>
      <c r="J36" s="387" t="str">
        <f t="shared" si="12"/>
        <v/>
      </c>
      <c r="K36" s="380"/>
    </row>
    <row r="37" spans="1:11" ht="12" customHeight="1">
      <c r="A37" s="386" t="s">
        <v>783</v>
      </c>
      <c r="B37" s="405" t="s">
        <v>784</v>
      </c>
      <c r="C37" s="593"/>
      <c r="D37" s="493">
        <f>C36</f>
        <v>0</v>
      </c>
      <c r="E37" s="494">
        <f t="shared" si="9"/>
        <v>0</v>
      </c>
      <c r="F37" s="593"/>
      <c r="G37" s="493">
        <f>F36</f>
        <v>0</v>
      </c>
      <c r="H37" s="494">
        <f t="shared" si="10"/>
        <v>0</v>
      </c>
      <c r="I37" s="494">
        <f t="shared" si="11"/>
        <v>0</v>
      </c>
      <c r="J37" s="387" t="str">
        <f t="shared" si="12"/>
        <v/>
      </c>
      <c r="K37" s="380"/>
    </row>
    <row r="38" spans="1:11" ht="12" customHeight="1">
      <c r="A38" s="386" t="s">
        <v>696</v>
      </c>
      <c r="B38" s="405" t="s">
        <v>697</v>
      </c>
      <c r="C38" s="593"/>
      <c r="D38" s="493">
        <f>审定BS!E62</f>
        <v>0</v>
      </c>
      <c r="E38" s="494">
        <f t="shared" si="9"/>
        <v>0</v>
      </c>
      <c r="F38" s="593"/>
      <c r="G38" s="493">
        <f>审定BS!C62</f>
        <v>0</v>
      </c>
      <c r="H38" s="494">
        <f t="shared" si="10"/>
        <v>0</v>
      </c>
      <c r="I38" s="494">
        <f t="shared" si="11"/>
        <v>0</v>
      </c>
      <c r="J38" s="387" t="str">
        <f t="shared" si="12"/>
        <v/>
      </c>
      <c r="K38" s="380"/>
    </row>
    <row r="39" spans="1:11" ht="12" customHeight="1">
      <c r="A39" s="386" t="s">
        <v>698</v>
      </c>
      <c r="B39" s="405" t="s">
        <v>699</v>
      </c>
      <c r="C39" s="593"/>
      <c r="D39" s="493">
        <f>审定BS!E62</f>
        <v>0</v>
      </c>
      <c r="E39" s="494">
        <f t="shared" si="9"/>
        <v>0</v>
      </c>
      <c r="F39" s="593"/>
      <c r="G39" s="493">
        <f>审定BS!C62</f>
        <v>0</v>
      </c>
      <c r="H39" s="494">
        <f t="shared" si="10"/>
        <v>0</v>
      </c>
      <c r="I39" s="494">
        <f t="shared" si="11"/>
        <v>0</v>
      </c>
      <c r="J39" s="387" t="str">
        <f t="shared" si="12"/>
        <v/>
      </c>
      <c r="K39" s="380"/>
    </row>
    <row r="40" spans="1:11" ht="12" customHeight="1">
      <c r="A40" s="386" t="s">
        <v>700</v>
      </c>
      <c r="B40" s="405" t="s">
        <v>701</v>
      </c>
      <c r="C40" s="493">
        <f>('审定BS(上期)'!C39+'审定BS(上期)'!E39)/2</f>
        <v>0</v>
      </c>
      <c r="D40" s="493">
        <f>('审定BS(上期)'!C35+'审定BS(上期)'!E35)/2</f>
        <v>0</v>
      </c>
      <c r="E40" s="494">
        <f t="shared" si="9"/>
        <v>0</v>
      </c>
      <c r="F40" s="493">
        <f>(审定BS!C40+审定BS!E40)/2</f>
        <v>0</v>
      </c>
      <c r="G40" s="493">
        <f>(审定BS!C36+审定BS!E36)/2</f>
        <v>0</v>
      </c>
      <c r="H40" s="494">
        <f t="shared" si="10"/>
        <v>0</v>
      </c>
      <c r="I40" s="494">
        <f t="shared" si="11"/>
        <v>0</v>
      </c>
      <c r="J40" s="387" t="str">
        <f t="shared" si="12"/>
        <v/>
      </c>
      <c r="K40" s="380"/>
    </row>
    <row r="41" spans="1:11" ht="12" customHeight="1">
      <c r="A41" s="399" t="s">
        <v>689</v>
      </c>
      <c r="B41" s="406"/>
      <c r="C41" s="495"/>
      <c r="D41" s="495"/>
      <c r="E41" s="499"/>
      <c r="F41" s="495"/>
      <c r="G41" s="495"/>
      <c r="H41" s="496"/>
      <c r="I41" s="496"/>
      <c r="J41" s="398"/>
      <c r="K41" s="380"/>
    </row>
    <row r="42" spans="1:11" ht="12" customHeight="1">
      <c r="A42" s="388" t="s">
        <v>671</v>
      </c>
      <c r="B42" s="405" t="s">
        <v>672</v>
      </c>
      <c r="C42" s="493">
        <f>'审定CF(上期)'!C16</f>
        <v>0</v>
      </c>
      <c r="D42" s="493">
        <f>审定BS!E89</f>
        <v>0</v>
      </c>
      <c r="E42" s="494">
        <f>IF(D42=0,0,C42/D42)</f>
        <v>0</v>
      </c>
      <c r="F42" s="493">
        <f>审定CF!C16</f>
        <v>0</v>
      </c>
      <c r="G42" s="493">
        <f>审定BS!C89</f>
        <v>0</v>
      </c>
      <c r="H42" s="494">
        <f>IF(G42=0,0,F42/G42)</f>
        <v>0</v>
      </c>
      <c r="I42" s="494">
        <f>IF(E42=0,0,(H42-E42)/E42)</f>
        <v>0</v>
      </c>
      <c r="J42" s="387" t="str">
        <f>IF(ABS(I42)&lt;20%,"",IF(ABS(I42)&lt;50%,"关注","显著"))</f>
        <v/>
      </c>
      <c r="K42" s="380"/>
    </row>
    <row r="43" spans="1:11" ht="12" customHeight="1">
      <c r="A43" s="388" t="s">
        <v>673</v>
      </c>
      <c r="B43" s="405" t="s">
        <v>674</v>
      </c>
      <c r="C43" s="493">
        <f>'审定CF(上期)'!C16</f>
        <v>0</v>
      </c>
      <c r="D43" s="493">
        <f>审定BS!E102</f>
        <v>0</v>
      </c>
      <c r="E43" s="494">
        <f>IF(D43=0,0,C43/D43)</f>
        <v>0</v>
      </c>
      <c r="F43" s="493">
        <f>审定CF!C16</f>
        <v>0</v>
      </c>
      <c r="G43" s="493">
        <f>审定BS!C102</f>
        <v>0</v>
      </c>
      <c r="H43" s="494">
        <f>IF(G43=0,0,F43/G43)</f>
        <v>0</v>
      </c>
      <c r="I43" s="494">
        <f>IF(E43=0,0,(H43-E43)/E43)</f>
        <v>0</v>
      </c>
      <c r="J43" s="387" t="str">
        <f>IF(ABS(I43)&lt;20%,"",IF(ABS(I43)&lt;50%,"关注","显著"))</f>
        <v/>
      </c>
      <c r="K43" s="380"/>
    </row>
    <row r="44" spans="1:11" ht="12" customHeight="1">
      <c r="A44" s="389" t="s">
        <v>675</v>
      </c>
      <c r="B44" s="408" t="s">
        <v>676</v>
      </c>
      <c r="C44" s="500">
        <f>'审定CF(上期)'!C16</f>
        <v>0</v>
      </c>
      <c r="D44" s="500">
        <f>审定PL!E53</f>
        <v>0</v>
      </c>
      <c r="E44" s="501">
        <f>IF(D44=0,0,C44/D44)</f>
        <v>0</v>
      </c>
      <c r="F44" s="502">
        <f>审定CF!C16</f>
        <v>0</v>
      </c>
      <c r="G44" s="502">
        <f>审定PL!C53</f>
        <v>0</v>
      </c>
      <c r="H44" s="501">
        <f>IF(G44=0,0,F44/G44)</f>
        <v>0</v>
      </c>
      <c r="I44" s="501">
        <f>IF(E44=0,0,(H44-E44)/E44)</f>
        <v>0</v>
      </c>
      <c r="J44" s="390" t="str">
        <f>IF(ABS(I44)&lt;20%,"",IF(ABS(I44)&lt;50%,"关注","显著"))</f>
        <v/>
      </c>
      <c r="K44" s="380"/>
    </row>
    <row r="45" spans="1:11" ht="14.25" thickBot="1">
      <c r="A45" s="391" t="s">
        <v>677</v>
      </c>
      <c r="B45" s="409" t="s">
        <v>775</v>
      </c>
      <c r="C45" s="503">
        <f>'审定CF(上期)'!C16</f>
        <v>0</v>
      </c>
      <c r="D45" s="503">
        <f>审定PL!E10</f>
        <v>0</v>
      </c>
      <c r="E45" s="504">
        <f>IF(D45=0,0,C45/D45)</f>
        <v>0</v>
      </c>
      <c r="F45" s="505">
        <f>审定CF!C16</f>
        <v>0</v>
      </c>
      <c r="G45" s="505">
        <f>审定PL!C10</f>
        <v>0</v>
      </c>
      <c r="H45" s="504">
        <f>IF(G45=0,0,F45/G45)</f>
        <v>0</v>
      </c>
      <c r="I45" s="504">
        <f>IF(E45=0,0,(H45-E45)/E45)</f>
        <v>0</v>
      </c>
      <c r="J45" s="392" t="str">
        <f>IF(ABS(I45)&lt;20%,"",IF(ABS(I45)&lt;50%,"关注","显著"))</f>
        <v/>
      </c>
      <c r="K45" s="380"/>
    </row>
    <row r="46" spans="1:11">
      <c r="A46" s="380"/>
      <c r="B46" s="410"/>
      <c r="C46" s="383"/>
      <c r="D46" s="383"/>
      <c r="E46" s="382"/>
      <c r="F46" s="383"/>
      <c r="G46" s="383"/>
      <c r="H46" s="380"/>
      <c r="I46" s="380"/>
      <c r="J46" s="380"/>
      <c r="K46" s="380"/>
    </row>
    <row r="47" spans="1:11">
      <c r="A47" s="380" t="s">
        <v>678</v>
      </c>
      <c r="B47" s="410"/>
      <c r="C47" s="383"/>
      <c r="D47" s="383"/>
      <c r="E47" s="382"/>
      <c r="F47" s="383"/>
      <c r="G47" s="383"/>
      <c r="H47" s="380"/>
      <c r="I47" s="380"/>
      <c r="J47" s="380"/>
      <c r="K47" s="380"/>
    </row>
    <row r="48" spans="1:11" ht="12">
      <c r="A48" s="384" t="s">
        <v>788</v>
      </c>
      <c r="B48" s="410"/>
      <c r="C48" s="383"/>
      <c r="D48" s="383"/>
      <c r="E48" s="382"/>
      <c r="F48" s="383"/>
      <c r="G48" s="383"/>
      <c r="H48" s="380"/>
      <c r="I48" s="380"/>
      <c r="J48" s="380"/>
      <c r="K48" s="380"/>
    </row>
    <row r="49" spans="1:11" ht="12">
      <c r="A49" s="384" t="s">
        <v>789</v>
      </c>
      <c r="B49" s="410"/>
      <c r="C49" s="383"/>
      <c r="D49" s="383"/>
      <c r="E49" s="382"/>
      <c r="F49" s="383"/>
      <c r="G49" s="383"/>
      <c r="H49" s="380"/>
      <c r="I49" s="380"/>
      <c r="J49" s="380"/>
      <c r="K49" s="380"/>
    </row>
    <row r="50" spans="1:11" ht="12">
      <c r="A50" s="384" t="s">
        <v>787</v>
      </c>
      <c r="B50" s="410"/>
      <c r="C50" s="383"/>
      <c r="D50" s="383"/>
      <c r="E50" s="382"/>
      <c r="F50" s="383"/>
      <c r="G50" s="383"/>
      <c r="H50" s="380"/>
      <c r="I50" s="380"/>
      <c r="J50" s="380"/>
      <c r="K50" s="380"/>
    </row>
    <row r="51" spans="1:11">
      <c r="A51" s="380"/>
      <c r="B51" s="410"/>
      <c r="C51" s="383"/>
      <c r="D51" s="383"/>
      <c r="E51" s="382"/>
      <c r="F51" s="383"/>
      <c r="G51" s="383"/>
      <c r="H51" s="380"/>
      <c r="I51" s="380"/>
      <c r="J51" s="380"/>
      <c r="K51" s="380"/>
    </row>
    <row r="52" spans="1:11">
      <c r="A52" s="380"/>
      <c r="B52" s="410"/>
      <c r="C52" s="383"/>
      <c r="D52" s="383"/>
      <c r="E52" s="382"/>
      <c r="F52" s="383"/>
      <c r="G52" s="383"/>
      <c r="H52" s="380"/>
      <c r="I52" s="380"/>
      <c r="J52" s="380"/>
      <c r="K52" s="380"/>
    </row>
    <row r="53" spans="1:11">
      <c r="A53" s="380"/>
      <c r="B53" s="410"/>
      <c r="C53" s="383"/>
      <c r="D53" s="383"/>
      <c r="E53" s="382"/>
      <c r="F53" s="383"/>
      <c r="G53" s="383"/>
      <c r="H53" s="380"/>
      <c r="I53" s="380"/>
      <c r="J53" s="380"/>
      <c r="K53" s="380"/>
    </row>
    <row r="54" spans="1:11">
      <c r="A54" s="380"/>
      <c r="B54" s="410"/>
      <c r="C54" s="383"/>
      <c r="D54" s="383"/>
      <c r="E54" s="382"/>
      <c r="F54" s="383"/>
      <c r="G54" s="383"/>
      <c r="H54" s="380"/>
      <c r="I54" s="380"/>
      <c r="J54" s="380"/>
      <c r="K54" s="380"/>
    </row>
    <row r="55" spans="1:11">
      <c r="A55" s="380"/>
      <c r="B55" s="410"/>
      <c r="C55" s="383"/>
      <c r="D55" s="383"/>
      <c r="E55" s="382"/>
      <c r="F55" s="383"/>
      <c r="G55" s="383"/>
      <c r="H55" s="380"/>
      <c r="I55" s="380"/>
      <c r="J55" s="380"/>
      <c r="K55" s="380"/>
    </row>
    <row r="56" spans="1:11">
      <c r="A56" s="380"/>
      <c r="B56" s="410"/>
      <c r="C56" s="383"/>
      <c r="D56" s="383"/>
      <c r="E56" s="382"/>
      <c r="F56" s="383"/>
      <c r="G56" s="383"/>
      <c r="H56" s="380"/>
      <c r="I56" s="380"/>
      <c r="J56" s="380"/>
      <c r="K56" s="380"/>
    </row>
    <row r="57" spans="1:11">
      <c r="A57" s="380"/>
      <c r="B57" s="410"/>
      <c r="C57" s="383"/>
      <c r="D57" s="383"/>
      <c r="E57" s="382"/>
      <c r="F57" s="383"/>
      <c r="G57" s="383"/>
      <c r="H57" s="380"/>
      <c r="I57" s="380"/>
      <c r="J57" s="380"/>
      <c r="K57" s="380"/>
    </row>
    <row r="58" spans="1:11">
      <c r="A58" s="380"/>
      <c r="B58" s="410"/>
      <c r="C58" s="383"/>
      <c r="D58" s="383"/>
      <c r="E58" s="382"/>
      <c r="F58" s="383"/>
      <c r="G58" s="383"/>
      <c r="H58" s="380"/>
      <c r="I58" s="380"/>
      <c r="J58" s="380"/>
      <c r="K58" s="380"/>
    </row>
    <row r="59" spans="1:11">
      <c r="A59" s="380"/>
      <c r="B59" s="410"/>
      <c r="C59" s="383"/>
      <c r="D59" s="383"/>
      <c r="E59" s="382"/>
      <c r="F59" s="383"/>
      <c r="G59" s="383"/>
      <c r="H59" s="380"/>
      <c r="I59" s="380"/>
      <c r="J59" s="380"/>
      <c r="K59" s="380"/>
    </row>
    <row r="60" spans="1:11">
      <c r="A60" s="380"/>
      <c r="B60" s="410"/>
      <c r="C60" s="383"/>
      <c r="D60" s="383"/>
      <c r="E60" s="382"/>
      <c r="F60" s="383"/>
      <c r="G60" s="383"/>
      <c r="H60" s="380"/>
      <c r="I60" s="380"/>
      <c r="J60" s="380"/>
      <c r="K60" s="380"/>
    </row>
    <row r="61" spans="1:11">
      <c r="A61" s="380"/>
      <c r="B61" s="410"/>
      <c r="C61" s="383"/>
      <c r="D61" s="383"/>
      <c r="E61" s="382"/>
      <c r="F61" s="383"/>
      <c r="G61" s="383"/>
      <c r="H61" s="380"/>
      <c r="I61" s="380"/>
      <c r="J61" s="380"/>
      <c r="K61" s="380"/>
    </row>
    <row r="62" spans="1:11">
      <c r="A62" s="380"/>
      <c r="B62" s="410"/>
      <c r="C62" s="383"/>
      <c r="D62" s="383"/>
      <c r="E62" s="382"/>
      <c r="F62" s="383"/>
      <c r="G62" s="383"/>
      <c r="H62" s="380"/>
      <c r="I62" s="380"/>
      <c r="J62" s="380"/>
      <c r="K62" s="380"/>
    </row>
    <row r="63" spans="1:11">
      <c r="A63" s="380"/>
      <c r="B63" s="410"/>
      <c r="C63" s="383"/>
      <c r="D63" s="383"/>
      <c r="E63" s="382"/>
      <c r="F63" s="383"/>
      <c r="G63" s="383"/>
      <c r="H63" s="380"/>
      <c r="I63" s="380"/>
      <c r="J63" s="380"/>
      <c r="K63" s="380"/>
    </row>
    <row r="64" spans="1:11">
      <c r="A64" s="380"/>
      <c r="B64" s="410"/>
      <c r="C64" s="383"/>
      <c r="D64" s="383"/>
      <c r="E64" s="382"/>
      <c r="F64" s="383"/>
      <c r="G64" s="383"/>
      <c r="H64" s="380"/>
      <c r="I64" s="380"/>
      <c r="J64" s="380"/>
      <c r="K64" s="380"/>
    </row>
    <row r="65" spans="1:11">
      <c r="A65" s="380"/>
      <c r="B65" s="410"/>
      <c r="C65" s="383"/>
      <c r="D65" s="383"/>
      <c r="E65" s="382"/>
      <c r="F65" s="383"/>
      <c r="G65" s="383"/>
      <c r="H65" s="380"/>
      <c r="I65" s="380"/>
      <c r="J65" s="380"/>
      <c r="K65" s="380"/>
    </row>
    <row r="66" spans="1:11">
      <c r="A66" s="380"/>
      <c r="B66" s="410"/>
      <c r="C66" s="383"/>
      <c r="D66" s="383"/>
      <c r="E66" s="382"/>
      <c r="F66" s="383"/>
      <c r="G66" s="383"/>
      <c r="H66" s="380"/>
      <c r="I66" s="380"/>
      <c r="J66" s="380"/>
      <c r="K66" s="380"/>
    </row>
    <row r="67" spans="1:11">
      <c r="A67" s="380"/>
      <c r="B67" s="410"/>
      <c r="C67" s="383"/>
      <c r="D67" s="383"/>
      <c r="E67" s="382"/>
      <c r="F67" s="383"/>
      <c r="G67" s="383"/>
      <c r="H67" s="380"/>
      <c r="I67" s="380"/>
      <c r="J67" s="380"/>
      <c r="K67" s="380"/>
    </row>
    <row r="68" spans="1:11">
      <c r="A68" s="380"/>
      <c r="B68" s="410"/>
      <c r="C68" s="383"/>
      <c r="D68" s="383"/>
      <c r="E68" s="382"/>
      <c r="F68" s="383"/>
      <c r="G68" s="383"/>
      <c r="H68" s="380"/>
      <c r="I68" s="380"/>
      <c r="J68" s="380"/>
      <c r="K68" s="380"/>
    </row>
    <row r="69" spans="1:11">
      <c r="A69" s="380"/>
      <c r="B69" s="410"/>
      <c r="C69" s="383"/>
      <c r="D69" s="383"/>
      <c r="E69" s="382"/>
      <c r="F69" s="383"/>
      <c r="G69" s="383"/>
      <c r="H69" s="380"/>
      <c r="I69" s="380"/>
      <c r="J69" s="380"/>
      <c r="K69" s="380"/>
    </row>
    <row r="70" spans="1:11">
      <c r="A70" s="380"/>
      <c r="B70" s="410"/>
      <c r="C70" s="383"/>
      <c r="D70" s="383"/>
      <c r="E70" s="382"/>
      <c r="F70" s="383"/>
      <c r="G70" s="383"/>
      <c r="H70" s="380"/>
      <c r="I70" s="380"/>
      <c r="J70" s="380"/>
      <c r="K70" s="380"/>
    </row>
    <row r="71" spans="1:11">
      <c r="A71" s="380"/>
      <c r="B71" s="410"/>
      <c r="C71" s="383"/>
      <c r="D71" s="383"/>
      <c r="E71" s="382"/>
      <c r="F71" s="383"/>
      <c r="G71" s="383"/>
      <c r="H71" s="380"/>
      <c r="I71" s="380"/>
      <c r="J71" s="380"/>
      <c r="K71" s="380"/>
    </row>
    <row r="72" spans="1:11">
      <c r="A72" s="380"/>
      <c r="B72" s="410"/>
      <c r="C72" s="383"/>
      <c r="D72" s="383"/>
      <c r="E72" s="382"/>
      <c r="F72" s="383"/>
      <c r="G72" s="383"/>
      <c r="H72" s="380"/>
      <c r="I72" s="380"/>
      <c r="J72" s="380"/>
      <c r="K72" s="380"/>
    </row>
    <row r="73" spans="1:11">
      <c r="A73" s="380"/>
      <c r="B73" s="410"/>
      <c r="C73" s="383"/>
      <c r="D73" s="383"/>
      <c r="E73" s="382"/>
      <c r="F73" s="383"/>
      <c r="G73" s="383"/>
      <c r="H73" s="380"/>
      <c r="I73" s="380"/>
      <c r="J73" s="380"/>
      <c r="K73" s="380"/>
    </row>
    <row r="74" spans="1:11">
      <c r="A74" s="380"/>
      <c r="B74" s="410"/>
      <c r="C74" s="383"/>
      <c r="D74" s="383"/>
      <c r="E74" s="382"/>
      <c r="F74" s="383"/>
      <c r="G74" s="383"/>
      <c r="H74" s="380"/>
      <c r="I74" s="380"/>
      <c r="J74" s="380"/>
      <c r="K74" s="380"/>
    </row>
    <row r="75" spans="1:11">
      <c r="A75" s="380"/>
      <c r="B75" s="410"/>
      <c r="C75" s="383"/>
      <c r="D75" s="383"/>
      <c r="E75" s="382"/>
      <c r="F75" s="383"/>
      <c r="G75" s="383"/>
      <c r="H75" s="380"/>
      <c r="I75" s="380"/>
      <c r="J75" s="380"/>
      <c r="K75" s="380"/>
    </row>
    <row r="76" spans="1:11">
      <c r="A76" s="380"/>
      <c r="B76" s="410"/>
      <c r="C76" s="383"/>
      <c r="D76" s="383"/>
      <c r="E76" s="382"/>
      <c r="F76" s="383"/>
      <c r="G76" s="383"/>
      <c r="H76" s="380"/>
      <c r="I76" s="380"/>
      <c r="J76" s="380"/>
      <c r="K76" s="380"/>
    </row>
    <row r="77" spans="1:11">
      <c r="A77" s="380"/>
      <c r="B77" s="410"/>
      <c r="C77" s="383"/>
      <c r="D77" s="383"/>
      <c r="E77" s="382"/>
      <c r="F77" s="383"/>
      <c r="G77" s="383"/>
      <c r="H77" s="380"/>
      <c r="I77" s="380"/>
      <c r="J77" s="380"/>
      <c r="K77" s="380"/>
    </row>
    <row r="78" spans="1:11">
      <c r="A78" s="380"/>
      <c r="B78" s="410"/>
      <c r="C78" s="383"/>
      <c r="D78" s="383"/>
      <c r="E78" s="382"/>
      <c r="F78" s="383"/>
      <c r="G78" s="383"/>
      <c r="H78" s="380"/>
      <c r="I78" s="380"/>
      <c r="J78" s="380"/>
      <c r="K78" s="380"/>
    </row>
    <row r="79" spans="1:11">
      <c r="A79" s="380"/>
      <c r="B79" s="410"/>
      <c r="C79" s="383"/>
      <c r="D79" s="383"/>
      <c r="E79" s="382"/>
      <c r="F79" s="383"/>
      <c r="G79" s="383"/>
      <c r="H79" s="380"/>
      <c r="I79" s="380"/>
      <c r="J79" s="380"/>
      <c r="K79" s="380"/>
    </row>
    <row r="80" spans="1:11">
      <c r="A80" s="380"/>
      <c r="B80" s="410"/>
      <c r="C80" s="383"/>
      <c r="D80" s="383"/>
      <c r="E80" s="382"/>
      <c r="F80" s="383"/>
      <c r="G80" s="383"/>
      <c r="H80" s="380"/>
      <c r="I80" s="380"/>
      <c r="J80" s="380"/>
      <c r="K80" s="380"/>
    </row>
    <row r="81" spans="1:11">
      <c r="A81" s="380"/>
      <c r="B81" s="410"/>
      <c r="C81" s="383"/>
      <c r="D81" s="383"/>
      <c r="E81" s="382"/>
      <c r="F81" s="383"/>
      <c r="G81" s="383"/>
      <c r="H81" s="380"/>
      <c r="I81" s="380"/>
      <c r="J81" s="380"/>
      <c r="K81" s="380"/>
    </row>
    <row r="82" spans="1:11">
      <c r="A82" s="380"/>
      <c r="B82" s="410"/>
      <c r="C82" s="383"/>
      <c r="D82" s="383"/>
      <c r="E82" s="382"/>
      <c r="F82" s="383"/>
      <c r="G82" s="383"/>
      <c r="H82" s="380"/>
      <c r="I82" s="380"/>
      <c r="J82" s="380"/>
      <c r="K82" s="380"/>
    </row>
    <row r="83" spans="1:11">
      <c r="A83" s="380"/>
      <c r="B83" s="410"/>
      <c r="C83" s="383"/>
      <c r="D83" s="383"/>
      <c r="E83" s="382"/>
      <c r="F83" s="383"/>
      <c r="G83" s="383"/>
      <c r="H83" s="380"/>
      <c r="I83" s="380"/>
      <c r="J83" s="380"/>
      <c r="K83" s="380"/>
    </row>
    <row r="84" spans="1:11">
      <c r="A84" s="380"/>
      <c r="B84" s="410"/>
      <c r="C84" s="383"/>
      <c r="D84" s="383"/>
      <c r="E84" s="382"/>
      <c r="F84" s="383"/>
      <c r="G84" s="383"/>
      <c r="H84" s="380"/>
      <c r="I84" s="380"/>
      <c r="J84" s="380"/>
      <c r="K84" s="380"/>
    </row>
    <row r="85" spans="1:11">
      <c r="A85" s="380"/>
      <c r="B85" s="410"/>
      <c r="C85" s="383"/>
      <c r="D85" s="383"/>
      <c r="E85" s="382"/>
      <c r="F85" s="383"/>
      <c r="G85" s="383"/>
      <c r="H85" s="380"/>
      <c r="I85" s="380"/>
      <c r="J85" s="380"/>
      <c r="K85" s="380"/>
    </row>
    <row r="86" spans="1:11">
      <c r="A86" s="380"/>
      <c r="B86" s="410"/>
      <c r="C86" s="383"/>
      <c r="D86" s="383"/>
      <c r="E86" s="382"/>
      <c r="F86" s="383"/>
      <c r="G86" s="383"/>
      <c r="H86" s="380"/>
      <c r="I86" s="380"/>
      <c r="J86" s="380"/>
      <c r="K86" s="380"/>
    </row>
    <row r="87" spans="1:11">
      <c r="A87" s="380"/>
      <c r="B87" s="410"/>
      <c r="C87" s="383"/>
      <c r="D87" s="383"/>
      <c r="E87" s="382"/>
      <c r="F87" s="383"/>
      <c r="G87" s="383"/>
      <c r="H87" s="380"/>
      <c r="I87" s="380"/>
      <c r="J87" s="380"/>
      <c r="K87" s="380"/>
    </row>
    <row r="88" spans="1:11">
      <c r="A88" s="380"/>
      <c r="B88" s="410"/>
      <c r="C88" s="383"/>
      <c r="D88" s="383"/>
      <c r="E88" s="382"/>
      <c r="F88" s="383"/>
      <c r="G88" s="383"/>
      <c r="H88" s="380"/>
      <c r="I88" s="380"/>
      <c r="J88" s="380"/>
      <c r="K88" s="380"/>
    </row>
    <row r="89" spans="1:11">
      <c r="A89" s="380"/>
      <c r="B89" s="410"/>
      <c r="C89" s="383"/>
      <c r="D89" s="383"/>
      <c r="E89" s="382"/>
      <c r="F89" s="383"/>
      <c r="G89" s="383"/>
      <c r="H89" s="380"/>
      <c r="I89" s="380"/>
      <c r="J89" s="380"/>
      <c r="K89" s="380"/>
    </row>
    <row r="90" spans="1:11">
      <c r="A90" s="380"/>
      <c r="B90" s="410"/>
      <c r="C90" s="383"/>
      <c r="D90" s="383"/>
      <c r="E90" s="382"/>
      <c r="F90" s="383"/>
      <c r="G90" s="383"/>
      <c r="H90" s="380"/>
      <c r="I90" s="380"/>
      <c r="J90" s="380"/>
      <c r="K90" s="380"/>
    </row>
    <row r="91" spans="1:11">
      <c r="A91" s="380"/>
      <c r="B91" s="410"/>
      <c r="C91" s="383"/>
      <c r="D91" s="383"/>
      <c r="E91" s="382"/>
      <c r="F91" s="383"/>
      <c r="G91" s="383"/>
      <c r="H91" s="380"/>
      <c r="I91" s="380"/>
      <c r="J91" s="380"/>
      <c r="K91" s="380"/>
    </row>
    <row r="92" spans="1:11">
      <c r="A92" s="380"/>
      <c r="B92" s="410"/>
      <c r="C92" s="383"/>
      <c r="D92" s="383"/>
      <c r="E92" s="382"/>
      <c r="F92" s="383"/>
      <c r="G92" s="383"/>
      <c r="H92" s="380"/>
      <c r="I92" s="380"/>
      <c r="J92" s="380"/>
      <c r="K92" s="380"/>
    </row>
    <row r="93" spans="1:11">
      <c r="A93" s="380"/>
      <c r="B93" s="410"/>
      <c r="C93" s="383"/>
      <c r="D93" s="383"/>
      <c r="E93" s="382"/>
      <c r="F93" s="383"/>
      <c r="G93" s="383"/>
      <c r="H93" s="380"/>
      <c r="I93" s="380"/>
      <c r="J93" s="380"/>
      <c r="K93" s="380"/>
    </row>
    <row r="94" spans="1:11">
      <c r="A94" s="380"/>
      <c r="B94" s="410"/>
      <c r="C94" s="383"/>
      <c r="D94" s="383"/>
      <c r="E94" s="382"/>
      <c r="F94" s="383"/>
      <c r="G94" s="383"/>
      <c r="H94" s="380"/>
      <c r="I94" s="380"/>
      <c r="J94" s="380"/>
      <c r="K94" s="380"/>
    </row>
    <row r="95" spans="1:11">
      <c r="A95" s="380"/>
      <c r="B95" s="410"/>
      <c r="C95" s="383"/>
      <c r="D95" s="383"/>
      <c r="E95" s="382"/>
      <c r="F95" s="383"/>
      <c r="G95" s="383"/>
      <c r="H95" s="380"/>
      <c r="I95" s="380"/>
      <c r="J95" s="380"/>
      <c r="K95" s="380"/>
    </row>
    <row r="96" spans="1:11">
      <c r="A96" s="380"/>
      <c r="B96" s="410"/>
      <c r="C96" s="383"/>
      <c r="D96" s="383"/>
      <c r="E96" s="382"/>
      <c r="F96" s="383"/>
      <c r="G96" s="383"/>
      <c r="H96" s="380"/>
      <c r="I96" s="380"/>
      <c r="J96" s="380"/>
      <c r="K96" s="380"/>
    </row>
    <row r="97" spans="1:11">
      <c r="A97" s="380"/>
      <c r="B97" s="410"/>
      <c r="C97" s="383"/>
      <c r="D97" s="383"/>
      <c r="E97" s="382"/>
      <c r="F97" s="383"/>
      <c r="G97" s="383"/>
      <c r="H97" s="380"/>
      <c r="I97" s="380"/>
      <c r="J97" s="380"/>
      <c r="K97" s="380"/>
    </row>
    <row r="98" spans="1:11">
      <c r="A98" s="380"/>
      <c r="B98" s="410"/>
      <c r="C98" s="383"/>
      <c r="D98" s="383"/>
      <c r="E98" s="382"/>
      <c r="F98" s="383"/>
      <c r="G98" s="383"/>
      <c r="H98" s="380"/>
      <c r="I98" s="380"/>
      <c r="J98" s="380"/>
      <c r="K98" s="380"/>
    </row>
    <row r="99" spans="1:11">
      <c r="A99" s="380"/>
      <c r="B99" s="410"/>
      <c r="C99" s="383"/>
      <c r="D99" s="383"/>
      <c r="E99" s="382"/>
      <c r="F99" s="383"/>
      <c r="G99" s="383"/>
      <c r="H99" s="380"/>
      <c r="I99" s="380"/>
      <c r="J99" s="380"/>
      <c r="K99" s="380"/>
    </row>
    <row r="100" spans="1:11">
      <c r="A100" s="380"/>
      <c r="B100" s="410"/>
      <c r="C100" s="383"/>
      <c r="D100" s="383"/>
      <c r="E100" s="382"/>
      <c r="F100" s="383"/>
      <c r="G100" s="383"/>
      <c r="H100" s="380"/>
      <c r="I100" s="380"/>
      <c r="J100" s="380"/>
      <c r="K100" s="380"/>
    </row>
    <row r="101" spans="1:11">
      <c r="A101" s="380"/>
      <c r="B101" s="410"/>
      <c r="C101" s="383"/>
      <c r="D101" s="383"/>
      <c r="E101" s="382"/>
      <c r="F101" s="383"/>
      <c r="G101" s="383"/>
      <c r="H101" s="380"/>
      <c r="I101" s="380"/>
      <c r="J101" s="380"/>
      <c r="K101" s="380"/>
    </row>
    <row r="102" spans="1:11">
      <c r="A102" s="380"/>
      <c r="B102" s="410"/>
      <c r="C102" s="383"/>
      <c r="D102" s="383"/>
      <c r="E102" s="382"/>
      <c r="F102" s="383"/>
      <c r="G102" s="383"/>
      <c r="H102" s="380"/>
      <c r="I102" s="380"/>
      <c r="J102" s="380"/>
      <c r="K102" s="380"/>
    </row>
    <row r="103" spans="1:11">
      <c r="A103" s="380"/>
      <c r="B103" s="410"/>
      <c r="C103" s="383"/>
      <c r="D103" s="383"/>
      <c r="E103" s="382"/>
      <c r="F103" s="383"/>
      <c r="G103" s="383"/>
      <c r="H103" s="380"/>
      <c r="I103" s="380"/>
      <c r="J103" s="380"/>
      <c r="K103" s="380"/>
    </row>
    <row r="104" spans="1:11">
      <c r="A104" s="380"/>
      <c r="B104" s="410"/>
      <c r="C104" s="383"/>
      <c r="D104" s="383"/>
      <c r="E104" s="382"/>
      <c r="F104" s="383"/>
      <c r="G104" s="383"/>
      <c r="H104" s="380"/>
      <c r="I104" s="380"/>
      <c r="J104" s="380"/>
      <c r="K104" s="380"/>
    </row>
    <row r="105" spans="1:11">
      <c r="A105" s="380"/>
      <c r="B105" s="410"/>
      <c r="C105" s="383"/>
      <c r="D105" s="383"/>
      <c r="E105" s="382"/>
      <c r="F105" s="383"/>
      <c r="G105" s="383"/>
      <c r="H105" s="380"/>
      <c r="I105" s="380"/>
      <c r="J105" s="380"/>
      <c r="K105" s="380"/>
    </row>
    <row r="106" spans="1:11">
      <c r="A106" s="380"/>
      <c r="B106" s="410"/>
      <c r="C106" s="383"/>
      <c r="D106" s="383"/>
      <c r="E106" s="382"/>
      <c r="F106" s="383"/>
      <c r="G106" s="383"/>
      <c r="H106" s="380"/>
      <c r="I106" s="380"/>
      <c r="J106" s="380"/>
      <c r="K106" s="380"/>
    </row>
    <row r="107" spans="1:11">
      <c r="A107" s="380"/>
      <c r="B107" s="410"/>
      <c r="C107" s="383"/>
      <c r="D107" s="383"/>
      <c r="E107" s="382"/>
      <c r="F107" s="383"/>
      <c r="G107" s="383"/>
      <c r="H107" s="380"/>
      <c r="I107" s="380"/>
      <c r="J107" s="380"/>
      <c r="K107" s="380"/>
    </row>
    <row r="108" spans="1:11">
      <c r="A108" s="380"/>
      <c r="B108" s="410"/>
      <c r="C108" s="383"/>
      <c r="D108" s="383"/>
      <c r="E108" s="382"/>
      <c r="F108" s="383"/>
      <c r="G108" s="383"/>
      <c r="H108" s="380"/>
      <c r="I108" s="380"/>
      <c r="J108" s="380"/>
      <c r="K108" s="380"/>
    </row>
    <row r="109" spans="1:11">
      <c r="A109" s="380"/>
      <c r="B109" s="410"/>
      <c r="C109" s="383"/>
      <c r="D109" s="383"/>
      <c r="E109" s="382"/>
      <c r="F109" s="383"/>
      <c r="G109" s="383"/>
      <c r="H109" s="380"/>
      <c r="I109" s="380"/>
      <c r="J109" s="380"/>
      <c r="K109" s="380"/>
    </row>
    <row r="110" spans="1:11">
      <c r="A110" s="380"/>
      <c r="B110" s="410"/>
      <c r="C110" s="383"/>
      <c r="D110" s="383"/>
      <c r="E110" s="382"/>
      <c r="F110" s="383"/>
      <c r="G110" s="383"/>
      <c r="H110" s="380"/>
      <c r="I110" s="380"/>
      <c r="J110" s="380"/>
      <c r="K110" s="380"/>
    </row>
    <row r="111" spans="1:11">
      <c r="A111" s="380"/>
      <c r="B111" s="410"/>
      <c r="C111" s="383"/>
      <c r="D111" s="383"/>
      <c r="E111" s="382"/>
      <c r="F111" s="383"/>
      <c r="G111" s="383"/>
      <c r="H111" s="380"/>
      <c r="I111" s="380"/>
      <c r="J111" s="380"/>
      <c r="K111" s="380"/>
    </row>
    <row r="112" spans="1:11">
      <c r="A112" s="380"/>
      <c r="B112" s="410"/>
      <c r="C112" s="383"/>
      <c r="D112" s="383"/>
      <c r="E112" s="382"/>
      <c r="F112" s="383"/>
      <c r="G112" s="383"/>
      <c r="H112" s="380"/>
      <c r="I112" s="380"/>
      <c r="J112" s="380"/>
      <c r="K112" s="380"/>
    </row>
    <row r="113" spans="1:11">
      <c r="A113" s="380"/>
      <c r="B113" s="410"/>
      <c r="C113" s="383"/>
      <c r="D113" s="383"/>
      <c r="E113" s="382"/>
      <c r="F113" s="383"/>
      <c r="G113" s="383"/>
      <c r="H113" s="380"/>
      <c r="I113" s="380"/>
      <c r="J113" s="380"/>
      <c r="K113" s="380"/>
    </row>
    <row r="114" spans="1:11">
      <c r="A114" s="380"/>
      <c r="B114" s="410"/>
      <c r="C114" s="383"/>
      <c r="D114" s="383"/>
      <c r="E114" s="382"/>
      <c r="F114" s="383"/>
      <c r="G114" s="383"/>
      <c r="H114" s="380"/>
      <c r="I114" s="380"/>
      <c r="J114" s="380"/>
      <c r="K114" s="380"/>
    </row>
    <row r="115" spans="1:11">
      <c r="A115" s="380"/>
      <c r="B115" s="410"/>
      <c r="C115" s="383"/>
      <c r="D115" s="383"/>
      <c r="E115" s="382"/>
      <c r="F115" s="383"/>
      <c r="G115" s="383"/>
      <c r="H115" s="380"/>
      <c r="I115" s="380"/>
      <c r="J115" s="380"/>
      <c r="K115" s="380"/>
    </row>
    <row r="116" spans="1:11">
      <c r="A116" s="380"/>
      <c r="B116" s="410"/>
      <c r="C116" s="383"/>
      <c r="D116" s="383"/>
      <c r="E116" s="382"/>
      <c r="F116" s="383"/>
      <c r="G116" s="383"/>
      <c r="H116" s="380"/>
      <c r="I116" s="380"/>
      <c r="J116" s="380"/>
      <c r="K116" s="380"/>
    </row>
    <row r="117" spans="1:11">
      <c r="A117" s="380"/>
      <c r="B117" s="410"/>
      <c r="C117" s="383"/>
      <c r="D117" s="383"/>
      <c r="E117" s="382"/>
      <c r="F117" s="383"/>
      <c r="G117" s="383"/>
      <c r="H117" s="380"/>
      <c r="I117" s="380"/>
      <c r="J117" s="380"/>
      <c r="K117" s="380"/>
    </row>
    <row r="118" spans="1:11">
      <c r="E118" s="382"/>
      <c r="F118" s="383"/>
      <c r="G118" s="383"/>
      <c r="H118" s="380"/>
      <c r="I118" s="380"/>
      <c r="J118" s="380"/>
    </row>
    <row r="119" spans="1:11">
      <c r="E119" s="382"/>
      <c r="F119" s="383"/>
      <c r="G119" s="383"/>
      <c r="H119" s="380"/>
      <c r="I119" s="380"/>
      <c r="J119" s="380"/>
    </row>
    <row r="120" spans="1:11">
      <c r="E120" s="382"/>
      <c r="F120" s="383"/>
      <c r="G120" s="383"/>
      <c r="H120" s="380"/>
      <c r="I120" s="380"/>
      <c r="J120" s="380"/>
    </row>
    <row r="121" spans="1:11">
      <c r="E121" s="382"/>
      <c r="F121" s="383"/>
      <c r="G121" s="383"/>
      <c r="H121" s="380"/>
      <c r="I121" s="380"/>
      <c r="J121" s="380"/>
    </row>
    <row r="122" spans="1:11">
      <c r="E122" s="382"/>
      <c r="F122" s="383"/>
      <c r="G122" s="383"/>
      <c r="H122" s="380"/>
      <c r="I122" s="380"/>
      <c r="J122" s="380"/>
    </row>
    <row r="123" spans="1:11">
      <c r="E123" s="382"/>
      <c r="F123" s="383"/>
      <c r="G123" s="383"/>
      <c r="H123" s="380"/>
      <c r="I123" s="380"/>
      <c r="J123" s="380"/>
    </row>
    <row r="124" spans="1:11">
      <c r="E124" s="382"/>
      <c r="F124" s="383"/>
      <c r="G124" s="383"/>
      <c r="H124" s="380"/>
      <c r="I124" s="380"/>
      <c r="J124" s="380"/>
    </row>
    <row r="125" spans="1:11">
      <c r="E125" s="382"/>
      <c r="F125" s="383"/>
      <c r="G125" s="383"/>
      <c r="H125" s="380"/>
      <c r="I125" s="380"/>
      <c r="J125" s="380"/>
    </row>
    <row r="126" spans="1:11">
      <c r="E126" s="382"/>
      <c r="F126" s="383"/>
      <c r="G126" s="383"/>
      <c r="H126" s="380"/>
      <c r="I126" s="380"/>
      <c r="J126" s="380"/>
    </row>
    <row r="127" spans="1:11">
      <c r="E127" s="382"/>
      <c r="F127" s="383"/>
      <c r="G127" s="383"/>
      <c r="H127" s="380"/>
      <c r="I127" s="380"/>
      <c r="J127" s="380"/>
    </row>
    <row r="128" spans="1:11">
      <c r="E128" s="382"/>
      <c r="F128" s="383"/>
      <c r="G128" s="383"/>
      <c r="H128" s="380"/>
      <c r="I128" s="380"/>
      <c r="J128" s="380"/>
    </row>
    <row r="129" spans="5:10">
      <c r="E129" s="382"/>
      <c r="F129" s="383"/>
      <c r="G129" s="383"/>
      <c r="H129" s="380"/>
      <c r="I129" s="380"/>
      <c r="J129" s="380"/>
    </row>
    <row r="130" spans="5:10">
      <c r="E130" s="382"/>
      <c r="F130" s="383"/>
      <c r="G130" s="383"/>
      <c r="H130" s="380"/>
      <c r="I130" s="380"/>
      <c r="J130" s="380"/>
    </row>
    <row r="131" spans="5:10">
      <c r="E131" s="382"/>
      <c r="F131" s="383"/>
      <c r="G131" s="383"/>
      <c r="H131" s="380"/>
      <c r="I131" s="380"/>
      <c r="J131" s="380"/>
    </row>
    <row r="132" spans="5:10">
      <c r="E132" s="382"/>
      <c r="F132" s="383"/>
      <c r="G132" s="383"/>
      <c r="H132" s="380"/>
      <c r="I132" s="380"/>
      <c r="J132" s="380"/>
    </row>
    <row r="133" spans="5:10">
      <c r="E133" s="382"/>
      <c r="F133" s="383"/>
      <c r="G133" s="383"/>
      <c r="H133" s="380"/>
      <c r="I133" s="380"/>
      <c r="J133" s="380"/>
    </row>
    <row r="134" spans="5:10">
      <c r="E134" s="382"/>
      <c r="F134" s="383"/>
      <c r="G134" s="383"/>
      <c r="H134" s="380"/>
      <c r="I134" s="380"/>
      <c r="J134" s="380"/>
    </row>
    <row r="135" spans="5:10">
      <c r="E135" s="382"/>
      <c r="F135" s="383"/>
      <c r="G135" s="383"/>
      <c r="H135" s="380"/>
      <c r="I135" s="380"/>
      <c r="J135" s="380"/>
    </row>
    <row r="136" spans="5:10">
      <c r="E136" s="382"/>
      <c r="F136" s="383"/>
      <c r="G136" s="383"/>
      <c r="H136" s="380"/>
      <c r="I136" s="380"/>
      <c r="J136" s="380"/>
    </row>
    <row r="137" spans="5:10">
      <c r="E137" s="382"/>
      <c r="F137" s="383"/>
      <c r="G137" s="383"/>
      <c r="H137" s="380"/>
      <c r="I137" s="380"/>
      <c r="J137" s="380"/>
    </row>
    <row r="138" spans="5:10">
      <c r="E138" s="382"/>
      <c r="F138" s="383"/>
      <c r="G138" s="383"/>
      <c r="H138" s="380"/>
      <c r="I138" s="380"/>
      <c r="J138" s="380"/>
    </row>
    <row r="139" spans="5:10">
      <c r="E139" s="382"/>
      <c r="F139" s="383"/>
      <c r="G139" s="383"/>
      <c r="H139" s="380"/>
      <c r="I139" s="380"/>
      <c r="J139" s="380"/>
    </row>
    <row r="140" spans="5:10">
      <c r="E140" s="382"/>
      <c r="F140" s="383"/>
      <c r="G140" s="383"/>
      <c r="H140" s="380"/>
      <c r="I140" s="380"/>
      <c r="J140" s="380"/>
    </row>
    <row r="141" spans="5:10">
      <c r="E141" s="382"/>
      <c r="F141" s="383"/>
      <c r="G141" s="383"/>
      <c r="H141" s="380"/>
      <c r="I141" s="380"/>
      <c r="J141" s="380"/>
    </row>
    <row r="142" spans="5:10">
      <c r="E142" s="382"/>
      <c r="F142" s="383"/>
      <c r="G142" s="383"/>
      <c r="H142" s="380"/>
      <c r="I142" s="380"/>
      <c r="J142" s="380"/>
    </row>
    <row r="143" spans="5:10">
      <c r="E143" s="382"/>
      <c r="F143" s="383"/>
      <c r="G143" s="383"/>
      <c r="H143" s="380"/>
      <c r="I143" s="380"/>
      <c r="J143" s="380"/>
    </row>
    <row r="144" spans="5:10">
      <c r="E144" s="382"/>
      <c r="F144" s="383"/>
      <c r="G144" s="383"/>
      <c r="H144" s="380"/>
      <c r="I144" s="380"/>
      <c r="J144" s="380"/>
    </row>
    <row r="145" spans="5:10">
      <c r="E145" s="382"/>
      <c r="F145" s="383"/>
      <c r="G145" s="383"/>
      <c r="H145" s="380"/>
      <c r="I145" s="380"/>
      <c r="J145" s="380"/>
    </row>
    <row r="146" spans="5:10">
      <c r="E146" s="382"/>
      <c r="F146" s="383"/>
      <c r="G146" s="383"/>
      <c r="H146" s="380"/>
      <c r="I146" s="380"/>
      <c r="J146" s="380"/>
    </row>
    <row r="147" spans="5:10">
      <c r="E147" s="382"/>
      <c r="F147" s="383"/>
      <c r="G147" s="383"/>
      <c r="H147" s="380"/>
      <c r="I147" s="380"/>
      <c r="J147" s="380"/>
    </row>
    <row r="148" spans="5:10">
      <c r="E148" s="382"/>
      <c r="F148" s="383"/>
      <c r="G148" s="383"/>
      <c r="H148" s="380"/>
      <c r="I148" s="380"/>
      <c r="J148" s="380"/>
    </row>
    <row r="149" spans="5:10">
      <c r="E149" s="382"/>
      <c r="F149" s="383"/>
      <c r="G149" s="383"/>
      <c r="H149" s="380"/>
      <c r="I149" s="380"/>
      <c r="J149" s="380"/>
    </row>
    <row r="150" spans="5:10">
      <c r="E150" s="382"/>
      <c r="F150" s="383"/>
      <c r="G150" s="383"/>
      <c r="H150" s="380"/>
      <c r="I150" s="380"/>
      <c r="J150" s="380"/>
    </row>
    <row r="151" spans="5:10">
      <c r="E151" s="382"/>
      <c r="F151" s="383"/>
      <c r="G151" s="383"/>
      <c r="H151" s="380"/>
      <c r="I151" s="380"/>
      <c r="J151" s="380"/>
    </row>
    <row r="152" spans="5:10">
      <c r="E152" s="382"/>
      <c r="F152" s="383"/>
      <c r="G152" s="383"/>
      <c r="H152" s="380"/>
      <c r="I152" s="380"/>
      <c r="J152" s="380"/>
    </row>
    <row r="153" spans="5:10">
      <c r="E153" s="382"/>
      <c r="F153" s="383"/>
      <c r="G153" s="383"/>
      <c r="H153" s="380"/>
      <c r="I153" s="380"/>
      <c r="J153" s="380"/>
    </row>
    <row r="154" spans="5:10">
      <c r="E154" s="382"/>
      <c r="F154" s="383"/>
      <c r="G154" s="383"/>
      <c r="H154" s="380"/>
      <c r="I154" s="380"/>
      <c r="J154" s="380"/>
    </row>
    <row r="155" spans="5:10">
      <c r="E155" s="382"/>
      <c r="F155" s="383"/>
      <c r="G155" s="383"/>
      <c r="H155" s="380"/>
      <c r="I155" s="380"/>
      <c r="J155" s="380"/>
    </row>
    <row r="156" spans="5:10">
      <c r="E156" s="382"/>
      <c r="F156" s="383"/>
      <c r="G156" s="383"/>
      <c r="H156" s="380"/>
      <c r="I156" s="380"/>
      <c r="J156" s="380"/>
    </row>
    <row r="157" spans="5:10">
      <c r="E157" s="382"/>
      <c r="F157" s="383"/>
      <c r="G157" s="383"/>
      <c r="H157" s="380"/>
      <c r="I157" s="380"/>
      <c r="J157" s="380"/>
    </row>
    <row r="158" spans="5:10">
      <c r="E158" s="382"/>
      <c r="F158" s="383"/>
      <c r="G158" s="383"/>
      <c r="H158" s="380"/>
      <c r="I158" s="380"/>
      <c r="J158" s="380"/>
    </row>
    <row r="159" spans="5:10">
      <c r="E159" s="382"/>
      <c r="F159" s="383"/>
      <c r="G159" s="383"/>
      <c r="H159" s="380"/>
      <c r="I159" s="380"/>
      <c r="J159" s="380"/>
    </row>
    <row r="160" spans="5:10">
      <c r="E160" s="382"/>
      <c r="F160" s="383"/>
      <c r="G160" s="383"/>
      <c r="H160" s="380"/>
      <c r="I160" s="380"/>
      <c r="J160" s="380"/>
    </row>
    <row r="161" spans="5:10">
      <c r="E161" s="382"/>
      <c r="F161" s="383"/>
      <c r="G161" s="383"/>
      <c r="H161" s="380"/>
      <c r="I161" s="380"/>
      <c r="J161" s="380"/>
    </row>
    <row r="162" spans="5:10">
      <c r="E162" s="382"/>
      <c r="F162" s="383"/>
      <c r="G162" s="383"/>
      <c r="H162" s="380"/>
      <c r="I162" s="380"/>
      <c r="J162" s="380"/>
    </row>
    <row r="163" spans="5:10">
      <c r="E163" s="382"/>
      <c r="F163" s="383"/>
      <c r="G163" s="383"/>
      <c r="H163" s="380"/>
      <c r="I163" s="380"/>
      <c r="J163" s="380"/>
    </row>
    <row r="164" spans="5:10">
      <c r="E164" s="382"/>
      <c r="F164" s="383"/>
      <c r="G164" s="383"/>
      <c r="H164" s="380"/>
      <c r="I164" s="380"/>
      <c r="J164" s="380"/>
    </row>
    <row r="165" spans="5:10">
      <c r="E165" s="382"/>
      <c r="F165" s="383"/>
      <c r="G165" s="383"/>
      <c r="H165" s="380"/>
      <c r="I165" s="380"/>
      <c r="J165" s="380"/>
    </row>
    <row r="166" spans="5:10">
      <c r="E166" s="382"/>
      <c r="F166" s="383"/>
      <c r="G166" s="383"/>
      <c r="H166" s="380"/>
      <c r="I166" s="380"/>
      <c r="J166" s="380"/>
    </row>
    <row r="167" spans="5:10">
      <c r="E167" s="382"/>
      <c r="F167" s="383"/>
      <c r="G167" s="383"/>
      <c r="H167" s="380"/>
      <c r="I167" s="380"/>
      <c r="J167" s="380"/>
    </row>
    <row r="168" spans="5:10">
      <c r="E168" s="382"/>
      <c r="F168" s="383"/>
      <c r="G168" s="383"/>
      <c r="H168" s="380"/>
      <c r="I168" s="380"/>
      <c r="J168" s="380"/>
    </row>
    <row r="169" spans="5:10">
      <c r="E169" s="382"/>
      <c r="F169" s="383"/>
      <c r="G169" s="383"/>
      <c r="H169" s="380"/>
      <c r="I169" s="380"/>
      <c r="J169" s="380"/>
    </row>
    <row r="170" spans="5:10">
      <c r="E170" s="382"/>
      <c r="F170" s="383"/>
      <c r="G170" s="383"/>
      <c r="H170" s="380"/>
      <c r="I170" s="380"/>
      <c r="J170" s="380"/>
    </row>
    <row r="171" spans="5:10">
      <c r="E171" s="382"/>
      <c r="F171" s="383"/>
      <c r="G171" s="383"/>
      <c r="H171" s="380"/>
      <c r="I171" s="380"/>
      <c r="J171" s="380"/>
    </row>
    <row r="172" spans="5:10">
      <c r="E172" s="382"/>
      <c r="F172" s="383"/>
      <c r="G172" s="383"/>
      <c r="H172" s="380"/>
      <c r="I172" s="380"/>
      <c r="J172" s="380"/>
    </row>
    <row r="173" spans="5:10">
      <c r="E173" s="382"/>
      <c r="F173" s="383"/>
      <c r="G173" s="383"/>
      <c r="H173" s="380"/>
      <c r="I173" s="380"/>
      <c r="J173" s="380"/>
    </row>
    <row r="174" spans="5:10">
      <c r="E174" s="382"/>
      <c r="F174" s="383"/>
      <c r="G174" s="383"/>
      <c r="H174" s="380"/>
      <c r="I174" s="380"/>
      <c r="J174" s="380"/>
    </row>
    <row r="175" spans="5:10">
      <c r="E175" s="382"/>
      <c r="F175" s="383"/>
      <c r="G175" s="383"/>
      <c r="H175" s="380"/>
      <c r="I175" s="380"/>
      <c r="J175" s="380"/>
    </row>
    <row r="176" spans="5:10">
      <c r="E176" s="382"/>
      <c r="F176" s="383"/>
      <c r="G176" s="383"/>
      <c r="H176" s="380"/>
      <c r="I176" s="380"/>
      <c r="J176" s="380"/>
    </row>
    <row r="177" spans="5:10">
      <c r="E177" s="382"/>
      <c r="F177" s="383"/>
      <c r="G177" s="383"/>
      <c r="H177" s="380"/>
      <c r="I177" s="380"/>
      <c r="J177" s="380"/>
    </row>
    <row r="178" spans="5:10">
      <c r="E178" s="382"/>
      <c r="F178" s="383"/>
      <c r="G178" s="383"/>
      <c r="H178" s="380"/>
      <c r="I178" s="380"/>
      <c r="J178" s="380"/>
    </row>
    <row r="179" spans="5:10">
      <c r="E179" s="382"/>
      <c r="F179" s="383"/>
      <c r="G179" s="383"/>
      <c r="H179" s="380"/>
      <c r="I179" s="380"/>
      <c r="J179" s="380"/>
    </row>
    <row r="180" spans="5:10">
      <c r="E180" s="382"/>
      <c r="F180" s="383"/>
      <c r="G180" s="383"/>
      <c r="H180" s="380"/>
      <c r="I180" s="380"/>
      <c r="J180" s="380"/>
    </row>
    <row r="181" spans="5:10">
      <c r="E181" s="382"/>
      <c r="F181" s="383"/>
      <c r="G181" s="383"/>
      <c r="H181" s="380"/>
      <c r="I181" s="380"/>
      <c r="J181" s="380"/>
    </row>
    <row r="182" spans="5:10">
      <c r="E182" s="382"/>
      <c r="F182" s="383"/>
      <c r="G182" s="383"/>
      <c r="H182" s="380"/>
      <c r="I182" s="380"/>
      <c r="J182" s="380"/>
    </row>
    <row r="183" spans="5:10">
      <c r="E183" s="382"/>
      <c r="F183" s="383"/>
      <c r="G183" s="383"/>
      <c r="H183" s="380"/>
      <c r="I183" s="380"/>
      <c r="J183" s="380"/>
    </row>
    <row r="184" spans="5:10">
      <c r="E184" s="382"/>
      <c r="F184" s="383"/>
      <c r="G184" s="383"/>
      <c r="H184" s="380"/>
      <c r="I184" s="380"/>
      <c r="J184" s="380"/>
    </row>
    <row r="185" spans="5:10">
      <c r="E185" s="382"/>
      <c r="F185" s="383"/>
      <c r="G185" s="383"/>
      <c r="H185" s="380"/>
      <c r="I185" s="380"/>
      <c r="J185" s="380"/>
    </row>
    <row r="186" spans="5:10">
      <c r="E186" s="382"/>
      <c r="F186" s="383"/>
      <c r="G186" s="383"/>
      <c r="H186" s="380"/>
      <c r="I186" s="380"/>
      <c r="J186" s="380"/>
    </row>
    <row r="187" spans="5:10">
      <c r="E187" s="382"/>
      <c r="F187" s="383"/>
      <c r="G187" s="383"/>
      <c r="H187" s="380"/>
      <c r="I187" s="380"/>
      <c r="J187" s="380"/>
    </row>
    <row r="188" spans="5:10">
      <c r="E188" s="382"/>
      <c r="F188" s="383"/>
      <c r="G188" s="383"/>
      <c r="H188" s="380"/>
      <c r="I188" s="380"/>
      <c r="J188" s="380"/>
    </row>
    <row r="189" spans="5:10">
      <c r="E189" s="382"/>
      <c r="F189" s="383"/>
      <c r="G189" s="383"/>
      <c r="H189" s="380"/>
      <c r="I189" s="380"/>
      <c r="J189" s="380"/>
    </row>
    <row r="190" spans="5:10">
      <c r="E190" s="382"/>
      <c r="F190" s="383"/>
      <c r="G190" s="383"/>
      <c r="H190" s="380"/>
      <c r="I190" s="380"/>
      <c r="J190" s="380"/>
    </row>
    <row r="191" spans="5:10">
      <c r="E191" s="382"/>
      <c r="F191" s="383"/>
      <c r="G191" s="383"/>
      <c r="H191" s="380"/>
      <c r="I191" s="380"/>
      <c r="J191" s="380"/>
    </row>
    <row r="192" spans="5:10">
      <c r="E192" s="382"/>
      <c r="F192" s="383"/>
      <c r="G192" s="383"/>
      <c r="H192" s="380"/>
      <c r="I192" s="380"/>
      <c r="J192" s="380"/>
    </row>
    <row r="193" spans="5:10">
      <c r="E193" s="382"/>
      <c r="F193" s="383"/>
      <c r="G193" s="383"/>
      <c r="H193" s="380"/>
      <c r="I193" s="380"/>
      <c r="J193" s="380"/>
    </row>
    <row r="194" spans="5:10">
      <c r="E194" s="382"/>
      <c r="F194" s="383"/>
      <c r="G194" s="383"/>
      <c r="H194" s="380"/>
      <c r="I194" s="380"/>
      <c r="J194" s="380"/>
    </row>
    <row r="195" spans="5:10">
      <c r="E195" s="382"/>
      <c r="F195" s="383"/>
      <c r="G195" s="383"/>
      <c r="H195" s="380"/>
      <c r="I195" s="380"/>
      <c r="J195" s="380"/>
    </row>
    <row r="196" spans="5:10">
      <c r="E196" s="382"/>
      <c r="F196" s="383"/>
      <c r="G196" s="383"/>
      <c r="H196" s="380"/>
      <c r="I196" s="380"/>
      <c r="J196" s="380"/>
    </row>
    <row r="197" spans="5:10">
      <c r="E197" s="382"/>
      <c r="F197" s="383"/>
      <c r="G197" s="383"/>
      <c r="H197" s="380"/>
      <c r="I197" s="380"/>
      <c r="J197" s="380"/>
    </row>
    <row r="198" spans="5:10">
      <c r="E198" s="382"/>
      <c r="F198" s="383"/>
      <c r="G198" s="383"/>
      <c r="H198" s="380"/>
      <c r="I198" s="380"/>
      <c r="J198" s="380"/>
    </row>
    <row r="199" spans="5:10">
      <c r="E199" s="382"/>
      <c r="F199" s="383"/>
      <c r="G199" s="383"/>
      <c r="H199" s="380"/>
      <c r="I199" s="380"/>
      <c r="J199" s="380"/>
    </row>
    <row r="200" spans="5:10">
      <c r="E200" s="382"/>
      <c r="F200" s="383"/>
      <c r="G200" s="383"/>
      <c r="H200" s="380"/>
      <c r="I200" s="380"/>
      <c r="J200" s="380"/>
    </row>
    <row r="201" spans="5:10">
      <c r="E201" s="382"/>
      <c r="F201" s="383"/>
      <c r="G201" s="383"/>
      <c r="H201" s="380"/>
      <c r="I201" s="380"/>
      <c r="J201" s="380"/>
    </row>
    <row r="202" spans="5:10">
      <c r="E202" s="382"/>
      <c r="F202" s="383"/>
      <c r="G202" s="383"/>
      <c r="H202" s="380"/>
      <c r="I202" s="380"/>
      <c r="J202" s="380"/>
    </row>
    <row r="203" spans="5:10">
      <c r="E203" s="382"/>
      <c r="F203" s="383"/>
      <c r="G203" s="383"/>
      <c r="H203" s="380"/>
      <c r="I203" s="380"/>
      <c r="J203" s="380"/>
    </row>
    <row r="204" spans="5:10">
      <c r="E204" s="382"/>
      <c r="F204" s="383"/>
      <c r="G204" s="383"/>
      <c r="H204" s="380"/>
      <c r="I204" s="380"/>
      <c r="J204" s="380"/>
    </row>
    <row r="205" spans="5:10">
      <c r="E205" s="382"/>
      <c r="F205" s="383"/>
      <c r="G205" s="383"/>
      <c r="H205" s="380"/>
      <c r="I205" s="380"/>
      <c r="J205" s="380"/>
    </row>
    <row r="206" spans="5:10">
      <c r="E206" s="382"/>
      <c r="F206" s="383"/>
      <c r="G206" s="383"/>
      <c r="H206" s="380"/>
      <c r="I206" s="380"/>
      <c r="J206" s="380"/>
    </row>
    <row r="207" spans="5:10">
      <c r="E207" s="382"/>
      <c r="F207" s="383"/>
      <c r="G207" s="383"/>
      <c r="H207" s="380"/>
      <c r="I207" s="380"/>
      <c r="J207" s="380"/>
    </row>
    <row r="208" spans="5:10">
      <c r="E208" s="382"/>
      <c r="F208" s="383"/>
      <c r="G208" s="383"/>
      <c r="H208" s="380"/>
      <c r="I208" s="380"/>
      <c r="J208" s="380"/>
    </row>
    <row r="209" spans="5:10">
      <c r="E209" s="382"/>
      <c r="F209" s="383"/>
      <c r="G209" s="383"/>
      <c r="H209" s="380"/>
      <c r="I209" s="380"/>
      <c r="J209" s="380"/>
    </row>
    <row r="210" spans="5:10">
      <c r="E210" s="382"/>
      <c r="F210" s="383"/>
      <c r="G210" s="383"/>
      <c r="H210" s="380"/>
      <c r="I210" s="380"/>
      <c r="J210" s="380"/>
    </row>
    <row r="211" spans="5:10">
      <c r="E211" s="382"/>
      <c r="F211" s="383"/>
      <c r="G211" s="383"/>
      <c r="H211" s="380"/>
      <c r="I211" s="380"/>
      <c r="J211" s="380"/>
    </row>
    <row r="212" spans="5:10">
      <c r="E212" s="382"/>
      <c r="F212" s="383"/>
      <c r="G212" s="383"/>
      <c r="H212" s="380"/>
      <c r="I212" s="380"/>
      <c r="J212" s="380"/>
    </row>
    <row r="213" spans="5:10">
      <c r="E213" s="382"/>
      <c r="F213" s="383"/>
      <c r="G213" s="383"/>
      <c r="H213" s="380"/>
      <c r="I213" s="380"/>
      <c r="J213" s="380"/>
    </row>
    <row r="214" spans="5:10">
      <c r="E214" s="382"/>
      <c r="F214" s="383"/>
      <c r="G214" s="383"/>
      <c r="H214" s="380"/>
      <c r="I214" s="380"/>
      <c r="J214" s="380"/>
    </row>
    <row r="215" spans="5:10">
      <c r="E215" s="382"/>
      <c r="F215" s="383"/>
      <c r="G215" s="383"/>
      <c r="H215" s="380"/>
      <c r="I215" s="380"/>
      <c r="J215" s="380"/>
    </row>
    <row r="216" spans="5:10">
      <c r="E216" s="382"/>
      <c r="F216" s="383"/>
      <c r="G216" s="383"/>
      <c r="H216" s="380"/>
      <c r="I216" s="380"/>
      <c r="J216" s="380"/>
    </row>
    <row r="217" spans="5:10">
      <c r="E217" s="382"/>
      <c r="F217" s="383"/>
      <c r="G217" s="383"/>
      <c r="H217" s="380"/>
      <c r="I217" s="380"/>
      <c r="J217" s="380"/>
    </row>
    <row r="218" spans="5:10">
      <c r="E218" s="382"/>
      <c r="F218" s="383"/>
      <c r="G218" s="383"/>
      <c r="H218" s="380"/>
      <c r="I218" s="380"/>
      <c r="J218" s="380"/>
    </row>
    <row r="219" spans="5:10">
      <c r="E219" s="382"/>
      <c r="F219" s="383"/>
      <c r="G219" s="383"/>
      <c r="H219" s="380"/>
      <c r="I219" s="380"/>
      <c r="J219" s="380"/>
    </row>
    <row r="220" spans="5:10">
      <c r="E220" s="382"/>
      <c r="F220" s="383"/>
      <c r="G220" s="383"/>
      <c r="H220" s="380"/>
      <c r="I220" s="380"/>
      <c r="J220" s="380"/>
    </row>
    <row r="221" spans="5:10">
      <c r="E221" s="382"/>
      <c r="F221" s="383"/>
      <c r="G221" s="383"/>
      <c r="H221" s="380"/>
      <c r="I221" s="380"/>
      <c r="J221" s="380"/>
    </row>
    <row r="222" spans="5:10">
      <c r="E222" s="382"/>
      <c r="F222" s="383"/>
      <c r="G222" s="383"/>
      <c r="H222" s="380"/>
      <c r="I222" s="380"/>
      <c r="J222" s="380"/>
    </row>
    <row r="223" spans="5:10">
      <c r="E223" s="382"/>
      <c r="F223" s="383"/>
      <c r="G223" s="383"/>
      <c r="H223" s="380"/>
      <c r="I223" s="380"/>
      <c r="J223" s="380"/>
    </row>
    <row r="224" spans="5:10">
      <c r="E224" s="382"/>
      <c r="F224" s="383"/>
      <c r="G224" s="383"/>
      <c r="H224" s="380"/>
      <c r="I224" s="380"/>
      <c r="J224" s="380"/>
    </row>
    <row r="225" spans="5:10">
      <c r="E225" s="382"/>
      <c r="F225" s="383"/>
      <c r="G225" s="383"/>
      <c r="H225" s="380"/>
      <c r="I225" s="380"/>
      <c r="J225" s="380"/>
    </row>
    <row r="226" spans="5:10">
      <c r="E226" s="382"/>
      <c r="F226" s="383"/>
      <c r="G226" s="383"/>
      <c r="H226" s="380"/>
      <c r="I226" s="380"/>
      <c r="J226" s="380"/>
    </row>
    <row r="227" spans="5:10">
      <c r="E227" s="382"/>
      <c r="F227" s="383"/>
      <c r="G227" s="383"/>
      <c r="H227" s="380"/>
      <c r="I227" s="380"/>
      <c r="J227" s="380"/>
    </row>
    <row r="228" spans="5:10">
      <c r="E228" s="382"/>
      <c r="F228" s="383"/>
      <c r="G228" s="383"/>
      <c r="H228" s="380"/>
      <c r="I228" s="380"/>
      <c r="J228" s="380"/>
    </row>
    <row r="229" spans="5:10">
      <c r="E229" s="382"/>
      <c r="F229" s="383"/>
      <c r="G229" s="383"/>
      <c r="H229" s="380"/>
      <c r="I229" s="380"/>
      <c r="J229" s="380"/>
    </row>
    <row r="230" spans="5:10">
      <c r="E230" s="382"/>
      <c r="F230" s="383"/>
      <c r="G230" s="383"/>
      <c r="H230" s="380"/>
      <c r="I230" s="380"/>
      <c r="J230" s="380"/>
    </row>
    <row r="231" spans="5:10">
      <c r="E231" s="382"/>
      <c r="F231" s="383"/>
      <c r="G231" s="383"/>
      <c r="H231" s="380"/>
      <c r="I231" s="380"/>
      <c r="J231" s="380"/>
    </row>
    <row r="232" spans="5:10">
      <c r="E232" s="382"/>
      <c r="F232" s="383"/>
      <c r="G232" s="383"/>
      <c r="H232" s="380"/>
      <c r="I232" s="380"/>
      <c r="J232" s="380"/>
    </row>
    <row r="233" spans="5:10">
      <c r="E233" s="382"/>
      <c r="F233" s="383"/>
      <c r="G233" s="383"/>
      <c r="H233" s="380"/>
      <c r="I233" s="380"/>
      <c r="J233" s="380"/>
    </row>
    <row r="234" spans="5:10">
      <c r="E234" s="382"/>
      <c r="F234" s="383"/>
      <c r="G234" s="383"/>
      <c r="H234" s="380"/>
      <c r="I234" s="380"/>
      <c r="J234" s="380"/>
    </row>
    <row r="235" spans="5:10">
      <c r="E235" s="382"/>
      <c r="F235" s="383"/>
      <c r="G235" s="383"/>
      <c r="H235" s="380"/>
      <c r="I235" s="380"/>
      <c r="J235" s="380"/>
    </row>
    <row r="236" spans="5:10">
      <c r="E236" s="382"/>
      <c r="F236" s="383"/>
      <c r="G236" s="383"/>
      <c r="H236" s="380"/>
      <c r="I236" s="380"/>
      <c r="J236" s="380"/>
    </row>
    <row r="237" spans="5:10">
      <c r="E237" s="382"/>
      <c r="F237" s="383"/>
      <c r="G237" s="383"/>
      <c r="H237" s="380"/>
      <c r="I237" s="380"/>
      <c r="J237" s="380"/>
    </row>
    <row r="238" spans="5:10">
      <c r="E238" s="382"/>
      <c r="F238" s="383"/>
      <c r="G238" s="383"/>
      <c r="H238" s="380"/>
      <c r="I238" s="380"/>
      <c r="J238" s="380"/>
    </row>
    <row r="239" spans="5:10">
      <c r="E239" s="382"/>
      <c r="F239" s="383"/>
      <c r="G239" s="383"/>
      <c r="H239" s="380"/>
      <c r="I239" s="380"/>
      <c r="J239" s="380"/>
    </row>
    <row r="240" spans="5:10">
      <c r="E240" s="382"/>
      <c r="F240" s="383"/>
      <c r="G240" s="383"/>
      <c r="H240" s="380"/>
      <c r="I240" s="380"/>
      <c r="J240" s="380"/>
    </row>
    <row r="241" spans="5:10">
      <c r="E241" s="382"/>
      <c r="F241" s="383"/>
      <c r="G241" s="383"/>
      <c r="H241" s="380"/>
      <c r="I241" s="380"/>
      <c r="J241" s="380"/>
    </row>
    <row r="242" spans="5:10">
      <c r="E242" s="382"/>
      <c r="F242" s="383"/>
      <c r="G242" s="383"/>
      <c r="H242" s="380"/>
      <c r="I242" s="380"/>
      <c r="J242" s="380"/>
    </row>
    <row r="243" spans="5:10">
      <c r="E243" s="382"/>
      <c r="F243" s="383"/>
      <c r="G243" s="383"/>
      <c r="H243" s="380"/>
      <c r="I243" s="380"/>
      <c r="J243" s="380"/>
    </row>
    <row r="244" spans="5:10">
      <c r="E244" s="382"/>
      <c r="F244" s="383"/>
      <c r="G244" s="383"/>
      <c r="H244" s="380"/>
      <c r="I244" s="380"/>
      <c r="J244" s="380"/>
    </row>
    <row r="245" spans="5:10">
      <c r="E245" s="382"/>
      <c r="F245" s="383"/>
      <c r="G245" s="383"/>
      <c r="H245" s="380"/>
      <c r="I245" s="380"/>
      <c r="J245" s="380"/>
    </row>
    <row r="246" spans="5:10">
      <c r="E246" s="382"/>
      <c r="F246" s="383"/>
      <c r="G246" s="383"/>
      <c r="H246" s="380"/>
      <c r="I246" s="380"/>
      <c r="J246" s="380"/>
    </row>
    <row r="247" spans="5:10">
      <c r="E247" s="382"/>
      <c r="F247" s="383"/>
      <c r="G247" s="383"/>
      <c r="H247" s="380"/>
      <c r="I247" s="380"/>
      <c r="J247" s="380"/>
    </row>
    <row r="248" spans="5:10">
      <c r="E248" s="382"/>
      <c r="F248" s="383"/>
      <c r="G248" s="383"/>
      <c r="H248" s="380"/>
      <c r="I248" s="380"/>
      <c r="J248" s="380"/>
    </row>
    <row r="249" spans="5:10">
      <c r="E249" s="382"/>
      <c r="F249" s="383"/>
      <c r="G249" s="383"/>
      <c r="H249" s="380"/>
      <c r="I249" s="380"/>
      <c r="J249" s="380"/>
    </row>
    <row r="250" spans="5:10">
      <c r="E250" s="382"/>
      <c r="F250" s="383"/>
      <c r="G250" s="383"/>
      <c r="H250" s="380"/>
      <c r="I250" s="380"/>
      <c r="J250" s="380"/>
    </row>
    <row r="251" spans="5:10">
      <c r="E251" s="382"/>
      <c r="F251" s="383"/>
      <c r="G251" s="383"/>
      <c r="H251" s="380"/>
      <c r="I251" s="380"/>
      <c r="J251" s="380"/>
    </row>
    <row r="252" spans="5:10">
      <c r="E252" s="382"/>
      <c r="F252" s="383"/>
      <c r="G252" s="383"/>
      <c r="H252" s="380"/>
      <c r="I252" s="380"/>
      <c r="J252" s="380"/>
    </row>
    <row r="253" spans="5:10">
      <c r="E253" s="382"/>
      <c r="F253" s="383"/>
      <c r="G253" s="383"/>
      <c r="H253" s="380"/>
      <c r="I253" s="380"/>
      <c r="J253" s="380"/>
    </row>
    <row r="254" spans="5:10">
      <c r="E254" s="382"/>
      <c r="F254" s="383"/>
      <c r="G254" s="383"/>
      <c r="H254" s="380"/>
      <c r="I254" s="380"/>
      <c r="J254" s="380"/>
    </row>
    <row r="255" spans="5:10">
      <c r="E255" s="382"/>
      <c r="F255" s="383"/>
      <c r="G255" s="383"/>
      <c r="H255" s="380"/>
      <c r="I255" s="380"/>
      <c r="J255" s="380"/>
    </row>
    <row r="256" spans="5:10">
      <c r="E256" s="382"/>
      <c r="F256" s="383"/>
      <c r="G256" s="383"/>
      <c r="H256" s="380"/>
      <c r="I256" s="380"/>
      <c r="J256" s="380"/>
    </row>
    <row r="257" spans="5:10">
      <c r="E257" s="382"/>
      <c r="F257" s="383"/>
      <c r="G257" s="383"/>
      <c r="H257" s="380"/>
      <c r="I257" s="380"/>
      <c r="J257" s="380"/>
    </row>
    <row r="258" spans="5:10">
      <c r="E258" s="382"/>
      <c r="F258" s="383"/>
      <c r="G258" s="383"/>
      <c r="H258" s="380"/>
      <c r="I258" s="380"/>
      <c r="J258" s="380"/>
    </row>
    <row r="259" spans="5:10">
      <c r="E259" s="382"/>
      <c r="F259" s="383"/>
      <c r="G259" s="383"/>
      <c r="H259" s="380"/>
      <c r="I259" s="380"/>
      <c r="J259" s="380"/>
    </row>
    <row r="260" spans="5:10">
      <c r="E260" s="382"/>
      <c r="F260" s="383"/>
      <c r="G260" s="383"/>
      <c r="H260" s="380"/>
      <c r="I260" s="380"/>
      <c r="J260" s="380"/>
    </row>
    <row r="261" spans="5:10">
      <c r="E261" s="382"/>
      <c r="F261" s="383"/>
      <c r="G261" s="383"/>
      <c r="H261" s="380"/>
      <c r="I261" s="380"/>
      <c r="J261" s="380"/>
    </row>
    <row r="262" spans="5:10">
      <c r="E262" s="382"/>
      <c r="F262" s="383"/>
      <c r="G262" s="383"/>
      <c r="H262" s="380"/>
      <c r="I262" s="380"/>
      <c r="J262" s="380"/>
    </row>
    <row r="263" spans="5:10">
      <c r="E263" s="382"/>
      <c r="F263" s="383"/>
      <c r="G263" s="383"/>
      <c r="H263" s="380"/>
      <c r="I263" s="380"/>
      <c r="J263" s="380"/>
    </row>
    <row r="264" spans="5:10">
      <c r="E264" s="382"/>
      <c r="F264" s="383"/>
      <c r="G264" s="383"/>
      <c r="H264" s="380"/>
      <c r="I264" s="380"/>
      <c r="J264" s="380"/>
    </row>
    <row r="265" spans="5:10">
      <c r="E265" s="382"/>
      <c r="F265" s="383"/>
      <c r="G265" s="383"/>
      <c r="H265" s="380"/>
      <c r="I265" s="380"/>
      <c r="J265" s="380"/>
    </row>
    <row r="266" spans="5:10">
      <c r="E266" s="382"/>
      <c r="F266" s="383"/>
      <c r="G266" s="383"/>
      <c r="H266" s="380"/>
      <c r="I266" s="380"/>
      <c r="J266" s="380"/>
    </row>
    <row r="267" spans="5:10">
      <c r="E267" s="382"/>
      <c r="F267" s="383"/>
      <c r="G267" s="383"/>
      <c r="H267" s="380"/>
      <c r="I267" s="380"/>
      <c r="J267" s="380"/>
    </row>
    <row r="268" spans="5:10">
      <c r="E268" s="382"/>
      <c r="F268" s="383"/>
      <c r="G268" s="383"/>
      <c r="H268" s="380"/>
      <c r="I268" s="380"/>
      <c r="J268" s="380"/>
    </row>
    <row r="269" spans="5:10">
      <c r="E269" s="382"/>
      <c r="F269" s="383"/>
      <c r="G269" s="383"/>
      <c r="H269" s="380"/>
      <c r="I269" s="380"/>
      <c r="J269" s="380"/>
    </row>
    <row r="270" spans="5:10">
      <c r="E270" s="382"/>
      <c r="F270" s="383"/>
      <c r="G270" s="383"/>
      <c r="H270" s="380"/>
      <c r="I270" s="380"/>
      <c r="J270" s="380"/>
    </row>
    <row r="271" spans="5:10">
      <c r="E271" s="382"/>
      <c r="F271" s="383"/>
      <c r="G271" s="383"/>
      <c r="H271" s="380"/>
      <c r="I271" s="380"/>
      <c r="J271" s="380"/>
    </row>
    <row r="272" spans="5:10">
      <c r="E272" s="382"/>
      <c r="F272" s="383"/>
      <c r="G272" s="383"/>
      <c r="H272" s="380"/>
      <c r="I272" s="380"/>
      <c r="J272" s="380"/>
    </row>
    <row r="273" spans="5:10">
      <c r="E273" s="382"/>
      <c r="F273" s="383"/>
      <c r="G273" s="383"/>
      <c r="H273" s="380"/>
      <c r="I273" s="380"/>
      <c r="J273" s="380"/>
    </row>
    <row r="274" spans="5:10">
      <c r="E274" s="382"/>
      <c r="F274" s="383"/>
      <c r="G274" s="383"/>
      <c r="H274" s="380"/>
      <c r="I274" s="380"/>
      <c r="J274" s="380"/>
    </row>
    <row r="275" spans="5:10">
      <c r="E275" s="382"/>
      <c r="F275" s="383"/>
      <c r="G275" s="383"/>
      <c r="H275" s="380"/>
      <c r="I275" s="380"/>
      <c r="J275" s="380"/>
    </row>
    <row r="276" spans="5:10">
      <c r="E276" s="382"/>
      <c r="F276" s="383"/>
      <c r="G276" s="383"/>
      <c r="H276" s="380"/>
      <c r="I276" s="380"/>
      <c r="J276" s="380"/>
    </row>
    <row r="277" spans="5:10">
      <c r="E277" s="382"/>
      <c r="F277" s="383"/>
      <c r="G277" s="383"/>
      <c r="H277" s="380"/>
      <c r="I277" s="380"/>
      <c r="J277" s="380"/>
    </row>
    <row r="278" spans="5:10">
      <c r="E278" s="382"/>
      <c r="F278" s="383"/>
      <c r="G278" s="383"/>
      <c r="H278" s="380"/>
      <c r="I278" s="380"/>
      <c r="J278" s="380"/>
    </row>
    <row r="279" spans="5:10">
      <c r="E279" s="382"/>
      <c r="F279" s="383"/>
      <c r="G279" s="383"/>
      <c r="H279" s="380"/>
      <c r="I279" s="380"/>
      <c r="J279" s="380"/>
    </row>
    <row r="280" spans="5:10">
      <c r="E280" s="382"/>
      <c r="F280" s="383"/>
      <c r="G280" s="383"/>
      <c r="H280" s="380"/>
      <c r="I280" s="380"/>
      <c r="J280" s="380"/>
    </row>
    <row r="281" spans="5:10">
      <c r="E281" s="382"/>
      <c r="F281" s="383"/>
      <c r="G281" s="383"/>
      <c r="H281" s="380"/>
      <c r="I281" s="380"/>
      <c r="J281" s="380"/>
    </row>
    <row r="282" spans="5:10">
      <c r="E282" s="382"/>
      <c r="F282" s="383"/>
      <c r="G282" s="383"/>
      <c r="H282" s="380"/>
      <c r="I282" s="380"/>
      <c r="J282" s="380"/>
    </row>
    <row r="283" spans="5:10">
      <c r="E283" s="382"/>
      <c r="F283" s="383"/>
      <c r="G283" s="383"/>
      <c r="H283" s="380"/>
      <c r="I283" s="380"/>
      <c r="J283" s="380"/>
    </row>
    <row r="284" spans="5:10">
      <c r="E284" s="382"/>
      <c r="F284" s="383"/>
      <c r="G284" s="383"/>
      <c r="H284" s="380"/>
      <c r="I284" s="380"/>
      <c r="J284" s="380"/>
    </row>
    <row r="285" spans="5:10">
      <c r="E285" s="382"/>
      <c r="F285" s="383"/>
      <c r="G285" s="383"/>
      <c r="H285" s="380"/>
      <c r="I285" s="380"/>
      <c r="J285" s="380"/>
    </row>
    <row r="286" spans="5:10">
      <c r="E286" s="382"/>
      <c r="F286" s="383"/>
      <c r="G286" s="383"/>
      <c r="H286" s="380"/>
      <c r="I286" s="380"/>
      <c r="J286" s="380"/>
    </row>
    <row r="287" spans="5:10">
      <c r="E287" s="382"/>
      <c r="F287" s="383"/>
      <c r="G287" s="383"/>
      <c r="H287" s="380"/>
      <c r="I287" s="380"/>
      <c r="J287" s="380"/>
    </row>
    <row r="288" spans="5:10">
      <c r="E288" s="382"/>
      <c r="F288" s="383"/>
      <c r="G288" s="383"/>
      <c r="H288" s="380"/>
      <c r="I288" s="380"/>
      <c r="J288" s="380"/>
    </row>
    <row r="289" spans="5:10">
      <c r="E289" s="382"/>
      <c r="F289" s="383"/>
      <c r="G289" s="383"/>
      <c r="H289" s="380"/>
      <c r="I289" s="380"/>
      <c r="J289" s="380"/>
    </row>
    <row r="290" spans="5:10">
      <c r="E290" s="382"/>
      <c r="F290" s="383"/>
      <c r="G290" s="383"/>
      <c r="H290" s="380"/>
      <c r="I290" s="380"/>
      <c r="J290" s="380"/>
    </row>
    <row r="291" spans="5:10">
      <c r="E291" s="382"/>
      <c r="F291" s="383"/>
      <c r="G291" s="383"/>
      <c r="H291" s="380"/>
      <c r="I291" s="380"/>
      <c r="J291" s="380"/>
    </row>
    <row r="292" spans="5:10">
      <c r="E292" s="382"/>
      <c r="F292" s="383"/>
      <c r="G292" s="383"/>
      <c r="H292" s="380"/>
      <c r="I292" s="380"/>
      <c r="J292" s="380"/>
    </row>
    <row r="293" spans="5:10">
      <c r="E293" s="382"/>
      <c r="F293" s="383"/>
      <c r="G293" s="383"/>
      <c r="H293" s="380"/>
      <c r="I293" s="380"/>
      <c r="J293" s="380"/>
    </row>
    <row r="294" spans="5:10">
      <c r="E294" s="382"/>
      <c r="F294" s="383"/>
      <c r="G294" s="383"/>
      <c r="H294" s="380"/>
      <c r="I294" s="380"/>
      <c r="J294" s="380"/>
    </row>
    <row r="295" spans="5:10">
      <c r="E295" s="382"/>
      <c r="F295" s="383"/>
      <c r="G295" s="383"/>
      <c r="H295" s="380"/>
      <c r="I295" s="380"/>
      <c r="J295" s="380"/>
    </row>
    <row r="296" spans="5:10">
      <c r="E296" s="382"/>
      <c r="F296" s="383"/>
      <c r="G296" s="383"/>
      <c r="H296" s="380"/>
      <c r="I296" s="380"/>
      <c r="J296" s="380"/>
    </row>
    <row r="297" spans="5:10">
      <c r="E297" s="382"/>
      <c r="F297" s="383"/>
      <c r="G297" s="383"/>
      <c r="H297" s="380"/>
      <c r="I297" s="380"/>
      <c r="J297" s="380"/>
    </row>
    <row r="298" spans="5:10">
      <c r="E298" s="382"/>
      <c r="F298" s="383"/>
      <c r="G298" s="383"/>
      <c r="H298" s="380"/>
      <c r="I298" s="380"/>
      <c r="J298" s="380"/>
    </row>
    <row r="299" spans="5:10">
      <c r="E299" s="382"/>
      <c r="F299" s="383"/>
      <c r="G299" s="383"/>
      <c r="H299" s="380"/>
      <c r="I299" s="380"/>
      <c r="J299" s="380"/>
    </row>
    <row r="300" spans="5:10">
      <c r="E300" s="382"/>
      <c r="F300" s="383"/>
      <c r="G300" s="383"/>
      <c r="H300" s="380"/>
      <c r="I300" s="380"/>
      <c r="J300" s="380"/>
    </row>
    <row r="301" spans="5:10">
      <c r="E301" s="382"/>
      <c r="F301" s="383"/>
      <c r="G301" s="383"/>
      <c r="H301" s="380"/>
      <c r="I301" s="380"/>
      <c r="J301" s="380"/>
    </row>
    <row r="302" spans="5:10">
      <c r="E302" s="382"/>
      <c r="F302" s="383"/>
      <c r="G302" s="383"/>
      <c r="H302" s="380"/>
      <c r="I302" s="380"/>
      <c r="J302" s="380"/>
    </row>
    <row r="303" spans="5:10">
      <c r="E303" s="382"/>
      <c r="F303" s="383"/>
      <c r="G303" s="383"/>
      <c r="H303" s="380"/>
      <c r="I303" s="380"/>
      <c r="J303" s="380"/>
    </row>
    <row r="304" spans="5:10">
      <c r="E304" s="382"/>
      <c r="F304" s="383"/>
      <c r="G304" s="383"/>
      <c r="H304" s="380"/>
      <c r="I304" s="380"/>
      <c r="J304" s="380"/>
    </row>
    <row r="305" spans="5:10">
      <c r="E305" s="382"/>
      <c r="F305" s="383"/>
      <c r="G305" s="383"/>
      <c r="H305" s="380"/>
      <c r="I305" s="380"/>
      <c r="J305" s="380"/>
    </row>
    <row r="306" spans="5:10">
      <c r="E306" s="382"/>
      <c r="F306" s="383"/>
      <c r="G306" s="383"/>
      <c r="H306" s="380"/>
      <c r="I306" s="380"/>
      <c r="J306" s="380"/>
    </row>
    <row r="307" spans="5:10">
      <c r="E307" s="382"/>
      <c r="F307" s="383"/>
      <c r="G307" s="383"/>
      <c r="H307" s="380"/>
      <c r="I307" s="380"/>
      <c r="J307" s="380"/>
    </row>
    <row r="308" spans="5:10">
      <c r="E308" s="382"/>
      <c r="F308" s="383"/>
      <c r="G308" s="383"/>
      <c r="H308" s="380"/>
      <c r="I308" s="380"/>
      <c r="J308" s="380"/>
    </row>
    <row r="309" spans="5:10">
      <c r="E309" s="382"/>
      <c r="F309" s="383"/>
      <c r="G309" s="383"/>
      <c r="H309" s="380"/>
      <c r="I309" s="380"/>
      <c r="J309" s="380"/>
    </row>
    <row r="310" spans="5:10">
      <c r="E310" s="382"/>
      <c r="F310" s="383"/>
      <c r="G310" s="383"/>
      <c r="H310" s="380"/>
      <c r="I310" s="380"/>
      <c r="J310" s="380"/>
    </row>
    <row r="311" spans="5:10">
      <c r="E311" s="382"/>
      <c r="F311" s="383"/>
      <c r="G311" s="383"/>
      <c r="H311" s="380"/>
      <c r="I311" s="380"/>
      <c r="J311" s="380"/>
    </row>
    <row r="312" spans="5:10">
      <c r="E312" s="382"/>
      <c r="F312" s="383"/>
      <c r="G312" s="383"/>
      <c r="H312" s="380"/>
      <c r="I312" s="380"/>
      <c r="J312" s="380"/>
    </row>
    <row r="313" spans="5:10">
      <c r="E313" s="382"/>
      <c r="F313" s="383"/>
      <c r="G313" s="383"/>
      <c r="H313" s="380"/>
      <c r="I313" s="380"/>
      <c r="J313" s="380"/>
    </row>
    <row r="314" spans="5:10">
      <c r="E314" s="382"/>
      <c r="F314" s="383"/>
      <c r="G314" s="383"/>
      <c r="H314" s="380"/>
      <c r="I314" s="380"/>
      <c r="J314" s="380"/>
    </row>
    <row r="315" spans="5:10">
      <c r="E315" s="382"/>
      <c r="F315" s="383"/>
      <c r="G315" s="383"/>
      <c r="H315" s="380"/>
      <c r="I315" s="380"/>
      <c r="J315" s="380"/>
    </row>
    <row r="316" spans="5:10">
      <c r="E316" s="382"/>
      <c r="F316" s="383"/>
      <c r="G316" s="383"/>
      <c r="H316" s="380"/>
      <c r="I316" s="380"/>
      <c r="J316" s="380"/>
    </row>
    <row r="317" spans="5:10">
      <c r="E317" s="382"/>
      <c r="F317" s="383"/>
      <c r="G317" s="383"/>
      <c r="H317" s="380"/>
      <c r="I317" s="380"/>
      <c r="J317" s="380"/>
    </row>
    <row r="318" spans="5:10">
      <c r="E318" s="382"/>
      <c r="F318" s="383"/>
      <c r="G318" s="383"/>
      <c r="H318" s="380"/>
      <c r="I318" s="380"/>
      <c r="J318" s="380"/>
    </row>
    <row r="319" spans="5:10">
      <c r="E319" s="382"/>
      <c r="F319" s="383"/>
      <c r="G319" s="383"/>
      <c r="H319" s="380"/>
      <c r="I319" s="380"/>
      <c r="J319" s="380"/>
    </row>
    <row r="320" spans="5:10">
      <c r="E320" s="382"/>
      <c r="F320" s="383"/>
      <c r="G320" s="383"/>
      <c r="H320" s="380"/>
      <c r="I320" s="380"/>
      <c r="J320" s="380"/>
    </row>
    <row r="321" spans="5:10">
      <c r="E321" s="382"/>
      <c r="F321" s="383"/>
      <c r="G321" s="383"/>
      <c r="H321" s="380"/>
      <c r="I321" s="380"/>
      <c r="J321" s="380"/>
    </row>
    <row r="322" spans="5:10">
      <c r="E322" s="382"/>
      <c r="F322" s="383"/>
      <c r="G322" s="383"/>
      <c r="H322" s="380"/>
      <c r="I322" s="380"/>
      <c r="J322" s="380"/>
    </row>
    <row r="323" spans="5:10">
      <c r="E323" s="382"/>
      <c r="F323" s="383"/>
      <c r="G323" s="383"/>
      <c r="H323" s="380"/>
      <c r="I323" s="380"/>
      <c r="J323" s="380"/>
    </row>
    <row r="324" spans="5:10">
      <c r="E324" s="382"/>
      <c r="F324" s="383"/>
      <c r="G324" s="383"/>
      <c r="H324" s="380"/>
      <c r="I324" s="380"/>
      <c r="J324" s="380"/>
    </row>
    <row r="325" spans="5:10">
      <c r="E325" s="382"/>
      <c r="F325" s="383"/>
      <c r="G325" s="383"/>
      <c r="H325" s="380"/>
      <c r="I325" s="380"/>
      <c r="J325" s="380"/>
    </row>
    <row r="326" spans="5:10">
      <c r="E326" s="382"/>
      <c r="F326" s="383"/>
      <c r="G326" s="383"/>
      <c r="H326" s="380"/>
      <c r="I326" s="380"/>
      <c r="J326" s="380"/>
    </row>
    <row r="327" spans="5:10">
      <c r="E327" s="382"/>
      <c r="F327" s="383"/>
      <c r="G327" s="383"/>
      <c r="H327" s="380"/>
      <c r="I327" s="380"/>
      <c r="J327" s="380"/>
    </row>
    <row r="328" spans="5:10">
      <c r="E328" s="382"/>
      <c r="F328" s="383"/>
      <c r="G328" s="383"/>
      <c r="H328" s="380"/>
      <c r="I328" s="380"/>
      <c r="J328" s="380"/>
    </row>
    <row r="329" spans="5:10">
      <c r="E329" s="382"/>
      <c r="F329" s="383"/>
      <c r="G329" s="383"/>
      <c r="H329" s="380"/>
      <c r="I329" s="380"/>
      <c r="J329" s="380"/>
    </row>
    <row r="330" spans="5:10">
      <c r="E330" s="382"/>
      <c r="F330" s="383"/>
      <c r="G330" s="383"/>
      <c r="H330" s="380"/>
      <c r="I330" s="380"/>
      <c r="J330" s="380"/>
    </row>
    <row r="331" spans="5:10">
      <c r="E331" s="382"/>
      <c r="F331" s="383"/>
      <c r="G331" s="383"/>
      <c r="H331" s="380"/>
      <c r="I331" s="380"/>
      <c r="J331" s="380"/>
    </row>
    <row r="332" spans="5:10">
      <c r="E332" s="382"/>
      <c r="F332" s="383"/>
      <c r="G332" s="383"/>
      <c r="H332" s="380"/>
      <c r="I332" s="380"/>
      <c r="J332" s="380"/>
    </row>
    <row r="333" spans="5:10">
      <c r="E333" s="382"/>
      <c r="F333" s="383"/>
      <c r="G333" s="383"/>
      <c r="H333" s="380"/>
      <c r="I333" s="380"/>
      <c r="J333" s="380"/>
    </row>
    <row r="334" spans="5:10">
      <c r="E334" s="382"/>
      <c r="F334" s="383"/>
      <c r="G334" s="383"/>
      <c r="H334" s="380"/>
      <c r="I334" s="380"/>
      <c r="J334" s="380"/>
    </row>
    <row r="335" spans="5:10">
      <c r="E335" s="382"/>
      <c r="F335" s="383"/>
      <c r="G335" s="383"/>
      <c r="H335" s="380"/>
      <c r="I335" s="380"/>
      <c r="J335" s="380"/>
    </row>
    <row r="336" spans="5:10">
      <c r="E336" s="382"/>
      <c r="F336" s="383"/>
      <c r="G336" s="383"/>
      <c r="H336" s="380"/>
      <c r="I336" s="380"/>
      <c r="J336" s="380"/>
    </row>
    <row r="337" spans="5:10">
      <c r="E337" s="382"/>
      <c r="F337" s="383"/>
      <c r="G337" s="383"/>
      <c r="H337" s="380"/>
      <c r="I337" s="380"/>
      <c r="J337" s="380"/>
    </row>
    <row r="338" spans="5:10">
      <c r="E338" s="382"/>
      <c r="F338" s="383"/>
      <c r="G338" s="383"/>
      <c r="H338" s="380"/>
      <c r="I338" s="380"/>
      <c r="J338" s="380"/>
    </row>
    <row r="339" spans="5:10">
      <c r="E339" s="382"/>
      <c r="F339" s="383"/>
      <c r="G339" s="383"/>
      <c r="H339" s="380"/>
      <c r="I339" s="380"/>
      <c r="J339" s="380"/>
    </row>
    <row r="340" spans="5:10">
      <c r="E340" s="382"/>
      <c r="F340" s="383"/>
      <c r="G340" s="383"/>
      <c r="H340" s="380"/>
      <c r="I340" s="380"/>
      <c r="J340" s="380"/>
    </row>
    <row r="341" spans="5:10">
      <c r="E341" s="382"/>
      <c r="F341" s="383"/>
      <c r="G341" s="383"/>
      <c r="H341" s="380"/>
      <c r="I341" s="380"/>
      <c r="J341" s="380"/>
    </row>
    <row r="342" spans="5:10">
      <c r="E342" s="382"/>
      <c r="F342" s="383"/>
      <c r="G342" s="383"/>
      <c r="H342" s="380"/>
      <c r="I342" s="380"/>
      <c r="J342" s="380"/>
    </row>
    <row r="343" spans="5:10">
      <c r="E343" s="382"/>
      <c r="F343" s="383"/>
      <c r="G343" s="383"/>
      <c r="H343" s="380"/>
      <c r="I343" s="380"/>
      <c r="J343" s="380"/>
    </row>
    <row r="344" spans="5:10">
      <c r="E344" s="382"/>
      <c r="F344" s="383"/>
      <c r="G344" s="383"/>
      <c r="H344" s="380"/>
      <c r="I344" s="380"/>
      <c r="J344" s="380"/>
    </row>
    <row r="345" spans="5:10">
      <c r="E345" s="382"/>
      <c r="F345" s="383"/>
      <c r="G345" s="383"/>
      <c r="H345" s="380"/>
      <c r="I345" s="380"/>
      <c r="J345" s="380"/>
    </row>
    <row r="346" spans="5:10">
      <c r="E346" s="382"/>
      <c r="F346" s="383"/>
      <c r="G346" s="383"/>
      <c r="H346" s="380"/>
      <c r="I346" s="380"/>
      <c r="J346" s="380"/>
    </row>
    <row r="347" spans="5:10">
      <c r="E347" s="382"/>
      <c r="F347" s="383"/>
      <c r="G347" s="383"/>
      <c r="H347" s="380"/>
      <c r="I347" s="380"/>
      <c r="J347" s="380"/>
    </row>
    <row r="348" spans="5:10">
      <c r="E348" s="382"/>
      <c r="F348" s="383"/>
      <c r="G348" s="383"/>
      <c r="H348" s="380"/>
      <c r="I348" s="380"/>
      <c r="J348" s="380"/>
    </row>
    <row r="349" spans="5:10">
      <c r="E349" s="382"/>
      <c r="F349" s="383"/>
      <c r="G349" s="383"/>
      <c r="H349" s="380"/>
      <c r="I349" s="380"/>
      <c r="J349" s="380"/>
    </row>
    <row r="350" spans="5:10">
      <c r="E350" s="382"/>
      <c r="F350" s="383"/>
      <c r="G350" s="383"/>
      <c r="H350" s="380"/>
      <c r="I350" s="380"/>
      <c r="J350" s="380"/>
    </row>
    <row r="351" spans="5:10">
      <c r="E351" s="382"/>
      <c r="F351" s="383"/>
      <c r="G351" s="383"/>
      <c r="H351" s="380"/>
      <c r="I351" s="380"/>
      <c r="J351" s="380"/>
    </row>
    <row r="352" spans="5:10">
      <c r="E352" s="382"/>
      <c r="F352" s="383"/>
      <c r="G352" s="383"/>
      <c r="H352" s="380"/>
      <c r="I352" s="380"/>
      <c r="J352" s="380"/>
    </row>
    <row r="353" spans="5:10">
      <c r="E353" s="382"/>
      <c r="F353" s="383"/>
      <c r="G353" s="383"/>
      <c r="H353" s="380"/>
      <c r="I353" s="380"/>
      <c r="J353" s="380"/>
    </row>
    <row r="354" spans="5:10">
      <c r="E354" s="382"/>
      <c r="F354" s="383"/>
      <c r="G354" s="383"/>
      <c r="H354" s="380"/>
      <c r="I354" s="380"/>
      <c r="J354" s="380"/>
    </row>
    <row r="355" spans="5:10">
      <c r="E355" s="382"/>
      <c r="F355" s="383"/>
      <c r="G355" s="383"/>
      <c r="H355" s="380"/>
      <c r="I355" s="380"/>
      <c r="J355" s="380"/>
    </row>
    <row r="356" spans="5:10">
      <c r="E356" s="382"/>
      <c r="F356" s="383"/>
      <c r="G356" s="383"/>
      <c r="H356" s="380"/>
      <c r="I356" s="380"/>
      <c r="J356" s="380"/>
    </row>
    <row r="357" spans="5:10">
      <c r="E357" s="382"/>
      <c r="F357" s="383"/>
      <c r="G357" s="383"/>
      <c r="H357" s="380"/>
      <c r="I357" s="380"/>
      <c r="J357" s="380"/>
    </row>
    <row r="358" spans="5:10">
      <c r="E358" s="382"/>
      <c r="F358" s="383"/>
      <c r="G358" s="383"/>
      <c r="H358" s="380"/>
      <c r="I358" s="380"/>
      <c r="J358" s="380"/>
    </row>
    <row r="359" spans="5:10">
      <c r="E359" s="382"/>
      <c r="F359" s="383"/>
      <c r="G359" s="383"/>
      <c r="H359" s="380"/>
      <c r="I359" s="380"/>
      <c r="J359" s="380"/>
    </row>
    <row r="360" spans="5:10">
      <c r="E360" s="382"/>
      <c r="F360" s="383"/>
      <c r="G360" s="383"/>
      <c r="H360" s="380"/>
      <c r="I360" s="380"/>
      <c r="J360" s="380"/>
    </row>
    <row r="361" spans="5:10">
      <c r="E361" s="382"/>
      <c r="F361" s="383"/>
      <c r="G361" s="383"/>
      <c r="H361" s="380"/>
      <c r="I361" s="380"/>
      <c r="J361" s="380"/>
    </row>
    <row r="362" spans="5:10">
      <c r="E362" s="382"/>
      <c r="F362" s="383"/>
      <c r="G362" s="383"/>
      <c r="H362" s="380"/>
      <c r="I362" s="380"/>
      <c r="J362" s="380"/>
    </row>
    <row r="363" spans="5:10">
      <c r="E363" s="382"/>
      <c r="F363" s="383"/>
      <c r="G363" s="383"/>
      <c r="H363" s="380"/>
      <c r="I363" s="380"/>
      <c r="J363" s="380"/>
    </row>
    <row r="364" spans="5:10">
      <c r="E364" s="382"/>
      <c r="F364" s="383"/>
      <c r="G364" s="383"/>
      <c r="H364" s="380"/>
      <c r="I364" s="380"/>
      <c r="J364" s="380"/>
    </row>
    <row r="365" spans="5:10">
      <c r="E365" s="382"/>
      <c r="F365" s="383"/>
      <c r="G365" s="383"/>
      <c r="H365" s="380"/>
      <c r="I365" s="380"/>
      <c r="J365" s="380"/>
    </row>
    <row r="366" spans="5:10">
      <c r="E366" s="382"/>
      <c r="F366" s="383"/>
      <c r="G366" s="383"/>
      <c r="H366" s="380"/>
      <c r="I366" s="380"/>
      <c r="J366" s="380"/>
    </row>
    <row r="367" spans="5:10">
      <c r="E367" s="382"/>
      <c r="F367" s="383"/>
      <c r="G367" s="383"/>
      <c r="H367" s="380"/>
      <c r="I367" s="380"/>
      <c r="J367" s="380"/>
    </row>
    <row r="368" spans="5:10">
      <c r="E368" s="382"/>
      <c r="F368" s="383"/>
      <c r="G368" s="383"/>
      <c r="H368" s="380"/>
      <c r="I368" s="380"/>
      <c r="J368" s="380"/>
    </row>
    <row r="369" spans="5:10">
      <c r="E369" s="382"/>
      <c r="F369" s="383"/>
      <c r="G369" s="383"/>
      <c r="H369" s="380"/>
      <c r="I369" s="380"/>
      <c r="J369" s="380"/>
    </row>
    <row r="370" spans="5:10">
      <c r="E370" s="382"/>
      <c r="F370" s="383"/>
      <c r="G370" s="383"/>
      <c r="H370" s="380"/>
      <c r="I370" s="380"/>
      <c r="J370" s="380"/>
    </row>
    <row r="371" spans="5:10">
      <c r="E371" s="382"/>
      <c r="F371" s="383"/>
      <c r="G371" s="383"/>
      <c r="H371" s="380"/>
      <c r="I371" s="380"/>
      <c r="J371" s="380"/>
    </row>
    <row r="372" spans="5:10">
      <c r="E372" s="382"/>
      <c r="F372" s="383"/>
      <c r="G372" s="383"/>
      <c r="H372" s="380"/>
      <c r="I372" s="380"/>
      <c r="J372" s="380"/>
    </row>
    <row r="373" spans="5:10">
      <c r="E373" s="382"/>
      <c r="F373" s="383"/>
      <c r="G373" s="383"/>
      <c r="H373" s="380"/>
      <c r="I373" s="380"/>
      <c r="J373" s="380"/>
    </row>
    <row r="374" spans="5:10">
      <c r="E374" s="382"/>
      <c r="F374" s="383"/>
      <c r="G374" s="383"/>
      <c r="H374" s="380"/>
      <c r="I374" s="380"/>
      <c r="J374" s="380"/>
    </row>
    <row r="375" spans="5:10">
      <c r="E375" s="382"/>
      <c r="F375" s="383"/>
      <c r="G375" s="383"/>
      <c r="H375" s="380"/>
      <c r="I375" s="380"/>
      <c r="J375" s="380"/>
    </row>
    <row r="376" spans="5:10">
      <c r="E376" s="382"/>
      <c r="F376" s="383"/>
      <c r="G376" s="383"/>
      <c r="H376" s="380"/>
      <c r="I376" s="380"/>
      <c r="J376" s="380"/>
    </row>
    <row r="377" spans="5:10">
      <c r="E377" s="382"/>
      <c r="F377" s="383"/>
      <c r="G377" s="383"/>
      <c r="H377" s="380"/>
      <c r="I377" s="380"/>
      <c r="J377" s="380"/>
    </row>
    <row r="378" spans="5:10">
      <c r="E378" s="382"/>
      <c r="F378" s="383"/>
      <c r="G378" s="383"/>
      <c r="H378" s="380"/>
      <c r="I378" s="380"/>
      <c r="J378" s="380"/>
    </row>
    <row r="379" spans="5:10">
      <c r="E379" s="382"/>
      <c r="F379" s="383"/>
      <c r="G379" s="383"/>
      <c r="H379" s="380"/>
      <c r="I379" s="380"/>
      <c r="J379" s="380"/>
    </row>
    <row r="380" spans="5:10">
      <c r="E380" s="382"/>
      <c r="F380" s="383"/>
      <c r="G380" s="383"/>
      <c r="H380" s="380"/>
      <c r="I380" s="380"/>
      <c r="J380" s="380"/>
    </row>
    <row r="381" spans="5:10">
      <c r="E381" s="382"/>
      <c r="F381" s="383"/>
      <c r="G381" s="383"/>
      <c r="H381" s="380"/>
      <c r="I381" s="380"/>
      <c r="J381" s="380"/>
    </row>
    <row r="382" spans="5:10">
      <c r="E382" s="382"/>
      <c r="F382" s="383"/>
      <c r="G382" s="383"/>
      <c r="H382" s="380"/>
      <c r="I382" s="380"/>
      <c r="J382" s="380"/>
    </row>
    <row r="383" spans="5:10">
      <c r="E383" s="382"/>
      <c r="F383" s="383"/>
      <c r="G383" s="383"/>
      <c r="H383" s="380"/>
      <c r="I383" s="380"/>
      <c r="J383" s="380"/>
    </row>
    <row r="384" spans="5:10">
      <c r="E384" s="382"/>
      <c r="F384" s="383"/>
      <c r="G384" s="383"/>
      <c r="H384" s="380"/>
      <c r="I384" s="380"/>
      <c r="J384" s="380"/>
    </row>
    <row r="385" spans="5:10">
      <c r="E385" s="382"/>
      <c r="F385" s="383"/>
      <c r="G385" s="383"/>
      <c r="H385" s="380"/>
      <c r="I385" s="380"/>
      <c r="J385" s="380"/>
    </row>
    <row r="386" spans="5:10">
      <c r="E386" s="382"/>
      <c r="F386" s="383"/>
      <c r="G386" s="383"/>
      <c r="H386" s="380"/>
      <c r="I386" s="380"/>
      <c r="J386" s="380"/>
    </row>
    <row r="387" spans="5:10">
      <c r="E387" s="382"/>
      <c r="F387" s="383"/>
      <c r="G387" s="383"/>
      <c r="H387" s="380"/>
      <c r="I387" s="380"/>
      <c r="J387" s="380"/>
    </row>
    <row r="388" spans="5:10">
      <c r="E388" s="382"/>
      <c r="F388" s="383"/>
      <c r="G388" s="383"/>
      <c r="H388" s="380"/>
      <c r="I388" s="380"/>
      <c r="J388" s="380"/>
    </row>
    <row r="389" spans="5:10">
      <c r="E389" s="382"/>
      <c r="F389" s="383"/>
      <c r="G389" s="383"/>
      <c r="H389" s="380"/>
      <c r="I389" s="380"/>
      <c r="J389" s="380"/>
    </row>
    <row r="390" spans="5:10">
      <c r="E390" s="382"/>
      <c r="F390" s="383"/>
      <c r="G390" s="383"/>
      <c r="H390" s="380"/>
      <c r="I390" s="380"/>
      <c r="J390" s="380"/>
    </row>
    <row r="391" spans="5:10">
      <c r="E391" s="382"/>
      <c r="F391" s="383"/>
      <c r="G391" s="383"/>
      <c r="H391" s="380"/>
      <c r="I391" s="380"/>
      <c r="J391" s="380"/>
    </row>
    <row r="392" spans="5:10">
      <c r="E392" s="382"/>
      <c r="F392" s="383"/>
      <c r="G392" s="383"/>
      <c r="H392" s="380"/>
      <c r="I392" s="380"/>
      <c r="J392" s="380"/>
    </row>
    <row r="393" spans="5:10">
      <c r="E393" s="379"/>
    </row>
    <row r="394" spans="5:10">
      <c r="E394" s="379"/>
    </row>
    <row r="395" spans="5:10">
      <c r="E395" s="379"/>
    </row>
    <row r="396" spans="5:10">
      <c r="E396" s="379"/>
    </row>
    <row r="397" spans="5:10">
      <c r="E397" s="379"/>
    </row>
    <row r="398" spans="5:10">
      <c r="E398" s="379"/>
    </row>
    <row r="399" spans="5:10">
      <c r="E399" s="379"/>
    </row>
  </sheetData>
  <mergeCells count="7">
    <mergeCell ref="A1:J1"/>
    <mergeCell ref="C4:E4"/>
    <mergeCell ref="F4:H4"/>
    <mergeCell ref="I4:I5"/>
    <mergeCell ref="J4:J5"/>
    <mergeCell ref="A4:A5"/>
    <mergeCell ref="B4:B5"/>
  </mergeCells>
  <phoneticPr fontId="3" type="noConversion"/>
  <conditionalFormatting sqref="J1:J1048576">
    <cfRule type="cellIs" dxfId="10" priority="1" stopIfTrue="1" operator="equal">
      <formula>"显著"</formula>
    </cfRule>
    <cfRule type="cellIs" dxfId="9" priority="2" stopIfTrue="1" operator="equal">
      <formula>"关注"</formula>
    </cfRule>
  </conditionalFormatting>
  <printOptions horizontalCentered="1" verticalCentered="1"/>
  <pageMargins left="0.27559055118110237" right="0.35433070866141736" top="0.42" bottom="0.25" header="0.39370078740157483" footer="0.21"/>
  <pageSetup paperSize="9" scale="95" orientation="landscape" blackAndWhite="1" horizontalDpi="180" verticalDpi="18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O334"/>
  <sheetViews>
    <sheetView workbookViewId="0">
      <pane xSplit="3" ySplit="4" topLeftCell="D5" activePane="bottomRight" state="frozen"/>
      <selection pane="topRight" activeCell="D1" sqref="D1"/>
      <selection pane="bottomLeft" activeCell="A5" sqref="A5"/>
      <selection pane="bottomRight" activeCell="A2" sqref="A2"/>
    </sheetView>
  </sheetViews>
  <sheetFormatPr defaultRowHeight="13.5"/>
  <cols>
    <col min="1" max="1" width="3.25" style="42" customWidth="1"/>
    <col min="2" max="2" width="6" style="42" customWidth="1"/>
    <col min="3" max="3" width="16.875" style="302" customWidth="1"/>
    <col min="4" max="4" width="3.125" style="57" customWidth="1"/>
    <col min="5" max="5" width="9.25" style="44" customWidth="1"/>
    <col min="6" max="6" width="12.125" style="44" customWidth="1"/>
    <col min="7" max="7" width="3.25" style="57" customWidth="1"/>
    <col min="8" max="8" width="10.375" style="44" customWidth="1"/>
    <col min="9" max="9" width="13" style="44" customWidth="1"/>
    <col min="10" max="10" width="11.625" style="298" customWidth="1"/>
    <col min="11" max="11" width="8.75" style="44" customWidth="1"/>
    <col min="12" max="12" width="9.375" style="44" customWidth="1"/>
    <col min="13" max="13" width="0.5" style="44" customWidth="1"/>
    <col min="14" max="14" width="5.125" style="160" bestFit="1" customWidth="1"/>
    <col min="15" max="15" width="22.375" style="159" bestFit="1" customWidth="1"/>
    <col min="16" max="16384" width="9" style="44"/>
  </cols>
  <sheetData>
    <row r="1" spans="1:15" s="41" customFormat="1" ht="19.5" customHeight="1">
      <c r="A1" s="241" t="str">
        <f>IF((L2-('TB资产(期初)'!C63+'TB负债(期初)'!C63+'TB损益(期初)'!C75)-IF(COUNTIF(E5:E666,"未分配利润")&gt;=1,VLOOKUP("未分配利润",E5:J666,6,0),0))&lt;0.005,"期初账项调整事项汇总表","调整事项未全部链入试算平衡表，请检查调整科目是否为报表项目!")</f>
        <v>期初账项调整事项汇总表</v>
      </c>
      <c r="B1" s="39"/>
      <c r="C1" s="299"/>
      <c r="D1" s="40"/>
      <c r="E1" s="40"/>
      <c r="F1" s="40"/>
      <c r="G1" s="40"/>
      <c r="H1" s="40"/>
      <c r="I1" s="40"/>
      <c r="J1" s="294"/>
      <c r="K1" s="773">
        <f>SUM(L2:L3)</f>
        <v>0</v>
      </c>
      <c r="L1" s="773"/>
      <c r="N1" s="156" t="s">
        <v>708</v>
      </c>
      <c r="O1" s="157" t="s">
        <v>551</v>
      </c>
    </row>
    <row r="2" spans="1:15" s="42" customFormat="1" ht="15" customHeight="1">
      <c r="A2" s="235" t="str">
        <f>CONCATENATE("客户名称：",参数!D3)</f>
        <v>客户名称：</v>
      </c>
      <c r="C2" s="300"/>
      <c r="D2" s="43"/>
      <c r="E2" s="42" t="str">
        <f>CONCATENATE("编制人：",参数!D17)</f>
        <v>编制人：</v>
      </c>
      <c r="G2" s="43"/>
      <c r="H2" s="42" t="str">
        <f ca="1">CONCATENATE("日期：",TEXT(NOW(),"yyyy.mm.dd"))</f>
        <v>日期：2023.08.14</v>
      </c>
      <c r="J2" s="295" t="s">
        <v>249</v>
      </c>
      <c r="K2" s="772" t="s">
        <v>250</v>
      </c>
      <c r="L2" s="774">
        <f>SUMIF(E5:E65536,"?*",J5:J65536)</f>
        <v>0</v>
      </c>
      <c r="N2" s="158"/>
      <c r="O2" s="159"/>
    </row>
    <row r="3" spans="1:15" s="42" customFormat="1" ht="15" customHeight="1">
      <c r="A3" s="235" t="str">
        <f>CONCATENATE("会计期间：",参数!D10)</f>
        <v>会计期间：2007年度</v>
      </c>
      <c r="C3" s="300"/>
      <c r="D3" s="43"/>
      <c r="E3" s="42" t="str">
        <f>CONCATENATE("复核人：",参数!D18)</f>
        <v>复核人：</v>
      </c>
      <c r="G3" s="43"/>
      <c r="H3" s="42" t="s">
        <v>219</v>
      </c>
      <c r="J3" s="295" t="s">
        <v>251</v>
      </c>
      <c r="K3" s="772" t="s">
        <v>252</v>
      </c>
      <c r="L3" s="774">
        <f>SUMIF(H5:H65536,"?*",J5:J65536)</f>
        <v>0</v>
      </c>
      <c r="N3" s="158"/>
      <c r="O3" s="159"/>
    </row>
    <row r="4" spans="1:15">
      <c r="A4" s="776" t="s">
        <v>368</v>
      </c>
      <c r="B4" s="237" t="s">
        <v>253</v>
      </c>
      <c r="C4" s="301" t="s">
        <v>254</v>
      </c>
      <c r="D4" s="239" t="s">
        <v>708</v>
      </c>
      <c r="E4" s="238" t="s">
        <v>255</v>
      </c>
      <c r="F4" s="240" t="s">
        <v>256</v>
      </c>
      <c r="G4" s="239" t="s">
        <v>708</v>
      </c>
      <c r="H4" s="238" t="s">
        <v>257</v>
      </c>
      <c r="I4" s="240" t="s">
        <v>256</v>
      </c>
      <c r="J4" s="296" t="s">
        <v>214</v>
      </c>
      <c r="K4" s="790"/>
      <c r="L4" s="775">
        <f>L2-L3</f>
        <v>0</v>
      </c>
      <c r="N4" s="158"/>
    </row>
    <row r="5" spans="1:15">
      <c r="A5" s="925">
        <v>1</v>
      </c>
      <c r="B5" s="932"/>
      <c r="C5" s="929"/>
      <c r="D5" s="850"/>
      <c r="E5" s="42" t="str">
        <f>IF(D5=0,"",VLOOKUP(D5,$N:$O,2,0))</f>
        <v/>
      </c>
      <c r="F5" s="592"/>
      <c r="G5" s="46"/>
      <c r="H5" s="42" t="str">
        <f>IF(G5=0,"",VLOOKUP(G5,$N:$O,2,0))</f>
        <v/>
      </c>
      <c r="I5" s="592"/>
      <c r="J5" s="297"/>
      <c r="K5" s="334" t="s">
        <v>709</v>
      </c>
      <c r="N5" s="158">
        <f>报表格式!Z5</f>
        <v>0</v>
      </c>
      <c r="O5" s="135" t="str">
        <f>报表格式!AA5</f>
        <v>流动资产：</v>
      </c>
    </row>
    <row r="6" spans="1:15">
      <c r="A6" s="926"/>
      <c r="B6" s="933"/>
      <c r="C6" s="930"/>
      <c r="D6" s="38"/>
      <c r="E6" s="48" t="str">
        <f>IF(D6=0,"",VLOOKUP(D6,$N:$O,2,0))</f>
        <v/>
      </c>
      <c r="F6" s="592"/>
      <c r="G6" s="49"/>
      <c r="H6" s="48" t="str">
        <f>IF(G6=0,"",VLOOKUP(G6,$N:$O,2,0))</f>
        <v/>
      </c>
      <c r="I6" s="592"/>
      <c r="J6" s="293"/>
      <c r="K6" s="334" t="s">
        <v>710</v>
      </c>
      <c r="N6" s="160" t="str">
        <f>报表格式!Z6</f>
        <v>G123</v>
      </c>
      <c r="O6" s="54" t="str">
        <f>报表格式!AA6</f>
        <v>货币资金</v>
      </c>
    </row>
    <row r="7" spans="1:15">
      <c r="A7" s="926"/>
      <c r="B7" s="933"/>
      <c r="C7" s="930"/>
      <c r="D7" s="38"/>
      <c r="E7" s="48" t="str">
        <f>IF(D7=0,"",VLOOKUP(D7,$N:$O,2,0))</f>
        <v/>
      </c>
      <c r="F7" s="592"/>
      <c r="G7" s="49"/>
      <c r="H7" s="48" t="str">
        <f>IF(G7=0,"",VLOOKUP(G7,$N:$O,2,0))</f>
        <v/>
      </c>
      <c r="I7" s="592"/>
      <c r="J7" s="293"/>
      <c r="N7" s="160" t="str">
        <f>报表格式!Z7</f>
        <v>F1</v>
      </c>
      <c r="O7" s="51" t="str">
        <f>报表格式!AA7</f>
        <v>短期投资</v>
      </c>
    </row>
    <row r="8" spans="1:15">
      <c r="A8" s="927"/>
      <c r="B8" s="934"/>
      <c r="C8" s="931"/>
      <c r="D8" s="38"/>
      <c r="E8" s="48" t="str">
        <f>IF(D8=0,"",VLOOKUP(D8,$N:$O,2,0))</f>
        <v/>
      </c>
      <c r="F8" s="592"/>
      <c r="G8" s="49"/>
      <c r="H8" s="48" t="str">
        <f>IF(G8=0,"",VLOOKUP(G8,$N:$O,2,0))</f>
        <v/>
      </c>
      <c r="I8" s="592"/>
      <c r="J8" s="293"/>
      <c r="N8" s="160" t="str">
        <f>报表格式!Z8</f>
        <v>D3</v>
      </c>
      <c r="O8" s="51" t="str">
        <f>报表格式!AA8</f>
        <v>应收票据</v>
      </c>
    </row>
    <row r="9" spans="1:15">
      <c r="A9" s="587"/>
      <c r="B9" s="587"/>
      <c r="C9" s="588"/>
      <c r="D9" s="589"/>
      <c r="E9" s="590"/>
      <c r="F9" s="590"/>
      <c r="G9" s="589"/>
      <c r="H9" s="590"/>
      <c r="I9" s="590"/>
      <c r="J9" s="591" t="str">
        <f>IF(ABS((SUMIF(E5:E8,"?*",J5:J8)-SUMIF(H5:H8,"?*",J5:J8)))&lt;0.005,"","借贷不等")</f>
        <v/>
      </c>
      <c r="K9" s="45"/>
      <c r="N9" s="160" t="str">
        <f>报表格式!Z9</f>
        <v>F5</v>
      </c>
      <c r="O9" s="51" t="str">
        <f>报表格式!AA9</f>
        <v>应收股利</v>
      </c>
    </row>
    <row r="10" spans="1:15">
      <c r="A10" s="925">
        <v>2</v>
      </c>
      <c r="B10" s="932"/>
      <c r="C10" s="924"/>
      <c r="D10" s="38"/>
      <c r="E10" s="48" t="str">
        <f>IF(D10=0,"",VLOOKUP(D10,$N:$O,2,0))</f>
        <v/>
      </c>
      <c r="F10" s="592"/>
      <c r="G10" s="49"/>
      <c r="H10" s="48" t="str">
        <f>IF(G10=0,"",VLOOKUP(G10,$N:$O,2,0))</f>
        <v/>
      </c>
      <c r="I10" s="592"/>
      <c r="J10" s="293"/>
      <c r="K10" s="45"/>
      <c r="N10" s="160" t="str">
        <f>报表格式!Z10</f>
        <v>F6</v>
      </c>
      <c r="O10" s="51" t="str">
        <f>报表格式!AA10</f>
        <v>应收利息</v>
      </c>
    </row>
    <row r="11" spans="1:15">
      <c r="A11" s="926"/>
      <c r="B11" s="933"/>
      <c r="C11" s="924"/>
      <c r="D11" s="38"/>
      <c r="E11" s="48" t="str">
        <f>IF(D11=0,"",VLOOKUP(D11,$N:$O,2,0))</f>
        <v/>
      </c>
      <c r="F11" s="592"/>
      <c r="G11" s="49"/>
      <c r="H11" s="48" t="str">
        <f>IF(G11=0,"",VLOOKUP(G11,$N:$O,2,0))</f>
        <v/>
      </c>
      <c r="I11" s="592"/>
      <c r="J11" s="293"/>
      <c r="N11" s="160" t="str">
        <f>报表格式!Z11</f>
        <v>D1</v>
      </c>
      <c r="O11" s="51" t="str">
        <f>报表格式!AA11</f>
        <v>应收账款</v>
      </c>
    </row>
    <row r="12" spans="1:15">
      <c r="A12" s="926"/>
      <c r="B12" s="933"/>
      <c r="C12" s="924"/>
      <c r="D12" s="38"/>
      <c r="E12" s="48" t="str">
        <f>IF(D12=0,"",VLOOKUP(D12,$N:$O,2,0))</f>
        <v/>
      </c>
      <c r="F12" s="592"/>
      <c r="G12" s="49"/>
      <c r="H12" s="48" t="str">
        <f>IF(G12=0,"",VLOOKUP(G12,$N:$O,2,0))</f>
        <v/>
      </c>
      <c r="I12" s="592"/>
      <c r="J12" s="293"/>
      <c r="N12" s="160" t="str">
        <f>报表格式!Z12</f>
        <v>G4</v>
      </c>
      <c r="O12" s="51" t="str">
        <f>报表格式!AA12</f>
        <v>其他应收款</v>
      </c>
    </row>
    <row r="13" spans="1:15">
      <c r="A13" s="927"/>
      <c r="B13" s="934"/>
      <c r="C13" s="924"/>
      <c r="D13" s="38"/>
      <c r="E13" s="48" t="str">
        <f>IF(D13=0,"",VLOOKUP(D13,$N:$O,2,0))</f>
        <v/>
      </c>
      <c r="F13" s="592"/>
      <c r="G13" s="49"/>
      <c r="H13" s="48" t="str">
        <f>IF(G13=0,"",VLOOKUP(G13,$N:$O,2,0))</f>
        <v/>
      </c>
      <c r="I13" s="592"/>
      <c r="J13" s="293"/>
      <c r="N13" s="160" t="str">
        <f>报表格式!Z13</f>
        <v>E3</v>
      </c>
      <c r="O13" s="51" t="str">
        <f>报表格式!AA13</f>
        <v>预付账款</v>
      </c>
    </row>
    <row r="14" spans="1:15">
      <c r="A14" s="648"/>
      <c r="B14" s="648"/>
      <c r="C14" s="649"/>
      <c r="D14" s="650"/>
      <c r="E14" s="651"/>
      <c r="F14" s="651"/>
      <c r="G14" s="650"/>
      <c r="H14" s="651"/>
      <c r="I14" s="651"/>
      <c r="J14" s="652" t="str">
        <f>IF(ABS((SUMIF(E10:E13,"?*",J10:J13)-SUMIF(H10:H13,"?*",J10:J13)))&lt;0.005,"","借贷不等")</f>
        <v/>
      </c>
      <c r="N14" s="160">
        <f>报表格式!Z14</f>
        <v>0</v>
      </c>
      <c r="O14" s="51" t="str">
        <f>报表格式!AA14</f>
        <v>期货保证金</v>
      </c>
    </row>
    <row r="15" spans="1:15">
      <c r="A15" s="925">
        <v>3</v>
      </c>
      <c r="B15" s="932"/>
      <c r="C15" s="924"/>
      <c r="D15" s="38"/>
      <c r="E15" s="48" t="str">
        <f>IF(D15=0,"",VLOOKUP(D15,$N:$O,2,0))</f>
        <v/>
      </c>
      <c r="F15" s="592"/>
      <c r="G15" s="49"/>
      <c r="H15" s="48" t="str">
        <f>IF(G15=0,"",VLOOKUP(G15,$N:$O,2,0))</f>
        <v/>
      </c>
      <c r="I15" s="592"/>
      <c r="J15" s="293"/>
      <c r="N15" s="160" t="str">
        <f>报表格式!Z15</f>
        <v>I1</v>
      </c>
      <c r="O15" s="51" t="str">
        <f>报表格式!AA15</f>
        <v>应收补贴款</v>
      </c>
    </row>
    <row r="16" spans="1:15">
      <c r="A16" s="926"/>
      <c r="B16" s="933"/>
      <c r="C16" s="924"/>
      <c r="D16" s="38"/>
      <c r="E16" s="48" t="str">
        <f>IF(D16=0,"",VLOOKUP(D16,$N:$O,2,0))</f>
        <v/>
      </c>
      <c r="F16" s="592"/>
      <c r="G16" s="49"/>
      <c r="H16" s="48" t="str">
        <f>IF(G16=0,"",VLOOKUP(G16,$N:$O,2,0))</f>
        <v/>
      </c>
      <c r="I16" s="592"/>
      <c r="J16" s="293"/>
      <c r="N16" s="160">
        <f>报表格式!Z16</f>
        <v>0</v>
      </c>
      <c r="O16" s="51" t="str">
        <f>报表格式!AA16</f>
        <v>应收出口退税</v>
      </c>
    </row>
    <row r="17" spans="1:15">
      <c r="A17" s="926"/>
      <c r="B17" s="933"/>
      <c r="C17" s="924"/>
      <c r="D17" s="38"/>
      <c r="E17" s="48" t="str">
        <f>IF(D17=0,"",VLOOKUP(D17,$N:$O,2,0))</f>
        <v/>
      </c>
      <c r="F17" s="592"/>
      <c r="G17" s="49"/>
      <c r="H17" s="48" t="str">
        <f>IF(G17=0,"",VLOOKUP(G17,$N:$O,2,0))</f>
        <v/>
      </c>
      <c r="I17" s="592"/>
      <c r="J17" s="293"/>
      <c r="N17" s="160" t="str">
        <f>报表格式!Z17</f>
        <v>E1</v>
      </c>
      <c r="O17" s="51" t="str">
        <f>报表格式!AA17</f>
        <v>存货</v>
      </c>
    </row>
    <row r="18" spans="1:15">
      <c r="A18" s="927"/>
      <c r="B18" s="934"/>
      <c r="C18" s="924"/>
      <c r="D18" s="38"/>
      <c r="E18" s="48" t="str">
        <f>IF(D18=0,"",VLOOKUP(D18,$N:$O,2,0))</f>
        <v/>
      </c>
      <c r="F18" s="592"/>
      <c r="G18" s="49"/>
      <c r="H18" s="48" t="str">
        <f>IF(G18=0,"",VLOOKUP(G18,$N:$O,2,0))</f>
        <v/>
      </c>
      <c r="I18" s="592"/>
      <c r="J18" s="293"/>
      <c r="N18" s="160">
        <f>报表格式!Z18</f>
        <v>0</v>
      </c>
      <c r="O18" s="51">
        <f>报表格式!AA18</f>
        <v>0</v>
      </c>
    </row>
    <row r="19" spans="1:15">
      <c r="A19" s="648"/>
      <c r="B19" s="648"/>
      <c r="C19" s="649"/>
      <c r="D19" s="650"/>
      <c r="E19" s="651"/>
      <c r="F19" s="651"/>
      <c r="G19" s="650"/>
      <c r="H19" s="651"/>
      <c r="I19" s="651"/>
      <c r="J19" s="652" t="str">
        <f>IF(ABS((SUMIF(E15:E18,"?*",J15:J18)-SUMIF(H15:H18,"?*",J15:J18)))&lt;0.005,"","借贷不等")</f>
        <v/>
      </c>
      <c r="N19" s="160">
        <f>报表格式!Z19</f>
        <v>0</v>
      </c>
      <c r="O19" s="139">
        <f>报表格式!AA19</f>
        <v>0</v>
      </c>
    </row>
    <row r="20" spans="1:15">
      <c r="A20" s="925">
        <v>4</v>
      </c>
      <c r="B20" s="932"/>
      <c r="C20" s="924"/>
      <c r="D20" s="38"/>
      <c r="E20" s="48" t="str">
        <f>IF(D20=0,"",VLOOKUP(D20,$N:$O,2,0))</f>
        <v/>
      </c>
      <c r="F20" s="592"/>
      <c r="G20" s="49"/>
      <c r="H20" s="48" t="str">
        <f>IF(G20=0,"",VLOOKUP(G20,$N:$O,2,0))</f>
        <v/>
      </c>
      <c r="I20" s="592"/>
      <c r="J20" s="293"/>
      <c r="N20" s="160" t="str">
        <f>报表格式!Z20</f>
        <v>I4</v>
      </c>
      <c r="O20" s="51" t="str">
        <f>报表格式!AA20</f>
        <v>待摊费用</v>
      </c>
    </row>
    <row r="21" spans="1:15">
      <c r="A21" s="926"/>
      <c r="B21" s="933"/>
      <c r="C21" s="924"/>
      <c r="D21" s="38"/>
      <c r="E21" s="48" t="str">
        <f>IF(D21=0,"",VLOOKUP(D21,$N:$O,2,0))</f>
        <v/>
      </c>
      <c r="F21" s="592"/>
      <c r="G21" s="49"/>
      <c r="H21" s="48" t="str">
        <f>IF(G21=0,"",VLOOKUP(G21,$N:$O,2,0))</f>
        <v/>
      </c>
      <c r="I21" s="592"/>
      <c r="J21" s="293"/>
      <c r="N21" s="160" t="str">
        <f>报表格式!Z21</f>
        <v>I6</v>
      </c>
      <c r="O21" s="51" t="str">
        <f>报表格式!AA21</f>
        <v>待处理流动资产净损失</v>
      </c>
    </row>
    <row r="22" spans="1:15">
      <c r="A22" s="926"/>
      <c r="B22" s="933"/>
      <c r="C22" s="924"/>
      <c r="D22" s="38"/>
      <c r="E22" s="48" t="str">
        <f>IF(D22=0,"",VLOOKUP(D22,$N:$O,2,0))</f>
        <v/>
      </c>
      <c r="F22" s="592"/>
      <c r="G22" s="49"/>
      <c r="H22" s="48" t="str">
        <f>IF(G22=0,"",VLOOKUP(G22,$N:$O,2,0))</f>
        <v/>
      </c>
      <c r="I22" s="592"/>
      <c r="J22" s="293"/>
      <c r="N22" s="160">
        <f>报表格式!Z22</f>
        <v>0</v>
      </c>
      <c r="O22" s="51" t="str">
        <f>报表格式!AA22</f>
        <v>一年内到期的长期债权投资</v>
      </c>
    </row>
    <row r="23" spans="1:15">
      <c r="A23" s="927"/>
      <c r="B23" s="934"/>
      <c r="C23" s="924"/>
      <c r="D23" s="38"/>
      <c r="E23" s="48" t="str">
        <f>IF(D23=0,"",VLOOKUP(D23,$N:$O,2,0))</f>
        <v/>
      </c>
      <c r="F23" s="592"/>
      <c r="G23" s="49"/>
      <c r="H23" s="48" t="str">
        <f>IF(G23=0,"",VLOOKUP(G23,$N:$O,2,0))</f>
        <v/>
      </c>
      <c r="I23" s="592"/>
      <c r="J23" s="293"/>
      <c r="N23" s="160">
        <f>报表格式!Z23</f>
        <v>0</v>
      </c>
      <c r="O23" s="54" t="str">
        <f>报表格式!AA23</f>
        <v>其他流动资产</v>
      </c>
    </row>
    <row r="24" spans="1:15">
      <c r="A24" s="648"/>
      <c r="B24" s="648"/>
      <c r="C24" s="649"/>
      <c r="D24" s="650"/>
      <c r="E24" s="651"/>
      <c r="F24" s="651"/>
      <c r="G24" s="650"/>
      <c r="H24" s="651"/>
      <c r="I24" s="651"/>
      <c r="J24" s="652" t="str">
        <f>IF(ABS((SUMIF(E20:E23,"?*",J20:J23)-SUMIF(H20:H23,"?*",J20:J23)))&lt;0.005,"","借贷不等")</f>
        <v/>
      </c>
      <c r="N24" s="160">
        <f>报表格式!Z24</f>
        <v>0</v>
      </c>
      <c r="O24" s="47">
        <f>报表格式!AA24</f>
        <v>0</v>
      </c>
    </row>
    <row r="25" spans="1:15">
      <c r="A25" s="925">
        <v>5</v>
      </c>
      <c r="B25" s="932"/>
      <c r="C25" s="924"/>
      <c r="D25" s="38"/>
      <c r="E25" s="48" t="str">
        <f>IF(D25=0,"",VLOOKUP(D25,$N:$O,2,0))</f>
        <v/>
      </c>
      <c r="F25" s="592"/>
      <c r="G25" s="49"/>
      <c r="H25" s="48" t="str">
        <f>IF(G25=0,"",VLOOKUP(G25,$N:$O,2,0))</f>
        <v/>
      </c>
      <c r="I25" s="592"/>
      <c r="J25" s="293"/>
      <c r="N25" s="160">
        <f>报表格式!Z25</f>
        <v>0</v>
      </c>
      <c r="O25" s="51">
        <f>报表格式!AA25</f>
        <v>0</v>
      </c>
    </row>
    <row r="26" spans="1:15">
      <c r="A26" s="926"/>
      <c r="B26" s="933"/>
      <c r="C26" s="924"/>
      <c r="D26" s="38"/>
      <c r="E26" s="48" t="str">
        <f>IF(D26=0,"",VLOOKUP(D26,$N:$O,2,0))</f>
        <v/>
      </c>
      <c r="F26" s="592"/>
      <c r="G26" s="49"/>
      <c r="H26" s="48" t="str">
        <f>IF(G26=0,"",VLOOKUP(G26,$N:$O,2,0))</f>
        <v/>
      </c>
      <c r="I26" s="592"/>
      <c r="J26" s="293"/>
      <c r="N26" s="160">
        <f>报表格式!Z26</f>
        <v>0</v>
      </c>
      <c r="O26" s="53" t="str">
        <f>报表格式!AA26</f>
        <v>流动资产合计</v>
      </c>
    </row>
    <row r="27" spans="1:15">
      <c r="A27" s="926"/>
      <c r="B27" s="933"/>
      <c r="C27" s="924"/>
      <c r="D27" s="38"/>
      <c r="E27" s="48" t="str">
        <f>IF(D27=0,"",VLOOKUP(D27,$N:$O,2,0))</f>
        <v/>
      </c>
      <c r="F27" s="592"/>
      <c r="G27" s="49"/>
      <c r="H27" s="48" t="str">
        <f>IF(G27=0,"",VLOOKUP(G27,$N:$O,2,0))</f>
        <v/>
      </c>
      <c r="I27" s="592"/>
      <c r="J27" s="293"/>
      <c r="N27" s="160">
        <f>报表格式!Z27</f>
        <v>0</v>
      </c>
      <c r="O27" s="51">
        <f>报表格式!AA27</f>
        <v>0</v>
      </c>
    </row>
    <row r="28" spans="1:15">
      <c r="A28" s="927"/>
      <c r="B28" s="934"/>
      <c r="C28" s="924"/>
      <c r="D28" s="38"/>
      <c r="E28" s="48" t="str">
        <f>IF(D28=0,"",VLOOKUP(D28,$N:$O,2,0))</f>
        <v/>
      </c>
      <c r="F28" s="592"/>
      <c r="G28" s="49"/>
      <c r="H28" s="48" t="str">
        <f>IF(G28=0,"",VLOOKUP(G28,$N:$O,2,0))</f>
        <v/>
      </c>
      <c r="I28" s="592"/>
      <c r="J28" s="293"/>
      <c r="N28" s="160">
        <f>报表格式!Z28</f>
        <v>0</v>
      </c>
      <c r="O28" s="135" t="str">
        <f>报表格式!AA28</f>
        <v>长期投资：</v>
      </c>
    </row>
    <row r="29" spans="1:15">
      <c r="A29" s="648"/>
      <c r="B29" s="648"/>
      <c r="C29" s="649"/>
      <c r="D29" s="650"/>
      <c r="E29" s="651"/>
      <c r="F29" s="651"/>
      <c r="G29" s="650"/>
      <c r="H29" s="651"/>
      <c r="I29" s="651"/>
      <c r="J29" s="652" t="str">
        <f>IF(ABS((SUMIF(E25:E28,"?*",J25:J28)-SUMIF(H25:H28,"?*",J25:J28)))&lt;0.005,"","借贷不等")</f>
        <v/>
      </c>
      <c r="N29" s="160" t="str">
        <f>报表格式!Z29</f>
        <v>F2</v>
      </c>
      <c r="O29" s="51" t="str">
        <f>报表格式!AA29</f>
        <v>长期股权投资</v>
      </c>
    </row>
    <row r="30" spans="1:15">
      <c r="A30" s="925">
        <v>6</v>
      </c>
      <c r="B30" s="932"/>
      <c r="C30" s="924"/>
      <c r="D30" s="38"/>
      <c r="E30" s="48" t="str">
        <f>IF(D30=0,"",VLOOKUP(D30,$N:$O,2,0))</f>
        <v/>
      </c>
      <c r="F30" s="592"/>
      <c r="G30" s="49"/>
      <c r="H30" s="48" t="str">
        <f>IF(G30=0,"",VLOOKUP(G30,$N:$O,2,0))</f>
        <v/>
      </c>
      <c r="I30" s="592"/>
      <c r="J30" s="293"/>
      <c r="N30" s="160" t="str">
        <f>报表格式!Z30</f>
        <v>F3</v>
      </c>
      <c r="O30" s="51" t="str">
        <f>报表格式!AA30</f>
        <v>长期债权投资</v>
      </c>
    </row>
    <row r="31" spans="1:15">
      <c r="A31" s="926"/>
      <c r="B31" s="933"/>
      <c r="C31" s="924"/>
      <c r="D31" s="38"/>
      <c r="E31" s="48" t="str">
        <f>IF(D31=0,"",VLOOKUP(D31,$N:$O,2,0))</f>
        <v/>
      </c>
      <c r="F31" s="592"/>
      <c r="G31" s="49"/>
      <c r="H31" s="48" t="str">
        <f>IF(G31=0,"",VLOOKUP(G31,$N:$O,2,0))</f>
        <v/>
      </c>
      <c r="I31" s="592"/>
      <c r="J31" s="293"/>
      <c r="N31" s="160">
        <f>报表格式!Z31</f>
        <v>0</v>
      </c>
      <c r="O31" s="51" t="str">
        <f>报表格式!AA31</f>
        <v>合并价差</v>
      </c>
    </row>
    <row r="32" spans="1:15">
      <c r="A32" s="926"/>
      <c r="B32" s="933"/>
      <c r="C32" s="924"/>
      <c r="D32" s="38"/>
      <c r="E32" s="48" t="str">
        <f>IF(D32=0,"",VLOOKUP(D32,$N:$O,2,0))</f>
        <v/>
      </c>
      <c r="F32" s="592"/>
      <c r="G32" s="49"/>
      <c r="H32" s="48" t="str">
        <f>IF(G32=0,"",VLOOKUP(G32,$N:$O,2,0))</f>
        <v/>
      </c>
      <c r="I32" s="592"/>
      <c r="J32" s="293"/>
      <c r="N32" s="160">
        <f>报表格式!Z32</f>
        <v>0</v>
      </c>
      <c r="O32" s="51">
        <f>报表格式!AA32</f>
        <v>0</v>
      </c>
    </row>
    <row r="33" spans="1:15">
      <c r="A33" s="927"/>
      <c r="B33" s="934"/>
      <c r="C33" s="924"/>
      <c r="D33" s="38"/>
      <c r="E33" s="48" t="str">
        <f>IF(D33=0,"",VLOOKUP(D33,$N:$O,2,0))</f>
        <v/>
      </c>
      <c r="F33" s="592"/>
      <c r="G33" s="49"/>
      <c r="H33" s="48" t="str">
        <f>IF(G33=0,"",VLOOKUP(G33,$N:$O,2,0))</f>
        <v/>
      </c>
      <c r="I33" s="592"/>
      <c r="J33" s="293"/>
      <c r="N33" s="160">
        <f>报表格式!Z33</f>
        <v>0</v>
      </c>
      <c r="O33" s="52">
        <f>报表格式!AA33</f>
        <v>0</v>
      </c>
    </row>
    <row r="34" spans="1:15">
      <c r="A34" s="648"/>
      <c r="B34" s="648"/>
      <c r="C34" s="649"/>
      <c r="D34" s="650"/>
      <c r="E34" s="651"/>
      <c r="F34" s="651"/>
      <c r="G34" s="650"/>
      <c r="H34" s="651"/>
      <c r="I34" s="651"/>
      <c r="J34" s="652" t="str">
        <f>IF(ABS((SUMIF(E30:E33,"?*",J30:J33)-SUMIF(H30:H33,"?*",J30:J33)))&lt;0.005,"","借贷不等")</f>
        <v/>
      </c>
      <c r="N34" s="160">
        <f>报表格式!Z34</f>
        <v>0</v>
      </c>
      <c r="O34" s="53" t="str">
        <f>报表格式!AA34</f>
        <v>长期投资合计</v>
      </c>
    </row>
    <row r="35" spans="1:15">
      <c r="A35" s="925">
        <v>7</v>
      </c>
      <c r="B35" s="932"/>
      <c r="C35" s="924"/>
      <c r="D35" s="38"/>
      <c r="E35" s="48" t="str">
        <f>IF(D35=0,"",VLOOKUP(D35,$N:$O,2,0))</f>
        <v/>
      </c>
      <c r="F35" s="592"/>
      <c r="G35" s="49"/>
      <c r="H35" s="48" t="str">
        <f>IF(G35=0,"",VLOOKUP(G35,$N:$O,2,0))</f>
        <v/>
      </c>
      <c r="I35" s="592"/>
      <c r="J35" s="293"/>
      <c r="N35" s="160">
        <f>报表格式!Z35</f>
        <v>0</v>
      </c>
      <c r="O35" s="51">
        <f>报表格式!AA35</f>
        <v>0</v>
      </c>
    </row>
    <row r="36" spans="1:15">
      <c r="A36" s="926"/>
      <c r="B36" s="933"/>
      <c r="C36" s="924"/>
      <c r="D36" s="38"/>
      <c r="E36" s="48" t="str">
        <f>IF(D36=0,"",VLOOKUP(D36,$N:$O,2,0))</f>
        <v/>
      </c>
      <c r="F36" s="592"/>
      <c r="G36" s="49"/>
      <c r="H36" s="48" t="str">
        <f>IF(G36=0,"",VLOOKUP(G36,$N:$O,2,0))</f>
        <v/>
      </c>
      <c r="I36" s="592"/>
      <c r="J36" s="293"/>
      <c r="N36" s="160">
        <f>报表格式!Z36</f>
        <v>0</v>
      </c>
      <c r="O36" s="135" t="str">
        <f>报表格式!AA36</f>
        <v>固定资产：</v>
      </c>
    </row>
    <row r="37" spans="1:15">
      <c r="A37" s="926"/>
      <c r="B37" s="933"/>
      <c r="C37" s="924"/>
      <c r="D37" s="38"/>
      <c r="E37" s="48" t="str">
        <f>IF(D37=0,"",VLOOKUP(D37,$N:$O,2,0))</f>
        <v/>
      </c>
      <c r="F37" s="592"/>
      <c r="G37" s="49"/>
      <c r="H37" s="48" t="str">
        <f>IF(G37=0,"",VLOOKUP(G37,$N:$O,2,0))</f>
        <v/>
      </c>
      <c r="I37" s="592"/>
      <c r="J37" s="293"/>
      <c r="N37" s="160" t="str">
        <f>报表格式!Z37</f>
        <v>H1</v>
      </c>
      <c r="O37" s="51" t="str">
        <f>报表格式!AA37</f>
        <v>固定资产原价</v>
      </c>
    </row>
    <row r="38" spans="1:15">
      <c r="A38" s="927"/>
      <c r="B38" s="934"/>
      <c r="C38" s="924"/>
      <c r="D38" s="38"/>
      <c r="E38" s="48" t="str">
        <f>IF(D38=0,"",VLOOKUP(D38,$N:$O,2,0))</f>
        <v/>
      </c>
      <c r="F38" s="592"/>
      <c r="G38" s="49"/>
      <c r="H38" s="48" t="str">
        <f>IF(G38=0,"",VLOOKUP(G38,$N:$O,2,0))</f>
        <v/>
      </c>
      <c r="I38" s="592"/>
      <c r="J38" s="293"/>
      <c r="N38" s="160" t="str">
        <f>报表格式!Z38</f>
        <v>H2</v>
      </c>
      <c r="O38" s="54" t="str">
        <f>报表格式!AA38</f>
        <v>累计折旧</v>
      </c>
    </row>
    <row r="39" spans="1:15">
      <c r="A39" s="648"/>
      <c r="B39" s="648"/>
      <c r="C39" s="649"/>
      <c r="D39" s="650"/>
      <c r="E39" s="651"/>
      <c r="F39" s="651"/>
      <c r="G39" s="650"/>
      <c r="H39" s="651"/>
      <c r="I39" s="651"/>
      <c r="J39" s="652" t="str">
        <f>IF(ABS((SUMIF(E35:E38,"?*",J35:J38)-SUMIF(H35:H38,"?*",J35:J38)))&lt;0.005,"","借贷不等")</f>
        <v/>
      </c>
      <c r="N39" s="160">
        <f>报表格式!Z39</f>
        <v>0</v>
      </c>
      <c r="O39" s="51">
        <f>报表格式!AA39</f>
        <v>0</v>
      </c>
    </row>
    <row r="40" spans="1:15">
      <c r="A40" s="925">
        <v>8</v>
      </c>
      <c r="B40" s="932"/>
      <c r="C40" s="924"/>
      <c r="D40" s="38"/>
      <c r="E40" s="48" t="str">
        <f>IF(D40=0,"",VLOOKUP(D40,$N:$O,2,0))</f>
        <v/>
      </c>
      <c r="F40" s="592"/>
      <c r="G40" s="49"/>
      <c r="H40" s="48" t="str">
        <f>IF(G40=0,"",VLOOKUP(G40,$N:$O,2,0))</f>
        <v/>
      </c>
      <c r="I40" s="592"/>
      <c r="J40" s="293"/>
      <c r="N40" s="160" t="str">
        <f>报表格式!Z40</f>
        <v>H3</v>
      </c>
      <c r="O40" s="51" t="str">
        <f>报表格式!AA40</f>
        <v>固定资产减值准备</v>
      </c>
    </row>
    <row r="41" spans="1:15">
      <c r="A41" s="926"/>
      <c r="B41" s="933"/>
      <c r="C41" s="924"/>
      <c r="D41" s="38"/>
      <c r="E41" s="48" t="str">
        <f>IF(D41=0,"",VLOOKUP(D41,$N:$O,2,0))</f>
        <v/>
      </c>
      <c r="F41" s="592"/>
      <c r="G41" s="49"/>
      <c r="H41" s="48" t="str">
        <f>IF(G41=0,"",VLOOKUP(G41,$N:$O,2,0))</f>
        <v/>
      </c>
      <c r="I41" s="592"/>
      <c r="J41" s="293"/>
      <c r="N41" s="160">
        <f>报表格式!Z41</f>
        <v>0</v>
      </c>
      <c r="O41" s="54">
        <f>报表格式!AA41</f>
        <v>0</v>
      </c>
    </row>
    <row r="42" spans="1:15">
      <c r="A42" s="926"/>
      <c r="B42" s="933"/>
      <c r="C42" s="924"/>
      <c r="D42" s="38"/>
      <c r="E42" s="48" t="str">
        <f>IF(D42=0,"",VLOOKUP(D42,$N:$O,2,0))</f>
        <v/>
      </c>
      <c r="F42" s="592"/>
      <c r="G42" s="49"/>
      <c r="H42" s="48" t="str">
        <f>IF(G42=0,"",VLOOKUP(G42,$N:$O,2,0))</f>
        <v/>
      </c>
      <c r="I42" s="592"/>
      <c r="J42" s="293"/>
      <c r="N42" s="160" t="str">
        <f>报表格式!Z42</f>
        <v>H4</v>
      </c>
      <c r="O42" s="161" t="str">
        <f>报表格式!AA42</f>
        <v>固定资产清理</v>
      </c>
    </row>
    <row r="43" spans="1:15">
      <c r="A43" s="927"/>
      <c r="B43" s="934"/>
      <c r="C43" s="924"/>
      <c r="D43" s="38"/>
      <c r="E43" s="48" t="str">
        <f>IF(D43=0,"",VLOOKUP(D43,$N:$O,2,0))</f>
        <v/>
      </c>
      <c r="F43" s="592"/>
      <c r="G43" s="49"/>
      <c r="H43" s="48" t="str">
        <f>IF(G43=0,"",VLOOKUP(G43,$N:$O,2,0))</f>
        <v/>
      </c>
      <c r="I43" s="592"/>
      <c r="J43" s="293"/>
      <c r="N43" s="160" t="str">
        <f>报表格式!Z43</f>
        <v>H7</v>
      </c>
      <c r="O43" s="50" t="str">
        <f>报表格式!AA43</f>
        <v>工程物资</v>
      </c>
    </row>
    <row r="44" spans="1:15">
      <c r="A44" s="648"/>
      <c r="B44" s="648"/>
      <c r="C44" s="649"/>
      <c r="D44" s="650"/>
      <c r="E44" s="651"/>
      <c r="F44" s="651"/>
      <c r="G44" s="650"/>
      <c r="H44" s="651"/>
      <c r="I44" s="651"/>
      <c r="J44" s="652" t="str">
        <f>IF(ABS((SUMIF(E40:E43,"?*",J40:J43)-SUMIF(H40:H43,"?*",J40:J43)))&lt;0.005,"","借贷不等")</f>
        <v/>
      </c>
      <c r="N44" s="160" t="str">
        <f>报表格式!Z44</f>
        <v>H6</v>
      </c>
      <c r="O44" s="55" t="str">
        <f>报表格式!AA44</f>
        <v>在建工程</v>
      </c>
    </row>
    <row r="45" spans="1:15">
      <c r="A45" s="925">
        <v>9</v>
      </c>
      <c r="B45" s="932"/>
      <c r="C45" s="924"/>
      <c r="D45" s="38"/>
      <c r="E45" s="48" t="str">
        <f>IF(D45=0,"",VLOOKUP(D45,$N:$O,2,0))</f>
        <v/>
      </c>
      <c r="F45" s="592"/>
      <c r="G45" s="49"/>
      <c r="H45" s="48" t="str">
        <f>IF(G45=0,"",VLOOKUP(G45,$N:$O,2,0))</f>
        <v/>
      </c>
      <c r="I45" s="592"/>
      <c r="J45" s="293"/>
      <c r="N45" s="160" t="str">
        <f>报表格式!Z45</f>
        <v>H5</v>
      </c>
      <c r="O45" s="55" t="str">
        <f>报表格式!AA45</f>
        <v>待处理固定资产净损失</v>
      </c>
    </row>
    <row r="46" spans="1:15">
      <c r="A46" s="926"/>
      <c r="B46" s="933"/>
      <c r="C46" s="924"/>
      <c r="D46" s="38"/>
      <c r="E46" s="48" t="str">
        <f>IF(D46=0,"",VLOOKUP(D46,$N:$O,2,0))</f>
        <v/>
      </c>
      <c r="F46" s="592"/>
      <c r="G46" s="49"/>
      <c r="H46" s="48" t="str">
        <f>IF(G46=0,"",VLOOKUP(G46,$N:$O,2,0))</f>
        <v/>
      </c>
      <c r="I46" s="592"/>
      <c r="J46" s="293"/>
      <c r="N46" s="160">
        <f>报表格式!Z46</f>
        <v>0</v>
      </c>
      <c r="O46" s="55">
        <f>报表格式!AA46</f>
        <v>0</v>
      </c>
    </row>
    <row r="47" spans="1:15">
      <c r="A47" s="926"/>
      <c r="B47" s="933"/>
      <c r="C47" s="924"/>
      <c r="D47" s="38"/>
      <c r="E47" s="48" t="str">
        <f>IF(D47=0,"",VLOOKUP(D47,$N:$O,2,0))</f>
        <v/>
      </c>
      <c r="F47" s="592"/>
      <c r="G47" s="49"/>
      <c r="H47" s="48" t="str">
        <f>IF(G47=0,"",VLOOKUP(G47,$N:$O,2,0))</f>
        <v/>
      </c>
      <c r="I47" s="592"/>
      <c r="J47" s="293"/>
      <c r="N47" s="160">
        <f>报表格式!Z47</f>
        <v>0</v>
      </c>
      <c r="O47" s="55">
        <f>报表格式!AA47</f>
        <v>0</v>
      </c>
    </row>
    <row r="48" spans="1:15">
      <c r="A48" s="927"/>
      <c r="B48" s="934"/>
      <c r="C48" s="924"/>
      <c r="D48" s="38"/>
      <c r="E48" s="48" t="str">
        <f>IF(D48=0,"",VLOOKUP(D48,$N:$O,2,0))</f>
        <v/>
      </c>
      <c r="F48" s="592"/>
      <c r="G48" s="49"/>
      <c r="H48" s="48" t="str">
        <f>IF(G48=0,"",VLOOKUP(G48,$N:$O,2,0))</f>
        <v/>
      </c>
      <c r="I48" s="592"/>
      <c r="J48" s="293"/>
      <c r="N48" s="160">
        <f>报表格式!Z48</f>
        <v>0</v>
      </c>
      <c r="O48" s="53" t="str">
        <f>报表格式!AA48</f>
        <v>固定资产合计</v>
      </c>
    </row>
    <row r="49" spans="1:15">
      <c r="A49" s="648"/>
      <c r="B49" s="648"/>
      <c r="C49" s="649"/>
      <c r="D49" s="650"/>
      <c r="E49" s="651"/>
      <c r="F49" s="651"/>
      <c r="G49" s="650"/>
      <c r="H49" s="651"/>
      <c r="I49" s="651"/>
      <c r="J49" s="652" t="str">
        <f>IF(ABS((SUMIF(E45:E48,"?*",J45:J48)-SUMIF(H45:H48,"?*",J45:J48)))&lt;0.005,"","借贷不等")</f>
        <v/>
      </c>
      <c r="N49" s="160">
        <f>报表格式!Z49</f>
        <v>0</v>
      </c>
      <c r="O49" s="136" t="str">
        <f>报表格式!AA49</f>
        <v>无形资产及其他资产：</v>
      </c>
    </row>
    <row r="50" spans="1:15">
      <c r="A50" s="925">
        <v>10</v>
      </c>
      <c r="B50" s="932"/>
      <c r="C50" s="924"/>
      <c r="D50" s="38"/>
      <c r="E50" s="48" t="str">
        <f>IF(D50=0,"",VLOOKUP(D50,$N:$O,2,0))</f>
        <v/>
      </c>
      <c r="F50" s="592"/>
      <c r="G50" s="49"/>
      <c r="H50" s="48" t="str">
        <f>IF(G50=0,"",VLOOKUP(G50,$N:$O,2,0))</f>
        <v/>
      </c>
      <c r="I50" s="592"/>
      <c r="J50" s="293"/>
      <c r="N50" s="160" t="str">
        <f>报表格式!Z50</f>
        <v>I2</v>
      </c>
      <c r="O50" s="54" t="str">
        <f>报表格式!AA50</f>
        <v>无形资产</v>
      </c>
    </row>
    <row r="51" spans="1:15">
      <c r="A51" s="926"/>
      <c r="B51" s="933"/>
      <c r="C51" s="924"/>
      <c r="D51" s="38"/>
      <c r="E51" s="48" t="str">
        <f>IF(D51=0,"",VLOOKUP(D51,$N:$O,2,0))</f>
        <v/>
      </c>
      <c r="F51" s="592"/>
      <c r="G51" s="49"/>
      <c r="H51" s="48" t="str">
        <f>IF(G51=0,"",VLOOKUP(G51,$N:$O,2,0))</f>
        <v/>
      </c>
      <c r="I51" s="592"/>
      <c r="J51" s="293"/>
      <c r="N51" s="160">
        <f>报表格式!Z51</f>
        <v>0</v>
      </c>
      <c r="O51" s="140">
        <f>报表格式!AA51</f>
        <v>0</v>
      </c>
    </row>
    <row r="52" spans="1:15">
      <c r="A52" s="926"/>
      <c r="B52" s="933"/>
      <c r="C52" s="924"/>
      <c r="D52" s="38"/>
      <c r="E52" s="48" t="str">
        <f>IF(D52=0,"",VLOOKUP(D52,$N:$O,2,0))</f>
        <v/>
      </c>
      <c r="F52" s="592"/>
      <c r="G52" s="49"/>
      <c r="H52" s="48" t="str">
        <f>IF(G52=0,"",VLOOKUP(G52,$N:$O,2,0))</f>
        <v/>
      </c>
      <c r="I52" s="592"/>
      <c r="J52" s="293"/>
      <c r="N52" s="160" t="str">
        <f>报表格式!Z52</f>
        <v>I5</v>
      </c>
      <c r="O52" s="55" t="str">
        <f>报表格式!AA52</f>
        <v>长期待摊费用</v>
      </c>
    </row>
    <row r="53" spans="1:15">
      <c r="A53" s="927"/>
      <c r="B53" s="934"/>
      <c r="C53" s="924"/>
      <c r="D53" s="38"/>
      <c r="E53" s="48" t="str">
        <f>IF(D53=0,"",VLOOKUP(D53,$N:$O,2,0))</f>
        <v/>
      </c>
      <c r="F53" s="592"/>
      <c r="G53" s="49"/>
      <c r="H53" s="48" t="str">
        <f>IF(G53=0,"",VLOOKUP(G53,$N:$O,2,0))</f>
        <v/>
      </c>
      <c r="I53" s="592"/>
      <c r="J53" s="293"/>
      <c r="N53" s="160">
        <f>报表格式!Z53</f>
        <v>0</v>
      </c>
      <c r="O53" s="140">
        <f>报表格式!AA53</f>
        <v>0</v>
      </c>
    </row>
    <row r="54" spans="1:15">
      <c r="A54" s="648"/>
      <c r="B54" s="648"/>
      <c r="C54" s="649"/>
      <c r="D54" s="650"/>
      <c r="E54" s="651"/>
      <c r="F54" s="651"/>
      <c r="G54" s="650"/>
      <c r="H54" s="651"/>
      <c r="I54" s="651"/>
      <c r="J54" s="652" t="str">
        <f>IF(ABS((SUMIF(E50:E53,"?*",J50:J53)-SUMIF(H50:H53,"?*",J50:J53)))&lt;0.005,"","借贷不等")</f>
        <v/>
      </c>
      <c r="N54" s="160">
        <f>报表格式!Z54</f>
        <v>0</v>
      </c>
      <c r="O54" s="140">
        <f>报表格式!AA54</f>
        <v>0</v>
      </c>
    </row>
    <row r="55" spans="1:15">
      <c r="A55" s="925">
        <v>11</v>
      </c>
      <c r="B55" s="932"/>
      <c r="C55" s="924"/>
      <c r="D55" s="38"/>
      <c r="E55" s="48" t="str">
        <f>IF(D55=0,"",VLOOKUP(D55,$N:$O,2,0))</f>
        <v/>
      </c>
      <c r="F55" s="592"/>
      <c r="G55" s="49"/>
      <c r="H55" s="48" t="str">
        <f>IF(G55=0,"",VLOOKUP(G55,$N:$O,2,0))</f>
        <v/>
      </c>
      <c r="I55" s="592"/>
      <c r="J55" s="293"/>
      <c r="N55" s="160">
        <f>报表格式!Z55</f>
        <v>0</v>
      </c>
      <c r="O55" s="55" t="str">
        <f>报表格式!AA55</f>
        <v>股权分置流通权</v>
      </c>
    </row>
    <row r="56" spans="1:15">
      <c r="A56" s="926"/>
      <c r="B56" s="933"/>
      <c r="C56" s="924"/>
      <c r="D56" s="38"/>
      <c r="E56" s="48" t="str">
        <f>IF(D56=0,"",VLOOKUP(D56,$N:$O,2,0))</f>
        <v/>
      </c>
      <c r="F56" s="592"/>
      <c r="G56" s="49"/>
      <c r="H56" s="48" t="str">
        <f>IF(G56=0,"",VLOOKUP(G56,$N:$O,2,0))</f>
        <v/>
      </c>
      <c r="I56" s="592"/>
      <c r="J56" s="293"/>
      <c r="N56" s="160">
        <f>报表格式!Z56</f>
        <v>0</v>
      </c>
      <c r="O56" s="140" t="str">
        <f>报表格式!AA56</f>
        <v>其他长期资产</v>
      </c>
    </row>
    <row r="57" spans="1:15">
      <c r="A57" s="926"/>
      <c r="B57" s="933"/>
      <c r="C57" s="924"/>
      <c r="D57" s="38"/>
      <c r="E57" s="48" t="str">
        <f>IF(D57=0,"",VLOOKUP(D57,$N:$O,2,0))</f>
        <v/>
      </c>
      <c r="F57" s="592"/>
      <c r="G57" s="49"/>
      <c r="H57" s="48" t="str">
        <f>IF(G57=0,"",VLOOKUP(G57,$N:$O,2,0))</f>
        <v/>
      </c>
      <c r="I57" s="592"/>
      <c r="J57" s="293"/>
      <c r="N57" s="160">
        <f>报表格式!Z57</f>
        <v>0</v>
      </c>
      <c r="O57" s="55">
        <f>报表格式!AA57</f>
        <v>0</v>
      </c>
    </row>
    <row r="58" spans="1:15">
      <c r="A58" s="927"/>
      <c r="B58" s="934"/>
      <c r="C58" s="924"/>
      <c r="D58" s="38"/>
      <c r="E58" s="48" t="str">
        <f>IF(D58=0,"",VLOOKUP(D58,$N:$O,2,0))</f>
        <v/>
      </c>
      <c r="F58" s="592"/>
      <c r="G58" s="49"/>
      <c r="H58" s="48" t="str">
        <f>IF(G58=0,"",VLOOKUP(G58,$N:$O,2,0))</f>
        <v/>
      </c>
      <c r="I58" s="592"/>
      <c r="J58" s="293"/>
      <c r="N58" s="160">
        <f>报表格式!Z58</f>
        <v>0</v>
      </c>
      <c r="O58" s="55">
        <f>报表格式!AA58</f>
        <v>0</v>
      </c>
    </row>
    <row r="59" spans="1:15">
      <c r="A59" s="648"/>
      <c r="B59" s="648"/>
      <c r="C59" s="649"/>
      <c r="D59" s="650"/>
      <c r="E59" s="651"/>
      <c r="F59" s="651"/>
      <c r="G59" s="650"/>
      <c r="H59" s="651"/>
      <c r="I59" s="651"/>
      <c r="J59" s="652" t="str">
        <f>IF(ABS((SUMIF(E55:E58,"?*",J55:J58)-SUMIF(H55:H58,"?*",J55:J58)))&lt;0.005,"","借贷不等")</f>
        <v/>
      </c>
      <c r="N59" s="160">
        <f>报表格式!Z59</f>
        <v>0</v>
      </c>
      <c r="O59" s="53" t="str">
        <f>报表格式!AA59</f>
        <v>无形资产及其他资产合计</v>
      </c>
    </row>
    <row r="60" spans="1:15">
      <c r="A60" s="925">
        <v>12</v>
      </c>
      <c r="B60" s="932"/>
      <c r="C60" s="924"/>
      <c r="D60" s="38"/>
      <c r="E60" s="48" t="str">
        <f>IF(D60=0,"",VLOOKUP(D60,$N:$O,2,0))</f>
        <v/>
      </c>
      <c r="F60" s="592"/>
      <c r="G60" s="49"/>
      <c r="H60" s="48" t="str">
        <f>IF(G60=0,"",VLOOKUP(G60,$N:$O,2,0))</f>
        <v/>
      </c>
      <c r="I60" s="592"/>
      <c r="J60" s="293"/>
      <c r="N60" s="160">
        <f>报表格式!Z60</f>
        <v>0</v>
      </c>
      <c r="O60" s="137" t="str">
        <f>报表格式!AA60</f>
        <v>递延税项：</v>
      </c>
    </row>
    <row r="61" spans="1:15">
      <c r="A61" s="926"/>
      <c r="B61" s="933"/>
      <c r="C61" s="924"/>
      <c r="D61" s="38"/>
      <c r="E61" s="48" t="str">
        <f>IF(D61=0,"",VLOOKUP(D61,$N:$O,2,0))</f>
        <v/>
      </c>
      <c r="F61" s="592"/>
      <c r="G61" s="49"/>
      <c r="H61" s="48" t="str">
        <f>IF(G61=0,"",VLOOKUP(G61,$N:$O,2,0))</f>
        <v/>
      </c>
      <c r="I61" s="592"/>
      <c r="J61" s="293"/>
      <c r="N61" s="160" t="str">
        <f>报表格式!Z61</f>
        <v>I18-1</v>
      </c>
      <c r="O61" s="54" t="str">
        <f>报表格式!AA61</f>
        <v>递延税款借项</v>
      </c>
    </row>
    <row r="62" spans="1:15">
      <c r="A62" s="926"/>
      <c r="B62" s="933"/>
      <c r="C62" s="924"/>
      <c r="D62" s="38"/>
      <c r="E62" s="48" t="str">
        <f>IF(D62=0,"",VLOOKUP(D62,$N:$O,2,0))</f>
        <v/>
      </c>
      <c r="F62" s="592"/>
      <c r="G62" s="49"/>
      <c r="H62" s="48" t="str">
        <f>IF(G62=0,"",VLOOKUP(G62,$N:$O,2,0))</f>
        <v/>
      </c>
      <c r="I62" s="592"/>
      <c r="J62" s="293"/>
      <c r="N62" s="160">
        <f>报表格式!Z62</f>
        <v>0</v>
      </c>
      <c r="O62" s="56">
        <f>报表格式!AA62</f>
        <v>0</v>
      </c>
    </row>
    <row r="63" spans="1:15">
      <c r="A63" s="927"/>
      <c r="B63" s="934"/>
      <c r="C63" s="924"/>
      <c r="D63" s="38"/>
      <c r="E63" s="48" t="str">
        <f>IF(D63=0,"",VLOOKUP(D63,$N:$O,2,0))</f>
        <v/>
      </c>
      <c r="F63" s="592"/>
      <c r="G63" s="49"/>
      <c r="H63" s="48" t="str">
        <f>IF(G63=0,"",VLOOKUP(G63,$N:$O,2,0))</f>
        <v/>
      </c>
      <c r="I63" s="592"/>
      <c r="J63" s="293"/>
      <c r="N63" s="160">
        <f>报表格式!Z63</f>
        <v>0</v>
      </c>
      <c r="O63" s="53" t="str">
        <f>报表格式!AA63</f>
        <v>资产总计</v>
      </c>
    </row>
    <row r="64" spans="1:15">
      <c r="A64" s="648"/>
      <c r="B64" s="648"/>
      <c r="C64" s="649"/>
      <c r="D64" s="650"/>
      <c r="E64" s="651"/>
      <c r="F64" s="651"/>
      <c r="G64" s="650"/>
      <c r="H64" s="651"/>
      <c r="I64" s="651"/>
      <c r="J64" s="652" t="str">
        <f>IF(ABS((SUMIF(E60:E63,"?*",J60:J63)-SUMIF(H60:H63,"?*",J60:J63)))&lt;0.005,"","借贷不等")</f>
        <v/>
      </c>
      <c r="N64" s="160">
        <f>报表格式!Z64</f>
        <v>0</v>
      </c>
      <c r="O64" s="54">
        <f>报表格式!AA64</f>
        <v>0</v>
      </c>
    </row>
    <row r="65" spans="1:15">
      <c r="A65" s="925">
        <v>13</v>
      </c>
      <c r="B65" s="932"/>
      <c r="C65" s="924"/>
      <c r="D65" s="38"/>
      <c r="E65" s="48" t="str">
        <f>IF(D65=0,"",VLOOKUP(D65,$N:$O,2,0))</f>
        <v/>
      </c>
      <c r="F65" s="592"/>
      <c r="G65" s="49"/>
      <c r="H65" s="48" t="str">
        <f>IF(G65=0,"",VLOOKUP(G65,$N:$O,2,0))</f>
        <v/>
      </c>
      <c r="I65" s="592"/>
      <c r="J65" s="293"/>
      <c r="N65" s="160">
        <f>报表格式!Z65</f>
        <v>0</v>
      </c>
      <c r="O65" s="138" t="str">
        <f>报表格式!AA65</f>
        <v>流动负债：</v>
      </c>
    </row>
    <row r="66" spans="1:15">
      <c r="A66" s="926"/>
      <c r="B66" s="933"/>
      <c r="C66" s="924"/>
      <c r="D66" s="38"/>
      <c r="E66" s="48" t="str">
        <f>IF(D66=0,"",VLOOKUP(D66,$N:$O,2,0))</f>
        <v/>
      </c>
      <c r="F66" s="592"/>
      <c r="G66" s="49"/>
      <c r="H66" s="48" t="str">
        <f>IF(G66=0,"",VLOOKUP(G66,$N:$O,2,0))</f>
        <v/>
      </c>
      <c r="I66" s="592"/>
      <c r="J66" s="293"/>
      <c r="N66" s="160" t="str">
        <f>报表格式!Z66</f>
        <v>F11</v>
      </c>
      <c r="O66" s="54" t="str">
        <f>报表格式!AA66</f>
        <v>短期借款</v>
      </c>
    </row>
    <row r="67" spans="1:15">
      <c r="A67" s="926"/>
      <c r="B67" s="933"/>
      <c r="C67" s="924"/>
      <c r="D67" s="38"/>
      <c r="E67" s="48" t="str">
        <f>IF(D67=0,"",VLOOKUP(D67,$N:$O,2,0))</f>
        <v/>
      </c>
      <c r="F67" s="592"/>
      <c r="G67" s="49"/>
      <c r="H67" s="48" t="str">
        <f>IF(G67=0,"",VLOOKUP(G67,$N:$O,2,0))</f>
        <v/>
      </c>
      <c r="I67" s="592"/>
      <c r="J67" s="293"/>
      <c r="N67" s="160" t="str">
        <f>报表格式!Z67</f>
        <v>E12</v>
      </c>
      <c r="O67" s="54" t="str">
        <f>报表格式!AA67</f>
        <v>应付票据</v>
      </c>
    </row>
    <row r="68" spans="1:15">
      <c r="A68" s="927"/>
      <c r="B68" s="934"/>
      <c r="C68" s="924"/>
      <c r="D68" s="38"/>
      <c r="E68" s="48" t="str">
        <f>IF(D68=0,"",VLOOKUP(D68,$N:$O,2,0))</f>
        <v/>
      </c>
      <c r="F68" s="592"/>
      <c r="G68" s="49"/>
      <c r="H68" s="48" t="str">
        <f>IF(G68=0,"",VLOOKUP(G68,$N:$O,2,0))</f>
        <v/>
      </c>
      <c r="I68" s="592"/>
      <c r="J68" s="293"/>
      <c r="N68" s="160" t="str">
        <f>报表格式!Z68</f>
        <v>E11</v>
      </c>
      <c r="O68" s="54" t="str">
        <f>报表格式!AA68</f>
        <v>应付账款</v>
      </c>
    </row>
    <row r="69" spans="1:15">
      <c r="A69" s="648"/>
      <c r="B69" s="648"/>
      <c r="C69" s="649"/>
      <c r="D69" s="650"/>
      <c r="E69" s="651"/>
      <c r="F69" s="651"/>
      <c r="G69" s="650"/>
      <c r="H69" s="651"/>
      <c r="I69" s="651"/>
      <c r="J69" s="652" t="str">
        <f>IF(ABS((SUMIF(E65:E68,"?*",J65:J68)-SUMIF(H65:H68,"?*",J65:J68)))&lt;0.005,"","借贷不等")</f>
        <v/>
      </c>
      <c r="N69" s="160" t="str">
        <f>报表格式!Z69</f>
        <v>D11</v>
      </c>
      <c r="O69" s="54" t="str">
        <f>报表格式!AA69</f>
        <v>预收账款</v>
      </c>
    </row>
    <row r="70" spans="1:15">
      <c r="A70" s="925">
        <v>14</v>
      </c>
      <c r="B70" s="932"/>
      <c r="C70" s="924"/>
      <c r="D70" s="38"/>
      <c r="E70" s="48" t="str">
        <f>IF(D70=0,"",VLOOKUP(D70,$N:$O,2,0))</f>
        <v/>
      </c>
      <c r="F70" s="592"/>
      <c r="G70" s="49"/>
      <c r="H70" s="48" t="str">
        <f>IF(G70=0,"",VLOOKUP(G70,$N:$O,2,0))</f>
        <v/>
      </c>
      <c r="I70" s="592"/>
      <c r="J70" s="293"/>
      <c r="N70" s="160" t="str">
        <f>报表格式!Z70</f>
        <v>E16</v>
      </c>
      <c r="O70" s="134" t="str">
        <f>报表格式!AA70</f>
        <v>应付工资</v>
      </c>
    </row>
    <row r="71" spans="1:15">
      <c r="A71" s="926"/>
      <c r="B71" s="933"/>
      <c r="C71" s="924"/>
      <c r="D71" s="38"/>
      <c r="E71" s="48" t="str">
        <f>IF(D71=0,"",VLOOKUP(D71,$N:$O,2,0))</f>
        <v/>
      </c>
      <c r="F71" s="592"/>
      <c r="G71" s="49"/>
      <c r="H71" s="48" t="str">
        <f>IF(G71=0,"",VLOOKUP(G71,$N:$O,2,0))</f>
        <v/>
      </c>
      <c r="I71" s="592"/>
      <c r="J71" s="293"/>
      <c r="N71" s="160" t="str">
        <f>报表格式!Z71</f>
        <v>E17</v>
      </c>
      <c r="O71" s="54" t="str">
        <f>报表格式!AA71</f>
        <v>应付福利费</v>
      </c>
    </row>
    <row r="72" spans="1:15">
      <c r="A72" s="926"/>
      <c r="B72" s="933"/>
      <c r="C72" s="924"/>
      <c r="D72" s="38"/>
      <c r="E72" s="48" t="str">
        <f>IF(D72=0,"",VLOOKUP(D72,$N:$O,2,0))</f>
        <v/>
      </c>
      <c r="F72" s="592"/>
      <c r="G72" s="49"/>
      <c r="H72" s="48" t="str">
        <f>IF(G72=0,"",VLOOKUP(G72,$N:$O,2,0))</f>
        <v/>
      </c>
      <c r="I72" s="592"/>
      <c r="J72" s="293"/>
      <c r="N72" s="160" t="str">
        <f>报表格式!Z72</f>
        <v>F15</v>
      </c>
      <c r="O72" s="134" t="str">
        <f>报表格式!AA72</f>
        <v>应付股利（利润）</v>
      </c>
    </row>
    <row r="73" spans="1:15">
      <c r="A73" s="927"/>
      <c r="B73" s="934"/>
      <c r="C73" s="924"/>
      <c r="D73" s="38"/>
      <c r="E73" s="48" t="str">
        <f>IF(D73=0,"",VLOOKUP(D73,$N:$O,2,0))</f>
        <v/>
      </c>
      <c r="F73" s="592"/>
      <c r="G73" s="49"/>
      <c r="H73" s="48" t="str">
        <f>IF(G73=0,"",VLOOKUP(G73,$N:$O,2,0))</f>
        <v/>
      </c>
      <c r="I73" s="592"/>
      <c r="J73" s="293"/>
      <c r="N73" s="160" t="str">
        <f>报表格式!Z73</f>
        <v>F14</v>
      </c>
      <c r="O73" s="161" t="str">
        <f>报表格式!AA73</f>
        <v>应付利息</v>
      </c>
    </row>
    <row r="74" spans="1:15">
      <c r="A74" s="648"/>
      <c r="B74" s="648"/>
      <c r="C74" s="649"/>
      <c r="D74" s="650"/>
      <c r="E74" s="651"/>
      <c r="F74" s="651"/>
      <c r="G74" s="650"/>
      <c r="H74" s="651"/>
      <c r="I74" s="651"/>
      <c r="J74" s="652" t="str">
        <f>IF(ABS((SUMIF(E70:E73,"?*",J70:J73)-SUMIF(H70:H73,"?*",J70:J73)))&lt;0.005,"","借贷不等")</f>
        <v/>
      </c>
      <c r="N74" s="160" t="str">
        <f>报表格式!Z74</f>
        <v>I16</v>
      </c>
      <c r="O74" s="161" t="str">
        <f>报表格式!AA74</f>
        <v>应交税金</v>
      </c>
    </row>
    <row r="75" spans="1:15">
      <c r="A75" s="925">
        <v>15</v>
      </c>
      <c r="B75" s="932"/>
      <c r="C75" s="924"/>
      <c r="D75" s="38"/>
      <c r="E75" s="48" t="str">
        <f>IF(D75=0,"",VLOOKUP(D75,$N:$O,2,0))</f>
        <v/>
      </c>
      <c r="F75" s="592"/>
      <c r="G75" s="49"/>
      <c r="H75" s="48" t="str">
        <f>IF(G75=0,"",VLOOKUP(G75,$N:$O,2,0))</f>
        <v/>
      </c>
      <c r="I75" s="592"/>
      <c r="J75" s="293"/>
      <c r="N75" s="160" t="str">
        <f>报表格式!Z75</f>
        <v>I17</v>
      </c>
      <c r="O75" s="161" t="str">
        <f>报表格式!AA75</f>
        <v>其他应交款</v>
      </c>
    </row>
    <row r="76" spans="1:15">
      <c r="A76" s="926"/>
      <c r="B76" s="933"/>
      <c r="C76" s="924"/>
      <c r="D76" s="38"/>
      <c r="E76" s="48" t="str">
        <f>IF(D76=0,"",VLOOKUP(D76,$N:$O,2,0))</f>
        <v/>
      </c>
      <c r="F76" s="592"/>
      <c r="G76" s="49"/>
      <c r="H76" s="48" t="str">
        <f>IF(G76=0,"",VLOOKUP(G76,$N:$O,2,0))</f>
        <v/>
      </c>
      <c r="I76" s="592"/>
      <c r="J76" s="293"/>
      <c r="N76" s="160" t="str">
        <f>报表格式!Z76</f>
        <v>G11</v>
      </c>
      <c r="O76" s="161" t="str">
        <f>报表格式!AA76</f>
        <v>其他应付款</v>
      </c>
    </row>
    <row r="77" spans="1:15">
      <c r="A77" s="926"/>
      <c r="B77" s="933"/>
      <c r="C77" s="924"/>
      <c r="D77" s="38"/>
      <c r="E77" s="48" t="str">
        <f>IF(D77=0,"",VLOOKUP(D77,$N:$O,2,0))</f>
        <v/>
      </c>
      <c r="F77" s="592"/>
      <c r="G77" s="49"/>
      <c r="H77" s="48" t="str">
        <f>IF(G77=0,"",VLOOKUP(G77,$N:$O,2,0))</f>
        <v/>
      </c>
      <c r="I77" s="592"/>
      <c r="J77" s="293"/>
      <c r="N77" s="160" t="str">
        <f>报表格式!Z77</f>
        <v>I11</v>
      </c>
      <c r="O77" s="161" t="str">
        <f>报表格式!AA77</f>
        <v>预提费用</v>
      </c>
    </row>
    <row r="78" spans="1:15">
      <c r="A78" s="927"/>
      <c r="B78" s="934"/>
      <c r="C78" s="924"/>
      <c r="D78" s="38"/>
      <c r="E78" s="48" t="str">
        <f>IF(D78=0,"",VLOOKUP(D78,$N:$O,2,0))</f>
        <v/>
      </c>
      <c r="F78" s="592"/>
      <c r="G78" s="49"/>
      <c r="H78" s="48" t="str">
        <f>IF(G78=0,"",VLOOKUP(G78,$N:$O,2,0))</f>
        <v/>
      </c>
      <c r="I78" s="592"/>
      <c r="J78" s="293"/>
      <c r="N78" s="160" t="str">
        <f>报表格式!Z78</f>
        <v>I19</v>
      </c>
      <c r="O78" s="161" t="str">
        <f>报表格式!AA78</f>
        <v>预计负债</v>
      </c>
    </row>
    <row r="79" spans="1:15">
      <c r="A79" s="648"/>
      <c r="B79" s="648"/>
      <c r="C79" s="649"/>
      <c r="D79" s="650"/>
      <c r="E79" s="651"/>
      <c r="F79" s="651"/>
      <c r="G79" s="650"/>
      <c r="H79" s="651"/>
      <c r="I79" s="651"/>
      <c r="J79" s="652" t="str">
        <f>IF(ABS((SUMIF(E75:E78,"?*",J75:J78)-SUMIF(H75:H78,"?*",J75:J78)))&lt;0.005,"","借贷不等")</f>
        <v/>
      </c>
      <c r="N79" s="160" t="str">
        <f>报表格式!Z79</f>
        <v>D12</v>
      </c>
      <c r="O79" s="161" t="str">
        <f>报表格式!AA79</f>
        <v>递延收益</v>
      </c>
    </row>
    <row r="80" spans="1:15">
      <c r="A80" s="925">
        <v>16</v>
      </c>
      <c r="B80" s="932"/>
      <c r="C80" s="924"/>
      <c r="D80" s="38"/>
      <c r="E80" s="48" t="str">
        <f>IF(D80=0,"",VLOOKUP(D80,$N:$O,2,0))</f>
        <v/>
      </c>
      <c r="F80" s="592"/>
      <c r="G80" s="49"/>
      <c r="H80" s="48" t="str">
        <f>IF(G80=0,"",VLOOKUP(G80,$N:$O,2,0))</f>
        <v/>
      </c>
      <c r="I80" s="592"/>
      <c r="J80" s="293"/>
      <c r="N80" s="160">
        <f>报表格式!Z80</f>
        <v>0</v>
      </c>
      <c r="O80" s="161" t="str">
        <f>报表格式!AA80</f>
        <v>一年内到期的长期负债</v>
      </c>
    </row>
    <row r="81" spans="1:15">
      <c r="A81" s="926"/>
      <c r="B81" s="933"/>
      <c r="C81" s="924"/>
      <c r="D81" s="38"/>
      <c r="E81" s="48" t="str">
        <f>IF(D81=0,"",VLOOKUP(D81,$N:$O,2,0))</f>
        <v/>
      </c>
      <c r="F81" s="592"/>
      <c r="G81" s="49"/>
      <c r="H81" s="48" t="str">
        <f>IF(G81=0,"",VLOOKUP(G81,$N:$O,2,0))</f>
        <v/>
      </c>
      <c r="I81" s="592"/>
      <c r="J81" s="293"/>
      <c r="N81" s="160">
        <f>报表格式!Z81</f>
        <v>0</v>
      </c>
      <c r="O81" s="162" t="str">
        <f>报表格式!AA81</f>
        <v>应付权证</v>
      </c>
    </row>
    <row r="82" spans="1:15">
      <c r="A82" s="926"/>
      <c r="B82" s="933"/>
      <c r="C82" s="924"/>
      <c r="D82" s="38"/>
      <c r="E82" s="48" t="str">
        <f>IF(D82=0,"",VLOOKUP(D82,$N:$O,2,0))</f>
        <v/>
      </c>
      <c r="F82" s="592"/>
      <c r="G82" s="49"/>
      <c r="H82" s="48" t="str">
        <f>IF(G82=0,"",VLOOKUP(G82,$N:$O,2,0))</f>
        <v/>
      </c>
      <c r="I82" s="592"/>
      <c r="J82" s="293"/>
      <c r="N82" s="160">
        <f>报表格式!Z82</f>
        <v>0</v>
      </c>
      <c r="O82" s="163" t="str">
        <f>报表格式!AA85</f>
        <v>流动负债合计</v>
      </c>
    </row>
    <row r="83" spans="1:15">
      <c r="A83" s="927"/>
      <c r="B83" s="934"/>
      <c r="C83" s="924"/>
      <c r="D83" s="38"/>
      <c r="E83" s="48" t="str">
        <f>IF(D83=0,"",VLOOKUP(D83,$N:$O,2,0))</f>
        <v/>
      </c>
      <c r="F83" s="592"/>
      <c r="G83" s="49"/>
      <c r="H83" s="48" t="str">
        <f>IF(G83=0,"",VLOOKUP(G83,$N:$O,2,0))</f>
        <v/>
      </c>
      <c r="I83" s="592"/>
      <c r="J83" s="293"/>
      <c r="N83" s="160">
        <f>报表格式!Z83</f>
        <v>0</v>
      </c>
      <c r="O83" s="164">
        <f>报表格式!AA86</f>
        <v>0</v>
      </c>
    </row>
    <row r="84" spans="1:15">
      <c r="A84" s="648"/>
      <c r="B84" s="648"/>
      <c r="C84" s="649"/>
      <c r="D84" s="650"/>
      <c r="E84" s="651"/>
      <c r="F84" s="651"/>
      <c r="G84" s="650"/>
      <c r="H84" s="651"/>
      <c r="I84" s="651"/>
      <c r="J84" s="652" t="str">
        <f>IF(ABS((SUMIF(E80:E83,"?*",J80:J83)-SUMIF(H80:H83,"?*",J80:J83)))&lt;0.005,"","借贷不等")</f>
        <v/>
      </c>
      <c r="N84" s="160">
        <f>报表格式!Z84</f>
        <v>0</v>
      </c>
      <c r="O84" s="165" t="str">
        <f>报表格式!AA87</f>
        <v>长期负债：</v>
      </c>
    </row>
    <row r="85" spans="1:15">
      <c r="A85" s="925">
        <v>17</v>
      </c>
      <c r="B85" s="932"/>
      <c r="C85" s="924"/>
      <c r="D85" s="38"/>
      <c r="E85" s="48" t="str">
        <f>IF(D85=0,"",VLOOKUP(D85,$N:$O,2,0))</f>
        <v/>
      </c>
      <c r="F85" s="592"/>
      <c r="G85" s="49"/>
      <c r="H85" s="48" t="str">
        <f>IF(G85=0,"",VLOOKUP(G85,$N:$O,2,0))</f>
        <v/>
      </c>
      <c r="I85" s="592"/>
      <c r="J85" s="293"/>
      <c r="N85" s="160">
        <f>报表格式!Z85</f>
        <v>0</v>
      </c>
      <c r="O85" s="164" t="str">
        <f>报表格式!AA88</f>
        <v>长期借款</v>
      </c>
    </row>
    <row r="86" spans="1:15">
      <c r="A86" s="926"/>
      <c r="B86" s="933"/>
      <c r="C86" s="924"/>
      <c r="D86" s="38"/>
      <c r="E86" s="48" t="str">
        <f>IF(D86=0,"",VLOOKUP(D86,$N:$O,2,0))</f>
        <v/>
      </c>
      <c r="F86" s="592"/>
      <c r="G86" s="49"/>
      <c r="H86" s="48" t="str">
        <f>IF(G86=0,"",VLOOKUP(G86,$N:$O,2,0))</f>
        <v/>
      </c>
      <c r="I86" s="592"/>
      <c r="J86" s="293"/>
      <c r="N86" s="160">
        <f>报表格式!Z86</f>
        <v>0</v>
      </c>
      <c r="O86" s="164" t="str">
        <f>报表格式!AA89</f>
        <v>应付债券</v>
      </c>
    </row>
    <row r="87" spans="1:15">
      <c r="A87" s="926"/>
      <c r="B87" s="933"/>
      <c r="C87" s="924"/>
      <c r="D87" s="38"/>
      <c r="E87" s="48" t="str">
        <f>IF(D87=0,"",VLOOKUP(D87,$N:$O,2,0))</f>
        <v/>
      </c>
      <c r="F87" s="592"/>
      <c r="G87" s="49"/>
      <c r="H87" s="48" t="str">
        <f>IF(G87=0,"",VLOOKUP(G87,$N:$O,2,0))</f>
        <v/>
      </c>
      <c r="I87" s="592"/>
      <c r="J87" s="293"/>
      <c r="N87" s="160">
        <f>报表格式!Z87</f>
        <v>0</v>
      </c>
      <c r="O87" s="164" t="str">
        <f>报表格式!AA90</f>
        <v>长期应付款</v>
      </c>
    </row>
    <row r="88" spans="1:15">
      <c r="A88" s="927"/>
      <c r="B88" s="934"/>
      <c r="C88" s="924"/>
      <c r="D88" s="38"/>
      <c r="E88" s="48" t="str">
        <f>IF(D88=0,"",VLOOKUP(D88,$N:$O,2,0))</f>
        <v/>
      </c>
      <c r="F88" s="592"/>
      <c r="G88" s="49"/>
      <c r="H88" s="48" t="str">
        <f>IF(G88=0,"",VLOOKUP(G88,$N:$O,2,0))</f>
        <v/>
      </c>
      <c r="I88" s="592"/>
      <c r="J88" s="293"/>
      <c r="N88" s="160" t="str">
        <f>报表格式!Z88</f>
        <v>F12</v>
      </c>
      <c r="O88" s="164" t="str">
        <f>报表格式!AA91</f>
        <v>专项应付款</v>
      </c>
    </row>
    <row r="89" spans="1:15">
      <c r="A89" s="648"/>
      <c r="B89" s="648"/>
      <c r="C89" s="649"/>
      <c r="D89" s="650"/>
      <c r="E89" s="651"/>
      <c r="F89" s="651"/>
      <c r="G89" s="650"/>
      <c r="H89" s="651"/>
      <c r="I89" s="651"/>
      <c r="J89" s="652" t="str">
        <f>IF(ABS((SUMIF(E85:E88,"?*",J85:J88)-SUMIF(H85:H88,"?*",J85:J88)))&lt;0.005,"","借贷不等")</f>
        <v/>
      </c>
      <c r="N89" s="160" t="str">
        <f>报表格式!Z89</f>
        <v>F13</v>
      </c>
      <c r="O89" s="164" t="str">
        <f>报表格式!AA92</f>
        <v>其他长期负债</v>
      </c>
    </row>
    <row r="90" spans="1:15">
      <c r="A90" s="925">
        <v>18</v>
      </c>
      <c r="B90" s="932"/>
      <c r="C90" s="924"/>
      <c r="D90" s="38"/>
      <c r="E90" s="48" t="str">
        <f>IF(D90=0,"",VLOOKUP(D90,$N:$O,2,0))</f>
        <v/>
      </c>
      <c r="F90" s="592"/>
      <c r="G90" s="49"/>
      <c r="H90" s="48" t="str">
        <f>IF(G90=0,"",VLOOKUP(G90,$N:$O,2,0))</f>
        <v/>
      </c>
      <c r="I90" s="592"/>
      <c r="J90" s="293"/>
      <c r="N90" s="160" t="str">
        <f>报表格式!Z90</f>
        <v>G12</v>
      </c>
      <c r="O90" s="139">
        <f>报表格式!AA93</f>
        <v>0</v>
      </c>
    </row>
    <row r="91" spans="1:15">
      <c r="A91" s="926"/>
      <c r="B91" s="933"/>
      <c r="C91" s="924"/>
      <c r="D91" s="38"/>
      <c r="E91" s="48" t="str">
        <f>IF(D91=0,"",VLOOKUP(D91,$N:$O,2,0))</f>
        <v/>
      </c>
      <c r="F91" s="592"/>
      <c r="G91" s="49"/>
      <c r="H91" s="48" t="str">
        <f>IF(G91=0,"",VLOOKUP(G91,$N:$O,2,0))</f>
        <v/>
      </c>
      <c r="I91" s="592"/>
      <c r="J91" s="293"/>
      <c r="N91" s="160" t="str">
        <f>报表格式!Z91</f>
        <v>G13</v>
      </c>
      <c r="O91" s="164">
        <f>报表格式!AA94</f>
        <v>0</v>
      </c>
    </row>
    <row r="92" spans="1:15">
      <c r="A92" s="926"/>
      <c r="B92" s="933"/>
      <c r="C92" s="924"/>
      <c r="D92" s="38"/>
      <c r="E92" s="48" t="str">
        <f>IF(D92=0,"",VLOOKUP(D92,$N:$O,2,0))</f>
        <v/>
      </c>
      <c r="F92" s="592"/>
      <c r="G92" s="49"/>
      <c r="H92" s="48" t="str">
        <f>IF(G92=0,"",VLOOKUP(G92,$N:$O,2,0))</f>
        <v/>
      </c>
      <c r="I92" s="592"/>
      <c r="J92" s="293"/>
      <c r="N92" s="160">
        <f>报表格式!Z92</f>
        <v>0</v>
      </c>
      <c r="O92" s="164">
        <f>报表格式!AA95</f>
        <v>0</v>
      </c>
    </row>
    <row r="93" spans="1:15">
      <c r="A93" s="927"/>
      <c r="B93" s="934"/>
      <c r="C93" s="924"/>
      <c r="D93" s="38"/>
      <c r="E93" s="48" t="str">
        <f>IF(D93=0,"",VLOOKUP(D93,$N:$O,2,0))</f>
        <v/>
      </c>
      <c r="F93" s="592"/>
      <c r="G93" s="49"/>
      <c r="H93" s="48" t="str">
        <f>IF(G93=0,"",VLOOKUP(G93,$N:$O,2,0))</f>
        <v/>
      </c>
      <c r="I93" s="592"/>
      <c r="J93" s="293"/>
      <c r="N93" s="160">
        <f>报表格式!Z93</f>
        <v>0</v>
      </c>
      <c r="O93" s="163" t="str">
        <f>报表格式!AA96</f>
        <v>长期负债合计</v>
      </c>
    </row>
    <row r="94" spans="1:15">
      <c r="A94" s="648"/>
      <c r="B94" s="648"/>
      <c r="C94" s="649"/>
      <c r="D94" s="650"/>
      <c r="E94" s="651"/>
      <c r="F94" s="651"/>
      <c r="G94" s="650"/>
      <c r="H94" s="651"/>
      <c r="I94" s="651"/>
      <c r="J94" s="652" t="str">
        <f>IF(ABS((SUMIF(E90:E93,"?*",J90:J93)-SUMIF(H90:H93,"?*",J90:J93)))&lt;0.005,"","借贷不等")</f>
        <v/>
      </c>
      <c r="N94" s="160">
        <f>报表格式!Z94</f>
        <v>0</v>
      </c>
      <c r="O94" s="164">
        <f>报表格式!AA97</f>
        <v>0</v>
      </c>
    </row>
    <row r="95" spans="1:15">
      <c r="A95" s="925">
        <v>19</v>
      </c>
      <c r="B95" s="932"/>
      <c r="C95" s="924"/>
      <c r="D95" s="38"/>
      <c r="E95" s="48" t="str">
        <f>IF(D95=0,"",VLOOKUP(D95,$N:$O,2,0))</f>
        <v/>
      </c>
      <c r="F95" s="592"/>
      <c r="G95" s="49"/>
      <c r="H95" s="48" t="str">
        <f>IF(G95=0,"",VLOOKUP(G95,$N:$O,2,0))</f>
        <v/>
      </c>
      <c r="I95" s="592"/>
      <c r="J95" s="293"/>
      <c r="N95" s="160">
        <f>报表格式!Z95</f>
        <v>0</v>
      </c>
      <c r="O95" s="165" t="str">
        <f>报表格式!AA98</f>
        <v>递延税项：</v>
      </c>
    </row>
    <row r="96" spans="1:15">
      <c r="A96" s="926"/>
      <c r="B96" s="933"/>
      <c r="C96" s="924"/>
      <c r="D96" s="38"/>
      <c r="E96" s="48" t="str">
        <f>IF(D96=0,"",VLOOKUP(D96,$N:$O,2,0))</f>
        <v/>
      </c>
      <c r="F96" s="592"/>
      <c r="G96" s="49"/>
      <c r="H96" s="48" t="str">
        <f>IF(G96=0,"",VLOOKUP(G96,$N:$O,2,0))</f>
        <v/>
      </c>
      <c r="I96" s="592"/>
      <c r="J96" s="293"/>
      <c r="N96" s="160">
        <f>报表格式!Z96</f>
        <v>0</v>
      </c>
      <c r="O96" s="164" t="str">
        <f>报表格式!AA99</f>
        <v>递延税款贷项</v>
      </c>
    </row>
    <row r="97" spans="1:15">
      <c r="A97" s="926"/>
      <c r="B97" s="933"/>
      <c r="C97" s="924"/>
      <c r="D97" s="38"/>
      <c r="E97" s="48" t="str">
        <f>IF(D97=0,"",VLOOKUP(D97,$N:$O,2,0))</f>
        <v/>
      </c>
      <c r="F97" s="592"/>
      <c r="G97" s="49"/>
      <c r="H97" s="48" t="str">
        <f>IF(G97=0,"",VLOOKUP(G97,$N:$O,2,0))</f>
        <v/>
      </c>
      <c r="I97" s="592"/>
      <c r="J97" s="293"/>
      <c r="N97" s="160">
        <f>报表格式!Z97</f>
        <v>0</v>
      </c>
      <c r="O97" s="164">
        <f>报表格式!AA100</f>
        <v>0</v>
      </c>
    </row>
    <row r="98" spans="1:15">
      <c r="A98" s="927"/>
      <c r="B98" s="934"/>
      <c r="C98" s="924"/>
      <c r="D98" s="38"/>
      <c r="E98" s="48" t="str">
        <f>IF(D98=0,"",VLOOKUP(D98,$N:$O,2,0))</f>
        <v/>
      </c>
      <c r="F98" s="592"/>
      <c r="G98" s="49"/>
      <c r="H98" s="48" t="str">
        <f>IF(G98=0,"",VLOOKUP(G98,$N:$O,2,0))</f>
        <v/>
      </c>
      <c r="I98" s="592"/>
      <c r="J98" s="293"/>
      <c r="N98" s="160">
        <f>报表格式!Z98</f>
        <v>0</v>
      </c>
      <c r="O98" s="163" t="str">
        <f>报表格式!AA101</f>
        <v>负债合计</v>
      </c>
    </row>
    <row r="99" spans="1:15">
      <c r="A99" s="648"/>
      <c r="B99" s="648"/>
      <c r="C99" s="649"/>
      <c r="D99" s="650"/>
      <c r="E99" s="651"/>
      <c r="F99" s="651"/>
      <c r="G99" s="650"/>
      <c r="H99" s="651"/>
      <c r="I99" s="651"/>
      <c r="J99" s="652" t="str">
        <f>IF(ABS((SUMIF(E95:E98,"?*",J95:J98)-SUMIF(H95:H98,"?*",J95:J98)))&lt;0.005,"","借贷不等")</f>
        <v/>
      </c>
      <c r="N99" s="160" t="str">
        <f>报表格式!Z99</f>
        <v>I18-2</v>
      </c>
      <c r="O99" s="164">
        <f>报表格式!AA102</f>
        <v>0</v>
      </c>
    </row>
    <row r="100" spans="1:15">
      <c r="A100" s="925">
        <v>20</v>
      </c>
      <c r="B100" s="932"/>
      <c r="C100" s="924"/>
      <c r="D100" s="38"/>
      <c r="E100" s="48" t="str">
        <f>IF(D100=0,"",VLOOKUP(D100,$N:$O,2,0))</f>
        <v/>
      </c>
      <c r="F100" s="592"/>
      <c r="G100" s="49"/>
      <c r="H100" s="48" t="str">
        <f>IF(G100=0,"",VLOOKUP(G100,$N:$O,2,0))</f>
        <v/>
      </c>
      <c r="I100" s="592"/>
      <c r="J100" s="293"/>
      <c r="N100" s="160">
        <f>报表格式!Z100</f>
        <v>0</v>
      </c>
      <c r="O100" s="164" t="str">
        <f>报表格式!AA103</f>
        <v>少数股东权益</v>
      </c>
    </row>
    <row r="101" spans="1:15">
      <c r="A101" s="926"/>
      <c r="B101" s="933"/>
      <c r="C101" s="924"/>
      <c r="D101" s="38"/>
      <c r="E101" s="48" t="str">
        <f>IF(D101=0,"",VLOOKUP(D101,$N:$O,2,0))</f>
        <v/>
      </c>
      <c r="F101" s="592"/>
      <c r="G101" s="49"/>
      <c r="H101" s="48" t="str">
        <f>IF(G101=0,"",VLOOKUP(G101,$N:$O,2,0))</f>
        <v/>
      </c>
      <c r="I101" s="592"/>
      <c r="J101" s="293"/>
      <c r="N101" s="160">
        <f>报表格式!Z101</f>
        <v>0</v>
      </c>
      <c r="O101" s="164">
        <f>报表格式!AA104</f>
        <v>0</v>
      </c>
    </row>
    <row r="102" spans="1:15">
      <c r="A102" s="926"/>
      <c r="B102" s="933"/>
      <c r="C102" s="924"/>
      <c r="D102" s="38"/>
      <c r="E102" s="48" t="str">
        <f>IF(D102=0,"",VLOOKUP(D102,$N:$O,2,0))</f>
        <v/>
      </c>
      <c r="F102" s="592"/>
      <c r="G102" s="49"/>
      <c r="H102" s="48" t="str">
        <f>IF(G102=0,"",VLOOKUP(G102,$N:$O,2,0))</f>
        <v/>
      </c>
      <c r="I102" s="592"/>
      <c r="J102" s="293"/>
      <c r="N102" s="160">
        <f>报表格式!Z102</f>
        <v>0</v>
      </c>
      <c r="O102" s="165" t="str">
        <f>报表格式!AA105</f>
        <v>所有者权益：</v>
      </c>
    </row>
    <row r="103" spans="1:15">
      <c r="A103" s="927"/>
      <c r="B103" s="934"/>
      <c r="C103" s="924"/>
      <c r="D103" s="38"/>
      <c r="E103" s="48" t="str">
        <f>IF(D103=0,"",VLOOKUP(D103,$N:$O,2,0))</f>
        <v/>
      </c>
      <c r="F103" s="592"/>
      <c r="G103" s="49"/>
      <c r="H103" s="48" t="str">
        <f>IF(G103=0,"",VLOOKUP(G103,$N:$O,2,0))</f>
        <v/>
      </c>
      <c r="I103" s="592"/>
      <c r="J103" s="293"/>
      <c r="N103" s="160">
        <f>报表格式!Z103</f>
        <v>0</v>
      </c>
      <c r="O103" s="164" t="str">
        <f>报表格式!AA106</f>
        <v>实收资本</v>
      </c>
    </row>
    <row r="104" spans="1:15">
      <c r="A104" s="648"/>
      <c r="B104" s="648"/>
      <c r="C104" s="649"/>
      <c r="D104" s="650"/>
      <c r="E104" s="651"/>
      <c r="F104" s="651"/>
      <c r="G104" s="650"/>
      <c r="H104" s="651"/>
      <c r="I104" s="651"/>
      <c r="J104" s="652" t="str">
        <f>IF(ABS((SUMIF(E100:E103,"?*",J100:J103)-SUMIF(H100:H103,"?*",J100:J103)))&lt;0.005,"","借贷不等")</f>
        <v/>
      </c>
      <c r="N104" s="160">
        <f>报表格式!Z104</f>
        <v>0</v>
      </c>
      <c r="O104" s="164">
        <f>报表格式!AA107</f>
        <v>0</v>
      </c>
    </row>
    <row r="105" spans="1:15">
      <c r="A105" s="925">
        <v>21</v>
      </c>
      <c r="B105" s="932"/>
      <c r="C105" s="924"/>
      <c r="D105" s="38"/>
      <c r="E105" s="48" t="str">
        <f>IF(D105=0,"",VLOOKUP(D105,$N:$O,2,0))</f>
        <v/>
      </c>
      <c r="F105" s="592"/>
      <c r="G105" s="49"/>
      <c r="H105" s="48" t="str">
        <f>IF(G105=0,"",VLOOKUP(G105,$N:$O,2,0))</f>
        <v/>
      </c>
      <c r="I105" s="592"/>
      <c r="J105" s="293"/>
      <c r="N105" s="160">
        <f>报表格式!Z105</f>
        <v>0</v>
      </c>
      <c r="O105" s="164">
        <f>报表格式!AA108</f>
        <v>0</v>
      </c>
    </row>
    <row r="106" spans="1:15">
      <c r="A106" s="926"/>
      <c r="B106" s="933"/>
      <c r="C106" s="924"/>
      <c r="D106" s="38"/>
      <c r="E106" s="48" t="str">
        <f>IF(D106=0,"",VLOOKUP(D106,$N:$O,2,0))</f>
        <v/>
      </c>
      <c r="F106" s="592"/>
      <c r="G106" s="49"/>
      <c r="H106" s="48" t="str">
        <f>IF(G106=0,"",VLOOKUP(G106,$N:$O,2,0))</f>
        <v/>
      </c>
      <c r="I106" s="592"/>
      <c r="J106" s="293"/>
      <c r="N106" s="160" t="str">
        <f>报表格式!Z106</f>
        <v>F16</v>
      </c>
      <c r="O106" s="159">
        <f>报表格式!AA109</f>
        <v>0</v>
      </c>
    </row>
    <row r="107" spans="1:15">
      <c r="A107" s="926"/>
      <c r="B107" s="933"/>
      <c r="C107" s="924"/>
      <c r="D107" s="38"/>
      <c r="E107" s="48" t="str">
        <f>IF(D107=0,"",VLOOKUP(D107,$N:$O,2,0))</f>
        <v/>
      </c>
      <c r="F107" s="592"/>
      <c r="G107" s="49"/>
      <c r="H107" s="48" t="str">
        <f>IF(G107=0,"",VLOOKUP(G107,$N:$O,2,0))</f>
        <v/>
      </c>
      <c r="I107" s="592"/>
      <c r="J107" s="293"/>
      <c r="N107" s="160">
        <f>报表格式!Z107</f>
        <v>0</v>
      </c>
      <c r="O107" s="166">
        <f>报表格式!AA110</f>
        <v>0</v>
      </c>
    </row>
    <row r="108" spans="1:15">
      <c r="A108" s="927"/>
      <c r="B108" s="934"/>
      <c r="C108" s="924"/>
      <c r="D108" s="38"/>
      <c r="E108" s="48" t="str">
        <f>IF(D108=0,"",VLOOKUP(D108,$N:$O,2,0))</f>
        <v/>
      </c>
      <c r="F108" s="592"/>
      <c r="G108" s="49"/>
      <c r="H108" s="48" t="str">
        <f>IF(G108=0,"",VLOOKUP(G108,$N:$O,2,0))</f>
        <v/>
      </c>
      <c r="I108" s="592"/>
      <c r="J108" s="293"/>
      <c r="N108" s="160">
        <f>报表格式!Z108</f>
        <v>0</v>
      </c>
      <c r="O108" s="167">
        <f>报表格式!AA111</f>
        <v>0</v>
      </c>
    </row>
    <row r="109" spans="1:15">
      <c r="A109" s="648"/>
      <c r="B109" s="648"/>
      <c r="C109" s="649"/>
      <c r="D109" s="650"/>
      <c r="E109" s="651"/>
      <c r="F109" s="651"/>
      <c r="G109" s="650"/>
      <c r="H109" s="651"/>
      <c r="I109" s="651"/>
      <c r="J109" s="652" t="str">
        <f>IF(ABS((SUMIF(E105:E108,"?*",J105:J108)-SUMIF(H105:H108,"?*",J105:J108)))&lt;0.005,"","借贷不等")</f>
        <v/>
      </c>
      <c r="N109" s="160">
        <f>报表格式!Z109</f>
        <v>0</v>
      </c>
      <c r="O109" s="167">
        <f>报表格式!AA112</f>
        <v>0</v>
      </c>
    </row>
    <row r="110" spans="1:15">
      <c r="A110" s="925">
        <v>22</v>
      </c>
      <c r="B110" s="932"/>
      <c r="C110" s="924"/>
      <c r="D110" s="38"/>
      <c r="E110" s="48" t="str">
        <f>IF(D110=0,"",VLOOKUP(D110,$N:$O,2,0))</f>
        <v/>
      </c>
      <c r="F110" s="592"/>
      <c r="G110" s="49"/>
      <c r="H110" s="48" t="str">
        <f>IF(G110=0,"",VLOOKUP(G110,$N:$O,2,0))</f>
        <v/>
      </c>
      <c r="I110" s="592"/>
      <c r="J110" s="293"/>
      <c r="N110" s="160">
        <f>报表格式!Z110</f>
        <v>0</v>
      </c>
      <c r="O110" s="167">
        <f>报表格式!AA113</f>
        <v>0</v>
      </c>
    </row>
    <row r="111" spans="1:15">
      <c r="A111" s="926"/>
      <c r="B111" s="933"/>
      <c r="C111" s="924"/>
      <c r="D111" s="38"/>
      <c r="E111" s="48" t="str">
        <f>IF(D111=0,"",VLOOKUP(D111,$N:$O,2,0))</f>
        <v/>
      </c>
      <c r="F111" s="592"/>
      <c r="G111" s="49"/>
      <c r="H111" s="48" t="str">
        <f>IF(G111=0,"",VLOOKUP(G111,$N:$O,2,0))</f>
        <v/>
      </c>
      <c r="I111" s="592"/>
      <c r="J111" s="293"/>
      <c r="N111" s="160">
        <f>报表格式!Z111</f>
        <v>0</v>
      </c>
      <c r="O111" s="159" t="str">
        <f>报表格式!AA114</f>
        <v>资本公积</v>
      </c>
    </row>
    <row r="112" spans="1:15">
      <c r="A112" s="926"/>
      <c r="B112" s="933"/>
      <c r="C112" s="924"/>
      <c r="D112" s="38"/>
      <c r="E112" s="48" t="str">
        <f>IF(D112=0,"",VLOOKUP(D112,$N:$O,2,0))</f>
        <v/>
      </c>
      <c r="F112" s="592"/>
      <c r="G112" s="49"/>
      <c r="H112" s="48" t="str">
        <f>IF(G112=0,"",VLOOKUP(G112,$N:$O,2,0))</f>
        <v/>
      </c>
      <c r="I112" s="592"/>
      <c r="J112" s="293"/>
      <c r="N112" s="160">
        <f>报表格式!Z112</f>
        <v>0</v>
      </c>
      <c r="O112" s="159" t="str">
        <f>报表格式!AA115</f>
        <v>盈余公积</v>
      </c>
    </row>
    <row r="113" spans="1:15">
      <c r="A113" s="927"/>
      <c r="B113" s="934"/>
      <c r="C113" s="924"/>
      <c r="D113" s="38"/>
      <c r="E113" s="48" t="str">
        <f>IF(D113=0,"",VLOOKUP(D113,$N:$O,2,0))</f>
        <v/>
      </c>
      <c r="F113" s="592"/>
      <c r="G113" s="49"/>
      <c r="H113" s="48" t="str">
        <f>IF(G113=0,"",VLOOKUP(G113,$N:$O,2,0))</f>
        <v/>
      </c>
      <c r="I113" s="592"/>
      <c r="J113" s="293"/>
      <c r="N113" s="160">
        <f>报表格式!Z113</f>
        <v>0</v>
      </c>
      <c r="O113" s="167" t="str">
        <f>报表格式!AA116</f>
        <v>其中：法定公益金</v>
      </c>
    </row>
    <row r="114" spans="1:15">
      <c r="A114" s="648"/>
      <c r="B114" s="648"/>
      <c r="C114" s="649"/>
      <c r="D114" s="650"/>
      <c r="E114" s="651"/>
      <c r="F114" s="651"/>
      <c r="G114" s="650"/>
      <c r="H114" s="651"/>
      <c r="I114" s="651"/>
      <c r="J114" s="652" t="str">
        <f>IF(ABS((SUMIF(E110:E113,"?*",J110:J113)-SUMIF(H110:H113,"?*",J110:J113)))&lt;0.005,"","借贷不等")</f>
        <v/>
      </c>
      <c r="N114" s="160" t="str">
        <f>报表格式!Z114</f>
        <v>F17</v>
      </c>
      <c r="O114" s="166" t="str">
        <f>报表格式!AA117</f>
        <v>未确认的投资损失</v>
      </c>
    </row>
    <row r="115" spans="1:15">
      <c r="A115" s="925">
        <v>23</v>
      </c>
      <c r="B115" s="932"/>
      <c r="C115" s="924"/>
      <c r="D115" s="38"/>
      <c r="E115" s="48" t="str">
        <f>IF(D115=0,"",VLOOKUP(D115,$N:$O,2,0))</f>
        <v/>
      </c>
      <c r="F115" s="592"/>
      <c r="G115" s="49"/>
      <c r="H115" s="48" t="str">
        <f>IF(G115=0,"",VLOOKUP(G115,$N:$O,2,0))</f>
        <v/>
      </c>
      <c r="I115" s="592"/>
      <c r="J115" s="293"/>
      <c r="N115" s="160" t="str">
        <f>报表格式!Z115</f>
        <v>F18</v>
      </c>
      <c r="O115" s="159" t="str">
        <f>报表格式!AA118</f>
        <v>未分配利润</v>
      </c>
    </row>
    <row r="116" spans="1:15">
      <c r="A116" s="926"/>
      <c r="B116" s="933"/>
      <c r="C116" s="924"/>
      <c r="D116" s="38"/>
      <c r="E116" s="48" t="str">
        <f>IF(D116=0,"",VLOOKUP(D116,$N:$O,2,0))</f>
        <v/>
      </c>
      <c r="F116" s="592"/>
      <c r="G116" s="49"/>
      <c r="H116" s="48" t="str">
        <f>IF(G116=0,"",VLOOKUP(G116,$N:$O,2,0))</f>
        <v/>
      </c>
      <c r="I116" s="592"/>
      <c r="J116" s="293"/>
      <c r="N116" s="160">
        <f>报表格式!Z116</f>
        <v>0</v>
      </c>
      <c r="O116" s="167">
        <f>报表格式!AA119</f>
        <v>0</v>
      </c>
    </row>
    <row r="117" spans="1:15">
      <c r="A117" s="926"/>
      <c r="B117" s="933"/>
      <c r="C117" s="924"/>
      <c r="D117" s="38"/>
      <c r="E117" s="48" t="str">
        <f>IF(D117=0,"",VLOOKUP(D117,$N:$O,2,0))</f>
        <v/>
      </c>
      <c r="F117" s="592"/>
      <c r="G117" s="49"/>
      <c r="H117" s="48" t="str">
        <f>IF(G117=0,"",VLOOKUP(G117,$N:$O,2,0))</f>
        <v/>
      </c>
      <c r="I117" s="592"/>
      <c r="J117" s="293"/>
      <c r="N117" s="160">
        <f>报表格式!Z117</f>
        <v>0</v>
      </c>
      <c r="O117" s="159" t="str">
        <f>报表格式!AA120</f>
        <v>外币报表折算差额</v>
      </c>
    </row>
    <row r="118" spans="1:15">
      <c r="A118" s="927"/>
      <c r="B118" s="934"/>
      <c r="C118" s="924"/>
      <c r="D118" s="38"/>
      <c r="E118" s="48" t="str">
        <f>IF(D118=0,"",VLOOKUP(D118,$N:$O,2,0))</f>
        <v/>
      </c>
      <c r="F118" s="592"/>
      <c r="G118" s="49"/>
      <c r="H118" s="48" t="str">
        <f>IF(G118=0,"",VLOOKUP(G118,$N:$O,2,0))</f>
        <v/>
      </c>
      <c r="I118" s="592"/>
      <c r="J118" s="293"/>
      <c r="N118" s="160" t="str">
        <f>报表格式!Z118</f>
        <v>F19</v>
      </c>
      <c r="O118" s="159">
        <f>报表格式!AA121</f>
        <v>0</v>
      </c>
    </row>
    <row r="119" spans="1:15">
      <c r="A119" s="648"/>
      <c r="B119" s="648"/>
      <c r="C119" s="649"/>
      <c r="D119" s="650"/>
      <c r="E119" s="651"/>
      <c r="F119" s="651"/>
      <c r="G119" s="650"/>
      <c r="H119" s="651"/>
      <c r="I119" s="651"/>
      <c r="J119" s="652" t="str">
        <f>IF(ABS((SUMIF(E115:E118,"?*",J115:J118)-SUMIF(H115:H118,"?*",J115:J118)))&lt;0.005,"","借贷不等")</f>
        <v/>
      </c>
      <c r="N119" s="160">
        <f>报表格式!Z119</f>
        <v>0</v>
      </c>
      <c r="O119" s="168" t="str">
        <f>报表格式!AA122</f>
        <v>所有者权益小计</v>
      </c>
    </row>
    <row r="120" spans="1:15">
      <c r="A120" s="925">
        <v>24</v>
      </c>
      <c r="B120" s="932"/>
      <c r="C120" s="924"/>
      <c r="D120" s="38"/>
      <c r="E120" s="48" t="str">
        <f>IF(D120=0,"",VLOOKUP(D120,$N:$O,2,0))</f>
        <v/>
      </c>
      <c r="F120" s="592"/>
      <c r="G120" s="49"/>
      <c r="H120" s="48" t="str">
        <f>IF(G120=0,"",VLOOKUP(G120,$N:$O,2,0))</f>
        <v/>
      </c>
      <c r="I120" s="592"/>
      <c r="J120" s="293"/>
      <c r="N120" s="160">
        <f>报表格式!Z120</f>
        <v>0</v>
      </c>
      <c r="O120" s="166" t="str">
        <f>报表格式!AA123</f>
        <v>未处理资产损失</v>
      </c>
    </row>
    <row r="121" spans="1:15">
      <c r="A121" s="926"/>
      <c r="B121" s="933"/>
      <c r="C121" s="924"/>
      <c r="D121" s="38"/>
      <c r="E121" s="48" t="str">
        <f>IF(D121=0,"",VLOOKUP(D121,$N:$O,2,0))</f>
        <v/>
      </c>
      <c r="F121" s="592"/>
      <c r="G121" s="49"/>
      <c r="H121" s="48" t="str">
        <f>IF(G121=0,"",VLOOKUP(G121,$N:$O,2,0))</f>
        <v/>
      </c>
      <c r="I121" s="592"/>
      <c r="J121" s="293"/>
      <c r="N121" s="160">
        <f>报表格式!Z121</f>
        <v>0</v>
      </c>
      <c r="O121" s="159">
        <f>报表格式!AA124</f>
        <v>0</v>
      </c>
    </row>
    <row r="122" spans="1:15">
      <c r="A122" s="926"/>
      <c r="B122" s="933"/>
      <c r="C122" s="924"/>
      <c r="D122" s="38"/>
      <c r="E122" s="48" t="str">
        <f>IF(D122=0,"",VLOOKUP(D122,$N:$O,2,0))</f>
        <v/>
      </c>
      <c r="F122" s="592"/>
      <c r="G122" s="49"/>
      <c r="H122" s="48" t="str">
        <f>IF(G122=0,"",VLOOKUP(G122,$N:$O,2,0))</f>
        <v/>
      </c>
      <c r="I122" s="592"/>
      <c r="J122" s="293"/>
      <c r="N122" s="160">
        <f>报表格式!Z122</f>
        <v>0</v>
      </c>
      <c r="O122" s="168" t="str">
        <f>报表格式!AA125</f>
        <v>所有者权益合计(剔除未处理资产损失后的金额)</v>
      </c>
    </row>
    <row r="123" spans="1:15">
      <c r="A123" s="927"/>
      <c r="B123" s="934"/>
      <c r="C123" s="924"/>
      <c r="D123" s="38"/>
      <c r="E123" s="48" t="str">
        <f>IF(D123=0,"",VLOOKUP(D123,$N:$O,2,0))</f>
        <v/>
      </c>
      <c r="F123" s="592"/>
      <c r="G123" s="49"/>
      <c r="H123" s="48" t="str">
        <f>IF(G123=0,"",VLOOKUP(G123,$N:$O,2,0))</f>
        <v/>
      </c>
      <c r="I123" s="592"/>
      <c r="J123" s="293"/>
      <c r="N123" s="160">
        <f>报表格式!Z123</f>
        <v>0</v>
      </c>
      <c r="O123" s="159">
        <f>报表格式!AA126</f>
        <v>0</v>
      </c>
    </row>
    <row r="124" spans="1:15">
      <c r="A124" s="648"/>
      <c r="B124" s="648"/>
      <c r="C124" s="649"/>
      <c r="D124" s="650"/>
      <c r="E124" s="651"/>
      <c r="F124" s="651"/>
      <c r="G124" s="650"/>
      <c r="H124" s="651"/>
      <c r="I124" s="651"/>
      <c r="J124" s="652" t="str">
        <f>IF(ABS((SUMIF(E120:E123,"?*",J120:J123)-SUMIF(H120:H123,"?*",J120:J123)))&lt;0.005,"","借贷不等")</f>
        <v/>
      </c>
      <c r="N124" s="160">
        <f>报表格式!Z124</f>
        <v>0</v>
      </c>
      <c r="O124" s="159">
        <f>报表格式!AA127</f>
        <v>0</v>
      </c>
    </row>
    <row r="125" spans="1:15">
      <c r="A125" s="925">
        <v>25</v>
      </c>
      <c r="B125" s="932"/>
      <c r="C125" s="924"/>
      <c r="D125" s="38"/>
      <c r="E125" s="48" t="str">
        <f>IF(D125=0,"",VLOOKUP(D125,$N:$O,2,0))</f>
        <v/>
      </c>
      <c r="F125" s="592"/>
      <c r="G125" s="49"/>
      <c r="H125" s="48" t="str">
        <f>IF(G125=0,"",VLOOKUP(G125,$N:$O,2,0))</f>
        <v/>
      </c>
      <c r="I125" s="592"/>
      <c r="J125" s="293"/>
      <c r="N125" s="160">
        <f>报表格式!Z125</f>
        <v>0</v>
      </c>
      <c r="O125" s="168" t="str">
        <f>报表格式!AA128</f>
        <v>负债及所有者权益合计</v>
      </c>
    </row>
    <row r="126" spans="1:15">
      <c r="A126" s="926"/>
      <c r="B126" s="933"/>
      <c r="C126" s="924"/>
      <c r="D126" s="38"/>
      <c r="E126" s="48" t="str">
        <f>IF(D126=0,"",VLOOKUP(D126,$N:$O,2,0))</f>
        <v/>
      </c>
      <c r="F126" s="592"/>
      <c r="G126" s="49"/>
      <c r="H126" s="48" t="str">
        <f>IF(G126=0,"",VLOOKUP(G126,$N:$O,2,0))</f>
        <v/>
      </c>
      <c r="I126" s="592"/>
      <c r="J126" s="293"/>
      <c r="N126" s="160">
        <f>报表格式!Z126</f>
        <v>0</v>
      </c>
      <c r="O126" s="159">
        <f>报表格式!AA129</f>
        <v>0</v>
      </c>
    </row>
    <row r="127" spans="1:15">
      <c r="A127" s="926"/>
      <c r="B127" s="933"/>
      <c r="C127" s="924"/>
      <c r="D127" s="38"/>
      <c r="E127" s="48" t="str">
        <f>IF(D127=0,"",VLOOKUP(D127,$N:$O,2,0))</f>
        <v/>
      </c>
      <c r="F127" s="592"/>
      <c r="G127" s="49"/>
      <c r="H127" s="48" t="str">
        <f>IF(G127=0,"",VLOOKUP(G127,$N:$O,2,0))</f>
        <v/>
      </c>
      <c r="I127" s="592"/>
      <c r="J127" s="293"/>
      <c r="N127" s="160">
        <f>报表格式!Z127</f>
        <v>0</v>
      </c>
      <c r="O127" s="169" t="str">
        <f>报表格式!AA130</f>
        <v>主营业务收入</v>
      </c>
    </row>
    <row r="128" spans="1:15">
      <c r="A128" s="927"/>
      <c r="B128" s="934"/>
      <c r="C128" s="924"/>
      <c r="D128" s="38"/>
      <c r="E128" s="48" t="str">
        <f>IF(D128=0,"",VLOOKUP(D128,$N:$O,2,0))</f>
        <v/>
      </c>
      <c r="F128" s="592"/>
      <c r="G128" s="49"/>
      <c r="H128" s="48" t="str">
        <f>IF(G128=0,"",VLOOKUP(G128,$N:$O,2,0))</f>
        <v/>
      </c>
      <c r="I128" s="592"/>
      <c r="J128" s="293"/>
      <c r="N128" s="160">
        <f>报表格式!Z128</f>
        <v>0</v>
      </c>
      <c r="O128" s="166">
        <f>报表格式!AA131</f>
        <v>0</v>
      </c>
    </row>
    <row r="129" spans="1:15">
      <c r="A129" s="648"/>
      <c r="B129" s="648"/>
      <c r="C129" s="649"/>
      <c r="D129" s="650"/>
      <c r="E129" s="651"/>
      <c r="F129" s="651"/>
      <c r="G129" s="650"/>
      <c r="H129" s="651"/>
      <c r="I129" s="651"/>
      <c r="J129" s="652" t="str">
        <f>IF(ABS((SUMIF(E125:E128,"?*",J125:J128)-SUMIF(H125:H128,"?*",J125:J128)))&lt;0.005,"","借贷不等")</f>
        <v/>
      </c>
      <c r="N129" s="160">
        <f>报表格式!Z129</f>
        <v>0</v>
      </c>
      <c r="O129" s="167">
        <f>报表格式!AA132</f>
        <v>0</v>
      </c>
    </row>
    <row r="130" spans="1:15">
      <c r="A130" s="925">
        <v>26</v>
      </c>
      <c r="B130" s="932"/>
      <c r="C130" s="924"/>
      <c r="D130" s="38"/>
      <c r="E130" s="48" t="str">
        <f>IF(D130=0,"",VLOOKUP(D130,$N:$O,2,0))</f>
        <v/>
      </c>
      <c r="F130" s="592"/>
      <c r="G130" s="49"/>
      <c r="H130" s="48" t="str">
        <f>IF(G130=0,"",VLOOKUP(G130,$N:$O,2,0))</f>
        <v/>
      </c>
      <c r="I130" s="592"/>
      <c r="J130" s="293"/>
      <c r="N130" s="160" t="str">
        <f>报表格式!Z130</f>
        <v>D21</v>
      </c>
      <c r="O130" s="166">
        <f>报表格式!AA133</f>
        <v>0</v>
      </c>
    </row>
    <row r="131" spans="1:15">
      <c r="A131" s="926"/>
      <c r="B131" s="933"/>
      <c r="C131" s="924"/>
      <c r="D131" s="38"/>
      <c r="E131" s="48" t="str">
        <f>IF(D131=0,"",VLOOKUP(D131,$N:$O,2,0))</f>
        <v/>
      </c>
      <c r="F131" s="592"/>
      <c r="G131" s="49"/>
      <c r="H131" s="48" t="str">
        <f>IF(G131=0,"",VLOOKUP(G131,$N:$O,2,0))</f>
        <v/>
      </c>
      <c r="I131" s="592"/>
      <c r="J131" s="293"/>
      <c r="N131" s="160">
        <f>报表格式!Z131</f>
        <v>0</v>
      </c>
      <c r="O131" s="170" t="str">
        <f>报表格式!AA134</f>
        <v>二、主营业务收入净额</v>
      </c>
    </row>
    <row r="132" spans="1:15">
      <c r="A132" s="926"/>
      <c r="B132" s="933"/>
      <c r="C132" s="924"/>
      <c r="D132" s="38"/>
      <c r="E132" s="48" t="str">
        <f>IF(D132=0,"",VLOOKUP(D132,$N:$O,2,0))</f>
        <v/>
      </c>
      <c r="F132" s="592"/>
      <c r="G132" s="49"/>
      <c r="H132" s="48" t="str">
        <f>IF(G132=0,"",VLOOKUP(G132,$N:$O,2,0))</f>
        <v/>
      </c>
      <c r="I132" s="592"/>
      <c r="J132" s="293"/>
      <c r="N132" s="160">
        <f>报表格式!Z132</f>
        <v>0</v>
      </c>
      <c r="O132" s="166" t="str">
        <f>报表格式!AA135</f>
        <v>主营业务成本</v>
      </c>
    </row>
    <row r="133" spans="1:15">
      <c r="A133" s="927"/>
      <c r="B133" s="934"/>
      <c r="C133" s="924"/>
      <c r="D133" s="38"/>
      <c r="E133" s="48" t="str">
        <f>IF(D133=0,"",VLOOKUP(D133,$N:$O,2,0))</f>
        <v/>
      </c>
      <c r="F133" s="592"/>
      <c r="G133" s="49"/>
      <c r="H133" s="48" t="str">
        <f>IF(G133=0,"",VLOOKUP(G133,$N:$O,2,0))</f>
        <v/>
      </c>
      <c r="I133" s="592"/>
      <c r="J133" s="293"/>
      <c r="N133" s="160">
        <f>报表格式!Z133</f>
        <v>0</v>
      </c>
      <c r="O133" s="166">
        <f>报表格式!AA136</f>
        <v>0</v>
      </c>
    </row>
    <row r="134" spans="1:15">
      <c r="A134" s="648"/>
      <c r="B134" s="648"/>
      <c r="C134" s="649"/>
      <c r="D134" s="650"/>
      <c r="E134" s="651"/>
      <c r="F134" s="651"/>
      <c r="G134" s="650"/>
      <c r="H134" s="651"/>
      <c r="I134" s="651"/>
      <c r="J134" s="652" t="str">
        <f>IF(ABS((SUMIF(E130:E133,"?*",J130:J133)-SUMIF(H130:H133,"?*",J130:J133)))&lt;0.005,"","借贷不等")</f>
        <v/>
      </c>
      <c r="N134" s="160">
        <f>报表格式!Z134</f>
        <v>0</v>
      </c>
      <c r="O134" s="166">
        <f>报表格式!AA137</f>
        <v>0</v>
      </c>
    </row>
    <row r="135" spans="1:15">
      <c r="A135" s="925">
        <v>27</v>
      </c>
      <c r="B135" s="932"/>
      <c r="C135" s="924"/>
      <c r="D135" s="38"/>
      <c r="E135" s="48" t="str">
        <f>IF(D135=0,"",VLOOKUP(D135,$N:$O,2,0))</f>
        <v/>
      </c>
      <c r="F135" s="592"/>
      <c r="G135" s="49"/>
      <c r="H135" s="48" t="str">
        <f>IF(G135=0,"",VLOOKUP(G135,$N:$O,2,0))</f>
        <v/>
      </c>
      <c r="I135" s="592"/>
      <c r="J135" s="293"/>
      <c r="N135" s="160" t="str">
        <f>报表格式!Z135</f>
        <v>E21</v>
      </c>
      <c r="O135" s="166" t="str">
        <f>报表格式!AA138</f>
        <v>主营业务税金及附加</v>
      </c>
    </row>
    <row r="136" spans="1:15">
      <c r="A136" s="926"/>
      <c r="B136" s="933"/>
      <c r="C136" s="924"/>
      <c r="D136" s="38"/>
      <c r="E136" s="48" t="str">
        <f>IF(D136=0,"",VLOOKUP(D136,$N:$O,2,0))</f>
        <v/>
      </c>
      <c r="F136" s="592"/>
      <c r="G136" s="49"/>
      <c r="H136" s="48" t="str">
        <f>IF(G136=0,"",VLOOKUP(G136,$N:$O,2,0))</f>
        <v/>
      </c>
      <c r="I136" s="592"/>
      <c r="J136" s="293"/>
      <c r="N136" s="160">
        <f>报表格式!Z136</f>
        <v>0</v>
      </c>
      <c r="O136" s="166" t="str">
        <f>报表格式!AA139</f>
        <v>经营费用</v>
      </c>
    </row>
    <row r="137" spans="1:15">
      <c r="A137" s="926"/>
      <c r="B137" s="933"/>
      <c r="C137" s="924"/>
      <c r="D137" s="38"/>
      <c r="E137" s="48" t="str">
        <f>IF(D137=0,"",VLOOKUP(D137,$N:$O,2,0))</f>
        <v/>
      </c>
      <c r="F137" s="592"/>
      <c r="G137" s="49"/>
      <c r="H137" s="48" t="str">
        <f>IF(G137=0,"",VLOOKUP(G137,$N:$O,2,0))</f>
        <v/>
      </c>
      <c r="I137" s="592"/>
      <c r="J137" s="293"/>
      <c r="N137" s="160">
        <f>报表格式!Z137</f>
        <v>0</v>
      </c>
      <c r="O137" s="166">
        <f>报表格式!AA140</f>
        <v>0</v>
      </c>
    </row>
    <row r="138" spans="1:15">
      <c r="A138" s="927"/>
      <c r="B138" s="934"/>
      <c r="C138" s="924"/>
      <c r="D138" s="38"/>
      <c r="E138" s="48" t="str">
        <f>IF(D138=0,"",VLOOKUP(D138,$N:$O,2,0))</f>
        <v/>
      </c>
      <c r="F138" s="592"/>
      <c r="G138" s="49"/>
      <c r="H138" s="48" t="str">
        <f>IF(G138=0,"",VLOOKUP(G138,$N:$O,2,0))</f>
        <v/>
      </c>
      <c r="I138" s="592"/>
      <c r="J138" s="293"/>
      <c r="N138" s="160" t="str">
        <f>报表格式!Z138</f>
        <v>I21</v>
      </c>
      <c r="O138" s="166">
        <f>报表格式!AA141</f>
        <v>0</v>
      </c>
    </row>
    <row r="139" spans="1:15">
      <c r="A139" s="648"/>
      <c r="B139" s="648"/>
      <c r="C139" s="649"/>
      <c r="D139" s="650"/>
      <c r="E139" s="651"/>
      <c r="F139" s="651"/>
      <c r="G139" s="650"/>
      <c r="H139" s="651"/>
      <c r="I139" s="651"/>
      <c r="J139" s="652" t="str">
        <f>IF(ABS((SUMIF(E135:E138,"?*",J135:J138)-SUMIF(H135:H138,"?*",J135:J138)))&lt;0.005,"","借贷不等")</f>
        <v/>
      </c>
      <c r="N139" s="160">
        <f>报表格式!Z139</f>
        <v>0</v>
      </c>
      <c r="O139" s="166" t="str">
        <f>报表格式!AA142</f>
        <v>递延收益</v>
      </c>
    </row>
    <row r="140" spans="1:15">
      <c r="A140" s="925">
        <v>28</v>
      </c>
      <c r="B140" s="932"/>
      <c r="C140" s="924"/>
      <c r="D140" s="38"/>
      <c r="E140" s="48" t="str">
        <f>IF(D140=0,"",VLOOKUP(D140,$N:$O,2,0))</f>
        <v/>
      </c>
      <c r="F140" s="592"/>
      <c r="G140" s="49"/>
      <c r="H140" s="48" t="str">
        <f>IF(G140=0,"",VLOOKUP(G140,$N:$O,2,0))</f>
        <v/>
      </c>
      <c r="I140" s="592"/>
      <c r="J140" s="293"/>
      <c r="N140" s="160">
        <f>报表格式!Z140</f>
        <v>0</v>
      </c>
      <c r="O140" s="166" t="str">
        <f>报表格式!AA143</f>
        <v>代购代销收入</v>
      </c>
    </row>
    <row r="141" spans="1:15">
      <c r="A141" s="926"/>
      <c r="B141" s="933"/>
      <c r="C141" s="924"/>
      <c r="D141" s="38"/>
      <c r="E141" s="48" t="str">
        <f>IF(D141=0,"",VLOOKUP(D141,$N:$O,2,0))</f>
        <v/>
      </c>
      <c r="F141" s="592"/>
      <c r="G141" s="49"/>
      <c r="H141" s="48" t="str">
        <f>IF(G141=0,"",VLOOKUP(G141,$N:$O,2,0))</f>
        <v/>
      </c>
      <c r="I141" s="592"/>
      <c r="J141" s="293"/>
      <c r="N141" s="160">
        <f>报表格式!Z141</f>
        <v>0</v>
      </c>
      <c r="O141" s="166">
        <f>报表格式!AA144</f>
        <v>0</v>
      </c>
    </row>
    <row r="142" spans="1:15">
      <c r="A142" s="926"/>
      <c r="B142" s="933"/>
      <c r="C142" s="924"/>
      <c r="D142" s="38"/>
      <c r="E142" s="48" t="str">
        <f>IF(D142=0,"",VLOOKUP(D142,$N:$O,2,0))</f>
        <v/>
      </c>
      <c r="F142" s="592"/>
      <c r="G142" s="49"/>
      <c r="H142" s="48" t="str">
        <f>IF(G142=0,"",VLOOKUP(G142,$N:$O,2,0))</f>
        <v/>
      </c>
      <c r="I142" s="592"/>
      <c r="J142" s="293"/>
      <c r="N142" s="160">
        <f>报表格式!Z142</f>
        <v>0</v>
      </c>
      <c r="O142" s="170" t="str">
        <f>报表格式!AA145</f>
        <v>三、主营业务利润</v>
      </c>
    </row>
    <row r="143" spans="1:15">
      <c r="A143" s="927"/>
      <c r="B143" s="934"/>
      <c r="C143" s="924"/>
      <c r="D143" s="38"/>
      <c r="E143" s="48" t="str">
        <f>IF(D143=0,"",VLOOKUP(D143,$N:$O,2,0))</f>
        <v/>
      </c>
      <c r="F143" s="592"/>
      <c r="G143" s="49"/>
      <c r="H143" s="48" t="str">
        <f>IF(G143=0,"",VLOOKUP(G143,$N:$O,2,0))</f>
        <v/>
      </c>
      <c r="I143" s="592"/>
      <c r="J143" s="293"/>
      <c r="N143" s="160">
        <f>报表格式!Z143</f>
        <v>0</v>
      </c>
      <c r="O143" s="166" t="str">
        <f>报表格式!AA146</f>
        <v>其他业务利润</v>
      </c>
    </row>
    <row r="144" spans="1:15">
      <c r="A144" s="648"/>
      <c r="B144" s="648"/>
      <c r="C144" s="649"/>
      <c r="D144" s="650"/>
      <c r="E144" s="651"/>
      <c r="F144" s="651"/>
      <c r="G144" s="650"/>
      <c r="H144" s="651"/>
      <c r="I144" s="651"/>
      <c r="J144" s="652" t="str">
        <f>IF(ABS((SUMIF(E140:E143,"?*",J140:J143)-SUMIF(H140:H143,"?*",J140:J143)))&lt;0.005,"","借贷不等")</f>
        <v/>
      </c>
      <c r="N144" s="160">
        <f>报表格式!Z144</f>
        <v>0</v>
      </c>
      <c r="O144" s="166" t="str">
        <f>报表格式!AA147</f>
        <v>营业费用</v>
      </c>
    </row>
    <row r="145" spans="1:15">
      <c r="A145" s="925">
        <v>29</v>
      </c>
      <c r="B145" s="932"/>
      <c r="C145" s="924"/>
      <c r="D145" s="38"/>
      <c r="E145" s="48" t="str">
        <f>IF(D145=0,"",VLOOKUP(D145,$N:$O,2,0))</f>
        <v/>
      </c>
      <c r="F145" s="592"/>
      <c r="G145" s="49"/>
      <c r="H145" s="48" t="str">
        <f>IF(G145=0,"",VLOOKUP(G145,$N:$O,2,0))</f>
        <v/>
      </c>
      <c r="I145" s="592"/>
      <c r="J145" s="293"/>
      <c r="N145" s="160">
        <f>报表格式!Z145</f>
        <v>0</v>
      </c>
      <c r="O145" s="166" t="str">
        <f>报表格式!AA148</f>
        <v>管理费用</v>
      </c>
    </row>
    <row r="146" spans="1:15">
      <c r="A146" s="926"/>
      <c r="B146" s="933"/>
      <c r="C146" s="924"/>
      <c r="D146" s="38"/>
      <c r="E146" s="48" t="str">
        <f>IF(D146=0,"",VLOOKUP(D146,$N:$O,2,0))</f>
        <v/>
      </c>
      <c r="F146" s="592"/>
      <c r="G146" s="49"/>
      <c r="H146" s="48" t="str">
        <f>IF(G146=0,"",VLOOKUP(G146,$N:$O,2,0))</f>
        <v/>
      </c>
      <c r="I146" s="592"/>
      <c r="J146" s="293"/>
      <c r="N146" s="160" t="str">
        <f>报表格式!Z146</f>
        <v>D22</v>
      </c>
      <c r="O146" s="166">
        <f>报表格式!AA149</f>
        <v>0</v>
      </c>
    </row>
    <row r="147" spans="1:15">
      <c r="A147" s="926"/>
      <c r="B147" s="933"/>
      <c r="C147" s="924"/>
      <c r="D147" s="38"/>
      <c r="E147" s="48" t="str">
        <f>IF(D147=0,"",VLOOKUP(D147,$N:$O,2,0))</f>
        <v/>
      </c>
      <c r="F147" s="592"/>
      <c r="G147" s="49"/>
      <c r="H147" s="48" t="str">
        <f>IF(G147=0,"",VLOOKUP(G147,$N:$O,2,0))</f>
        <v/>
      </c>
      <c r="I147" s="592"/>
      <c r="J147" s="293"/>
      <c r="N147" s="160" t="str">
        <f>报表格式!Z147</f>
        <v>I23</v>
      </c>
      <c r="O147" s="166" t="str">
        <f>报表格式!AA150</f>
        <v>财务费用</v>
      </c>
    </row>
    <row r="148" spans="1:15">
      <c r="A148" s="927"/>
      <c r="B148" s="934"/>
      <c r="C148" s="924"/>
      <c r="D148" s="38"/>
      <c r="E148" s="48" t="str">
        <f>IF(D148=0,"",VLOOKUP(D148,$N:$O,2,0))</f>
        <v/>
      </c>
      <c r="F148" s="592"/>
      <c r="G148" s="49"/>
      <c r="H148" s="48" t="str">
        <f>IF(G148=0,"",VLOOKUP(G148,$N:$O,2,0))</f>
        <v/>
      </c>
      <c r="I148" s="592"/>
      <c r="J148" s="293"/>
      <c r="N148" s="160" t="str">
        <f>报表格式!Z148</f>
        <v>I24</v>
      </c>
      <c r="O148" s="166">
        <f>报表格式!AA151</f>
        <v>0</v>
      </c>
    </row>
    <row r="149" spans="1:15">
      <c r="A149" s="648"/>
      <c r="B149" s="648"/>
      <c r="C149" s="649"/>
      <c r="D149" s="650"/>
      <c r="E149" s="651"/>
      <c r="F149" s="651"/>
      <c r="G149" s="650"/>
      <c r="H149" s="651"/>
      <c r="I149" s="651"/>
      <c r="J149" s="652" t="str">
        <f>IF(ABS((SUMIF(E145:E148,"?*",J145:J148)-SUMIF(H145:H148,"?*",J145:J148)))&lt;0.005,"","借贷不等")</f>
        <v/>
      </c>
      <c r="N149" s="160">
        <f>报表格式!Z149</f>
        <v>0</v>
      </c>
      <c r="O149" s="167">
        <f>报表格式!AA152</f>
        <v>0</v>
      </c>
    </row>
    <row r="150" spans="1:15">
      <c r="A150" s="925">
        <v>30</v>
      </c>
      <c r="B150" s="932"/>
      <c r="C150" s="924"/>
      <c r="D150" s="38"/>
      <c r="E150" s="48" t="str">
        <f>IF(D150=0,"",VLOOKUP(D150,$N:$O,2,0))</f>
        <v/>
      </c>
      <c r="F150" s="592"/>
      <c r="G150" s="49"/>
      <c r="H150" s="48" t="str">
        <f>IF(G150=0,"",VLOOKUP(G150,$N:$O,2,0))</f>
        <v/>
      </c>
      <c r="I150" s="592"/>
      <c r="J150" s="293"/>
      <c r="N150" s="160" t="str">
        <f>报表格式!Z150</f>
        <v>F22</v>
      </c>
      <c r="O150" s="167">
        <f>报表格式!AA153</f>
        <v>0</v>
      </c>
    </row>
    <row r="151" spans="1:15">
      <c r="A151" s="926"/>
      <c r="B151" s="933"/>
      <c r="C151" s="924"/>
      <c r="D151" s="38"/>
      <c r="E151" s="48" t="str">
        <f>IF(D151=0,"",VLOOKUP(D151,$N:$O,2,0))</f>
        <v/>
      </c>
      <c r="F151" s="592"/>
      <c r="G151" s="49"/>
      <c r="H151" s="48" t="str">
        <f>IF(G151=0,"",VLOOKUP(G151,$N:$O,2,0))</f>
        <v/>
      </c>
      <c r="I151" s="592"/>
      <c r="J151" s="293"/>
      <c r="N151" s="160">
        <f>报表格式!Z151</f>
        <v>0</v>
      </c>
      <c r="O151" s="166">
        <f>报表格式!AA154</f>
        <v>0</v>
      </c>
    </row>
    <row r="152" spans="1:15">
      <c r="A152" s="926"/>
      <c r="B152" s="933"/>
      <c r="C152" s="924"/>
      <c r="D152" s="38"/>
      <c r="E152" s="48" t="str">
        <f>IF(D152=0,"",VLOOKUP(D152,$N:$O,2,0))</f>
        <v/>
      </c>
      <c r="F152" s="592"/>
      <c r="G152" s="49"/>
      <c r="H152" s="48" t="str">
        <f>IF(G152=0,"",VLOOKUP(G152,$N:$O,2,0))</f>
        <v/>
      </c>
      <c r="I152" s="592"/>
      <c r="J152" s="293"/>
      <c r="N152" s="160">
        <f>报表格式!Z152</f>
        <v>0</v>
      </c>
      <c r="O152" s="166">
        <f>报表格式!AA155</f>
        <v>0</v>
      </c>
    </row>
    <row r="153" spans="1:15">
      <c r="A153" s="927"/>
      <c r="B153" s="934"/>
      <c r="C153" s="924"/>
      <c r="D153" s="38"/>
      <c r="E153" s="48" t="str">
        <f>IF(D153=0,"",VLOOKUP(D153,$N:$O,2,0))</f>
        <v/>
      </c>
      <c r="F153" s="592"/>
      <c r="G153" s="49"/>
      <c r="H153" s="48" t="str">
        <f>IF(G153=0,"",VLOOKUP(G153,$N:$O,2,0))</f>
        <v/>
      </c>
      <c r="I153" s="592"/>
      <c r="J153" s="293"/>
      <c r="N153" s="160">
        <f>报表格式!Z153</f>
        <v>0</v>
      </c>
      <c r="O153" s="170" t="str">
        <f>报表格式!AA156</f>
        <v>四、营业利润</v>
      </c>
    </row>
    <row r="154" spans="1:15">
      <c r="A154" s="648"/>
      <c r="B154" s="648"/>
      <c r="C154" s="649"/>
      <c r="D154" s="650"/>
      <c r="E154" s="651"/>
      <c r="F154" s="651"/>
      <c r="G154" s="650"/>
      <c r="H154" s="651"/>
      <c r="I154" s="651"/>
      <c r="J154" s="652" t="str">
        <f>IF(ABS((SUMIF(E150:E153,"?*",J150:J153)-SUMIF(H150:H153,"?*",J150:J153)))&lt;0.005,"","借贷不等")</f>
        <v/>
      </c>
      <c r="N154" s="160">
        <f>报表格式!Z154</f>
        <v>0</v>
      </c>
      <c r="O154" s="166" t="str">
        <f>报表格式!AA157</f>
        <v>投资收益</v>
      </c>
    </row>
    <row r="155" spans="1:15">
      <c r="A155" s="925">
        <v>31</v>
      </c>
      <c r="B155" s="932"/>
      <c r="C155" s="924"/>
      <c r="D155" s="38"/>
      <c r="E155" s="48" t="str">
        <f>IF(D155=0,"",VLOOKUP(D155,$N:$O,2,0))</f>
        <v/>
      </c>
      <c r="F155" s="592"/>
      <c r="G155" s="49"/>
      <c r="H155" s="48" t="str">
        <f>IF(G155=0,"",VLOOKUP(G155,$N:$O,2,0))</f>
        <v/>
      </c>
      <c r="I155" s="592"/>
      <c r="J155" s="293"/>
      <c r="N155" s="160">
        <f>报表格式!Z155</f>
        <v>0</v>
      </c>
      <c r="O155" s="166" t="str">
        <f>报表格式!AA158</f>
        <v>期货收益</v>
      </c>
    </row>
    <row r="156" spans="1:15">
      <c r="A156" s="926"/>
      <c r="B156" s="933"/>
      <c r="C156" s="924"/>
      <c r="D156" s="38"/>
      <c r="E156" s="48" t="str">
        <f>IF(D156=0,"",VLOOKUP(D156,$N:$O,2,0))</f>
        <v/>
      </c>
      <c r="F156" s="592"/>
      <c r="G156" s="49"/>
      <c r="H156" s="48" t="str">
        <f>IF(G156=0,"",VLOOKUP(G156,$N:$O,2,0))</f>
        <v/>
      </c>
      <c r="I156" s="592"/>
      <c r="J156" s="293"/>
      <c r="N156" s="160">
        <f>报表格式!Z156</f>
        <v>0</v>
      </c>
      <c r="O156" s="166">
        <f>报表格式!AA159</f>
        <v>0</v>
      </c>
    </row>
    <row r="157" spans="1:15">
      <c r="A157" s="926"/>
      <c r="B157" s="933"/>
      <c r="C157" s="924"/>
      <c r="D157" s="38"/>
      <c r="E157" s="48" t="str">
        <f>IF(D157=0,"",VLOOKUP(D157,$N:$O,2,0))</f>
        <v/>
      </c>
      <c r="F157" s="592"/>
      <c r="G157" s="49"/>
      <c r="H157" s="48" t="str">
        <f>IF(G157=0,"",VLOOKUP(G157,$N:$O,2,0))</f>
        <v/>
      </c>
      <c r="I157" s="592"/>
      <c r="J157" s="293"/>
      <c r="N157" s="160" t="str">
        <f>报表格式!Z157</f>
        <v>F21</v>
      </c>
      <c r="O157" s="166" t="str">
        <f>报表格式!AA160</f>
        <v>补贴收入</v>
      </c>
    </row>
    <row r="158" spans="1:15">
      <c r="A158" s="927"/>
      <c r="B158" s="934"/>
      <c r="C158" s="924"/>
      <c r="D158" s="38"/>
      <c r="E158" s="48" t="str">
        <f>IF(D158=0,"",VLOOKUP(D158,$N:$O,2,0))</f>
        <v/>
      </c>
      <c r="F158" s="592"/>
      <c r="G158" s="49"/>
      <c r="H158" s="48" t="str">
        <f>IF(G158=0,"",VLOOKUP(G158,$N:$O,2,0))</f>
        <v/>
      </c>
      <c r="I158" s="592"/>
      <c r="J158" s="293"/>
      <c r="N158" s="160">
        <f>报表格式!Z158</f>
        <v>0</v>
      </c>
      <c r="O158" s="166">
        <f>报表格式!AA161</f>
        <v>0</v>
      </c>
    </row>
    <row r="159" spans="1:15">
      <c r="A159" s="648"/>
      <c r="B159" s="648"/>
      <c r="C159" s="649"/>
      <c r="D159" s="650"/>
      <c r="E159" s="651"/>
      <c r="F159" s="651"/>
      <c r="G159" s="650"/>
      <c r="H159" s="651"/>
      <c r="I159" s="651"/>
      <c r="J159" s="652" t="str">
        <f>IF(ABS((SUMIF(E155:E158,"?*",J155:J158)-SUMIF(H155:H158,"?*",J155:J158)))&lt;0.005,"","借贷不等")</f>
        <v/>
      </c>
      <c r="N159" s="160">
        <f>报表格式!Z159</f>
        <v>0</v>
      </c>
      <c r="O159" s="166">
        <f>报表格式!AA162</f>
        <v>0</v>
      </c>
    </row>
    <row r="160" spans="1:15">
      <c r="A160" s="925">
        <v>32</v>
      </c>
      <c r="B160" s="932"/>
      <c r="C160" s="924"/>
      <c r="D160" s="38"/>
      <c r="E160" s="48" t="str">
        <f>IF(D160=0,"",VLOOKUP(D160,$N:$O,2,0))</f>
        <v/>
      </c>
      <c r="F160" s="592"/>
      <c r="G160" s="49"/>
      <c r="H160" s="48" t="str">
        <f>IF(G160=0,"",VLOOKUP(G160,$N:$O,2,0))</f>
        <v/>
      </c>
      <c r="I160" s="592"/>
      <c r="J160" s="293"/>
      <c r="N160" s="160" t="str">
        <f>报表格式!Z160</f>
        <v>I22</v>
      </c>
      <c r="O160" s="166" t="str">
        <f>报表格式!AA163</f>
        <v>营业外收入</v>
      </c>
    </row>
    <row r="161" spans="1:15">
      <c r="A161" s="926"/>
      <c r="B161" s="933"/>
      <c r="C161" s="924"/>
      <c r="D161" s="38"/>
      <c r="E161" s="48" t="str">
        <f>IF(D161=0,"",VLOOKUP(D161,$N:$O,2,0))</f>
        <v/>
      </c>
      <c r="F161" s="592"/>
      <c r="G161" s="49"/>
      <c r="H161" s="48" t="str">
        <f>IF(G161=0,"",VLOOKUP(G161,$N:$O,2,0))</f>
        <v/>
      </c>
      <c r="I161" s="592"/>
      <c r="J161" s="293"/>
      <c r="N161" s="160">
        <f>报表格式!Z161</f>
        <v>0</v>
      </c>
      <c r="O161" s="166">
        <f>报表格式!AA164</f>
        <v>0</v>
      </c>
    </row>
    <row r="162" spans="1:15">
      <c r="A162" s="926"/>
      <c r="B162" s="933"/>
      <c r="C162" s="924"/>
      <c r="D162" s="38"/>
      <c r="E162" s="48" t="str">
        <f>IF(D162=0,"",VLOOKUP(D162,$N:$O,2,0))</f>
        <v/>
      </c>
      <c r="F162" s="592"/>
      <c r="G162" s="49"/>
      <c r="H162" s="48" t="str">
        <f>IF(G162=0,"",VLOOKUP(G162,$N:$O,2,0))</f>
        <v/>
      </c>
      <c r="I162" s="592"/>
      <c r="J162" s="293"/>
      <c r="N162" s="160">
        <f>报表格式!Z162</f>
        <v>0</v>
      </c>
      <c r="O162" s="167">
        <f>报表格式!AA165</f>
        <v>0</v>
      </c>
    </row>
    <row r="163" spans="1:15">
      <c r="A163" s="927"/>
      <c r="B163" s="934"/>
      <c r="C163" s="924"/>
      <c r="D163" s="38"/>
      <c r="E163" s="48" t="str">
        <f>IF(D163=0,"",VLOOKUP(D163,$N:$O,2,0))</f>
        <v/>
      </c>
      <c r="F163" s="592"/>
      <c r="G163" s="49"/>
      <c r="H163" s="48" t="str">
        <f>IF(G163=0,"",VLOOKUP(G163,$N:$O,2,0))</f>
        <v/>
      </c>
      <c r="I163" s="592"/>
      <c r="J163" s="293"/>
      <c r="N163" s="160" t="str">
        <f>报表格式!Z163</f>
        <v>I25</v>
      </c>
      <c r="O163" s="167">
        <f>报表格式!AA166</f>
        <v>0</v>
      </c>
    </row>
    <row r="164" spans="1:15">
      <c r="A164" s="648"/>
      <c r="B164" s="648"/>
      <c r="C164" s="649"/>
      <c r="D164" s="650"/>
      <c r="E164" s="651"/>
      <c r="F164" s="651"/>
      <c r="G164" s="650"/>
      <c r="H164" s="651"/>
      <c r="I164" s="651"/>
      <c r="J164" s="652" t="str">
        <f>IF(ABS((SUMIF(E160:E163,"?*",J160:J163)-SUMIF(H160:H163,"?*",J160:J163)))&lt;0.005,"","借贷不等")</f>
        <v/>
      </c>
      <c r="N164" s="160">
        <f>报表格式!Z164</f>
        <v>0</v>
      </c>
      <c r="O164" s="167">
        <f>报表格式!AA167</f>
        <v>0</v>
      </c>
    </row>
    <row r="165" spans="1:15">
      <c r="N165" s="160">
        <f>报表格式!Z165</f>
        <v>0</v>
      </c>
      <c r="O165" s="166">
        <f>报表格式!AA168</f>
        <v>0</v>
      </c>
    </row>
    <row r="166" spans="1:15">
      <c r="N166" s="160">
        <f>报表格式!Z166</f>
        <v>0</v>
      </c>
      <c r="O166" s="166">
        <f>报表格式!AA169</f>
        <v>0</v>
      </c>
    </row>
    <row r="167" spans="1:15">
      <c r="N167" s="160">
        <f>报表格式!Z167</f>
        <v>0</v>
      </c>
      <c r="O167" s="166">
        <f>报表格式!AA170</f>
        <v>0</v>
      </c>
    </row>
    <row r="168" spans="1:15">
      <c r="N168" s="160">
        <f>报表格式!Z168</f>
        <v>0</v>
      </c>
      <c r="O168" s="159">
        <f>报表格式!AA171</f>
        <v>0</v>
      </c>
    </row>
    <row r="169" spans="1:15">
      <c r="N169" s="160">
        <f>报表格式!Z169</f>
        <v>0</v>
      </c>
      <c r="O169" s="166" t="str">
        <f>报表格式!AA172</f>
        <v>营业外支出</v>
      </c>
    </row>
    <row r="170" spans="1:15">
      <c r="N170" s="160">
        <f>报表格式!Z170</f>
        <v>0</v>
      </c>
      <c r="O170" s="159">
        <f>报表格式!AA173</f>
        <v>0</v>
      </c>
    </row>
    <row r="171" spans="1:15">
      <c r="N171" s="160">
        <f>报表格式!Z171</f>
        <v>0</v>
      </c>
      <c r="O171" s="167">
        <f>报表格式!AA174</f>
        <v>0</v>
      </c>
    </row>
    <row r="172" spans="1:15">
      <c r="N172" s="160" t="str">
        <f>报表格式!Z172</f>
        <v>I26</v>
      </c>
      <c r="O172" s="167">
        <f>报表格式!AA175</f>
        <v>0</v>
      </c>
    </row>
    <row r="173" spans="1:15">
      <c r="N173" s="160">
        <f>报表格式!Z173</f>
        <v>0</v>
      </c>
      <c r="O173" s="167">
        <f>报表格式!AA176</f>
        <v>0</v>
      </c>
    </row>
    <row r="174" spans="1:15">
      <c r="N174" s="160">
        <f>报表格式!Z174</f>
        <v>0</v>
      </c>
      <c r="O174" s="159">
        <f>报表格式!AA177</f>
        <v>0</v>
      </c>
    </row>
    <row r="175" spans="1:15">
      <c r="N175" s="160">
        <f>报表格式!Z175</f>
        <v>0</v>
      </c>
      <c r="O175" s="166">
        <f>报表格式!AA178</f>
        <v>0</v>
      </c>
    </row>
    <row r="176" spans="1:15">
      <c r="N176" s="160">
        <f>报表格式!Z176</f>
        <v>0</v>
      </c>
      <c r="O176" s="166">
        <f>报表格式!AA179</f>
        <v>0</v>
      </c>
    </row>
    <row r="177" spans="14:15">
      <c r="N177" s="160">
        <f>报表格式!Z177</f>
        <v>0</v>
      </c>
      <c r="O177" s="159">
        <f>报表格式!AA180</f>
        <v>0</v>
      </c>
    </row>
    <row r="178" spans="14:15">
      <c r="N178" s="160">
        <f>报表格式!Z178</f>
        <v>0</v>
      </c>
      <c r="O178" s="166">
        <f>报表格式!AA181</f>
        <v>0</v>
      </c>
    </row>
    <row r="179" spans="14:15">
      <c r="N179" s="160">
        <f>报表格式!Z179</f>
        <v>0</v>
      </c>
      <c r="O179" s="170" t="str">
        <f>报表格式!AA182</f>
        <v>五、利润总额</v>
      </c>
    </row>
    <row r="180" spans="14:15">
      <c r="N180" s="160">
        <f>报表格式!Z180</f>
        <v>0</v>
      </c>
      <c r="O180" s="166" t="str">
        <f>报表格式!AA183</f>
        <v>所得税</v>
      </c>
    </row>
    <row r="181" spans="14:15">
      <c r="N181" s="160">
        <f>报表格式!Z181</f>
        <v>0</v>
      </c>
      <c r="O181" s="166" t="str">
        <f>报表格式!AA184</f>
        <v>少数股东损益</v>
      </c>
    </row>
    <row r="182" spans="14:15">
      <c r="N182" s="160">
        <f>报表格式!Z182</f>
        <v>0</v>
      </c>
      <c r="O182" s="166" t="str">
        <f>报表格式!AA185</f>
        <v>未确认的投资损失</v>
      </c>
    </row>
    <row r="183" spans="14:15">
      <c r="N183" s="160" t="str">
        <f>报表格式!Z183</f>
        <v>I28</v>
      </c>
      <c r="O183" s="170" t="str">
        <f>报表格式!AA186</f>
        <v>六、净利润</v>
      </c>
    </row>
    <row r="184" spans="14:15">
      <c r="N184" s="160">
        <f>报表格式!Z184</f>
        <v>0</v>
      </c>
      <c r="O184" s="166" t="str">
        <f>报表格式!AA187</f>
        <v>年初未分配利润</v>
      </c>
    </row>
    <row r="185" spans="14:15">
      <c r="N185" s="160">
        <f>报表格式!Z185</f>
        <v>0</v>
      </c>
      <c r="O185" s="166" t="str">
        <f>报表格式!AA188</f>
        <v>盈余公积补亏</v>
      </c>
    </row>
    <row r="186" spans="14:15">
      <c r="N186" s="160">
        <f>报表格式!Z186</f>
        <v>0</v>
      </c>
      <c r="O186" s="166" t="str">
        <f>报表格式!AA189</f>
        <v>其他调整因素</v>
      </c>
    </row>
    <row r="187" spans="14:15">
      <c r="N187" s="160">
        <f>报表格式!Z187</f>
        <v>0</v>
      </c>
      <c r="O187" s="170" t="str">
        <f>报表格式!AA190</f>
        <v>七、可供分配的利润</v>
      </c>
    </row>
    <row r="188" spans="14:15">
      <c r="N188" s="160">
        <f>报表格式!Z188</f>
        <v>0</v>
      </c>
      <c r="O188" s="166" t="str">
        <f>报表格式!AA191</f>
        <v>提取法定盈余公积</v>
      </c>
    </row>
    <row r="189" spans="14:15">
      <c r="N189" s="160">
        <f>报表格式!Z189</f>
        <v>0</v>
      </c>
      <c r="O189" s="166" t="str">
        <f>报表格式!AA192</f>
        <v>提取法定公益金</v>
      </c>
    </row>
    <row r="190" spans="14:15">
      <c r="N190" s="160">
        <f>报表格式!Z190</f>
        <v>0</v>
      </c>
      <c r="O190" s="166" t="str">
        <f>报表格式!AA193</f>
        <v>提取职工奖励及福利基金</v>
      </c>
    </row>
    <row r="191" spans="14:15">
      <c r="N191" s="160">
        <f>报表格式!Z191</f>
        <v>0</v>
      </c>
      <c r="O191" s="166" t="str">
        <f>报表格式!AA194</f>
        <v>提取储备基金</v>
      </c>
    </row>
    <row r="192" spans="14:15">
      <c r="N192" s="160">
        <f>报表格式!Z192</f>
        <v>0</v>
      </c>
      <c r="O192" s="166" t="str">
        <f>报表格式!AA195</f>
        <v>提取企业发展基金</v>
      </c>
    </row>
    <row r="193" spans="14:15">
      <c r="N193" s="160">
        <f>报表格式!Z193</f>
        <v>0</v>
      </c>
      <c r="O193" s="166" t="str">
        <f>报表格式!AA196</f>
        <v>利润归还投资</v>
      </c>
    </row>
    <row r="194" spans="14:15">
      <c r="N194" s="160">
        <f>报表格式!Z194</f>
        <v>0</v>
      </c>
      <c r="O194" s="166" t="str">
        <f>报表格式!AA197</f>
        <v>补充流动资本</v>
      </c>
    </row>
    <row r="195" spans="14:15">
      <c r="N195" s="160">
        <f>报表格式!Z195</f>
        <v>0</v>
      </c>
      <c r="O195" s="166" t="str">
        <f>报表格式!AA198</f>
        <v>单项留用的利润</v>
      </c>
    </row>
    <row r="196" spans="14:15">
      <c r="N196" s="160">
        <f>报表格式!Z196</f>
        <v>0</v>
      </c>
      <c r="O196" s="166">
        <f>报表格式!AA199</f>
        <v>0</v>
      </c>
    </row>
    <row r="197" spans="14:15">
      <c r="N197" s="160">
        <f>报表格式!Z197</f>
        <v>0</v>
      </c>
      <c r="O197" s="170" t="str">
        <f>报表格式!AA200</f>
        <v>八、可供投资者分配的利润</v>
      </c>
    </row>
    <row r="198" spans="14:15">
      <c r="N198" s="160">
        <f>报表格式!Z198</f>
        <v>0</v>
      </c>
      <c r="O198" s="166" t="str">
        <f>报表格式!AA201</f>
        <v>应付优先股股利</v>
      </c>
    </row>
    <row r="199" spans="14:15">
      <c r="N199" s="160">
        <f>报表格式!Z199</f>
        <v>0</v>
      </c>
      <c r="O199" s="166" t="str">
        <f>报表格式!AA202</f>
        <v>提取任意盈余公积</v>
      </c>
    </row>
    <row r="200" spans="14:15">
      <c r="N200" s="160">
        <f>报表格式!Z200</f>
        <v>0</v>
      </c>
      <c r="O200" s="166" t="str">
        <f>报表格式!AA203</f>
        <v>应付普通股股利（应付利润）</v>
      </c>
    </row>
    <row r="201" spans="14:15">
      <c r="N201" s="160">
        <f>报表格式!Z201</f>
        <v>0</v>
      </c>
      <c r="O201" s="166" t="str">
        <f>报表格式!AA204</f>
        <v>转作资本（股本）的普通股股利</v>
      </c>
    </row>
    <row r="202" spans="14:15">
      <c r="N202" s="160">
        <f>报表格式!Z202</f>
        <v>0</v>
      </c>
      <c r="O202" s="166">
        <f>报表格式!AA205</f>
        <v>0</v>
      </c>
    </row>
    <row r="203" spans="14:15">
      <c r="N203" s="160">
        <f>报表格式!Z203</f>
        <v>0</v>
      </c>
      <c r="O203" s="169" t="str">
        <f>报表格式!AA206</f>
        <v>九、未分配利润</v>
      </c>
    </row>
    <row r="204" spans="14:15">
      <c r="N204" s="160">
        <f>报表格式!Z204</f>
        <v>0</v>
      </c>
      <c r="O204" s="166">
        <f>报表格式!AA207</f>
        <v>0</v>
      </c>
    </row>
    <row r="205" spans="14:15">
      <c r="N205" s="160">
        <f>报表格式!Z205</f>
        <v>0</v>
      </c>
      <c r="O205" s="159">
        <f>报表格式!AA208</f>
        <v>0</v>
      </c>
    </row>
    <row r="206" spans="14:15">
      <c r="N206" s="160">
        <f>报表格式!Z206</f>
        <v>0</v>
      </c>
      <c r="O206" s="159">
        <f>报表格式!AA209</f>
        <v>0</v>
      </c>
    </row>
    <row r="207" spans="14:15">
      <c r="N207" s="160">
        <f>报表格式!Z207</f>
        <v>0</v>
      </c>
      <c r="O207" s="159">
        <f>报表格式!AA210</f>
        <v>0</v>
      </c>
    </row>
    <row r="208" spans="14:15">
      <c r="N208" s="160">
        <f>报表格式!Z208</f>
        <v>0</v>
      </c>
      <c r="O208" s="159">
        <f>报表格式!AA211</f>
        <v>0</v>
      </c>
    </row>
    <row r="209" spans="14:15">
      <c r="N209" s="160">
        <f>报表格式!Z209</f>
        <v>0</v>
      </c>
      <c r="O209" s="159">
        <f>报表格式!AA212</f>
        <v>0</v>
      </c>
    </row>
    <row r="210" spans="14:15">
      <c r="N210" s="160">
        <f>报表格式!Z210</f>
        <v>0</v>
      </c>
      <c r="O210" s="159">
        <f>报表格式!AA213</f>
        <v>0</v>
      </c>
    </row>
    <row r="211" spans="14:15">
      <c r="N211" s="160">
        <f>报表格式!Z211</f>
        <v>0</v>
      </c>
      <c r="O211" s="159">
        <f>报表格式!AA214</f>
        <v>0</v>
      </c>
    </row>
    <row r="212" spans="14:15">
      <c r="N212" s="160">
        <f>报表格式!Z212</f>
        <v>0</v>
      </c>
      <c r="O212" s="159">
        <f>报表格式!AA215</f>
        <v>0</v>
      </c>
    </row>
    <row r="213" spans="14:15">
      <c r="N213" s="160">
        <f>报表格式!Z213</f>
        <v>0</v>
      </c>
      <c r="O213" s="159">
        <f>报表格式!AA216</f>
        <v>0</v>
      </c>
    </row>
    <row r="214" spans="14:15">
      <c r="N214" s="160">
        <f>报表格式!Z214</f>
        <v>0</v>
      </c>
      <c r="O214" s="159">
        <f>报表格式!AA217</f>
        <v>0</v>
      </c>
    </row>
    <row r="215" spans="14:15">
      <c r="N215" s="160">
        <f>报表格式!Z215</f>
        <v>0</v>
      </c>
      <c r="O215" s="159">
        <f>报表格式!AA218</f>
        <v>0</v>
      </c>
    </row>
    <row r="216" spans="14:15">
      <c r="N216" s="160">
        <f>报表格式!Z216</f>
        <v>0</v>
      </c>
      <c r="O216" s="159">
        <f>报表格式!AA219</f>
        <v>0</v>
      </c>
    </row>
    <row r="217" spans="14:15">
      <c r="N217" s="160">
        <f>报表格式!Z217</f>
        <v>0</v>
      </c>
      <c r="O217" s="159">
        <f>报表格式!AA220</f>
        <v>0</v>
      </c>
    </row>
    <row r="218" spans="14:15">
      <c r="N218" s="160">
        <f>报表格式!Z218</f>
        <v>0</v>
      </c>
      <c r="O218" s="159">
        <f>报表格式!AA221</f>
        <v>0</v>
      </c>
    </row>
    <row r="219" spans="14:15">
      <c r="N219" s="160">
        <f>报表格式!Z219</f>
        <v>0</v>
      </c>
      <c r="O219" s="159">
        <f>报表格式!AA222</f>
        <v>0</v>
      </c>
    </row>
    <row r="220" spans="14:15">
      <c r="N220" s="160">
        <f>报表格式!Z220</f>
        <v>0</v>
      </c>
      <c r="O220" s="159">
        <f>报表格式!AA223</f>
        <v>0</v>
      </c>
    </row>
    <row r="221" spans="14:15">
      <c r="N221" s="160">
        <f>报表格式!Z221</f>
        <v>0</v>
      </c>
      <c r="O221" s="159">
        <f>报表格式!AA224</f>
        <v>0</v>
      </c>
    </row>
    <row r="222" spans="14:15">
      <c r="N222" s="160">
        <f>报表格式!Z222</f>
        <v>0</v>
      </c>
      <c r="O222" s="159">
        <f>报表格式!AA225</f>
        <v>0</v>
      </c>
    </row>
    <row r="223" spans="14:15">
      <c r="N223" s="160">
        <f>报表格式!Z223</f>
        <v>0</v>
      </c>
      <c r="O223" s="159">
        <f>报表格式!AA226</f>
        <v>0</v>
      </c>
    </row>
    <row r="224" spans="14:15">
      <c r="N224" s="160">
        <f>报表格式!Z224</f>
        <v>0</v>
      </c>
      <c r="O224" s="159">
        <f>报表格式!AA227</f>
        <v>0</v>
      </c>
    </row>
    <row r="225" spans="14:15">
      <c r="N225" s="160">
        <f>报表格式!Z225</f>
        <v>0</v>
      </c>
      <c r="O225" s="159">
        <f>报表格式!AA228</f>
        <v>0</v>
      </c>
    </row>
    <row r="226" spans="14:15">
      <c r="N226" s="160">
        <f>报表格式!Z226</f>
        <v>0</v>
      </c>
      <c r="O226" s="159">
        <f>报表格式!AA229</f>
        <v>0</v>
      </c>
    </row>
    <row r="227" spans="14:15">
      <c r="N227" s="160">
        <f>报表格式!Z227</f>
        <v>0</v>
      </c>
      <c r="O227" s="159">
        <f>报表格式!AA230</f>
        <v>0</v>
      </c>
    </row>
    <row r="228" spans="14:15">
      <c r="N228" s="160">
        <f>报表格式!Z228</f>
        <v>0</v>
      </c>
      <c r="O228" s="159">
        <f>报表格式!AA231</f>
        <v>0</v>
      </c>
    </row>
    <row r="229" spans="14:15">
      <c r="N229" s="160">
        <f>报表格式!Z229</f>
        <v>0</v>
      </c>
      <c r="O229" s="159">
        <f>报表格式!AA232</f>
        <v>0</v>
      </c>
    </row>
    <row r="230" spans="14:15">
      <c r="N230" s="160">
        <f>报表格式!Z230</f>
        <v>0</v>
      </c>
      <c r="O230" s="159">
        <f>报表格式!AA233</f>
        <v>0</v>
      </c>
    </row>
    <row r="231" spans="14:15">
      <c r="N231" s="160">
        <f>报表格式!Z231</f>
        <v>0</v>
      </c>
      <c r="O231" s="159">
        <f>报表格式!AA234</f>
        <v>0</v>
      </c>
    </row>
    <row r="232" spans="14:15">
      <c r="N232" s="160">
        <f>报表格式!Z232</f>
        <v>0</v>
      </c>
      <c r="O232" s="159">
        <f>报表格式!AA235</f>
        <v>0</v>
      </c>
    </row>
    <row r="233" spans="14:15">
      <c r="N233" s="160">
        <f>报表格式!Z233</f>
        <v>0</v>
      </c>
      <c r="O233" s="159">
        <f>报表格式!AA236</f>
        <v>0</v>
      </c>
    </row>
    <row r="234" spans="14:15">
      <c r="N234" s="160">
        <f>报表格式!Z234</f>
        <v>0</v>
      </c>
      <c r="O234" s="159">
        <f>报表格式!AA237</f>
        <v>0</v>
      </c>
    </row>
    <row r="235" spans="14:15">
      <c r="N235" s="160">
        <f>报表格式!Z235</f>
        <v>0</v>
      </c>
      <c r="O235" s="159">
        <f>报表格式!AA238</f>
        <v>0</v>
      </c>
    </row>
    <row r="236" spans="14:15">
      <c r="N236" s="160">
        <f>报表格式!Z236</f>
        <v>0</v>
      </c>
      <c r="O236" s="159">
        <f>报表格式!AA239</f>
        <v>0</v>
      </c>
    </row>
    <row r="237" spans="14:15">
      <c r="N237" s="160">
        <f>报表格式!Z237</f>
        <v>0</v>
      </c>
      <c r="O237" s="159">
        <f>报表格式!AA240</f>
        <v>0</v>
      </c>
    </row>
    <row r="238" spans="14:15">
      <c r="N238" s="160">
        <f>报表格式!Z238</f>
        <v>0</v>
      </c>
      <c r="O238" s="159">
        <f>报表格式!AA241</f>
        <v>0</v>
      </c>
    </row>
    <row r="239" spans="14:15">
      <c r="N239" s="160">
        <f>报表格式!Z239</f>
        <v>0</v>
      </c>
      <c r="O239" s="159">
        <f>报表格式!AA242</f>
        <v>0</v>
      </c>
    </row>
    <row r="240" spans="14:15">
      <c r="N240" s="160">
        <f>报表格式!Z240</f>
        <v>0</v>
      </c>
      <c r="O240" s="159">
        <f>报表格式!AA243</f>
        <v>0</v>
      </c>
    </row>
    <row r="241" spans="14:15">
      <c r="N241" s="160">
        <f>报表格式!Z241</f>
        <v>0</v>
      </c>
      <c r="O241" s="159">
        <f>报表格式!AA244</f>
        <v>0</v>
      </c>
    </row>
    <row r="242" spans="14:15">
      <c r="N242" s="160">
        <f>报表格式!Z242</f>
        <v>0</v>
      </c>
      <c r="O242" s="159">
        <f>报表格式!AA245</f>
        <v>0</v>
      </c>
    </row>
    <row r="243" spans="14:15">
      <c r="N243" s="160">
        <f>报表格式!Z243</f>
        <v>0</v>
      </c>
      <c r="O243" s="159">
        <f>报表格式!AA246</f>
        <v>0</v>
      </c>
    </row>
    <row r="244" spans="14:15">
      <c r="N244" s="160">
        <f>报表格式!Z244</f>
        <v>0</v>
      </c>
      <c r="O244" s="159">
        <f>报表格式!AA247</f>
        <v>0</v>
      </c>
    </row>
    <row r="245" spans="14:15">
      <c r="N245" s="160">
        <f>报表格式!Z245</f>
        <v>0</v>
      </c>
      <c r="O245" s="159">
        <f>报表格式!AA248</f>
        <v>0</v>
      </c>
    </row>
    <row r="246" spans="14:15">
      <c r="N246" s="160">
        <f>报表格式!Z246</f>
        <v>0</v>
      </c>
      <c r="O246" s="159">
        <f>报表格式!AA249</f>
        <v>0</v>
      </c>
    </row>
    <row r="247" spans="14:15">
      <c r="N247" s="160">
        <f>报表格式!Z247</f>
        <v>0</v>
      </c>
      <c r="O247" s="159">
        <f>报表格式!AA250</f>
        <v>0</v>
      </c>
    </row>
    <row r="248" spans="14:15">
      <c r="N248" s="160">
        <f>报表格式!Z248</f>
        <v>0</v>
      </c>
      <c r="O248" s="159">
        <f>报表格式!AA251</f>
        <v>0</v>
      </c>
    </row>
    <row r="249" spans="14:15">
      <c r="N249" s="160">
        <f>报表格式!Z249</f>
        <v>0</v>
      </c>
      <c r="O249" s="159">
        <f>报表格式!AA252</f>
        <v>0</v>
      </c>
    </row>
    <row r="250" spans="14:15">
      <c r="N250" s="160">
        <f>报表格式!Z250</f>
        <v>0</v>
      </c>
      <c r="O250" s="159">
        <f>报表格式!AA253</f>
        <v>0</v>
      </c>
    </row>
    <row r="251" spans="14:15">
      <c r="N251" s="160">
        <f>报表格式!Z251</f>
        <v>0</v>
      </c>
      <c r="O251" s="159">
        <f>报表格式!AA254</f>
        <v>0</v>
      </c>
    </row>
    <row r="252" spans="14:15">
      <c r="N252" s="160">
        <f>报表格式!Z252</f>
        <v>0</v>
      </c>
      <c r="O252" s="159">
        <f>报表格式!AA255</f>
        <v>0</v>
      </c>
    </row>
    <row r="253" spans="14:15">
      <c r="N253" s="160">
        <f>报表格式!Z253</f>
        <v>0</v>
      </c>
      <c r="O253" s="159">
        <f>报表格式!AA256</f>
        <v>0</v>
      </c>
    </row>
    <row r="254" spans="14:15">
      <c r="N254" s="160">
        <f>报表格式!Z254</f>
        <v>0</v>
      </c>
      <c r="O254" s="159">
        <f>报表格式!AA257</f>
        <v>0</v>
      </c>
    </row>
    <row r="255" spans="14:15">
      <c r="N255" s="160">
        <f>报表格式!Z255</f>
        <v>0</v>
      </c>
      <c r="O255" s="159">
        <f>报表格式!AA258</f>
        <v>0</v>
      </c>
    </row>
    <row r="256" spans="14:15">
      <c r="N256" s="160">
        <f>报表格式!Z256</f>
        <v>0</v>
      </c>
      <c r="O256" s="159">
        <f>报表格式!AA259</f>
        <v>0</v>
      </c>
    </row>
    <row r="257" spans="14:15">
      <c r="N257" s="160">
        <f>报表格式!Z257</f>
        <v>0</v>
      </c>
      <c r="O257" s="159">
        <f>报表格式!AA260</f>
        <v>0</v>
      </c>
    </row>
    <row r="258" spans="14:15">
      <c r="N258" s="160">
        <f>报表格式!Z258</f>
        <v>0</v>
      </c>
      <c r="O258" s="159">
        <f>报表格式!AA261</f>
        <v>0</v>
      </c>
    </row>
    <row r="259" spans="14:15">
      <c r="N259" s="160">
        <f>报表格式!Z259</f>
        <v>0</v>
      </c>
      <c r="O259" s="159">
        <f>报表格式!AA262</f>
        <v>0</v>
      </c>
    </row>
    <row r="260" spans="14:15">
      <c r="N260" s="160">
        <f>报表格式!Z260</f>
        <v>0</v>
      </c>
      <c r="O260" s="159">
        <f>报表格式!AA263</f>
        <v>0</v>
      </c>
    </row>
    <row r="261" spans="14:15">
      <c r="N261" s="160">
        <f>报表格式!Z261</f>
        <v>0</v>
      </c>
      <c r="O261" s="159">
        <f>报表格式!AA264</f>
        <v>0</v>
      </c>
    </row>
    <row r="262" spans="14:15">
      <c r="N262" s="160">
        <f>报表格式!Z262</f>
        <v>0</v>
      </c>
      <c r="O262" s="159">
        <f>报表格式!AA265</f>
        <v>0</v>
      </c>
    </row>
    <row r="263" spans="14:15">
      <c r="N263" s="160">
        <f>报表格式!Z263</f>
        <v>0</v>
      </c>
      <c r="O263" s="159">
        <f>报表格式!AA266</f>
        <v>0</v>
      </c>
    </row>
    <row r="264" spans="14:15">
      <c r="N264" s="160">
        <f>报表格式!Z264</f>
        <v>0</v>
      </c>
      <c r="O264" s="159">
        <f>报表格式!AA267</f>
        <v>0</v>
      </c>
    </row>
    <row r="265" spans="14:15">
      <c r="N265" s="160">
        <f>报表格式!Z265</f>
        <v>0</v>
      </c>
      <c r="O265" s="159">
        <f>报表格式!AA268</f>
        <v>0</v>
      </c>
    </row>
    <row r="266" spans="14:15">
      <c r="N266" s="160">
        <f>报表格式!Z266</f>
        <v>0</v>
      </c>
      <c r="O266" s="159">
        <f>报表格式!AA269</f>
        <v>0</v>
      </c>
    </row>
    <row r="267" spans="14:15">
      <c r="N267" s="160">
        <f>报表格式!Z267</f>
        <v>0</v>
      </c>
      <c r="O267" s="159">
        <f>报表格式!AA270</f>
        <v>0</v>
      </c>
    </row>
    <row r="268" spans="14:15">
      <c r="N268" s="160">
        <f>报表格式!Z268</f>
        <v>0</v>
      </c>
      <c r="O268" s="159">
        <f>报表格式!AA271</f>
        <v>0</v>
      </c>
    </row>
    <row r="269" spans="14:15">
      <c r="N269" s="160">
        <f>报表格式!Z269</f>
        <v>0</v>
      </c>
      <c r="O269" s="159">
        <f>报表格式!AA272</f>
        <v>0</v>
      </c>
    </row>
    <row r="270" spans="14:15">
      <c r="N270" s="160">
        <f>报表格式!Z270</f>
        <v>0</v>
      </c>
      <c r="O270" s="159">
        <f>报表格式!AA273</f>
        <v>0</v>
      </c>
    </row>
    <row r="271" spans="14:15">
      <c r="N271" s="160">
        <f>报表格式!Z271</f>
        <v>0</v>
      </c>
      <c r="O271" s="159">
        <f>报表格式!AA274</f>
        <v>0</v>
      </c>
    </row>
    <row r="272" spans="14:15">
      <c r="N272" s="160">
        <f>报表格式!Z272</f>
        <v>0</v>
      </c>
      <c r="O272" s="159">
        <f>报表格式!AA275</f>
        <v>0</v>
      </c>
    </row>
    <row r="273" spans="14:15">
      <c r="N273" s="160">
        <f>报表格式!Z273</f>
        <v>0</v>
      </c>
      <c r="O273" s="159">
        <f>报表格式!AA276</f>
        <v>0</v>
      </c>
    </row>
    <row r="274" spans="14:15">
      <c r="N274" s="160">
        <f>报表格式!Z274</f>
        <v>0</v>
      </c>
      <c r="O274" s="159">
        <f>报表格式!AA277</f>
        <v>0</v>
      </c>
    </row>
    <row r="275" spans="14:15">
      <c r="N275" s="160">
        <f>报表格式!Z275</f>
        <v>0</v>
      </c>
      <c r="O275" s="159">
        <f>报表格式!AA278</f>
        <v>0</v>
      </c>
    </row>
    <row r="276" spans="14:15">
      <c r="N276" s="160">
        <f>报表格式!Z276</f>
        <v>0</v>
      </c>
      <c r="O276" s="159">
        <f>报表格式!AA279</f>
        <v>0</v>
      </c>
    </row>
    <row r="277" spans="14:15">
      <c r="N277" s="160">
        <f>报表格式!Z277</f>
        <v>0</v>
      </c>
      <c r="O277" s="159">
        <f>报表格式!AA280</f>
        <v>0</v>
      </c>
    </row>
    <row r="278" spans="14:15">
      <c r="N278" s="160">
        <f>报表格式!Z278</f>
        <v>0</v>
      </c>
      <c r="O278" s="159">
        <f>报表格式!AA281</f>
        <v>0</v>
      </c>
    </row>
    <row r="279" spans="14:15">
      <c r="N279" s="160">
        <f>报表格式!Z279</f>
        <v>0</v>
      </c>
      <c r="O279" s="159">
        <f>报表格式!AA282</f>
        <v>0</v>
      </c>
    </row>
    <row r="280" spans="14:15">
      <c r="N280" s="160">
        <f>报表格式!Z280</f>
        <v>0</v>
      </c>
      <c r="O280" s="159">
        <f>报表格式!AA283</f>
        <v>0</v>
      </c>
    </row>
    <row r="281" spans="14:15">
      <c r="N281" s="160">
        <f>报表格式!Z281</f>
        <v>0</v>
      </c>
      <c r="O281" s="159">
        <f>报表格式!AA284</f>
        <v>0</v>
      </c>
    </row>
    <row r="282" spans="14:15">
      <c r="N282" s="160">
        <f>报表格式!Z282</f>
        <v>0</v>
      </c>
      <c r="O282" s="159">
        <f>报表格式!AA285</f>
        <v>0</v>
      </c>
    </row>
    <row r="283" spans="14:15">
      <c r="N283" s="160">
        <f>报表格式!Z283</f>
        <v>0</v>
      </c>
      <c r="O283" s="159">
        <f>报表格式!AA286</f>
        <v>0</v>
      </c>
    </row>
    <row r="284" spans="14:15">
      <c r="N284" s="160">
        <f>报表格式!Z284</f>
        <v>0</v>
      </c>
      <c r="O284" s="159">
        <f>报表格式!AA287</f>
        <v>0</v>
      </c>
    </row>
    <row r="285" spans="14:15">
      <c r="N285" s="160">
        <f>报表格式!Z285</f>
        <v>0</v>
      </c>
      <c r="O285" s="159">
        <f>报表格式!AA288</f>
        <v>0</v>
      </c>
    </row>
    <row r="286" spans="14:15">
      <c r="N286" s="160">
        <f>报表格式!Z286</f>
        <v>0</v>
      </c>
      <c r="O286" s="159">
        <f>报表格式!AA289</f>
        <v>0</v>
      </c>
    </row>
    <row r="287" spans="14:15">
      <c r="N287" s="160">
        <f>报表格式!Z287</f>
        <v>0</v>
      </c>
      <c r="O287" s="159">
        <f>报表格式!AA290</f>
        <v>0</v>
      </c>
    </row>
    <row r="288" spans="14:15">
      <c r="N288" s="160">
        <f>报表格式!Z288</f>
        <v>0</v>
      </c>
      <c r="O288" s="159">
        <f>报表格式!AA291</f>
        <v>0</v>
      </c>
    </row>
    <row r="289" spans="14:15">
      <c r="N289" s="160">
        <f>报表格式!Z289</f>
        <v>0</v>
      </c>
      <c r="O289" s="159">
        <f>报表格式!AA292</f>
        <v>0</v>
      </c>
    </row>
    <row r="290" spans="14:15">
      <c r="N290" s="160">
        <f>报表格式!Z290</f>
        <v>0</v>
      </c>
      <c r="O290" s="159">
        <f>报表格式!AA293</f>
        <v>0</v>
      </c>
    </row>
    <row r="291" spans="14:15">
      <c r="N291" s="160">
        <f>报表格式!Z291</f>
        <v>0</v>
      </c>
      <c r="O291" s="159">
        <f>报表格式!AA294</f>
        <v>0</v>
      </c>
    </row>
    <row r="292" spans="14:15">
      <c r="N292" s="160">
        <f>报表格式!Z292</f>
        <v>0</v>
      </c>
      <c r="O292" s="159">
        <f>报表格式!AA295</f>
        <v>0</v>
      </c>
    </row>
    <row r="293" spans="14:15">
      <c r="N293" s="160">
        <f>报表格式!Z293</f>
        <v>0</v>
      </c>
      <c r="O293" s="159">
        <f>报表格式!AA296</f>
        <v>0</v>
      </c>
    </row>
    <row r="294" spans="14:15">
      <c r="N294" s="160">
        <f>报表格式!Z294</f>
        <v>0</v>
      </c>
      <c r="O294" s="159">
        <f>报表格式!AA297</f>
        <v>0</v>
      </c>
    </row>
    <row r="295" spans="14:15">
      <c r="N295" s="160">
        <f>报表格式!Z295</f>
        <v>0</v>
      </c>
      <c r="O295" s="159">
        <f>报表格式!AA298</f>
        <v>0</v>
      </c>
    </row>
    <row r="296" spans="14:15">
      <c r="N296" s="160">
        <f>报表格式!Z296</f>
        <v>0</v>
      </c>
      <c r="O296" s="159">
        <f>报表格式!AA299</f>
        <v>0</v>
      </c>
    </row>
    <row r="297" spans="14:15">
      <c r="N297" s="160">
        <f>报表格式!Z297</f>
        <v>0</v>
      </c>
      <c r="O297" s="159">
        <f>报表格式!AA300</f>
        <v>0</v>
      </c>
    </row>
    <row r="298" spans="14:15">
      <c r="N298" s="160">
        <f>报表格式!Z298</f>
        <v>0</v>
      </c>
      <c r="O298" s="159">
        <f>报表格式!AA301</f>
        <v>0</v>
      </c>
    </row>
    <row r="299" spans="14:15">
      <c r="N299" s="160">
        <f>报表格式!Z299</f>
        <v>0</v>
      </c>
      <c r="O299" s="159">
        <f>报表格式!AA302</f>
        <v>0</v>
      </c>
    </row>
    <row r="300" spans="14:15">
      <c r="N300" s="160">
        <f>报表格式!Z300</f>
        <v>0</v>
      </c>
      <c r="O300" s="159">
        <f>报表格式!AA303</f>
        <v>0</v>
      </c>
    </row>
    <row r="301" spans="14:15">
      <c r="N301" s="160">
        <f>报表格式!Z301</f>
        <v>0</v>
      </c>
      <c r="O301" s="159">
        <f>报表格式!AA304</f>
        <v>0</v>
      </c>
    </row>
    <row r="302" spans="14:15">
      <c r="N302" s="160">
        <f>报表格式!Z302</f>
        <v>0</v>
      </c>
      <c r="O302" s="159">
        <f>报表格式!AA305</f>
        <v>0</v>
      </c>
    </row>
    <row r="303" spans="14:15">
      <c r="N303" s="160">
        <f>报表格式!Z303</f>
        <v>0</v>
      </c>
      <c r="O303" s="159">
        <f>报表格式!AA306</f>
        <v>0</v>
      </c>
    </row>
    <row r="304" spans="14:15">
      <c r="N304" s="160">
        <f>报表格式!Z304</f>
        <v>0</v>
      </c>
      <c r="O304" s="159">
        <f>报表格式!AA307</f>
        <v>0</v>
      </c>
    </row>
    <row r="305" spans="14:15">
      <c r="N305" s="160">
        <f>报表格式!Z305</f>
        <v>0</v>
      </c>
      <c r="O305" s="159">
        <f>报表格式!AA308</f>
        <v>0</v>
      </c>
    </row>
    <row r="306" spans="14:15">
      <c r="N306" s="160">
        <f>报表格式!Z306</f>
        <v>0</v>
      </c>
      <c r="O306" s="159">
        <f>报表格式!AA309</f>
        <v>0</v>
      </c>
    </row>
    <row r="307" spans="14:15">
      <c r="N307" s="160">
        <f>报表格式!Z307</f>
        <v>0</v>
      </c>
      <c r="O307" s="159">
        <f>报表格式!AA310</f>
        <v>0</v>
      </c>
    </row>
    <row r="308" spans="14:15">
      <c r="N308" s="160">
        <f>报表格式!Z308</f>
        <v>0</v>
      </c>
      <c r="O308" s="159">
        <f>报表格式!AA311</f>
        <v>0</v>
      </c>
    </row>
    <row r="309" spans="14:15">
      <c r="N309" s="160">
        <f>报表格式!Z309</f>
        <v>0</v>
      </c>
      <c r="O309" s="159">
        <f>报表格式!AA312</f>
        <v>0</v>
      </c>
    </row>
    <row r="310" spans="14:15">
      <c r="N310" s="160">
        <f>报表格式!Z310</f>
        <v>0</v>
      </c>
      <c r="O310" s="159">
        <f>报表格式!AA313</f>
        <v>0</v>
      </c>
    </row>
    <row r="311" spans="14:15">
      <c r="N311" s="160">
        <f>报表格式!Z311</f>
        <v>0</v>
      </c>
      <c r="O311" s="159">
        <f>报表格式!AA314</f>
        <v>0</v>
      </c>
    </row>
    <row r="312" spans="14:15">
      <c r="N312" s="160">
        <f>报表格式!Z312</f>
        <v>0</v>
      </c>
      <c r="O312" s="159">
        <f>报表格式!AA315</f>
        <v>0</v>
      </c>
    </row>
    <row r="313" spans="14:15">
      <c r="N313" s="160">
        <f>报表格式!Z313</f>
        <v>0</v>
      </c>
      <c r="O313" s="159">
        <f>报表格式!AA316</f>
        <v>0</v>
      </c>
    </row>
    <row r="314" spans="14:15">
      <c r="N314" s="160">
        <f>报表格式!Z314</f>
        <v>0</v>
      </c>
      <c r="O314" s="159">
        <f>报表格式!AA317</f>
        <v>0</v>
      </c>
    </row>
    <row r="315" spans="14:15">
      <c r="N315" s="160">
        <f>报表格式!Z315</f>
        <v>0</v>
      </c>
      <c r="O315" s="159">
        <f>报表格式!AA318</f>
        <v>0</v>
      </c>
    </row>
    <row r="316" spans="14:15">
      <c r="N316" s="160">
        <f>报表格式!Z316</f>
        <v>0</v>
      </c>
      <c r="O316" s="159">
        <f>报表格式!AA319</f>
        <v>0</v>
      </c>
    </row>
    <row r="317" spans="14:15">
      <c r="N317" s="160">
        <f>报表格式!Z317</f>
        <v>0</v>
      </c>
      <c r="O317" s="159">
        <f>报表格式!AA320</f>
        <v>0</v>
      </c>
    </row>
    <row r="318" spans="14:15">
      <c r="N318" s="160">
        <f>报表格式!Z318</f>
        <v>0</v>
      </c>
      <c r="O318" s="159">
        <f>报表格式!AA321</f>
        <v>0</v>
      </c>
    </row>
    <row r="319" spans="14:15">
      <c r="N319" s="160">
        <f>报表格式!Z319</f>
        <v>0</v>
      </c>
      <c r="O319" s="159">
        <f>报表格式!AA322</f>
        <v>0</v>
      </c>
    </row>
    <row r="320" spans="14:15">
      <c r="N320" s="160">
        <f>报表格式!Z320</f>
        <v>0</v>
      </c>
      <c r="O320" s="159">
        <f>报表格式!AA323</f>
        <v>0</v>
      </c>
    </row>
    <row r="321" spans="14:15">
      <c r="N321" s="160">
        <f>报表格式!Z321</f>
        <v>0</v>
      </c>
      <c r="O321" s="159">
        <f>报表格式!AA324</f>
        <v>0</v>
      </c>
    </row>
    <row r="322" spans="14:15">
      <c r="N322" s="160">
        <f>报表格式!Z322</f>
        <v>0</v>
      </c>
      <c r="O322" s="159">
        <f>报表格式!AA325</f>
        <v>0</v>
      </c>
    </row>
    <row r="323" spans="14:15">
      <c r="N323" s="160">
        <f>报表格式!Z323</f>
        <v>0</v>
      </c>
      <c r="O323" s="159">
        <f>报表格式!AA326</f>
        <v>0</v>
      </c>
    </row>
    <row r="324" spans="14:15">
      <c r="N324" s="160">
        <f>报表格式!Z324</f>
        <v>0</v>
      </c>
      <c r="O324" s="159">
        <f>报表格式!AA327</f>
        <v>0</v>
      </c>
    </row>
    <row r="325" spans="14:15">
      <c r="N325" s="160">
        <f>报表格式!Z325</f>
        <v>0</v>
      </c>
      <c r="O325" s="159">
        <f>报表格式!AA328</f>
        <v>0</v>
      </c>
    </row>
    <row r="326" spans="14:15">
      <c r="N326" s="160">
        <f>报表格式!Z326</f>
        <v>0</v>
      </c>
      <c r="O326" s="159">
        <f>报表格式!AA329</f>
        <v>0</v>
      </c>
    </row>
    <row r="327" spans="14:15">
      <c r="N327" s="160">
        <f>报表格式!Z327</f>
        <v>0</v>
      </c>
      <c r="O327" s="159">
        <f>报表格式!AA330</f>
        <v>0</v>
      </c>
    </row>
    <row r="328" spans="14:15">
      <c r="N328" s="160">
        <f>报表格式!Z328</f>
        <v>0</v>
      </c>
      <c r="O328" s="159">
        <f>报表格式!AA331</f>
        <v>0</v>
      </c>
    </row>
    <row r="329" spans="14:15">
      <c r="N329" s="160">
        <f>报表格式!Z329</f>
        <v>0</v>
      </c>
      <c r="O329" s="159">
        <f>报表格式!AA332</f>
        <v>0</v>
      </c>
    </row>
    <row r="330" spans="14:15">
      <c r="N330" s="160">
        <f>报表格式!Z330</f>
        <v>0</v>
      </c>
      <c r="O330" s="159">
        <f>报表格式!AA333</f>
        <v>0</v>
      </c>
    </row>
    <row r="331" spans="14:15">
      <c r="N331" s="160">
        <f>报表格式!Z331</f>
        <v>0</v>
      </c>
      <c r="O331" s="159">
        <f>报表格式!AA334</f>
        <v>0</v>
      </c>
    </row>
    <row r="332" spans="14:15">
      <c r="N332" s="160">
        <f>报表格式!Z332</f>
        <v>0</v>
      </c>
      <c r="O332" s="159">
        <f>报表格式!AA335</f>
        <v>0</v>
      </c>
    </row>
    <row r="333" spans="14:15">
      <c r="N333" s="160">
        <f>报表格式!Z333</f>
        <v>0</v>
      </c>
      <c r="O333" s="159">
        <f>报表格式!AA336</f>
        <v>0</v>
      </c>
    </row>
    <row r="334" spans="14:15">
      <c r="N334" s="160">
        <f>报表格式!Z334</f>
        <v>0</v>
      </c>
      <c r="O334" s="159">
        <f>报表格式!AA337</f>
        <v>0</v>
      </c>
    </row>
  </sheetData>
  <sheetCalcPr fullCalcOnLoad="1"/>
  <sheetProtection sheet="1" objects="1" scenarios="1" formatCells="0" formatColumns="0" formatRows="0" insertRows="0" autoFilter="0" pivotTables="0"/>
  <mergeCells count="96">
    <mergeCell ref="A160:A163"/>
    <mergeCell ref="B160:B163"/>
    <mergeCell ref="C160:C163"/>
    <mergeCell ref="A150:A153"/>
    <mergeCell ref="B150:B153"/>
    <mergeCell ref="C150:C153"/>
    <mergeCell ref="A155:A158"/>
    <mergeCell ref="B155:B158"/>
    <mergeCell ref="C155:C158"/>
    <mergeCell ref="A140:A143"/>
    <mergeCell ref="B140:B143"/>
    <mergeCell ref="C140:C143"/>
    <mergeCell ref="A145:A148"/>
    <mergeCell ref="B145:B148"/>
    <mergeCell ref="C145:C148"/>
    <mergeCell ref="A130:A133"/>
    <mergeCell ref="B130:B133"/>
    <mergeCell ref="C130:C133"/>
    <mergeCell ref="A135:A138"/>
    <mergeCell ref="B135:B138"/>
    <mergeCell ref="C135:C138"/>
    <mergeCell ref="A120:A123"/>
    <mergeCell ref="B120:B123"/>
    <mergeCell ref="C120:C123"/>
    <mergeCell ref="A125:A128"/>
    <mergeCell ref="B125:B128"/>
    <mergeCell ref="C125:C128"/>
    <mergeCell ref="C105:C108"/>
    <mergeCell ref="A110:A113"/>
    <mergeCell ref="B110:B113"/>
    <mergeCell ref="C110:C113"/>
    <mergeCell ref="A115:A118"/>
    <mergeCell ref="B115:B118"/>
    <mergeCell ref="C115:C118"/>
    <mergeCell ref="A100:A103"/>
    <mergeCell ref="B95:B98"/>
    <mergeCell ref="B100:B103"/>
    <mergeCell ref="A95:A98"/>
    <mergeCell ref="A105:A108"/>
    <mergeCell ref="B105:B108"/>
    <mergeCell ref="A45:A48"/>
    <mergeCell ref="A50:A53"/>
    <mergeCell ref="A75:A78"/>
    <mergeCell ref="A80:A83"/>
    <mergeCell ref="B85:B88"/>
    <mergeCell ref="A90:A93"/>
    <mergeCell ref="B90:B93"/>
    <mergeCell ref="A85:A88"/>
    <mergeCell ref="B65:B68"/>
    <mergeCell ref="B70:B73"/>
    <mergeCell ref="B75:B78"/>
    <mergeCell ref="B80:B83"/>
    <mergeCell ref="A5:A8"/>
    <mergeCell ref="A10:A13"/>
    <mergeCell ref="A65:A68"/>
    <mergeCell ref="A70:A73"/>
    <mergeCell ref="A20:A23"/>
    <mergeCell ref="A30:A33"/>
    <mergeCell ref="A15:A18"/>
    <mergeCell ref="B15:B18"/>
    <mergeCell ref="C15:C18"/>
    <mergeCell ref="C5:C8"/>
    <mergeCell ref="C10:C13"/>
    <mergeCell ref="B5:B8"/>
    <mergeCell ref="B10:B13"/>
    <mergeCell ref="B25:B28"/>
    <mergeCell ref="B30:B33"/>
    <mergeCell ref="A25:A28"/>
    <mergeCell ref="C25:C28"/>
    <mergeCell ref="B20:B23"/>
    <mergeCell ref="C20:C23"/>
    <mergeCell ref="C40:C43"/>
    <mergeCell ref="B35:B38"/>
    <mergeCell ref="B40:B43"/>
    <mergeCell ref="A35:A38"/>
    <mergeCell ref="C35:C38"/>
    <mergeCell ref="C30:C33"/>
    <mergeCell ref="A40:A43"/>
    <mergeCell ref="C45:C48"/>
    <mergeCell ref="C50:C53"/>
    <mergeCell ref="C55:C58"/>
    <mergeCell ref="A60:A63"/>
    <mergeCell ref="C60:C63"/>
    <mergeCell ref="B45:B48"/>
    <mergeCell ref="B50:B53"/>
    <mergeCell ref="B55:B58"/>
    <mergeCell ref="B60:B63"/>
    <mergeCell ref="A55:A58"/>
    <mergeCell ref="C85:C88"/>
    <mergeCell ref="C90:C93"/>
    <mergeCell ref="C95:C98"/>
    <mergeCell ref="C100:C103"/>
    <mergeCell ref="C65:C68"/>
    <mergeCell ref="C70:C73"/>
    <mergeCell ref="C75:C78"/>
    <mergeCell ref="C80:C83"/>
  </mergeCells>
  <phoneticPr fontId="59" type="noConversion"/>
  <conditionalFormatting sqref="A1">
    <cfRule type="cellIs" dxfId="8"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164"/>
    <dataValidation type="list" allowBlank="1" showDropDown="1" showInputMessage="1" showErrorMessage="1" errorTitle="警告" error="   您输入的科目不是报表标准科目_x000a__x000a_请对应“调整事项转换表”核对科目名称" sqref="E14 E9 H9 H14 E19 H19 E24 H24 E29 H29 E34 H34 E39 H39 E44 H44 E49 H49 E54 H54 E59 H59 E64 H64 E69 H69 E74 H74 E79 H79 E84 H84 E89 H89 E94 H94 E99 H99 E104 H104 E109 H109 E114 H114 E119 H119 E124 H124 E129 H129 E134 H134 E139 H139 E144 H144 E149 H149 E154 H154 E159 H159 E164 H164">
      <formula1>$O$6:$O$105</formula1>
    </dataValidation>
    <dataValidation type="list" allowBlank="1" showDropDown="1" showInputMessage="1" showErrorMessage="1" errorTitle="警告" error="   您输入的科目不是报表标准科目_x000a__x000a_请对应“调整事项转换表”核对科目名称" sqref="H10:H13 H15:H18 H20:H23 H25:H28 H30:H33 H35:H38 H40:H43 H45:H48 H50:H53 H55:H58 H60:H63 H65:H68 H70:H73 H75:H78 H80:H83 H85:H88 H90:H93 H95:H98 H100:H103 H105:H108 H110:H113 H115:H118 H120:H123 H125:H128 H130:H133 H135:H138 H140:H143 H145:H148 H150:H153 H155:H158 H160:H163">
      <formula1>$O:$O</formula1>
    </dataValidation>
    <dataValidation type="list" allowBlank="1" showDropDown="1" showInputMessage="1" showErrorMessage="1" errorTitle="警告" error="   您输入的科目不是报表标准科目_x000a__x000a_请对应“报表项目”核对科目名称" sqref="E10:E13 E6:E8 H6:H8 E15:E18 E20:E23 E25:E28 E30:E33 E35:E38 E40:E43 E45:E48 E50:E53 E55:E58 E60:E63 E65:E68 E70:E73 E75:E78 E80:E83 E85:E88 E90:E93 E95:E98 E100:E103 E105:E108 E110:E113 E115:E118 E120:E123 E125:E128 E130:E133 E135:E138 E140:E143 E145:E148 E150:E153 E155:E158 E160:E163">
      <formula1>$O:$O</formula1>
    </dataValidation>
    <dataValidation type="list" allowBlank="1" showDropDown="1" showInputMessage="1" showErrorMessage="1" sqref="H5 E5">
      <formula1>$O:$O</formula1>
    </dataValidation>
  </dataValidations>
  <printOptions horizontalCentered="1"/>
  <pageMargins left="0.47" right="0.2" top="0.66" bottom="0.38" header="0.51181102362204722" footer="0.24"/>
  <pageSetup paperSize="9" orientation="portrait" horizontalDpi="360" verticalDpi="360" r:id="rId1"/>
  <headerFooter alignWithMargins="0"/>
  <colBreaks count="1" manualBreakCount="1">
    <brk id="10"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pageSetUpPr fitToPage="1"/>
  </sheetPr>
  <dimension ref="A1:O334"/>
  <sheetViews>
    <sheetView workbookViewId="0">
      <pane xSplit="3" ySplit="4" topLeftCell="D5" activePane="bottomRight" state="frozen"/>
      <selection pane="topRight" activeCell="D1" sqref="D1"/>
      <selection pane="bottomLeft" activeCell="A5" sqref="A5"/>
      <selection pane="bottomRight" activeCell="A2" sqref="A2"/>
    </sheetView>
  </sheetViews>
  <sheetFormatPr defaultRowHeight="13.5"/>
  <cols>
    <col min="1" max="1" width="3.25" style="42" customWidth="1"/>
    <col min="2" max="2" width="5" style="42" customWidth="1"/>
    <col min="3" max="3" width="16.625" style="302" customWidth="1"/>
    <col min="4" max="4" width="3.125" style="57" customWidth="1"/>
    <col min="5" max="5" width="11" style="44" customWidth="1"/>
    <col min="6" max="6" width="12.625" style="44" customWidth="1"/>
    <col min="7" max="7" width="3.25" style="57" customWidth="1"/>
    <col min="8" max="8" width="11" style="44" customWidth="1"/>
    <col min="9" max="9" width="12" style="44" customWidth="1"/>
    <col min="10" max="10" width="11.625" style="298" customWidth="1"/>
    <col min="11" max="11" width="8.75" style="44" customWidth="1"/>
    <col min="12" max="12" width="8.875" style="44" customWidth="1"/>
    <col min="13" max="13" width="1" style="44" customWidth="1"/>
    <col min="14" max="14" width="5.125" style="160" bestFit="1" customWidth="1"/>
    <col min="15" max="15" width="22.375" style="159" bestFit="1" customWidth="1"/>
    <col min="16" max="16384" width="9" style="44"/>
  </cols>
  <sheetData>
    <row r="1" spans="1:15" s="41" customFormat="1" ht="19.5" customHeight="1">
      <c r="A1" s="241" t="str">
        <f>IF((L2-('TB资产(期初)'!E63+'TB负债(期初)'!E63+'TB损益(期初)'!E75)-IF(COUNTIF(E5:E666,"未分配利润")&gt;=1,VLOOKUP("未分配利润",E5:J666,6,0),0))&lt;0.005,"期初报表调整事项汇总表","调整事项未全部链入试算平衡表，请检查调整科目是否为报表项目!")</f>
        <v>期初报表调整事项汇总表</v>
      </c>
      <c r="B1" s="39"/>
      <c r="C1" s="299"/>
      <c r="D1" s="40"/>
      <c r="E1" s="40"/>
      <c r="F1" s="40"/>
      <c r="G1" s="40"/>
      <c r="H1" s="40"/>
      <c r="I1" s="40"/>
      <c r="J1" s="294"/>
      <c r="K1" s="773">
        <f>SUM(L2:L3)</f>
        <v>0</v>
      </c>
      <c r="L1" s="773"/>
      <c r="N1" s="156" t="s">
        <v>708</v>
      </c>
      <c r="O1" s="157" t="s">
        <v>551</v>
      </c>
    </row>
    <row r="2" spans="1:15" s="42" customFormat="1" ht="15" customHeight="1">
      <c r="A2" s="235" t="str">
        <f>CONCATENATE("客户名称：",参数!D3)</f>
        <v>客户名称：</v>
      </c>
      <c r="C2" s="300"/>
      <c r="D2" s="43"/>
      <c r="E2" s="42" t="str">
        <f>CONCATENATE("编制人：",参数!D17)</f>
        <v>编制人：</v>
      </c>
      <c r="G2" s="43"/>
      <c r="H2" s="42" t="str">
        <f ca="1">CONCATENATE("日期：",TEXT(NOW(),"yyyy.mm.dd"))</f>
        <v>日期：2023.08.14</v>
      </c>
      <c r="J2" s="295" t="s">
        <v>249</v>
      </c>
      <c r="K2" s="772" t="s">
        <v>250</v>
      </c>
      <c r="L2" s="774">
        <f>SUMIF(E5:E65536,"?*",J5:J65536)</f>
        <v>0</v>
      </c>
      <c r="N2" s="158"/>
      <c r="O2" s="159"/>
    </row>
    <row r="3" spans="1:15" s="42" customFormat="1" ht="15" customHeight="1">
      <c r="A3" s="235" t="str">
        <f>CONCATENATE("会计期间：",参数!D10)</f>
        <v>会计期间：2007年度</v>
      </c>
      <c r="C3" s="300"/>
      <c r="D3" s="43"/>
      <c r="E3" s="42" t="str">
        <f>CONCATENATE("复核人：",参数!D18)</f>
        <v>复核人：</v>
      </c>
      <c r="G3" s="43"/>
      <c r="H3" s="42" t="s">
        <v>219</v>
      </c>
      <c r="J3" s="295" t="s">
        <v>251</v>
      </c>
      <c r="K3" s="772" t="s">
        <v>252</v>
      </c>
      <c r="L3" s="774">
        <f>SUMIF(H5:H65536,"?*",J5:J65536)</f>
        <v>0</v>
      </c>
      <c r="N3" s="158"/>
      <c r="O3" s="159"/>
    </row>
    <row r="4" spans="1:15">
      <c r="A4" s="776" t="s">
        <v>368</v>
      </c>
      <c r="B4" s="237" t="s">
        <v>253</v>
      </c>
      <c r="C4" s="301" t="s">
        <v>254</v>
      </c>
      <c r="D4" s="239" t="s">
        <v>708</v>
      </c>
      <c r="E4" s="238" t="s">
        <v>255</v>
      </c>
      <c r="F4" s="240" t="s">
        <v>256</v>
      </c>
      <c r="G4" s="239" t="s">
        <v>708</v>
      </c>
      <c r="H4" s="238" t="s">
        <v>257</v>
      </c>
      <c r="I4" s="240" t="s">
        <v>256</v>
      </c>
      <c r="J4" s="296" t="s">
        <v>214</v>
      </c>
      <c r="K4" s="790"/>
      <c r="L4" s="775">
        <f>L2-L3</f>
        <v>0</v>
      </c>
      <c r="N4" s="158"/>
    </row>
    <row r="5" spans="1:15">
      <c r="A5" s="925">
        <v>1</v>
      </c>
      <c r="B5" s="932"/>
      <c r="C5" s="929"/>
      <c r="D5" s="38"/>
      <c r="E5" s="42" t="str">
        <f>IF(D5=0,"",VLOOKUP(D5,$N:$O,2,0))</f>
        <v/>
      </c>
      <c r="F5" s="592"/>
      <c r="G5" s="46"/>
      <c r="H5" s="42" t="str">
        <f>IF(G5=0,"",VLOOKUP(G5,$N:$O,2,0))</f>
        <v/>
      </c>
      <c r="I5" s="592"/>
      <c r="J5" s="297"/>
      <c r="K5" s="334" t="s">
        <v>709</v>
      </c>
      <c r="N5" s="158">
        <f>'账项调整(期初)'!N5</f>
        <v>0</v>
      </c>
      <c r="O5" s="135" t="str">
        <f>'账项调整(期初)'!O5</f>
        <v>流动资产：</v>
      </c>
    </row>
    <row r="6" spans="1:15">
      <c r="A6" s="926"/>
      <c r="B6" s="933"/>
      <c r="C6" s="930"/>
      <c r="D6" s="38"/>
      <c r="E6" s="48" t="str">
        <f>IF(D6=0,"",VLOOKUP(D6,$N:$O,2,0))</f>
        <v/>
      </c>
      <c r="F6" s="592"/>
      <c r="G6" s="49"/>
      <c r="H6" s="48" t="str">
        <f>IF(G6=0,"",VLOOKUP(G6,$N:$O,2,0))</f>
        <v/>
      </c>
      <c r="I6" s="592"/>
      <c r="J6" s="293"/>
      <c r="K6" s="334" t="s">
        <v>710</v>
      </c>
      <c r="N6" s="158" t="str">
        <f>'账项调整(期初)'!N6</f>
        <v>G123</v>
      </c>
      <c r="O6" s="50" t="str">
        <f>'账项调整(期初)'!O6</f>
        <v>货币资金</v>
      </c>
    </row>
    <row r="7" spans="1:15">
      <c r="A7" s="926"/>
      <c r="B7" s="933"/>
      <c r="C7" s="930"/>
      <c r="D7" s="38"/>
      <c r="E7" s="48" t="str">
        <f>IF(D7=0,"",VLOOKUP(D7,$N:$O,2,0))</f>
        <v/>
      </c>
      <c r="F7" s="592"/>
      <c r="G7" s="49"/>
      <c r="H7" s="48" t="str">
        <f>IF(G7=0,"",VLOOKUP(G7,$N:$O,2,0))</f>
        <v/>
      </c>
      <c r="I7" s="592"/>
      <c r="J7" s="293"/>
      <c r="N7" s="158" t="str">
        <f>'账项调整(期初)'!N7</f>
        <v>F1</v>
      </c>
      <c r="O7" s="51" t="str">
        <f>'账项调整(期初)'!O7</f>
        <v>短期投资</v>
      </c>
    </row>
    <row r="8" spans="1:15">
      <c r="A8" s="927"/>
      <c r="B8" s="934"/>
      <c r="C8" s="931"/>
      <c r="D8" s="38"/>
      <c r="E8" s="48" t="str">
        <f>IF(D8=0,"",VLOOKUP(D8,$N:$O,2,0))</f>
        <v/>
      </c>
      <c r="F8" s="592"/>
      <c r="G8" s="49"/>
      <c r="H8" s="48" t="str">
        <f>IF(G8=0,"",VLOOKUP(G8,$N:$O,2,0))</f>
        <v/>
      </c>
      <c r="I8" s="592"/>
      <c r="J8" s="293"/>
      <c r="N8" s="158" t="str">
        <f>'账项调整(期初)'!N8</f>
        <v>D3</v>
      </c>
      <c r="O8" s="51" t="str">
        <f>'账项调整(期初)'!O8</f>
        <v>应收票据</v>
      </c>
    </row>
    <row r="9" spans="1:15">
      <c r="A9" s="587"/>
      <c r="B9" s="587"/>
      <c r="C9" s="588"/>
      <c r="D9" s="589"/>
      <c r="E9" s="590"/>
      <c r="F9" s="590"/>
      <c r="G9" s="589"/>
      <c r="H9" s="590"/>
      <c r="I9" s="590"/>
      <c r="J9" s="591" t="str">
        <f>IF(ABS((SUMIF(E5:E8,"?*",J5:J8)-SUMIF(H5:H8,"?*",J5:J8)))&lt;0.005,"","借贷不等")</f>
        <v/>
      </c>
      <c r="K9" s="45"/>
      <c r="N9" s="158" t="str">
        <f>'账项调整(期初)'!N9</f>
        <v>F5</v>
      </c>
      <c r="O9" s="51" t="str">
        <f>'账项调整(期初)'!O9</f>
        <v>应收股利</v>
      </c>
    </row>
    <row r="10" spans="1:15">
      <c r="A10" s="925">
        <v>2</v>
      </c>
      <c r="B10" s="932"/>
      <c r="C10" s="929"/>
      <c r="D10" s="38"/>
      <c r="E10" s="48" t="str">
        <f>IF(D10=0,"",VLOOKUP(D10,$N:$O,2,0))</f>
        <v/>
      </c>
      <c r="F10" s="592"/>
      <c r="G10" s="49"/>
      <c r="H10" s="48" t="str">
        <f>IF(G10=0,"",VLOOKUP(G10,$N:$O,2,0))</f>
        <v/>
      </c>
      <c r="I10" s="592"/>
      <c r="J10" s="293"/>
      <c r="K10" s="45"/>
      <c r="N10" s="158" t="str">
        <f>'账项调整(期初)'!N10</f>
        <v>F6</v>
      </c>
      <c r="O10" s="51" t="str">
        <f>'账项调整(期初)'!O10</f>
        <v>应收利息</v>
      </c>
    </row>
    <row r="11" spans="1:15">
      <c r="A11" s="926"/>
      <c r="B11" s="933"/>
      <c r="C11" s="930"/>
      <c r="D11" s="38"/>
      <c r="E11" s="48" t="str">
        <f>IF(D11=0,"",VLOOKUP(D11,$N:$O,2,0))</f>
        <v/>
      </c>
      <c r="F11" s="592"/>
      <c r="G11" s="49"/>
      <c r="H11" s="48" t="str">
        <f>IF(G11=0,"",VLOOKUP(G11,$N:$O,2,0))</f>
        <v/>
      </c>
      <c r="I11" s="592"/>
      <c r="J11" s="293"/>
      <c r="N11" s="158" t="str">
        <f>'账项调整(期初)'!N11</f>
        <v>D1</v>
      </c>
      <c r="O11" s="51" t="str">
        <f>'账项调整(期初)'!O11</f>
        <v>应收账款</v>
      </c>
    </row>
    <row r="12" spans="1:15">
      <c r="A12" s="926"/>
      <c r="B12" s="933"/>
      <c r="C12" s="930"/>
      <c r="D12" s="38"/>
      <c r="E12" s="48" t="str">
        <f>IF(D12=0,"",VLOOKUP(D12,$N:$O,2,0))</f>
        <v/>
      </c>
      <c r="F12" s="592"/>
      <c r="G12" s="49"/>
      <c r="H12" s="48" t="str">
        <f>IF(G12=0,"",VLOOKUP(G12,$N:$O,2,0))</f>
        <v/>
      </c>
      <c r="I12" s="592"/>
      <c r="J12" s="293"/>
      <c r="N12" s="158" t="str">
        <f>'账项调整(期初)'!N12</f>
        <v>G4</v>
      </c>
      <c r="O12" s="51" t="str">
        <f>'账项调整(期初)'!O12</f>
        <v>其他应收款</v>
      </c>
    </row>
    <row r="13" spans="1:15">
      <c r="A13" s="927"/>
      <c r="B13" s="934"/>
      <c r="C13" s="931"/>
      <c r="D13" s="38"/>
      <c r="E13" s="48" t="str">
        <f>IF(D13=0,"",VLOOKUP(D13,$N:$O,2,0))</f>
        <v/>
      </c>
      <c r="F13" s="592"/>
      <c r="G13" s="49"/>
      <c r="H13" s="48" t="str">
        <f>IF(G13=0,"",VLOOKUP(G13,$N:$O,2,0))</f>
        <v/>
      </c>
      <c r="I13" s="592"/>
      <c r="J13" s="293"/>
      <c r="N13" s="158" t="str">
        <f>'账项调整(期初)'!N13</f>
        <v>E3</v>
      </c>
      <c r="O13" s="51" t="str">
        <f>'账项调整(期初)'!O13</f>
        <v>预付账款</v>
      </c>
    </row>
    <row r="14" spans="1:15">
      <c r="A14" s="648"/>
      <c r="B14" s="648"/>
      <c r="C14" s="649"/>
      <c r="D14" s="650"/>
      <c r="E14" s="651"/>
      <c r="F14" s="651"/>
      <c r="G14" s="650"/>
      <c r="H14" s="651"/>
      <c r="I14" s="651"/>
      <c r="J14" s="591" t="str">
        <f>IF(ABS((SUMIF(E10:E13,"?*",J10:J13)-SUMIF(H10:H13,"?*",J10:J13)))&lt;0.005,"","借贷不等")</f>
        <v/>
      </c>
      <c r="N14" s="158">
        <f>'账项调整(期初)'!N14</f>
        <v>0</v>
      </c>
      <c r="O14" s="51" t="str">
        <f>'账项调整(期初)'!O14</f>
        <v>期货保证金</v>
      </c>
    </row>
    <row r="15" spans="1:15">
      <c r="A15" s="925">
        <v>3</v>
      </c>
      <c r="B15" s="932"/>
      <c r="C15" s="929"/>
      <c r="D15" s="38"/>
      <c r="E15" s="48" t="str">
        <f>IF(D15=0,"",VLOOKUP(D15,$N:$O,2,0))</f>
        <v/>
      </c>
      <c r="F15" s="592"/>
      <c r="G15" s="49"/>
      <c r="H15" s="48" t="str">
        <f>IF(G15=0,"",VLOOKUP(G15,$N:$O,2,0))</f>
        <v/>
      </c>
      <c r="I15" s="592"/>
      <c r="J15" s="293"/>
      <c r="N15" s="158" t="str">
        <f>'账项调整(期初)'!N15</f>
        <v>I1</v>
      </c>
      <c r="O15" s="51" t="str">
        <f>'账项调整(期初)'!O15</f>
        <v>应收补贴款</v>
      </c>
    </row>
    <row r="16" spans="1:15">
      <c r="A16" s="926"/>
      <c r="B16" s="933"/>
      <c r="C16" s="930"/>
      <c r="D16" s="38"/>
      <c r="E16" s="48" t="str">
        <f>IF(D16=0,"",VLOOKUP(D16,$N:$O,2,0))</f>
        <v/>
      </c>
      <c r="F16" s="592"/>
      <c r="G16" s="49"/>
      <c r="H16" s="48" t="str">
        <f>IF(G16=0,"",VLOOKUP(G16,$N:$O,2,0))</f>
        <v/>
      </c>
      <c r="I16" s="592"/>
      <c r="J16" s="293"/>
      <c r="N16" s="158">
        <f>'账项调整(期初)'!N16</f>
        <v>0</v>
      </c>
      <c r="O16" s="51" t="str">
        <f>'账项调整(期初)'!O16</f>
        <v>应收出口退税</v>
      </c>
    </row>
    <row r="17" spans="1:15">
      <c r="A17" s="926"/>
      <c r="B17" s="933"/>
      <c r="C17" s="930"/>
      <c r="D17" s="38"/>
      <c r="E17" s="48" t="str">
        <f>IF(D17=0,"",VLOOKUP(D17,$N:$O,2,0))</f>
        <v/>
      </c>
      <c r="F17" s="592"/>
      <c r="G17" s="49"/>
      <c r="H17" s="48" t="str">
        <f>IF(G17=0,"",VLOOKUP(G17,$N:$O,2,0))</f>
        <v/>
      </c>
      <c r="I17" s="592"/>
      <c r="J17" s="293"/>
      <c r="N17" s="158" t="str">
        <f>'账项调整(期初)'!N17</f>
        <v>E1</v>
      </c>
      <c r="O17" s="51" t="str">
        <f>'账项调整(期初)'!O17</f>
        <v>存货</v>
      </c>
    </row>
    <row r="18" spans="1:15">
      <c r="A18" s="927"/>
      <c r="B18" s="934"/>
      <c r="C18" s="931"/>
      <c r="D18" s="38"/>
      <c r="E18" s="48" t="str">
        <f>IF(D18=0,"",VLOOKUP(D18,$N:$O,2,0))</f>
        <v/>
      </c>
      <c r="F18" s="592"/>
      <c r="G18" s="49"/>
      <c r="H18" s="48" t="str">
        <f>IF(G18=0,"",VLOOKUP(G18,$N:$O,2,0))</f>
        <v/>
      </c>
      <c r="I18" s="592"/>
      <c r="J18" s="293"/>
      <c r="N18" s="158">
        <f>'账项调整(期初)'!N18</f>
        <v>0</v>
      </c>
      <c r="O18" s="51">
        <f>'账项调整(期初)'!O18</f>
        <v>0</v>
      </c>
    </row>
    <row r="19" spans="1:15">
      <c r="A19" s="648"/>
      <c r="B19" s="648"/>
      <c r="C19" s="649"/>
      <c r="D19" s="650"/>
      <c r="E19" s="651"/>
      <c r="F19" s="651"/>
      <c r="G19" s="650"/>
      <c r="H19" s="651"/>
      <c r="I19" s="651"/>
      <c r="J19" s="591" t="str">
        <f>IF(ABS((SUMIF(E15:E18,"?*",J15:J18)-SUMIF(H15:H18,"?*",J15:J18)))&lt;0.005,"","借贷不等")</f>
        <v/>
      </c>
      <c r="N19" s="158">
        <f>'账项调整(期初)'!N19</f>
        <v>0</v>
      </c>
      <c r="O19" s="139">
        <f>'账项调整(期初)'!O19</f>
        <v>0</v>
      </c>
    </row>
    <row r="20" spans="1:15">
      <c r="A20" s="925">
        <v>4</v>
      </c>
      <c r="B20" s="932"/>
      <c r="C20" s="929"/>
      <c r="D20" s="38"/>
      <c r="E20" s="48" t="str">
        <f>IF(D20=0,"",VLOOKUP(D20,$N:$O,2,0))</f>
        <v/>
      </c>
      <c r="F20" s="592"/>
      <c r="G20" s="49"/>
      <c r="H20" s="48" t="str">
        <f>IF(G20=0,"",VLOOKUP(G20,$N:$O,2,0))</f>
        <v/>
      </c>
      <c r="I20" s="592"/>
      <c r="J20" s="293"/>
      <c r="N20" s="158" t="str">
        <f>'账项调整(期初)'!N20</f>
        <v>I4</v>
      </c>
      <c r="O20" s="51" t="str">
        <f>'账项调整(期初)'!O20</f>
        <v>待摊费用</v>
      </c>
    </row>
    <row r="21" spans="1:15">
      <c r="A21" s="926"/>
      <c r="B21" s="933"/>
      <c r="C21" s="930"/>
      <c r="D21" s="38"/>
      <c r="E21" s="48" t="str">
        <f>IF(D21=0,"",VLOOKUP(D21,$N:$O,2,0))</f>
        <v/>
      </c>
      <c r="F21" s="592"/>
      <c r="G21" s="49"/>
      <c r="H21" s="48" t="str">
        <f>IF(G21=0,"",VLOOKUP(G21,$N:$O,2,0))</f>
        <v/>
      </c>
      <c r="I21" s="592"/>
      <c r="J21" s="293"/>
      <c r="N21" s="158" t="str">
        <f>'账项调整(期初)'!N21</f>
        <v>I6</v>
      </c>
      <c r="O21" s="51" t="str">
        <f>'账项调整(期初)'!O21</f>
        <v>待处理流动资产净损失</v>
      </c>
    </row>
    <row r="22" spans="1:15">
      <c r="A22" s="926"/>
      <c r="B22" s="933"/>
      <c r="C22" s="930"/>
      <c r="D22" s="38"/>
      <c r="E22" s="48" t="str">
        <f>IF(D22=0,"",VLOOKUP(D22,$N:$O,2,0))</f>
        <v/>
      </c>
      <c r="F22" s="592"/>
      <c r="G22" s="49"/>
      <c r="H22" s="48" t="str">
        <f>IF(G22=0,"",VLOOKUP(G22,$N:$O,2,0))</f>
        <v/>
      </c>
      <c r="I22" s="592"/>
      <c r="J22" s="293"/>
      <c r="N22" s="158">
        <f>'账项调整(期初)'!N22</f>
        <v>0</v>
      </c>
      <c r="O22" s="51" t="str">
        <f>'账项调整(期初)'!O22</f>
        <v>一年内到期的长期债权投资</v>
      </c>
    </row>
    <row r="23" spans="1:15">
      <c r="A23" s="927"/>
      <c r="B23" s="934"/>
      <c r="C23" s="931"/>
      <c r="D23" s="38"/>
      <c r="E23" s="48" t="str">
        <f>IF(D23=0,"",VLOOKUP(D23,$N:$O,2,0))</f>
        <v/>
      </c>
      <c r="F23" s="592"/>
      <c r="G23" s="49"/>
      <c r="H23" s="48" t="str">
        <f>IF(G23=0,"",VLOOKUP(G23,$N:$O,2,0))</f>
        <v/>
      </c>
      <c r="I23" s="592"/>
      <c r="J23" s="293"/>
      <c r="N23" s="158">
        <f>'账项调整(期初)'!N23</f>
        <v>0</v>
      </c>
      <c r="O23" s="54" t="str">
        <f>'账项调整(期初)'!O23</f>
        <v>其他流动资产</v>
      </c>
    </row>
    <row r="24" spans="1:15">
      <c r="A24" s="648"/>
      <c r="B24" s="648"/>
      <c r="C24" s="649"/>
      <c r="D24" s="650"/>
      <c r="E24" s="651"/>
      <c r="F24" s="651"/>
      <c r="G24" s="650"/>
      <c r="H24" s="651"/>
      <c r="I24" s="651"/>
      <c r="J24" s="591" t="str">
        <f>IF(ABS((SUMIF(E20:E23,"?*",J20:J23)-SUMIF(H20:H23,"?*",J20:J23)))&lt;0.005,"","借贷不等")</f>
        <v/>
      </c>
      <c r="N24" s="158">
        <f>'账项调整(期初)'!N24</f>
        <v>0</v>
      </c>
      <c r="O24" s="54">
        <f>'账项调整(期初)'!O24</f>
        <v>0</v>
      </c>
    </row>
    <row r="25" spans="1:15">
      <c r="A25" s="925">
        <v>5</v>
      </c>
      <c r="B25" s="932"/>
      <c r="C25" s="929"/>
      <c r="D25" s="38"/>
      <c r="E25" s="48" t="str">
        <f>IF(D25=0,"",VLOOKUP(D25,$N:$O,2,0))</f>
        <v/>
      </c>
      <c r="F25" s="592"/>
      <c r="G25" s="49"/>
      <c r="H25" s="48" t="str">
        <f>IF(G25=0,"",VLOOKUP(G25,$N:$O,2,0))</f>
        <v/>
      </c>
      <c r="I25" s="592"/>
      <c r="J25" s="293"/>
      <c r="N25" s="158">
        <f>'账项调整(期初)'!N25</f>
        <v>0</v>
      </c>
      <c r="O25" s="54">
        <f>'账项调整(期初)'!O25</f>
        <v>0</v>
      </c>
    </row>
    <row r="26" spans="1:15">
      <c r="A26" s="926"/>
      <c r="B26" s="933"/>
      <c r="C26" s="930"/>
      <c r="D26" s="38"/>
      <c r="E26" s="48" t="str">
        <f>IF(D26=0,"",VLOOKUP(D26,$N:$O,2,0))</f>
        <v/>
      </c>
      <c r="F26" s="592"/>
      <c r="G26" s="49"/>
      <c r="H26" s="48" t="str">
        <f>IF(G26=0,"",VLOOKUP(G26,$N:$O,2,0))</f>
        <v/>
      </c>
      <c r="I26" s="592"/>
      <c r="J26" s="293"/>
      <c r="N26" s="158">
        <f>'账项调整(期初)'!N26</f>
        <v>0</v>
      </c>
      <c r="O26" s="144" t="str">
        <f>'账项调整(期初)'!O26</f>
        <v>流动资产合计</v>
      </c>
    </row>
    <row r="27" spans="1:15">
      <c r="A27" s="926"/>
      <c r="B27" s="933"/>
      <c r="C27" s="930"/>
      <c r="D27" s="38"/>
      <c r="E27" s="48" t="str">
        <f>IF(D27=0,"",VLOOKUP(D27,$N:$O,2,0))</f>
        <v/>
      </c>
      <c r="F27" s="592"/>
      <c r="G27" s="49"/>
      <c r="H27" s="48" t="str">
        <f>IF(G27=0,"",VLOOKUP(G27,$N:$O,2,0))</f>
        <v/>
      </c>
      <c r="I27" s="592"/>
      <c r="J27" s="293"/>
      <c r="N27" s="158">
        <f>'账项调整(期初)'!N27</f>
        <v>0</v>
      </c>
      <c r="O27" s="54">
        <f>'账项调整(期初)'!O27</f>
        <v>0</v>
      </c>
    </row>
    <row r="28" spans="1:15">
      <c r="A28" s="927"/>
      <c r="B28" s="934"/>
      <c r="C28" s="931"/>
      <c r="D28" s="38"/>
      <c r="E28" s="48" t="str">
        <f>IF(D28=0,"",VLOOKUP(D28,$N:$O,2,0))</f>
        <v/>
      </c>
      <c r="F28" s="592"/>
      <c r="G28" s="49"/>
      <c r="H28" s="48" t="str">
        <f>IF(G28=0,"",VLOOKUP(G28,$N:$O,2,0))</f>
        <v/>
      </c>
      <c r="I28" s="592"/>
      <c r="J28" s="293"/>
      <c r="N28" s="158">
        <f>'账项调整(期初)'!N28</f>
        <v>0</v>
      </c>
      <c r="O28" s="135" t="str">
        <f>'账项调整(期初)'!O28</f>
        <v>长期投资：</v>
      </c>
    </row>
    <row r="29" spans="1:15">
      <c r="A29" s="648"/>
      <c r="B29" s="648"/>
      <c r="C29" s="649"/>
      <c r="D29" s="650"/>
      <c r="E29" s="651"/>
      <c r="F29" s="651"/>
      <c r="G29" s="650"/>
      <c r="H29" s="651"/>
      <c r="I29" s="651"/>
      <c r="J29" s="591" t="str">
        <f>IF(ABS((SUMIF(E25:E28,"?*",J25:J28)-SUMIF(H25:H28,"?*",J25:J28)))&lt;0.005,"","借贷不等")</f>
        <v/>
      </c>
      <c r="N29" s="158" t="str">
        <f>'账项调整(期初)'!N29</f>
        <v>F2</v>
      </c>
      <c r="O29" s="51" t="str">
        <f>'账项调整(期初)'!O29</f>
        <v>长期股权投资</v>
      </c>
    </row>
    <row r="30" spans="1:15">
      <c r="A30" s="925">
        <v>6</v>
      </c>
      <c r="B30" s="932"/>
      <c r="C30" s="929"/>
      <c r="D30" s="38"/>
      <c r="E30" s="48" t="str">
        <f>IF(D30=0,"",VLOOKUP(D30,$N:$O,2,0))</f>
        <v/>
      </c>
      <c r="F30" s="592"/>
      <c r="G30" s="49"/>
      <c r="H30" s="48" t="str">
        <f>IF(G30=0,"",VLOOKUP(G30,$N:$O,2,0))</f>
        <v/>
      </c>
      <c r="I30" s="592"/>
      <c r="J30" s="293"/>
      <c r="N30" s="158" t="str">
        <f>'账项调整(期初)'!N30</f>
        <v>F3</v>
      </c>
      <c r="O30" s="51" t="str">
        <f>'账项调整(期初)'!O30</f>
        <v>长期债权投资</v>
      </c>
    </row>
    <row r="31" spans="1:15">
      <c r="A31" s="926"/>
      <c r="B31" s="933"/>
      <c r="C31" s="930"/>
      <c r="D31" s="38"/>
      <c r="E31" s="48" t="str">
        <f>IF(D31=0,"",VLOOKUP(D31,$N:$O,2,0))</f>
        <v/>
      </c>
      <c r="F31" s="592"/>
      <c r="G31" s="49"/>
      <c r="H31" s="48" t="str">
        <f>IF(G31=0,"",VLOOKUP(G31,$N:$O,2,0))</f>
        <v/>
      </c>
      <c r="I31" s="592"/>
      <c r="J31" s="293"/>
      <c r="N31" s="158">
        <f>'账项调整(期初)'!N31</f>
        <v>0</v>
      </c>
      <c r="O31" s="51" t="str">
        <f>'账项调整(期初)'!O31</f>
        <v>合并价差</v>
      </c>
    </row>
    <row r="32" spans="1:15">
      <c r="A32" s="926"/>
      <c r="B32" s="933"/>
      <c r="C32" s="930"/>
      <c r="D32" s="38"/>
      <c r="E32" s="48" t="str">
        <f>IF(D32=0,"",VLOOKUP(D32,$N:$O,2,0))</f>
        <v/>
      </c>
      <c r="F32" s="592"/>
      <c r="G32" s="49"/>
      <c r="H32" s="48" t="str">
        <f>IF(G32=0,"",VLOOKUP(G32,$N:$O,2,0))</f>
        <v/>
      </c>
      <c r="I32" s="592"/>
      <c r="J32" s="293"/>
      <c r="N32" s="158">
        <f>'账项调整(期初)'!N32</f>
        <v>0</v>
      </c>
      <c r="O32" s="51">
        <f>'账项调整(期初)'!O32</f>
        <v>0</v>
      </c>
    </row>
    <row r="33" spans="1:15">
      <c r="A33" s="927"/>
      <c r="B33" s="934"/>
      <c r="C33" s="931"/>
      <c r="D33" s="38"/>
      <c r="E33" s="48" t="str">
        <f>IF(D33=0,"",VLOOKUP(D33,$N:$O,2,0))</f>
        <v/>
      </c>
      <c r="F33" s="592"/>
      <c r="G33" s="49"/>
      <c r="H33" s="48" t="str">
        <f>IF(G33=0,"",VLOOKUP(G33,$N:$O,2,0))</f>
        <v/>
      </c>
      <c r="I33" s="592"/>
      <c r="J33" s="293"/>
      <c r="N33" s="158">
        <f>'账项调整(期初)'!N33</f>
        <v>0</v>
      </c>
      <c r="O33" s="52">
        <f>'账项调整(期初)'!O33</f>
        <v>0</v>
      </c>
    </row>
    <row r="34" spans="1:15">
      <c r="A34" s="648"/>
      <c r="B34" s="648"/>
      <c r="C34" s="649"/>
      <c r="D34" s="650"/>
      <c r="E34" s="651"/>
      <c r="F34" s="651"/>
      <c r="G34" s="650"/>
      <c r="H34" s="651"/>
      <c r="I34" s="651"/>
      <c r="J34" s="591" t="str">
        <f>IF(ABS((SUMIF(E30:E33,"?*",J30:J33)-SUMIF(H30:H33,"?*",J30:J33)))&lt;0.005,"","借贷不等")</f>
        <v/>
      </c>
      <c r="N34" s="158">
        <f>'账项调整(期初)'!N34</f>
        <v>0</v>
      </c>
      <c r="O34" s="53" t="str">
        <f>'账项调整(期初)'!O34</f>
        <v>长期投资合计</v>
      </c>
    </row>
    <row r="35" spans="1:15">
      <c r="A35" s="925">
        <v>7</v>
      </c>
      <c r="B35" s="932"/>
      <c r="C35" s="929"/>
      <c r="D35" s="38"/>
      <c r="E35" s="48" t="str">
        <f>IF(D35=0,"",VLOOKUP(D35,$N:$O,2,0))</f>
        <v/>
      </c>
      <c r="F35" s="592"/>
      <c r="G35" s="49"/>
      <c r="H35" s="48" t="str">
        <f>IF(G35=0,"",VLOOKUP(G35,$N:$O,2,0))</f>
        <v/>
      </c>
      <c r="I35" s="592"/>
      <c r="J35" s="293"/>
      <c r="N35" s="158">
        <f>'账项调整(期初)'!N35</f>
        <v>0</v>
      </c>
      <c r="O35" s="51">
        <f>'账项调整(期初)'!O35</f>
        <v>0</v>
      </c>
    </row>
    <row r="36" spans="1:15">
      <c r="A36" s="926"/>
      <c r="B36" s="933"/>
      <c r="C36" s="930"/>
      <c r="D36" s="38"/>
      <c r="E36" s="48" t="str">
        <f>IF(D36=0,"",VLOOKUP(D36,$N:$O,2,0))</f>
        <v/>
      </c>
      <c r="F36" s="592"/>
      <c r="G36" s="49"/>
      <c r="H36" s="48" t="str">
        <f>IF(G36=0,"",VLOOKUP(G36,$N:$O,2,0))</f>
        <v/>
      </c>
      <c r="I36" s="592"/>
      <c r="J36" s="293"/>
      <c r="N36" s="158">
        <f>'账项调整(期初)'!N36</f>
        <v>0</v>
      </c>
      <c r="O36" s="135" t="str">
        <f>'账项调整(期初)'!O36</f>
        <v>固定资产：</v>
      </c>
    </row>
    <row r="37" spans="1:15">
      <c r="A37" s="926"/>
      <c r="B37" s="933"/>
      <c r="C37" s="930"/>
      <c r="D37" s="38"/>
      <c r="E37" s="48" t="str">
        <f>IF(D37=0,"",VLOOKUP(D37,$N:$O,2,0))</f>
        <v/>
      </c>
      <c r="F37" s="592"/>
      <c r="G37" s="49"/>
      <c r="H37" s="48" t="str">
        <f>IF(G37=0,"",VLOOKUP(G37,$N:$O,2,0))</f>
        <v/>
      </c>
      <c r="I37" s="592"/>
      <c r="J37" s="293"/>
      <c r="N37" s="158" t="str">
        <f>'账项调整(期初)'!N37</f>
        <v>H1</v>
      </c>
      <c r="O37" s="51" t="str">
        <f>'账项调整(期初)'!O37</f>
        <v>固定资产原价</v>
      </c>
    </row>
    <row r="38" spans="1:15">
      <c r="A38" s="927"/>
      <c r="B38" s="934"/>
      <c r="C38" s="931"/>
      <c r="D38" s="38"/>
      <c r="E38" s="48" t="str">
        <f>IF(D38=0,"",VLOOKUP(D38,$N:$O,2,0))</f>
        <v/>
      </c>
      <c r="F38" s="592"/>
      <c r="G38" s="49"/>
      <c r="H38" s="48" t="str">
        <f>IF(G38=0,"",VLOOKUP(G38,$N:$O,2,0))</f>
        <v/>
      </c>
      <c r="I38" s="592"/>
      <c r="J38" s="293"/>
      <c r="N38" s="158" t="str">
        <f>'账项调整(期初)'!N38</f>
        <v>H2</v>
      </c>
      <c r="O38" s="54" t="str">
        <f>'账项调整(期初)'!O38</f>
        <v>累计折旧</v>
      </c>
    </row>
    <row r="39" spans="1:15">
      <c r="A39" s="648"/>
      <c r="B39" s="648"/>
      <c r="C39" s="649"/>
      <c r="D39" s="650"/>
      <c r="E39" s="651"/>
      <c r="F39" s="651"/>
      <c r="G39" s="650"/>
      <c r="H39" s="651"/>
      <c r="I39" s="651"/>
      <c r="J39" s="591" t="str">
        <f>IF(ABS((SUMIF(E35:E38,"?*",J35:J38)-SUMIF(H35:H38,"?*",J35:J38)))&lt;0.005,"","借贷不等")</f>
        <v/>
      </c>
      <c r="N39" s="158">
        <f>'账项调整(期初)'!N39</f>
        <v>0</v>
      </c>
      <c r="O39" s="51">
        <f>'账项调整(期初)'!O39</f>
        <v>0</v>
      </c>
    </row>
    <row r="40" spans="1:15">
      <c r="A40" s="925">
        <v>8</v>
      </c>
      <c r="B40" s="932"/>
      <c r="C40" s="929"/>
      <c r="D40" s="38"/>
      <c r="E40" s="48" t="str">
        <f>IF(D40=0,"",VLOOKUP(D40,$N:$O,2,0))</f>
        <v/>
      </c>
      <c r="F40" s="592"/>
      <c r="G40" s="49"/>
      <c r="H40" s="48" t="str">
        <f>IF(G40=0,"",VLOOKUP(G40,$N:$O,2,0))</f>
        <v/>
      </c>
      <c r="I40" s="592"/>
      <c r="J40" s="293"/>
      <c r="N40" s="158" t="str">
        <f>'账项调整(期初)'!N40</f>
        <v>H3</v>
      </c>
      <c r="O40" s="51" t="str">
        <f>'账项调整(期初)'!O40</f>
        <v>固定资产减值准备</v>
      </c>
    </row>
    <row r="41" spans="1:15">
      <c r="A41" s="926"/>
      <c r="B41" s="933"/>
      <c r="C41" s="930"/>
      <c r="D41" s="38"/>
      <c r="E41" s="48" t="str">
        <f>IF(D41=0,"",VLOOKUP(D41,$N:$O,2,0))</f>
        <v/>
      </c>
      <c r="F41" s="592"/>
      <c r="G41" s="49"/>
      <c r="H41" s="48" t="str">
        <f>IF(G41=0,"",VLOOKUP(G41,$N:$O,2,0))</f>
        <v/>
      </c>
      <c r="I41" s="592"/>
      <c r="J41" s="293"/>
      <c r="N41" s="158">
        <f>'账项调整(期初)'!N41</f>
        <v>0</v>
      </c>
      <c r="O41" s="54">
        <f>'账项调整(期初)'!O41</f>
        <v>0</v>
      </c>
    </row>
    <row r="42" spans="1:15">
      <c r="A42" s="926"/>
      <c r="B42" s="933"/>
      <c r="C42" s="930"/>
      <c r="D42" s="38"/>
      <c r="E42" s="48" t="str">
        <f>IF(D42=0,"",VLOOKUP(D42,$N:$O,2,0))</f>
        <v/>
      </c>
      <c r="F42" s="592"/>
      <c r="G42" s="49"/>
      <c r="H42" s="48" t="str">
        <f>IF(G42=0,"",VLOOKUP(G42,$N:$O,2,0))</f>
        <v/>
      </c>
      <c r="I42" s="592"/>
      <c r="J42" s="293"/>
      <c r="N42" s="158" t="str">
        <f>'账项调整(期初)'!N42</f>
        <v>H4</v>
      </c>
      <c r="O42" s="161" t="str">
        <f>'账项调整(期初)'!O42</f>
        <v>固定资产清理</v>
      </c>
    </row>
    <row r="43" spans="1:15">
      <c r="A43" s="927"/>
      <c r="B43" s="934"/>
      <c r="C43" s="931"/>
      <c r="D43" s="38"/>
      <c r="E43" s="48" t="str">
        <f>IF(D43=0,"",VLOOKUP(D43,$N:$O,2,0))</f>
        <v/>
      </c>
      <c r="F43" s="592"/>
      <c r="G43" s="49"/>
      <c r="H43" s="48" t="str">
        <f>IF(G43=0,"",VLOOKUP(G43,$N:$O,2,0))</f>
        <v/>
      </c>
      <c r="I43" s="592"/>
      <c r="J43" s="293"/>
      <c r="N43" s="158" t="str">
        <f>'账项调整(期初)'!N43</f>
        <v>H7</v>
      </c>
      <c r="O43" s="50" t="str">
        <f>'账项调整(期初)'!O43</f>
        <v>工程物资</v>
      </c>
    </row>
    <row r="44" spans="1:15">
      <c r="A44" s="648"/>
      <c r="B44" s="648"/>
      <c r="C44" s="649"/>
      <c r="D44" s="650"/>
      <c r="E44" s="651"/>
      <c r="F44" s="651"/>
      <c r="G44" s="650"/>
      <c r="H44" s="651"/>
      <c r="I44" s="651"/>
      <c r="J44" s="591" t="str">
        <f>IF(ABS((SUMIF(E40:E43,"?*",J40:J43)-SUMIF(H40:H43,"?*",J40:J43)))&lt;0.005,"","借贷不等")</f>
        <v/>
      </c>
      <c r="N44" s="158" t="str">
        <f>'账项调整(期初)'!N44</f>
        <v>H6</v>
      </c>
      <c r="O44" s="55" t="str">
        <f>'账项调整(期初)'!O44</f>
        <v>在建工程</v>
      </c>
    </row>
    <row r="45" spans="1:15">
      <c r="A45" s="925">
        <v>9</v>
      </c>
      <c r="B45" s="932"/>
      <c r="C45" s="929"/>
      <c r="D45" s="38"/>
      <c r="E45" s="48" t="str">
        <f>IF(D45=0,"",VLOOKUP(D45,$N:$O,2,0))</f>
        <v/>
      </c>
      <c r="F45" s="592"/>
      <c r="G45" s="49"/>
      <c r="H45" s="48" t="str">
        <f>IF(G45=0,"",VLOOKUP(G45,$N:$O,2,0))</f>
        <v/>
      </c>
      <c r="I45" s="592"/>
      <c r="J45" s="293"/>
      <c r="N45" s="158" t="str">
        <f>'账项调整(期初)'!N45</f>
        <v>H5</v>
      </c>
      <c r="O45" s="55" t="str">
        <f>'账项调整(期初)'!O45</f>
        <v>待处理固定资产净损失</v>
      </c>
    </row>
    <row r="46" spans="1:15">
      <c r="A46" s="926"/>
      <c r="B46" s="933"/>
      <c r="C46" s="930"/>
      <c r="D46" s="38"/>
      <c r="E46" s="48" t="str">
        <f>IF(D46=0,"",VLOOKUP(D46,$N:$O,2,0))</f>
        <v/>
      </c>
      <c r="F46" s="592"/>
      <c r="G46" s="49"/>
      <c r="H46" s="48" t="str">
        <f>IF(G46=0,"",VLOOKUP(G46,$N:$O,2,0))</f>
        <v/>
      </c>
      <c r="I46" s="592"/>
      <c r="J46" s="293"/>
      <c r="N46" s="158">
        <f>'账项调整(期初)'!N46</f>
        <v>0</v>
      </c>
      <c r="O46" s="55">
        <f>'账项调整(期初)'!O46</f>
        <v>0</v>
      </c>
    </row>
    <row r="47" spans="1:15">
      <c r="A47" s="926"/>
      <c r="B47" s="933"/>
      <c r="C47" s="930"/>
      <c r="D47" s="38"/>
      <c r="E47" s="48" t="str">
        <f>IF(D47=0,"",VLOOKUP(D47,$N:$O,2,0))</f>
        <v/>
      </c>
      <c r="F47" s="592"/>
      <c r="G47" s="49"/>
      <c r="H47" s="48" t="str">
        <f>IF(G47=0,"",VLOOKUP(G47,$N:$O,2,0))</f>
        <v/>
      </c>
      <c r="I47" s="592"/>
      <c r="J47" s="293"/>
      <c r="N47" s="158">
        <f>'账项调整(期初)'!N47</f>
        <v>0</v>
      </c>
      <c r="O47" s="55">
        <f>'账项调整(期初)'!O47</f>
        <v>0</v>
      </c>
    </row>
    <row r="48" spans="1:15">
      <c r="A48" s="927"/>
      <c r="B48" s="934"/>
      <c r="C48" s="931"/>
      <c r="D48" s="38"/>
      <c r="E48" s="48" t="str">
        <f>IF(D48=0,"",VLOOKUP(D48,$N:$O,2,0))</f>
        <v/>
      </c>
      <c r="F48" s="592"/>
      <c r="G48" s="49"/>
      <c r="H48" s="48" t="str">
        <f>IF(G48=0,"",VLOOKUP(G48,$N:$O,2,0))</f>
        <v/>
      </c>
      <c r="I48" s="592"/>
      <c r="J48" s="293"/>
      <c r="N48" s="158">
        <f>'账项调整(期初)'!N48</f>
        <v>0</v>
      </c>
      <c r="O48" s="53" t="str">
        <f>'账项调整(期初)'!O48</f>
        <v>固定资产合计</v>
      </c>
    </row>
    <row r="49" spans="1:15">
      <c r="A49" s="648"/>
      <c r="B49" s="648"/>
      <c r="C49" s="649"/>
      <c r="D49" s="650"/>
      <c r="E49" s="651"/>
      <c r="F49" s="651"/>
      <c r="G49" s="650"/>
      <c r="H49" s="651"/>
      <c r="I49" s="651"/>
      <c r="J49" s="591" t="str">
        <f>IF(ABS((SUMIF(E45:E48,"?*",J45:J48)-SUMIF(H45:H48,"?*",J45:J48)))&lt;0.005,"","借贷不等")</f>
        <v/>
      </c>
      <c r="N49" s="158">
        <f>'账项调整(期初)'!N49</f>
        <v>0</v>
      </c>
      <c r="O49" s="136" t="str">
        <f>'账项调整(期初)'!O49</f>
        <v>无形资产及其他资产：</v>
      </c>
    </row>
    <row r="50" spans="1:15">
      <c r="A50" s="925">
        <v>10</v>
      </c>
      <c r="B50" s="932"/>
      <c r="C50" s="929"/>
      <c r="D50" s="38"/>
      <c r="E50" s="48" t="str">
        <f>IF(D50=0,"",VLOOKUP(D50,$N:$O,2,0))</f>
        <v/>
      </c>
      <c r="F50" s="592"/>
      <c r="G50" s="49"/>
      <c r="H50" s="48" t="str">
        <f>IF(G50=0,"",VLOOKUP(G50,$N:$O,2,0))</f>
        <v/>
      </c>
      <c r="I50" s="592"/>
      <c r="J50" s="293"/>
      <c r="N50" s="158" t="str">
        <f>'账项调整(期初)'!N50</f>
        <v>I2</v>
      </c>
      <c r="O50" s="54" t="str">
        <f>'账项调整(期初)'!O50</f>
        <v>无形资产</v>
      </c>
    </row>
    <row r="51" spans="1:15">
      <c r="A51" s="926"/>
      <c r="B51" s="933"/>
      <c r="C51" s="930"/>
      <c r="D51" s="38"/>
      <c r="E51" s="48" t="str">
        <f>IF(D51=0,"",VLOOKUP(D51,$N:$O,2,0))</f>
        <v/>
      </c>
      <c r="F51" s="592"/>
      <c r="G51" s="49"/>
      <c r="H51" s="48" t="str">
        <f>IF(G51=0,"",VLOOKUP(G51,$N:$O,2,0))</f>
        <v/>
      </c>
      <c r="I51" s="592"/>
      <c r="J51" s="293"/>
      <c r="N51" s="158">
        <f>'账项调整(期初)'!N51</f>
        <v>0</v>
      </c>
      <c r="O51" s="140">
        <f>'账项调整(期初)'!O51</f>
        <v>0</v>
      </c>
    </row>
    <row r="52" spans="1:15">
      <c r="A52" s="926"/>
      <c r="B52" s="933"/>
      <c r="C52" s="930"/>
      <c r="D52" s="38"/>
      <c r="E52" s="48" t="str">
        <f>IF(D52=0,"",VLOOKUP(D52,$N:$O,2,0))</f>
        <v/>
      </c>
      <c r="F52" s="592"/>
      <c r="G52" s="49"/>
      <c r="H52" s="48" t="str">
        <f>IF(G52=0,"",VLOOKUP(G52,$N:$O,2,0))</f>
        <v/>
      </c>
      <c r="I52" s="592"/>
      <c r="J52" s="293"/>
      <c r="N52" s="158" t="str">
        <f>'账项调整(期初)'!N52</f>
        <v>I5</v>
      </c>
      <c r="O52" s="55" t="str">
        <f>'账项调整(期初)'!O52</f>
        <v>长期待摊费用</v>
      </c>
    </row>
    <row r="53" spans="1:15">
      <c r="A53" s="927"/>
      <c r="B53" s="934"/>
      <c r="C53" s="931"/>
      <c r="D53" s="38"/>
      <c r="E53" s="48" t="str">
        <f>IF(D53=0,"",VLOOKUP(D53,$N:$O,2,0))</f>
        <v/>
      </c>
      <c r="F53" s="592"/>
      <c r="G53" s="49"/>
      <c r="H53" s="48" t="str">
        <f>IF(G53=0,"",VLOOKUP(G53,$N:$O,2,0))</f>
        <v/>
      </c>
      <c r="I53" s="592"/>
      <c r="J53" s="293"/>
      <c r="N53" s="158">
        <f>'账项调整(期初)'!N53</f>
        <v>0</v>
      </c>
      <c r="O53" s="140">
        <f>'账项调整(期初)'!O53</f>
        <v>0</v>
      </c>
    </row>
    <row r="54" spans="1:15">
      <c r="A54" s="648"/>
      <c r="B54" s="648"/>
      <c r="C54" s="649"/>
      <c r="D54" s="650"/>
      <c r="E54" s="651"/>
      <c r="F54" s="651"/>
      <c r="G54" s="650"/>
      <c r="H54" s="651"/>
      <c r="I54" s="651"/>
      <c r="J54" s="591" t="str">
        <f>IF(ABS((SUMIF(E50:E53,"?*",J50:J53)-SUMIF(H50:H53,"?*",J50:J53)))&lt;0.005,"","借贷不等")</f>
        <v/>
      </c>
      <c r="N54" s="158">
        <f>'账项调整(期初)'!N54</f>
        <v>0</v>
      </c>
      <c r="O54" s="55">
        <f>'账项调整(期初)'!O54</f>
        <v>0</v>
      </c>
    </row>
    <row r="55" spans="1:15">
      <c r="A55" s="925">
        <v>11</v>
      </c>
      <c r="B55" s="932"/>
      <c r="C55" s="929"/>
      <c r="D55" s="38"/>
      <c r="E55" s="48" t="str">
        <f>IF(D55=0,"",VLOOKUP(D55,$N:$O,2,0))</f>
        <v/>
      </c>
      <c r="F55" s="592"/>
      <c r="G55" s="49"/>
      <c r="H55" s="48" t="str">
        <f>IF(G55=0,"",VLOOKUP(G55,$N:$O,2,0))</f>
        <v/>
      </c>
      <c r="I55" s="592"/>
      <c r="J55" s="293"/>
      <c r="N55" s="158">
        <f>'账项调整(期初)'!N55</f>
        <v>0</v>
      </c>
      <c r="O55" s="55" t="str">
        <f>'账项调整(期初)'!O55</f>
        <v>股权分置流通权</v>
      </c>
    </row>
    <row r="56" spans="1:15">
      <c r="A56" s="926"/>
      <c r="B56" s="933"/>
      <c r="C56" s="930"/>
      <c r="D56" s="38"/>
      <c r="E56" s="48" t="str">
        <f>IF(D56=0,"",VLOOKUP(D56,$N:$O,2,0))</f>
        <v/>
      </c>
      <c r="F56" s="592"/>
      <c r="G56" s="49"/>
      <c r="H56" s="48" t="str">
        <f>IF(G56=0,"",VLOOKUP(G56,$N:$O,2,0))</f>
        <v/>
      </c>
      <c r="I56" s="592"/>
      <c r="J56" s="293"/>
      <c r="N56" s="158">
        <f>'账项调整(期初)'!N56</f>
        <v>0</v>
      </c>
      <c r="O56" s="140" t="str">
        <f>'账项调整(期初)'!O56</f>
        <v>其他长期资产</v>
      </c>
    </row>
    <row r="57" spans="1:15">
      <c r="A57" s="926"/>
      <c r="B57" s="933"/>
      <c r="C57" s="930"/>
      <c r="D57" s="38"/>
      <c r="E57" s="48" t="str">
        <f>IF(D57=0,"",VLOOKUP(D57,$N:$O,2,0))</f>
        <v/>
      </c>
      <c r="F57" s="592"/>
      <c r="G57" s="49"/>
      <c r="H57" s="48" t="str">
        <f>IF(G57=0,"",VLOOKUP(G57,$N:$O,2,0))</f>
        <v/>
      </c>
      <c r="I57" s="592"/>
      <c r="J57" s="293"/>
      <c r="N57" s="158">
        <f>'账项调整(期初)'!N57</f>
        <v>0</v>
      </c>
      <c r="O57" s="55">
        <f>'账项调整(期初)'!O57</f>
        <v>0</v>
      </c>
    </row>
    <row r="58" spans="1:15">
      <c r="A58" s="927"/>
      <c r="B58" s="934"/>
      <c r="C58" s="931"/>
      <c r="D58" s="38"/>
      <c r="E58" s="48" t="str">
        <f>IF(D58=0,"",VLOOKUP(D58,$N:$O,2,0))</f>
        <v/>
      </c>
      <c r="F58" s="592"/>
      <c r="G58" s="49"/>
      <c r="H58" s="48" t="str">
        <f>IF(G58=0,"",VLOOKUP(G58,$N:$O,2,0))</f>
        <v/>
      </c>
      <c r="I58" s="592"/>
      <c r="J58" s="293"/>
      <c r="N58" s="158">
        <f>'账项调整(期初)'!N58</f>
        <v>0</v>
      </c>
      <c r="O58" s="55">
        <f>'账项调整(期初)'!O58</f>
        <v>0</v>
      </c>
    </row>
    <row r="59" spans="1:15">
      <c r="A59" s="648"/>
      <c r="B59" s="648"/>
      <c r="C59" s="649"/>
      <c r="D59" s="650"/>
      <c r="E59" s="651"/>
      <c r="F59" s="651"/>
      <c r="G59" s="650"/>
      <c r="H59" s="651"/>
      <c r="I59" s="651"/>
      <c r="J59" s="591" t="str">
        <f>IF(ABS((SUMIF(E55:E58,"?*",J55:J58)-SUMIF(H55:H58,"?*",J55:J58)))&lt;0.005,"","借贷不等")</f>
        <v/>
      </c>
      <c r="N59" s="158">
        <f>'账项调整(期初)'!N59</f>
        <v>0</v>
      </c>
      <c r="O59" s="53" t="str">
        <f>'账项调整(期初)'!O59</f>
        <v>无形资产及其他资产合计</v>
      </c>
    </row>
    <row r="60" spans="1:15">
      <c r="A60" s="925">
        <v>12</v>
      </c>
      <c r="B60" s="932"/>
      <c r="C60" s="929"/>
      <c r="D60" s="38"/>
      <c r="E60" s="48" t="str">
        <f>IF(D60=0,"",VLOOKUP(D60,$N:$O,2,0))</f>
        <v/>
      </c>
      <c r="F60" s="592"/>
      <c r="G60" s="49"/>
      <c r="H60" s="48" t="str">
        <f>IF(G60=0,"",VLOOKUP(G60,$N:$O,2,0))</f>
        <v/>
      </c>
      <c r="I60" s="592"/>
      <c r="J60" s="293"/>
      <c r="N60" s="158">
        <f>'账项调整(期初)'!N60</f>
        <v>0</v>
      </c>
      <c r="O60" s="137" t="str">
        <f>'账项调整(期初)'!O60</f>
        <v>递延税项：</v>
      </c>
    </row>
    <row r="61" spans="1:15">
      <c r="A61" s="926"/>
      <c r="B61" s="933"/>
      <c r="C61" s="930"/>
      <c r="D61" s="38"/>
      <c r="E61" s="48" t="str">
        <f>IF(D61=0,"",VLOOKUP(D61,$N:$O,2,0))</f>
        <v/>
      </c>
      <c r="F61" s="592"/>
      <c r="G61" s="49"/>
      <c r="H61" s="48" t="str">
        <f>IF(G61=0,"",VLOOKUP(G61,$N:$O,2,0))</f>
        <v/>
      </c>
      <c r="I61" s="592"/>
      <c r="J61" s="293"/>
      <c r="N61" s="158" t="str">
        <f>'账项调整(期初)'!N61</f>
        <v>I18-1</v>
      </c>
      <c r="O61" s="54" t="str">
        <f>'账项调整(期初)'!O61</f>
        <v>递延税款借项</v>
      </c>
    </row>
    <row r="62" spans="1:15">
      <c r="A62" s="926"/>
      <c r="B62" s="933"/>
      <c r="C62" s="930"/>
      <c r="D62" s="38"/>
      <c r="E62" s="48" t="str">
        <f>IF(D62=0,"",VLOOKUP(D62,$N:$O,2,0))</f>
        <v/>
      </c>
      <c r="F62" s="592"/>
      <c r="G62" s="49"/>
      <c r="H62" s="48" t="str">
        <f>IF(G62=0,"",VLOOKUP(G62,$N:$O,2,0))</f>
        <v/>
      </c>
      <c r="I62" s="592"/>
      <c r="J62" s="293"/>
      <c r="N62" s="158">
        <f>'账项调整(期初)'!N62</f>
        <v>0</v>
      </c>
      <c r="O62" s="56">
        <f>'账项调整(期初)'!O62</f>
        <v>0</v>
      </c>
    </row>
    <row r="63" spans="1:15">
      <c r="A63" s="927"/>
      <c r="B63" s="934"/>
      <c r="C63" s="931"/>
      <c r="D63" s="38"/>
      <c r="E63" s="48" t="str">
        <f>IF(D63=0,"",VLOOKUP(D63,$N:$O,2,0))</f>
        <v/>
      </c>
      <c r="F63" s="592"/>
      <c r="G63" s="49"/>
      <c r="H63" s="48" t="str">
        <f>IF(G63=0,"",VLOOKUP(G63,$N:$O,2,0))</f>
        <v/>
      </c>
      <c r="I63" s="592"/>
      <c r="J63" s="293"/>
      <c r="N63" s="158">
        <f>'账项调整(期初)'!N63</f>
        <v>0</v>
      </c>
      <c r="O63" s="53" t="str">
        <f>'账项调整(期初)'!O63</f>
        <v>资产总计</v>
      </c>
    </row>
    <row r="64" spans="1:15">
      <c r="A64" s="648"/>
      <c r="B64" s="648"/>
      <c r="C64" s="649"/>
      <c r="D64" s="650"/>
      <c r="E64" s="651"/>
      <c r="F64" s="651"/>
      <c r="G64" s="650"/>
      <c r="H64" s="651"/>
      <c r="I64" s="651"/>
      <c r="J64" s="591" t="str">
        <f>IF(ABS((SUMIF(E60:E63,"?*",J60:J63)-SUMIF(H60:H63,"?*",J60:J63)))&lt;0.005,"","借贷不等")</f>
        <v/>
      </c>
      <c r="N64" s="158">
        <f>'账项调整(期初)'!N64</f>
        <v>0</v>
      </c>
      <c r="O64" s="54">
        <f>'账项调整(期初)'!O64</f>
        <v>0</v>
      </c>
    </row>
    <row r="65" spans="1:15">
      <c r="A65" s="925">
        <v>13</v>
      </c>
      <c r="B65" s="932"/>
      <c r="C65" s="929"/>
      <c r="D65" s="38"/>
      <c r="E65" s="48" t="str">
        <f>IF(D65=0,"",VLOOKUP(D65,$N:$O,2,0))</f>
        <v/>
      </c>
      <c r="F65" s="592"/>
      <c r="G65" s="49"/>
      <c r="H65" s="48" t="str">
        <f>IF(G65=0,"",VLOOKUP(G65,$N:$O,2,0))</f>
        <v/>
      </c>
      <c r="I65" s="592"/>
      <c r="J65" s="293"/>
      <c r="N65" s="158">
        <f>'账项调整(期初)'!N65</f>
        <v>0</v>
      </c>
      <c r="O65" s="138" t="str">
        <f>'账项调整(期初)'!O65</f>
        <v>流动负债：</v>
      </c>
    </row>
    <row r="66" spans="1:15">
      <c r="A66" s="926"/>
      <c r="B66" s="933"/>
      <c r="C66" s="930"/>
      <c r="D66" s="38"/>
      <c r="E66" s="48" t="str">
        <f>IF(D66=0,"",VLOOKUP(D66,$N:$O,2,0))</f>
        <v/>
      </c>
      <c r="F66" s="592"/>
      <c r="G66" s="49"/>
      <c r="H66" s="48" t="str">
        <f>IF(G66=0,"",VLOOKUP(G66,$N:$O,2,0))</f>
        <v/>
      </c>
      <c r="I66" s="592"/>
      <c r="J66" s="293"/>
      <c r="N66" s="158" t="str">
        <f>'账项调整(期初)'!N66</f>
        <v>F11</v>
      </c>
      <c r="O66" s="54" t="str">
        <f>'账项调整(期初)'!O66</f>
        <v>短期借款</v>
      </c>
    </row>
    <row r="67" spans="1:15">
      <c r="A67" s="926"/>
      <c r="B67" s="933"/>
      <c r="C67" s="930"/>
      <c r="D67" s="38"/>
      <c r="E67" s="48" t="str">
        <f>IF(D67=0,"",VLOOKUP(D67,$N:$O,2,0))</f>
        <v/>
      </c>
      <c r="F67" s="592"/>
      <c r="G67" s="49"/>
      <c r="H67" s="48" t="str">
        <f>IF(G67=0,"",VLOOKUP(G67,$N:$O,2,0))</f>
        <v/>
      </c>
      <c r="I67" s="592"/>
      <c r="J67" s="293"/>
      <c r="N67" s="158" t="str">
        <f>'账项调整(期初)'!N67</f>
        <v>E12</v>
      </c>
      <c r="O67" s="54" t="str">
        <f>'账项调整(期初)'!O67</f>
        <v>应付票据</v>
      </c>
    </row>
    <row r="68" spans="1:15">
      <c r="A68" s="927"/>
      <c r="B68" s="934"/>
      <c r="C68" s="931"/>
      <c r="D68" s="38"/>
      <c r="E68" s="48" t="str">
        <f>IF(D68=0,"",VLOOKUP(D68,$N:$O,2,0))</f>
        <v/>
      </c>
      <c r="F68" s="592"/>
      <c r="G68" s="49"/>
      <c r="H68" s="48" t="str">
        <f>IF(G68=0,"",VLOOKUP(G68,$N:$O,2,0))</f>
        <v/>
      </c>
      <c r="I68" s="592"/>
      <c r="J68" s="293"/>
      <c r="N68" s="158" t="str">
        <f>'账项调整(期初)'!N68</f>
        <v>E11</v>
      </c>
      <c r="O68" s="54" t="str">
        <f>'账项调整(期初)'!O68</f>
        <v>应付账款</v>
      </c>
    </row>
    <row r="69" spans="1:15">
      <c r="A69" s="648"/>
      <c r="B69" s="648"/>
      <c r="C69" s="649"/>
      <c r="D69" s="650"/>
      <c r="E69" s="651"/>
      <c r="F69" s="651"/>
      <c r="G69" s="650"/>
      <c r="H69" s="651"/>
      <c r="I69" s="651"/>
      <c r="J69" s="591" t="str">
        <f>IF(ABS((SUMIF(E65:E68,"?*",J65:J68)-SUMIF(H65:H68,"?*",J65:J68)))&lt;0.005,"","借贷不等")</f>
        <v/>
      </c>
      <c r="N69" s="158" t="str">
        <f>'账项调整(期初)'!N69</f>
        <v>D11</v>
      </c>
      <c r="O69" s="54" t="str">
        <f>'账项调整(期初)'!O69</f>
        <v>预收账款</v>
      </c>
    </row>
    <row r="70" spans="1:15">
      <c r="A70" s="925">
        <v>14</v>
      </c>
      <c r="B70" s="932"/>
      <c r="C70" s="929"/>
      <c r="D70" s="38"/>
      <c r="E70" s="48" t="str">
        <f>IF(D70=0,"",VLOOKUP(D70,$N:$O,2,0))</f>
        <v/>
      </c>
      <c r="F70" s="592"/>
      <c r="G70" s="49"/>
      <c r="H70" s="48" t="str">
        <f>IF(G70=0,"",VLOOKUP(G70,$N:$O,2,0))</f>
        <v/>
      </c>
      <c r="I70" s="592"/>
      <c r="J70" s="293"/>
      <c r="N70" s="158" t="str">
        <f>'账项调整(期初)'!N70</f>
        <v>E16</v>
      </c>
      <c r="O70" s="134" t="str">
        <f>'账项调整(期初)'!O70</f>
        <v>应付工资</v>
      </c>
    </row>
    <row r="71" spans="1:15">
      <c r="A71" s="926"/>
      <c r="B71" s="933"/>
      <c r="C71" s="930"/>
      <c r="D71" s="38"/>
      <c r="E71" s="48" t="str">
        <f>IF(D71=0,"",VLOOKUP(D71,$N:$O,2,0))</f>
        <v/>
      </c>
      <c r="F71" s="592"/>
      <c r="G71" s="49"/>
      <c r="H71" s="48" t="str">
        <f>IF(G71=0,"",VLOOKUP(G71,$N:$O,2,0))</f>
        <v/>
      </c>
      <c r="I71" s="592"/>
      <c r="J71" s="293"/>
      <c r="N71" s="158" t="str">
        <f>'账项调整(期初)'!N71</f>
        <v>E17</v>
      </c>
      <c r="O71" s="54" t="str">
        <f>'账项调整(期初)'!O71</f>
        <v>应付福利费</v>
      </c>
    </row>
    <row r="72" spans="1:15">
      <c r="A72" s="926"/>
      <c r="B72" s="933"/>
      <c r="C72" s="930"/>
      <c r="D72" s="38"/>
      <c r="E72" s="48" t="str">
        <f>IF(D72=0,"",VLOOKUP(D72,$N:$O,2,0))</f>
        <v/>
      </c>
      <c r="F72" s="592"/>
      <c r="G72" s="49"/>
      <c r="H72" s="48" t="str">
        <f>IF(G72=0,"",VLOOKUP(G72,$N:$O,2,0))</f>
        <v/>
      </c>
      <c r="I72" s="592"/>
      <c r="J72" s="293"/>
      <c r="N72" s="158" t="str">
        <f>'账项调整(期初)'!N72</f>
        <v>F15</v>
      </c>
      <c r="O72" s="134" t="str">
        <f>'账项调整(期初)'!O72</f>
        <v>应付股利（利润）</v>
      </c>
    </row>
    <row r="73" spans="1:15">
      <c r="A73" s="927"/>
      <c r="B73" s="934"/>
      <c r="C73" s="931"/>
      <c r="D73" s="38"/>
      <c r="E73" s="48" t="str">
        <f>IF(D73=0,"",VLOOKUP(D73,$N:$O,2,0))</f>
        <v/>
      </c>
      <c r="F73" s="592"/>
      <c r="G73" s="49"/>
      <c r="H73" s="48" t="str">
        <f>IF(G73=0,"",VLOOKUP(G73,$N:$O,2,0))</f>
        <v/>
      </c>
      <c r="I73" s="592"/>
      <c r="J73" s="293"/>
      <c r="N73" s="158" t="str">
        <f>'账项调整(期初)'!N73</f>
        <v>F14</v>
      </c>
      <c r="O73" s="161" t="str">
        <f>'账项调整(期初)'!O73</f>
        <v>应付利息</v>
      </c>
    </row>
    <row r="74" spans="1:15">
      <c r="A74" s="648"/>
      <c r="B74" s="648"/>
      <c r="C74" s="649"/>
      <c r="D74" s="650"/>
      <c r="E74" s="651"/>
      <c r="F74" s="651"/>
      <c r="G74" s="650"/>
      <c r="H74" s="651"/>
      <c r="I74" s="651"/>
      <c r="J74" s="591" t="str">
        <f>IF(ABS((SUMIF(E70:E73,"?*",J70:J73)-SUMIF(H70:H73,"?*",J70:J73)))&lt;0.005,"","借贷不等")</f>
        <v/>
      </c>
      <c r="N74" s="158" t="str">
        <f>'账项调整(期初)'!N74</f>
        <v>I16</v>
      </c>
      <c r="O74" s="161" t="str">
        <f>'账项调整(期初)'!O74</f>
        <v>应交税金</v>
      </c>
    </row>
    <row r="75" spans="1:15">
      <c r="A75" s="925">
        <v>15</v>
      </c>
      <c r="B75" s="932"/>
      <c r="C75" s="929"/>
      <c r="D75" s="38"/>
      <c r="E75" s="48" t="str">
        <f>IF(D75=0,"",VLOOKUP(D75,$N:$O,2,0))</f>
        <v/>
      </c>
      <c r="F75" s="592"/>
      <c r="G75" s="49"/>
      <c r="H75" s="48" t="str">
        <f>IF(G75=0,"",VLOOKUP(G75,$N:$O,2,0))</f>
        <v/>
      </c>
      <c r="I75" s="592"/>
      <c r="J75" s="293"/>
      <c r="N75" s="158" t="str">
        <f>'账项调整(期初)'!N75</f>
        <v>I17</v>
      </c>
      <c r="O75" s="161" t="str">
        <f>'账项调整(期初)'!O75</f>
        <v>其他应交款</v>
      </c>
    </row>
    <row r="76" spans="1:15">
      <c r="A76" s="926"/>
      <c r="B76" s="933"/>
      <c r="C76" s="930"/>
      <c r="D76" s="38"/>
      <c r="E76" s="48" t="str">
        <f>IF(D76=0,"",VLOOKUP(D76,$N:$O,2,0))</f>
        <v/>
      </c>
      <c r="F76" s="592"/>
      <c r="G76" s="49"/>
      <c r="H76" s="48" t="str">
        <f>IF(G76=0,"",VLOOKUP(G76,$N:$O,2,0))</f>
        <v/>
      </c>
      <c r="I76" s="592"/>
      <c r="J76" s="293"/>
      <c r="N76" s="158" t="str">
        <f>'账项调整(期初)'!N76</f>
        <v>G11</v>
      </c>
      <c r="O76" s="161" t="str">
        <f>'账项调整(期初)'!O76</f>
        <v>其他应付款</v>
      </c>
    </row>
    <row r="77" spans="1:15">
      <c r="A77" s="926"/>
      <c r="B77" s="933"/>
      <c r="C77" s="930"/>
      <c r="D77" s="38"/>
      <c r="E77" s="48" t="str">
        <f>IF(D77=0,"",VLOOKUP(D77,$N:$O,2,0))</f>
        <v/>
      </c>
      <c r="F77" s="592"/>
      <c r="G77" s="49"/>
      <c r="H77" s="48" t="str">
        <f>IF(G77=0,"",VLOOKUP(G77,$N:$O,2,0))</f>
        <v/>
      </c>
      <c r="I77" s="592"/>
      <c r="J77" s="293"/>
      <c r="N77" s="158" t="str">
        <f>'账项调整(期初)'!N77</f>
        <v>I11</v>
      </c>
      <c r="O77" s="161" t="str">
        <f>'账项调整(期初)'!O77</f>
        <v>预提费用</v>
      </c>
    </row>
    <row r="78" spans="1:15">
      <c r="A78" s="927"/>
      <c r="B78" s="934"/>
      <c r="C78" s="931"/>
      <c r="D78" s="38"/>
      <c r="E78" s="48" t="str">
        <f>IF(D78=0,"",VLOOKUP(D78,$N:$O,2,0))</f>
        <v/>
      </c>
      <c r="F78" s="592"/>
      <c r="G78" s="49"/>
      <c r="H78" s="48" t="str">
        <f>IF(G78=0,"",VLOOKUP(G78,$N:$O,2,0))</f>
        <v/>
      </c>
      <c r="I78" s="592"/>
      <c r="J78" s="293"/>
      <c r="N78" s="158" t="str">
        <f>'账项调整(期初)'!N78</f>
        <v>I19</v>
      </c>
      <c r="O78" s="161" t="str">
        <f>'账项调整(期初)'!O78</f>
        <v>预计负债</v>
      </c>
    </row>
    <row r="79" spans="1:15">
      <c r="A79" s="648"/>
      <c r="B79" s="648"/>
      <c r="C79" s="649"/>
      <c r="D79" s="650"/>
      <c r="E79" s="651"/>
      <c r="F79" s="651"/>
      <c r="G79" s="650"/>
      <c r="H79" s="651"/>
      <c r="I79" s="651"/>
      <c r="J79" s="591" t="str">
        <f>IF(ABS((SUMIF(E75:E78,"?*",J75:J78)-SUMIF(H75:H78,"?*",J75:J78)))&lt;0.005,"","借贷不等")</f>
        <v/>
      </c>
      <c r="N79" s="158" t="str">
        <f>'账项调整(期初)'!N79</f>
        <v>D12</v>
      </c>
      <c r="O79" s="161" t="str">
        <f>'账项调整(期初)'!O79</f>
        <v>递延收益</v>
      </c>
    </row>
    <row r="80" spans="1:15">
      <c r="A80" s="925">
        <v>16</v>
      </c>
      <c r="B80" s="932"/>
      <c r="C80" s="929"/>
      <c r="D80" s="38"/>
      <c r="E80" s="48" t="str">
        <f>IF(D80=0,"",VLOOKUP(D80,$N:$O,2,0))</f>
        <v/>
      </c>
      <c r="F80" s="592"/>
      <c r="G80" s="49"/>
      <c r="H80" s="48" t="str">
        <f>IF(G80=0,"",VLOOKUP(G80,$N:$O,2,0))</f>
        <v/>
      </c>
      <c r="I80" s="592"/>
      <c r="J80" s="293"/>
      <c r="N80" s="158">
        <f>'账项调整(期初)'!N80</f>
        <v>0</v>
      </c>
      <c r="O80" s="161" t="str">
        <f>'账项调整(期初)'!O80</f>
        <v>一年内到期的长期负债</v>
      </c>
    </row>
    <row r="81" spans="1:15">
      <c r="A81" s="926"/>
      <c r="B81" s="933"/>
      <c r="C81" s="930"/>
      <c r="D81" s="38"/>
      <c r="E81" s="48" t="str">
        <f>IF(D81=0,"",VLOOKUP(D81,$N:$O,2,0))</f>
        <v/>
      </c>
      <c r="F81" s="592"/>
      <c r="G81" s="49"/>
      <c r="H81" s="48" t="str">
        <f>IF(G81=0,"",VLOOKUP(G81,$N:$O,2,0))</f>
        <v/>
      </c>
      <c r="I81" s="592"/>
      <c r="J81" s="293"/>
      <c r="N81" s="158">
        <f>'账项调整(期初)'!N81</f>
        <v>0</v>
      </c>
      <c r="O81" s="162" t="str">
        <f>'账项调整(期初)'!O81</f>
        <v>应付权证</v>
      </c>
    </row>
    <row r="82" spans="1:15">
      <c r="A82" s="926"/>
      <c r="B82" s="933"/>
      <c r="C82" s="930"/>
      <c r="D82" s="38"/>
      <c r="E82" s="48" t="str">
        <f>IF(D82=0,"",VLOOKUP(D82,$N:$O,2,0))</f>
        <v/>
      </c>
      <c r="F82" s="592"/>
      <c r="G82" s="49"/>
      <c r="H82" s="48" t="str">
        <f>IF(G82=0,"",VLOOKUP(G82,$N:$O,2,0))</f>
        <v/>
      </c>
      <c r="I82" s="592"/>
      <c r="J82" s="293"/>
      <c r="N82" s="158">
        <f>'账项调整(期初)'!N82</f>
        <v>0</v>
      </c>
      <c r="O82" s="163" t="str">
        <f>'账项调整(期初)'!O82</f>
        <v>流动负债合计</v>
      </c>
    </row>
    <row r="83" spans="1:15">
      <c r="A83" s="927"/>
      <c r="B83" s="934"/>
      <c r="C83" s="931"/>
      <c r="D83" s="38"/>
      <c r="E83" s="48" t="str">
        <f>IF(D83=0,"",VLOOKUP(D83,$N:$O,2,0))</f>
        <v/>
      </c>
      <c r="F83" s="592"/>
      <c r="G83" s="49"/>
      <c r="H83" s="48" t="str">
        <f>IF(G83=0,"",VLOOKUP(G83,$N:$O,2,0))</f>
        <v/>
      </c>
      <c r="I83" s="592"/>
      <c r="J83" s="293"/>
      <c r="N83" s="158">
        <f>'账项调整(期初)'!N83</f>
        <v>0</v>
      </c>
      <c r="O83" s="164">
        <f>'账项调整(期初)'!O83</f>
        <v>0</v>
      </c>
    </row>
    <row r="84" spans="1:15">
      <c r="A84" s="648"/>
      <c r="B84" s="648"/>
      <c r="C84" s="649"/>
      <c r="D84" s="650"/>
      <c r="E84" s="651"/>
      <c r="F84" s="651"/>
      <c r="G84" s="650"/>
      <c r="H84" s="651"/>
      <c r="I84" s="651"/>
      <c r="J84" s="591" t="str">
        <f>IF(ABS((SUMIF(E80:E83,"?*",J80:J83)-SUMIF(H80:H83,"?*",J80:J83)))&lt;0.005,"","借贷不等")</f>
        <v/>
      </c>
      <c r="N84" s="158">
        <f>'账项调整(期初)'!N84</f>
        <v>0</v>
      </c>
      <c r="O84" s="165" t="str">
        <f>'账项调整(期初)'!O84</f>
        <v>长期负债：</v>
      </c>
    </row>
    <row r="85" spans="1:15">
      <c r="A85" s="925">
        <v>17</v>
      </c>
      <c r="B85" s="932"/>
      <c r="C85" s="929"/>
      <c r="D85" s="38"/>
      <c r="E85" s="48" t="str">
        <f>IF(D85=0,"",VLOOKUP(D85,$N:$O,2,0))</f>
        <v/>
      </c>
      <c r="F85" s="592"/>
      <c r="G85" s="49"/>
      <c r="H85" s="48" t="str">
        <f>IF(G85=0,"",VLOOKUP(G85,$N:$O,2,0))</f>
        <v/>
      </c>
      <c r="I85" s="592"/>
      <c r="J85" s="293"/>
      <c r="N85" s="158">
        <f>'账项调整(期初)'!N85</f>
        <v>0</v>
      </c>
      <c r="O85" s="164" t="str">
        <f>'账项调整(期初)'!O85</f>
        <v>长期借款</v>
      </c>
    </row>
    <row r="86" spans="1:15">
      <c r="A86" s="926"/>
      <c r="B86" s="933"/>
      <c r="C86" s="930"/>
      <c r="D86" s="38"/>
      <c r="E86" s="48" t="str">
        <f>IF(D86=0,"",VLOOKUP(D86,$N:$O,2,0))</f>
        <v/>
      </c>
      <c r="F86" s="592"/>
      <c r="G86" s="49"/>
      <c r="H86" s="48" t="str">
        <f>IF(G86=0,"",VLOOKUP(G86,$N:$O,2,0))</f>
        <v/>
      </c>
      <c r="I86" s="592"/>
      <c r="J86" s="293"/>
      <c r="N86" s="158">
        <f>'账项调整(期初)'!N86</f>
        <v>0</v>
      </c>
      <c r="O86" s="164" t="str">
        <f>'账项调整(期初)'!O86</f>
        <v>应付债券</v>
      </c>
    </row>
    <row r="87" spans="1:15">
      <c r="A87" s="926"/>
      <c r="B87" s="933"/>
      <c r="C87" s="930"/>
      <c r="D87" s="38"/>
      <c r="E87" s="48" t="str">
        <f>IF(D87=0,"",VLOOKUP(D87,$N:$O,2,0))</f>
        <v/>
      </c>
      <c r="F87" s="592"/>
      <c r="G87" s="49"/>
      <c r="H87" s="48" t="str">
        <f>IF(G87=0,"",VLOOKUP(G87,$N:$O,2,0))</f>
        <v/>
      </c>
      <c r="I87" s="592"/>
      <c r="J87" s="293"/>
      <c r="N87" s="158">
        <f>'账项调整(期初)'!N87</f>
        <v>0</v>
      </c>
      <c r="O87" s="164" t="str">
        <f>'账项调整(期初)'!O87</f>
        <v>长期应付款</v>
      </c>
    </row>
    <row r="88" spans="1:15">
      <c r="A88" s="927"/>
      <c r="B88" s="934"/>
      <c r="C88" s="931"/>
      <c r="D88" s="38"/>
      <c r="E88" s="48" t="str">
        <f>IF(D88=0,"",VLOOKUP(D88,$N:$O,2,0))</f>
        <v/>
      </c>
      <c r="F88" s="592"/>
      <c r="G88" s="49"/>
      <c r="H88" s="48" t="str">
        <f>IF(G88=0,"",VLOOKUP(G88,$N:$O,2,0))</f>
        <v/>
      </c>
      <c r="I88" s="592"/>
      <c r="J88" s="293"/>
      <c r="N88" s="158" t="str">
        <f>'账项调整(期初)'!N88</f>
        <v>F12</v>
      </c>
      <c r="O88" s="164" t="str">
        <f>'账项调整(期初)'!O88</f>
        <v>专项应付款</v>
      </c>
    </row>
    <row r="89" spans="1:15">
      <c r="A89" s="648"/>
      <c r="B89" s="648"/>
      <c r="C89" s="649"/>
      <c r="D89" s="650"/>
      <c r="E89" s="651"/>
      <c r="F89" s="651"/>
      <c r="G89" s="650"/>
      <c r="H89" s="651"/>
      <c r="I89" s="651"/>
      <c r="J89" s="591" t="str">
        <f>IF(ABS((SUMIF(E85:E88,"?*",J85:J88)-SUMIF(H85:H88,"?*",J85:J88)))&lt;0.005,"","借贷不等")</f>
        <v/>
      </c>
      <c r="N89" s="158" t="str">
        <f>'账项调整(期初)'!N89</f>
        <v>F13</v>
      </c>
      <c r="O89" s="164" t="str">
        <f>'账项调整(期初)'!O89</f>
        <v>其他长期负债</v>
      </c>
    </row>
    <row r="90" spans="1:15">
      <c r="A90" s="925">
        <v>18</v>
      </c>
      <c r="B90" s="932"/>
      <c r="C90" s="929"/>
      <c r="D90" s="38"/>
      <c r="E90" s="48" t="str">
        <f>IF(D90=0,"",VLOOKUP(D90,$N:$O,2,0))</f>
        <v/>
      </c>
      <c r="F90" s="592"/>
      <c r="G90" s="49"/>
      <c r="H90" s="48" t="str">
        <f>IF(G90=0,"",VLOOKUP(G90,$N:$O,2,0))</f>
        <v/>
      </c>
      <c r="I90" s="592"/>
      <c r="J90" s="293"/>
      <c r="N90" s="158" t="str">
        <f>'账项调整(期初)'!N90</f>
        <v>G12</v>
      </c>
      <c r="O90" s="139">
        <f>'账项调整(期初)'!O90</f>
        <v>0</v>
      </c>
    </row>
    <row r="91" spans="1:15">
      <c r="A91" s="926"/>
      <c r="B91" s="933"/>
      <c r="C91" s="930"/>
      <c r="D91" s="38"/>
      <c r="E91" s="48" t="str">
        <f>IF(D91=0,"",VLOOKUP(D91,$N:$O,2,0))</f>
        <v/>
      </c>
      <c r="F91" s="592"/>
      <c r="G91" s="49"/>
      <c r="H91" s="48" t="str">
        <f>IF(G91=0,"",VLOOKUP(G91,$N:$O,2,0))</f>
        <v/>
      </c>
      <c r="I91" s="592"/>
      <c r="J91" s="293"/>
      <c r="N91" s="158" t="str">
        <f>'账项调整(期初)'!N91</f>
        <v>G13</v>
      </c>
      <c r="O91" s="164">
        <f>'账项调整(期初)'!O91</f>
        <v>0</v>
      </c>
    </row>
    <row r="92" spans="1:15">
      <c r="A92" s="926"/>
      <c r="B92" s="933"/>
      <c r="C92" s="930"/>
      <c r="D92" s="38"/>
      <c r="E92" s="48" t="str">
        <f>IF(D92=0,"",VLOOKUP(D92,$N:$O,2,0))</f>
        <v/>
      </c>
      <c r="F92" s="592"/>
      <c r="G92" s="49"/>
      <c r="H92" s="48" t="str">
        <f>IF(G92=0,"",VLOOKUP(G92,$N:$O,2,0))</f>
        <v/>
      </c>
      <c r="I92" s="592"/>
      <c r="J92" s="293"/>
      <c r="N92" s="158">
        <f>'账项调整(期初)'!N92</f>
        <v>0</v>
      </c>
      <c r="O92" s="164">
        <f>'账项调整(期初)'!O92</f>
        <v>0</v>
      </c>
    </row>
    <row r="93" spans="1:15">
      <c r="A93" s="927"/>
      <c r="B93" s="934"/>
      <c r="C93" s="931"/>
      <c r="D93" s="38"/>
      <c r="E93" s="48" t="str">
        <f>IF(D93=0,"",VLOOKUP(D93,$N:$O,2,0))</f>
        <v/>
      </c>
      <c r="F93" s="592"/>
      <c r="G93" s="49"/>
      <c r="H93" s="48" t="str">
        <f>IF(G93=0,"",VLOOKUP(G93,$N:$O,2,0))</f>
        <v/>
      </c>
      <c r="I93" s="592"/>
      <c r="J93" s="293"/>
      <c r="N93" s="158">
        <f>'账项调整(期初)'!N93</f>
        <v>0</v>
      </c>
      <c r="O93" s="163" t="str">
        <f>'账项调整(期初)'!O93</f>
        <v>长期负债合计</v>
      </c>
    </row>
    <row r="94" spans="1:15">
      <c r="A94" s="648"/>
      <c r="B94" s="648"/>
      <c r="C94" s="649"/>
      <c r="D94" s="650"/>
      <c r="E94" s="651"/>
      <c r="F94" s="651"/>
      <c r="G94" s="650"/>
      <c r="H94" s="651"/>
      <c r="I94" s="651"/>
      <c r="J94" s="591" t="str">
        <f>IF(ABS((SUMIF(E90:E93,"?*",J90:J93)-SUMIF(H90:H93,"?*",J90:J93)))&lt;0.005,"","借贷不等")</f>
        <v/>
      </c>
      <c r="N94" s="158">
        <f>'账项调整(期初)'!N94</f>
        <v>0</v>
      </c>
      <c r="O94" s="164">
        <f>'账项调整(期初)'!O94</f>
        <v>0</v>
      </c>
    </row>
    <row r="95" spans="1:15">
      <c r="A95" s="925">
        <v>19</v>
      </c>
      <c r="B95" s="932"/>
      <c r="C95" s="929"/>
      <c r="D95" s="38"/>
      <c r="E95" s="48" t="str">
        <f>IF(D95=0,"",VLOOKUP(D95,$N:$O,2,0))</f>
        <v/>
      </c>
      <c r="F95" s="592"/>
      <c r="G95" s="49"/>
      <c r="H95" s="48" t="str">
        <f>IF(G95=0,"",VLOOKUP(G95,$N:$O,2,0))</f>
        <v/>
      </c>
      <c r="I95" s="592"/>
      <c r="J95" s="293"/>
      <c r="N95" s="158">
        <f>'账项调整(期初)'!N95</f>
        <v>0</v>
      </c>
      <c r="O95" s="165" t="str">
        <f>'账项调整(期初)'!O95</f>
        <v>递延税项：</v>
      </c>
    </row>
    <row r="96" spans="1:15">
      <c r="A96" s="926"/>
      <c r="B96" s="933"/>
      <c r="C96" s="930"/>
      <c r="D96" s="38"/>
      <c r="E96" s="48" t="str">
        <f>IF(D96=0,"",VLOOKUP(D96,$N:$O,2,0))</f>
        <v/>
      </c>
      <c r="F96" s="592"/>
      <c r="G96" s="49"/>
      <c r="H96" s="48" t="str">
        <f>IF(G96=0,"",VLOOKUP(G96,$N:$O,2,0))</f>
        <v/>
      </c>
      <c r="I96" s="592"/>
      <c r="J96" s="293"/>
      <c r="N96" s="158">
        <f>'账项调整(期初)'!N96</f>
        <v>0</v>
      </c>
      <c r="O96" s="164" t="str">
        <f>'账项调整(期初)'!O96</f>
        <v>递延税款贷项</v>
      </c>
    </row>
    <row r="97" spans="1:15">
      <c r="A97" s="926"/>
      <c r="B97" s="933"/>
      <c r="C97" s="930"/>
      <c r="D97" s="38"/>
      <c r="E97" s="48" t="str">
        <f>IF(D97=0,"",VLOOKUP(D97,$N:$O,2,0))</f>
        <v/>
      </c>
      <c r="F97" s="592"/>
      <c r="G97" s="49"/>
      <c r="H97" s="48" t="str">
        <f>IF(G97=0,"",VLOOKUP(G97,$N:$O,2,0))</f>
        <v/>
      </c>
      <c r="I97" s="592"/>
      <c r="J97" s="293"/>
      <c r="N97" s="158">
        <f>'账项调整(期初)'!N97</f>
        <v>0</v>
      </c>
      <c r="O97" s="164">
        <f>'账项调整(期初)'!O97</f>
        <v>0</v>
      </c>
    </row>
    <row r="98" spans="1:15">
      <c r="A98" s="927"/>
      <c r="B98" s="934"/>
      <c r="C98" s="931"/>
      <c r="D98" s="38"/>
      <c r="E98" s="48" t="str">
        <f>IF(D98=0,"",VLOOKUP(D98,$N:$O,2,0))</f>
        <v/>
      </c>
      <c r="F98" s="592"/>
      <c r="G98" s="49"/>
      <c r="H98" s="48" t="str">
        <f>IF(G98=0,"",VLOOKUP(G98,$N:$O,2,0))</f>
        <v/>
      </c>
      <c r="I98" s="592"/>
      <c r="J98" s="293"/>
      <c r="N98" s="158">
        <f>'账项调整(期初)'!N98</f>
        <v>0</v>
      </c>
      <c r="O98" s="163" t="str">
        <f>'账项调整(期初)'!O98</f>
        <v>负债合计</v>
      </c>
    </row>
    <row r="99" spans="1:15">
      <c r="A99" s="648"/>
      <c r="B99" s="648"/>
      <c r="C99" s="649"/>
      <c r="D99" s="650"/>
      <c r="E99" s="651"/>
      <c r="F99" s="651"/>
      <c r="G99" s="650"/>
      <c r="H99" s="651"/>
      <c r="I99" s="651"/>
      <c r="J99" s="591" t="str">
        <f>IF(ABS((SUMIF(E95:E98,"?*",J95:J98)-SUMIF(H95:H98,"?*",J95:J98)))&lt;0.005,"","借贷不等")</f>
        <v/>
      </c>
      <c r="N99" s="158" t="str">
        <f>'账项调整(期初)'!N99</f>
        <v>I18-2</v>
      </c>
      <c r="O99" s="164">
        <f>'账项调整(期初)'!O99</f>
        <v>0</v>
      </c>
    </row>
    <row r="100" spans="1:15">
      <c r="A100" s="925">
        <v>20</v>
      </c>
      <c r="B100" s="932"/>
      <c r="C100" s="929"/>
      <c r="D100" s="38"/>
      <c r="E100" s="48" t="str">
        <f>IF(D100=0,"",VLOOKUP(D100,$N:$O,2,0))</f>
        <v/>
      </c>
      <c r="F100" s="592"/>
      <c r="G100" s="49"/>
      <c r="H100" s="48" t="str">
        <f>IF(G100=0,"",VLOOKUP(G100,$N:$O,2,0))</f>
        <v/>
      </c>
      <c r="I100" s="592"/>
      <c r="J100" s="293"/>
      <c r="N100" s="158">
        <f>'账项调整(期初)'!N100</f>
        <v>0</v>
      </c>
      <c r="O100" s="164" t="str">
        <f>'账项调整(期初)'!O100</f>
        <v>少数股东权益</v>
      </c>
    </row>
    <row r="101" spans="1:15">
      <c r="A101" s="926"/>
      <c r="B101" s="933"/>
      <c r="C101" s="930"/>
      <c r="D101" s="38"/>
      <c r="E101" s="48" t="str">
        <f>IF(D101=0,"",VLOOKUP(D101,$N:$O,2,0))</f>
        <v/>
      </c>
      <c r="F101" s="592"/>
      <c r="G101" s="49"/>
      <c r="H101" s="48" t="str">
        <f>IF(G101=0,"",VLOOKUP(G101,$N:$O,2,0))</f>
        <v/>
      </c>
      <c r="I101" s="592"/>
      <c r="J101" s="293"/>
      <c r="N101" s="158">
        <f>'账项调整(期初)'!N101</f>
        <v>0</v>
      </c>
      <c r="O101" s="164">
        <f>'账项调整(期初)'!O101</f>
        <v>0</v>
      </c>
    </row>
    <row r="102" spans="1:15">
      <c r="A102" s="926"/>
      <c r="B102" s="933"/>
      <c r="C102" s="930"/>
      <c r="D102" s="38"/>
      <c r="E102" s="48" t="str">
        <f>IF(D102=0,"",VLOOKUP(D102,$N:$O,2,0))</f>
        <v/>
      </c>
      <c r="F102" s="592"/>
      <c r="G102" s="49"/>
      <c r="H102" s="48" t="str">
        <f>IF(G102=0,"",VLOOKUP(G102,$N:$O,2,0))</f>
        <v/>
      </c>
      <c r="I102" s="592"/>
      <c r="J102" s="293"/>
      <c r="N102" s="158">
        <f>'账项调整(期初)'!N102</f>
        <v>0</v>
      </c>
      <c r="O102" s="165" t="str">
        <f>'账项调整(期初)'!O102</f>
        <v>所有者权益：</v>
      </c>
    </row>
    <row r="103" spans="1:15">
      <c r="A103" s="927"/>
      <c r="B103" s="934"/>
      <c r="C103" s="931"/>
      <c r="D103" s="38"/>
      <c r="E103" s="48" t="str">
        <f>IF(D103=0,"",VLOOKUP(D103,$N:$O,2,0))</f>
        <v/>
      </c>
      <c r="F103" s="592"/>
      <c r="G103" s="49"/>
      <c r="H103" s="48" t="str">
        <f>IF(G103=0,"",VLOOKUP(G103,$N:$O,2,0))</f>
        <v/>
      </c>
      <c r="I103" s="592"/>
      <c r="J103" s="293"/>
      <c r="N103" s="158">
        <f>'账项调整(期初)'!N103</f>
        <v>0</v>
      </c>
      <c r="O103" s="164" t="str">
        <f>'账项调整(期初)'!O103</f>
        <v>实收资本</v>
      </c>
    </row>
    <row r="104" spans="1:15">
      <c r="A104" s="648"/>
      <c r="B104" s="648"/>
      <c r="C104" s="649"/>
      <c r="D104" s="650"/>
      <c r="E104" s="651"/>
      <c r="F104" s="651"/>
      <c r="G104" s="650"/>
      <c r="H104" s="651"/>
      <c r="I104" s="651"/>
      <c r="J104" s="591" t="str">
        <f>IF(ABS((SUMIF(E100:E103,"?*",J100:J103)-SUMIF(H100:H103,"?*",J100:J103)))&lt;0.005,"","借贷不等")</f>
        <v/>
      </c>
      <c r="N104" s="158">
        <f>'账项调整(期初)'!N104</f>
        <v>0</v>
      </c>
      <c r="O104" s="164">
        <f>'账项调整(期初)'!O104</f>
        <v>0</v>
      </c>
    </row>
    <row r="105" spans="1:15">
      <c r="A105" s="925">
        <v>21</v>
      </c>
      <c r="B105" s="932"/>
      <c r="C105" s="929"/>
      <c r="D105" s="38"/>
      <c r="E105" s="48" t="str">
        <f>IF(D105=0,"",VLOOKUP(D105,$N:$O,2,0))</f>
        <v/>
      </c>
      <c r="F105" s="592"/>
      <c r="G105" s="49"/>
      <c r="H105" s="48" t="str">
        <f>IF(G105=0,"",VLOOKUP(G105,$N:$O,2,0))</f>
        <v/>
      </c>
      <c r="I105" s="592"/>
      <c r="J105" s="293"/>
      <c r="N105" s="158">
        <f>'账项调整(期初)'!N105</f>
        <v>0</v>
      </c>
      <c r="O105" s="164">
        <f>'账项调整(期初)'!O105</f>
        <v>0</v>
      </c>
    </row>
    <row r="106" spans="1:15">
      <c r="A106" s="926"/>
      <c r="B106" s="933"/>
      <c r="C106" s="930"/>
      <c r="D106" s="38"/>
      <c r="E106" s="48" t="str">
        <f>IF(D106=0,"",VLOOKUP(D106,$N:$O,2,0))</f>
        <v/>
      </c>
      <c r="F106" s="592"/>
      <c r="G106" s="49"/>
      <c r="H106" s="48" t="str">
        <f>IF(G106=0,"",VLOOKUP(G106,$N:$O,2,0))</f>
        <v/>
      </c>
      <c r="I106" s="592"/>
      <c r="J106" s="293"/>
      <c r="N106" s="158" t="str">
        <f>'账项调整(期初)'!N106</f>
        <v>F16</v>
      </c>
      <c r="O106" s="159">
        <f>'账项调整(期初)'!O106</f>
        <v>0</v>
      </c>
    </row>
    <row r="107" spans="1:15">
      <c r="A107" s="926"/>
      <c r="B107" s="933"/>
      <c r="C107" s="930"/>
      <c r="D107" s="38"/>
      <c r="E107" s="48" t="str">
        <f>IF(D107=0,"",VLOOKUP(D107,$N:$O,2,0))</f>
        <v/>
      </c>
      <c r="F107" s="592"/>
      <c r="G107" s="49"/>
      <c r="H107" s="48" t="str">
        <f>IF(G107=0,"",VLOOKUP(G107,$N:$O,2,0))</f>
        <v/>
      </c>
      <c r="I107" s="592"/>
      <c r="J107" s="293"/>
      <c r="N107" s="158">
        <f>'账项调整(期初)'!N107</f>
        <v>0</v>
      </c>
      <c r="O107" s="166">
        <f>'账项调整(期初)'!O107</f>
        <v>0</v>
      </c>
    </row>
    <row r="108" spans="1:15">
      <c r="A108" s="927"/>
      <c r="B108" s="934"/>
      <c r="C108" s="931"/>
      <c r="D108" s="38"/>
      <c r="E108" s="48" t="str">
        <f>IF(D108=0,"",VLOOKUP(D108,$N:$O,2,0))</f>
        <v/>
      </c>
      <c r="F108" s="592"/>
      <c r="G108" s="49"/>
      <c r="H108" s="48" t="str">
        <f>IF(G108=0,"",VLOOKUP(G108,$N:$O,2,0))</f>
        <v/>
      </c>
      <c r="I108" s="592"/>
      <c r="J108" s="293"/>
      <c r="N108" s="158">
        <f>'账项调整(期初)'!N108</f>
        <v>0</v>
      </c>
      <c r="O108" s="167">
        <f>'账项调整(期初)'!O108</f>
        <v>0</v>
      </c>
    </row>
    <row r="109" spans="1:15">
      <c r="A109" s="648"/>
      <c r="B109" s="648"/>
      <c r="C109" s="649"/>
      <c r="D109" s="650"/>
      <c r="E109" s="651"/>
      <c r="F109" s="651"/>
      <c r="G109" s="650"/>
      <c r="H109" s="651"/>
      <c r="I109" s="651"/>
      <c r="J109" s="591" t="str">
        <f>IF(ABS((SUMIF(E105:E108,"?*",J105:J108)-SUMIF(H105:H108,"?*",J105:J108)))&lt;0.005,"","借贷不等")</f>
        <v/>
      </c>
      <c r="N109" s="158">
        <f>'账项调整(期初)'!N109</f>
        <v>0</v>
      </c>
      <c r="O109" s="167">
        <f>'账项调整(期初)'!O109</f>
        <v>0</v>
      </c>
    </row>
    <row r="110" spans="1:15">
      <c r="A110" s="925">
        <v>22</v>
      </c>
      <c r="B110" s="932"/>
      <c r="C110" s="929"/>
      <c r="D110" s="38"/>
      <c r="E110" s="48" t="str">
        <f>IF(D110=0,"",VLOOKUP(D110,$N:$O,2,0))</f>
        <v/>
      </c>
      <c r="F110" s="592"/>
      <c r="G110" s="49"/>
      <c r="H110" s="48" t="str">
        <f>IF(G110=0,"",VLOOKUP(G110,$N:$O,2,0))</f>
        <v/>
      </c>
      <c r="I110" s="592"/>
      <c r="J110" s="293"/>
      <c r="N110" s="158">
        <f>'账项调整(期初)'!N110</f>
        <v>0</v>
      </c>
      <c r="O110" s="167">
        <f>'账项调整(期初)'!O110</f>
        <v>0</v>
      </c>
    </row>
    <row r="111" spans="1:15">
      <c r="A111" s="926"/>
      <c r="B111" s="933"/>
      <c r="C111" s="930"/>
      <c r="D111" s="38"/>
      <c r="E111" s="48" t="str">
        <f>IF(D111=0,"",VLOOKUP(D111,$N:$O,2,0))</f>
        <v/>
      </c>
      <c r="F111" s="592"/>
      <c r="G111" s="49"/>
      <c r="H111" s="48" t="str">
        <f>IF(G111=0,"",VLOOKUP(G111,$N:$O,2,0))</f>
        <v/>
      </c>
      <c r="I111" s="592"/>
      <c r="J111" s="293"/>
      <c r="N111" s="158">
        <f>'账项调整(期初)'!N111</f>
        <v>0</v>
      </c>
      <c r="O111" s="159" t="str">
        <f>'账项调整(期初)'!O111</f>
        <v>资本公积</v>
      </c>
    </row>
    <row r="112" spans="1:15">
      <c r="A112" s="926"/>
      <c r="B112" s="933"/>
      <c r="C112" s="930"/>
      <c r="D112" s="38"/>
      <c r="E112" s="48" t="str">
        <f>IF(D112=0,"",VLOOKUP(D112,$N:$O,2,0))</f>
        <v/>
      </c>
      <c r="F112" s="592"/>
      <c r="G112" s="49"/>
      <c r="H112" s="48" t="str">
        <f>IF(G112=0,"",VLOOKUP(G112,$N:$O,2,0))</f>
        <v/>
      </c>
      <c r="I112" s="592"/>
      <c r="J112" s="293"/>
      <c r="N112" s="158">
        <f>'账项调整(期初)'!N112</f>
        <v>0</v>
      </c>
      <c r="O112" s="159" t="str">
        <f>'账项调整(期初)'!O112</f>
        <v>盈余公积</v>
      </c>
    </row>
    <row r="113" spans="1:15">
      <c r="A113" s="927"/>
      <c r="B113" s="934"/>
      <c r="C113" s="931"/>
      <c r="D113" s="38"/>
      <c r="E113" s="48" t="str">
        <f>IF(D113=0,"",VLOOKUP(D113,$N:$O,2,0))</f>
        <v/>
      </c>
      <c r="F113" s="592"/>
      <c r="G113" s="49"/>
      <c r="H113" s="48" t="str">
        <f>IF(G113=0,"",VLOOKUP(G113,$N:$O,2,0))</f>
        <v/>
      </c>
      <c r="I113" s="592"/>
      <c r="J113" s="293"/>
      <c r="N113" s="158">
        <f>'账项调整(期初)'!N113</f>
        <v>0</v>
      </c>
      <c r="O113" s="167" t="str">
        <f>'账项调整(期初)'!O113</f>
        <v>其中：法定公益金</v>
      </c>
    </row>
    <row r="114" spans="1:15">
      <c r="A114" s="648"/>
      <c r="B114" s="648"/>
      <c r="C114" s="649"/>
      <c r="D114" s="650"/>
      <c r="E114" s="651"/>
      <c r="F114" s="651"/>
      <c r="G114" s="650"/>
      <c r="H114" s="651"/>
      <c r="I114" s="651"/>
      <c r="J114" s="591" t="str">
        <f>IF(ABS((SUMIF(E110:E113,"?*",J110:J113)-SUMIF(H110:H113,"?*",J110:J113)))&lt;0.005,"","借贷不等")</f>
        <v/>
      </c>
      <c r="N114" s="158" t="str">
        <f>'账项调整(期初)'!N114</f>
        <v>F17</v>
      </c>
      <c r="O114" s="166" t="str">
        <f>'账项调整(期初)'!O114</f>
        <v>未确认的投资损失</v>
      </c>
    </row>
    <row r="115" spans="1:15">
      <c r="A115" s="925">
        <v>23</v>
      </c>
      <c r="B115" s="932"/>
      <c r="C115" s="929"/>
      <c r="D115" s="38"/>
      <c r="E115" s="48" t="str">
        <f>IF(D115=0,"",VLOOKUP(D115,$N:$O,2,0))</f>
        <v/>
      </c>
      <c r="F115" s="592"/>
      <c r="G115" s="49"/>
      <c r="H115" s="48" t="str">
        <f>IF(G115=0,"",VLOOKUP(G115,$N:$O,2,0))</f>
        <v/>
      </c>
      <c r="I115" s="592"/>
      <c r="J115" s="293"/>
      <c r="N115" s="158" t="str">
        <f>'账项调整(期初)'!N115</f>
        <v>F18</v>
      </c>
      <c r="O115" s="159" t="str">
        <f>'账项调整(期初)'!O115</f>
        <v>未分配利润</v>
      </c>
    </row>
    <row r="116" spans="1:15">
      <c r="A116" s="926"/>
      <c r="B116" s="933"/>
      <c r="C116" s="930"/>
      <c r="D116" s="38"/>
      <c r="E116" s="48" t="str">
        <f>IF(D116=0,"",VLOOKUP(D116,$N:$O,2,0))</f>
        <v/>
      </c>
      <c r="F116" s="592"/>
      <c r="G116" s="49"/>
      <c r="H116" s="48" t="str">
        <f>IF(G116=0,"",VLOOKUP(G116,$N:$O,2,0))</f>
        <v/>
      </c>
      <c r="I116" s="592"/>
      <c r="J116" s="293"/>
      <c r="N116" s="158">
        <f>'账项调整(期初)'!N116</f>
        <v>0</v>
      </c>
      <c r="O116" s="167">
        <f>'账项调整(期初)'!O116</f>
        <v>0</v>
      </c>
    </row>
    <row r="117" spans="1:15">
      <c r="A117" s="926"/>
      <c r="B117" s="933"/>
      <c r="C117" s="930"/>
      <c r="D117" s="38"/>
      <c r="E117" s="48" t="str">
        <f>IF(D117=0,"",VLOOKUP(D117,$N:$O,2,0))</f>
        <v/>
      </c>
      <c r="F117" s="592"/>
      <c r="G117" s="49"/>
      <c r="H117" s="48" t="str">
        <f>IF(G117=0,"",VLOOKUP(G117,$N:$O,2,0))</f>
        <v/>
      </c>
      <c r="I117" s="592"/>
      <c r="J117" s="293"/>
      <c r="N117" s="158">
        <f>'账项调整(期初)'!N117</f>
        <v>0</v>
      </c>
      <c r="O117" s="159" t="str">
        <f>'账项调整(期初)'!O117</f>
        <v>外币报表折算差额</v>
      </c>
    </row>
    <row r="118" spans="1:15">
      <c r="A118" s="927"/>
      <c r="B118" s="934"/>
      <c r="C118" s="931"/>
      <c r="D118" s="38"/>
      <c r="E118" s="48" t="str">
        <f>IF(D118=0,"",VLOOKUP(D118,$N:$O,2,0))</f>
        <v/>
      </c>
      <c r="F118" s="592"/>
      <c r="G118" s="49"/>
      <c r="H118" s="48" t="str">
        <f>IF(G118=0,"",VLOOKUP(G118,$N:$O,2,0))</f>
        <v/>
      </c>
      <c r="I118" s="592"/>
      <c r="J118" s="293"/>
      <c r="N118" s="158" t="str">
        <f>'账项调整(期初)'!N118</f>
        <v>F19</v>
      </c>
      <c r="O118" s="159">
        <f>'账项调整(期初)'!O118</f>
        <v>0</v>
      </c>
    </row>
    <row r="119" spans="1:15">
      <c r="A119" s="648"/>
      <c r="B119" s="648"/>
      <c r="C119" s="649"/>
      <c r="D119" s="650"/>
      <c r="E119" s="651"/>
      <c r="F119" s="651"/>
      <c r="G119" s="650"/>
      <c r="H119" s="651"/>
      <c r="I119" s="651"/>
      <c r="J119" s="591" t="str">
        <f>IF(ABS((SUMIF(E115:E118,"?*",J115:J118)-SUMIF(H115:H118,"?*",J115:J118)))&lt;0.005,"","借贷不等")</f>
        <v/>
      </c>
      <c r="N119" s="158">
        <f>'账项调整(期初)'!N119</f>
        <v>0</v>
      </c>
      <c r="O119" s="168" t="str">
        <f>'账项调整(期初)'!O119</f>
        <v>所有者权益小计</v>
      </c>
    </row>
    <row r="120" spans="1:15">
      <c r="A120" s="925">
        <v>24</v>
      </c>
      <c r="B120" s="932"/>
      <c r="C120" s="929"/>
      <c r="D120" s="38"/>
      <c r="E120" s="48" t="str">
        <f>IF(D120=0,"",VLOOKUP(D120,$N:$O,2,0))</f>
        <v/>
      </c>
      <c r="F120" s="592"/>
      <c r="G120" s="49"/>
      <c r="H120" s="48" t="str">
        <f>IF(G120=0,"",VLOOKUP(G120,$N:$O,2,0))</f>
        <v/>
      </c>
      <c r="I120" s="592"/>
      <c r="J120" s="293"/>
      <c r="N120" s="158">
        <f>'账项调整(期初)'!N120</f>
        <v>0</v>
      </c>
      <c r="O120" s="166" t="str">
        <f>'账项调整(期初)'!O120</f>
        <v>未处理资产损失</v>
      </c>
    </row>
    <row r="121" spans="1:15">
      <c r="A121" s="926"/>
      <c r="B121" s="933"/>
      <c r="C121" s="930"/>
      <c r="D121" s="38"/>
      <c r="E121" s="48" t="str">
        <f>IF(D121=0,"",VLOOKUP(D121,$N:$O,2,0))</f>
        <v/>
      </c>
      <c r="F121" s="592"/>
      <c r="G121" s="49"/>
      <c r="H121" s="48" t="str">
        <f>IF(G121=0,"",VLOOKUP(G121,$N:$O,2,0))</f>
        <v/>
      </c>
      <c r="I121" s="592"/>
      <c r="J121" s="293"/>
      <c r="N121" s="158">
        <f>'账项调整(期初)'!N121</f>
        <v>0</v>
      </c>
      <c r="O121" s="159">
        <f>'账项调整(期初)'!O121</f>
        <v>0</v>
      </c>
    </row>
    <row r="122" spans="1:15">
      <c r="A122" s="926"/>
      <c r="B122" s="933"/>
      <c r="C122" s="930"/>
      <c r="D122" s="38"/>
      <c r="E122" s="48" t="str">
        <f>IF(D122=0,"",VLOOKUP(D122,$N:$O,2,0))</f>
        <v/>
      </c>
      <c r="F122" s="592"/>
      <c r="G122" s="49"/>
      <c r="H122" s="48" t="str">
        <f>IF(G122=0,"",VLOOKUP(G122,$N:$O,2,0))</f>
        <v/>
      </c>
      <c r="I122" s="592"/>
      <c r="J122" s="293"/>
      <c r="N122" s="158">
        <f>'账项调整(期初)'!N122</f>
        <v>0</v>
      </c>
      <c r="O122" s="168" t="str">
        <f>'账项调整(期初)'!O122</f>
        <v>所有者权益合计(剔除未处理资产损失后的金额)</v>
      </c>
    </row>
    <row r="123" spans="1:15">
      <c r="A123" s="927"/>
      <c r="B123" s="934"/>
      <c r="C123" s="931"/>
      <c r="D123" s="38"/>
      <c r="E123" s="48" t="str">
        <f>IF(D123=0,"",VLOOKUP(D123,$N:$O,2,0))</f>
        <v/>
      </c>
      <c r="F123" s="592"/>
      <c r="G123" s="49"/>
      <c r="H123" s="48" t="str">
        <f>IF(G123=0,"",VLOOKUP(G123,$N:$O,2,0))</f>
        <v/>
      </c>
      <c r="I123" s="592"/>
      <c r="J123" s="293"/>
      <c r="N123" s="158">
        <f>'账项调整(期初)'!N123</f>
        <v>0</v>
      </c>
      <c r="O123" s="159">
        <f>'账项调整(期初)'!O123</f>
        <v>0</v>
      </c>
    </row>
    <row r="124" spans="1:15">
      <c r="A124" s="648"/>
      <c r="B124" s="648"/>
      <c r="C124" s="649"/>
      <c r="D124" s="650"/>
      <c r="E124" s="651"/>
      <c r="F124" s="651"/>
      <c r="G124" s="650"/>
      <c r="H124" s="651"/>
      <c r="I124" s="651"/>
      <c r="J124" s="591" t="str">
        <f>IF(ABS((SUMIF(E120:E123,"?*",J120:J123)-SUMIF(H120:H123,"?*",J120:J123)))&lt;0.005,"","借贷不等")</f>
        <v/>
      </c>
      <c r="N124" s="158">
        <f>'账项调整(期初)'!N124</f>
        <v>0</v>
      </c>
      <c r="O124" s="159">
        <f>'账项调整(期初)'!O124</f>
        <v>0</v>
      </c>
    </row>
    <row r="125" spans="1:15">
      <c r="A125" s="925">
        <v>25</v>
      </c>
      <c r="B125" s="932"/>
      <c r="C125" s="929"/>
      <c r="D125" s="38"/>
      <c r="E125" s="48" t="str">
        <f>IF(D125=0,"",VLOOKUP(D125,$N:$O,2,0))</f>
        <v/>
      </c>
      <c r="F125" s="592"/>
      <c r="G125" s="49"/>
      <c r="H125" s="48" t="str">
        <f>IF(G125=0,"",VLOOKUP(G125,$N:$O,2,0))</f>
        <v/>
      </c>
      <c r="I125" s="592"/>
      <c r="J125" s="293"/>
      <c r="N125" s="158">
        <f>'账项调整(期初)'!N125</f>
        <v>0</v>
      </c>
      <c r="O125" s="168" t="str">
        <f>'账项调整(期初)'!O125</f>
        <v>负债及所有者权益合计</v>
      </c>
    </row>
    <row r="126" spans="1:15">
      <c r="A126" s="926"/>
      <c r="B126" s="933"/>
      <c r="C126" s="930"/>
      <c r="D126" s="38"/>
      <c r="E126" s="48" t="str">
        <f>IF(D126=0,"",VLOOKUP(D126,$N:$O,2,0))</f>
        <v/>
      </c>
      <c r="F126" s="592"/>
      <c r="G126" s="49"/>
      <c r="H126" s="48" t="str">
        <f>IF(G126=0,"",VLOOKUP(G126,$N:$O,2,0))</f>
        <v/>
      </c>
      <c r="I126" s="592"/>
      <c r="J126" s="293"/>
      <c r="N126" s="158">
        <f>'账项调整(期初)'!N126</f>
        <v>0</v>
      </c>
      <c r="O126" s="159">
        <f>'账项调整(期初)'!O126</f>
        <v>0</v>
      </c>
    </row>
    <row r="127" spans="1:15">
      <c r="A127" s="926"/>
      <c r="B127" s="933"/>
      <c r="C127" s="930"/>
      <c r="D127" s="38"/>
      <c r="E127" s="48" t="str">
        <f>IF(D127=0,"",VLOOKUP(D127,$N:$O,2,0))</f>
        <v/>
      </c>
      <c r="F127" s="592"/>
      <c r="G127" s="49"/>
      <c r="H127" s="48" t="str">
        <f>IF(G127=0,"",VLOOKUP(G127,$N:$O,2,0))</f>
        <v/>
      </c>
      <c r="I127" s="592"/>
      <c r="J127" s="293"/>
      <c r="N127" s="158">
        <f>'账项调整(期初)'!N127</f>
        <v>0</v>
      </c>
      <c r="O127" s="169" t="str">
        <f>'账项调整(期初)'!O127</f>
        <v>主营业务收入</v>
      </c>
    </row>
    <row r="128" spans="1:15">
      <c r="A128" s="927"/>
      <c r="B128" s="934"/>
      <c r="C128" s="931"/>
      <c r="D128" s="38"/>
      <c r="E128" s="48" t="str">
        <f>IF(D128=0,"",VLOOKUP(D128,$N:$O,2,0))</f>
        <v/>
      </c>
      <c r="F128" s="592"/>
      <c r="G128" s="49"/>
      <c r="H128" s="48" t="str">
        <f>IF(G128=0,"",VLOOKUP(G128,$N:$O,2,0))</f>
        <v/>
      </c>
      <c r="I128" s="592"/>
      <c r="J128" s="293"/>
      <c r="N128" s="158">
        <f>'账项调整(期初)'!N128</f>
        <v>0</v>
      </c>
      <c r="O128" s="166">
        <f>'账项调整(期初)'!O128</f>
        <v>0</v>
      </c>
    </row>
    <row r="129" spans="1:15">
      <c r="A129" s="648"/>
      <c r="B129" s="648"/>
      <c r="C129" s="649"/>
      <c r="D129" s="650"/>
      <c r="E129" s="651"/>
      <c r="F129" s="651"/>
      <c r="G129" s="650"/>
      <c r="H129" s="651"/>
      <c r="I129" s="651"/>
      <c r="J129" s="591" t="str">
        <f>IF(ABS((SUMIF(E125:E128,"?*",J125:J128)-SUMIF(H125:H128,"?*",J125:J128)))&lt;0.005,"","借贷不等")</f>
        <v/>
      </c>
      <c r="N129" s="158">
        <f>'账项调整(期初)'!N129</f>
        <v>0</v>
      </c>
      <c r="O129" s="167">
        <f>'账项调整(期初)'!O129</f>
        <v>0</v>
      </c>
    </row>
    <row r="130" spans="1:15">
      <c r="A130" s="925">
        <v>26</v>
      </c>
      <c r="B130" s="932"/>
      <c r="C130" s="929"/>
      <c r="D130" s="38"/>
      <c r="E130" s="48" t="str">
        <f>IF(D130=0,"",VLOOKUP(D130,$N:$O,2,0))</f>
        <v/>
      </c>
      <c r="F130" s="592"/>
      <c r="G130" s="49"/>
      <c r="H130" s="48" t="str">
        <f>IF(G130=0,"",VLOOKUP(G130,$N:$O,2,0))</f>
        <v/>
      </c>
      <c r="I130" s="592"/>
      <c r="J130" s="293"/>
      <c r="N130" s="158" t="str">
        <f>'账项调整(期初)'!N130</f>
        <v>D21</v>
      </c>
      <c r="O130" s="166">
        <f>'账项调整(期初)'!O130</f>
        <v>0</v>
      </c>
    </row>
    <row r="131" spans="1:15">
      <c r="A131" s="926"/>
      <c r="B131" s="933"/>
      <c r="C131" s="930"/>
      <c r="D131" s="38"/>
      <c r="E131" s="48" t="str">
        <f>IF(D131=0,"",VLOOKUP(D131,$N:$O,2,0))</f>
        <v/>
      </c>
      <c r="F131" s="592"/>
      <c r="G131" s="49"/>
      <c r="H131" s="48" t="str">
        <f>IF(G131=0,"",VLOOKUP(G131,$N:$O,2,0))</f>
        <v/>
      </c>
      <c r="I131" s="592"/>
      <c r="J131" s="293"/>
      <c r="N131" s="158">
        <f>'账项调整(期初)'!N131</f>
        <v>0</v>
      </c>
      <c r="O131" s="170" t="str">
        <f>'账项调整(期初)'!O131</f>
        <v>二、主营业务收入净额</v>
      </c>
    </row>
    <row r="132" spans="1:15">
      <c r="A132" s="926"/>
      <c r="B132" s="933"/>
      <c r="C132" s="930"/>
      <c r="D132" s="38"/>
      <c r="E132" s="48" t="str">
        <f>IF(D132=0,"",VLOOKUP(D132,$N:$O,2,0))</f>
        <v/>
      </c>
      <c r="F132" s="592"/>
      <c r="G132" s="49"/>
      <c r="H132" s="48" t="str">
        <f>IF(G132=0,"",VLOOKUP(G132,$N:$O,2,0))</f>
        <v/>
      </c>
      <c r="I132" s="592"/>
      <c r="J132" s="293"/>
      <c r="N132" s="158">
        <f>'账项调整(期初)'!N132</f>
        <v>0</v>
      </c>
      <c r="O132" s="159" t="str">
        <f>'账项调整(期初)'!O132</f>
        <v>主营业务成本</v>
      </c>
    </row>
    <row r="133" spans="1:15">
      <c r="A133" s="927"/>
      <c r="B133" s="934"/>
      <c r="C133" s="931"/>
      <c r="D133" s="38"/>
      <c r="E133" s="48" t="str">
        <f>IF(D133=0,"",VLOOKUP(D133,$N:$O,2,0))</f>
        <v/>
      </c>
      <c r="F133" s="592"/>
      <c r="G133" s="49"/>
      <c r="H133" s="48" t="str">
        <f>IF(G133=0,"",VLOOKUP(G133,$N:$O,2,0))</f>
        <v/>
      </c>
      <c r="I133" s="592"/>
      <c r="J133" s="293"/>
      <c r="N133" s="158">
        <f>'账项调整(期初)'!N133</f>
        <v>0</v>
      </c>
      <c r="O133" s="166">
        <f>'账项调整(期初)'!O133</f>
        <v>0</v>
      </c>
    </row>
    <row r="134" spans="1:15">
      <c r="A134" s="648"/>
      <c r="B134" s="648"/>
      <c r="C134" s="649"/>
      <c r="D134" s="650"/>
      <c r="E134" s="651"/>
      <c r="F134" s="651"/>
      <c r="G134" s="650"/>
      <c r="H134" s="651"/>
      <c r="I134" s="651"/>
      <c r="J134" s="591" t="str">
        <f>IF(ABS((SUMIF(E130:E133,"?*",J130:J133)-SUMIF(H130:H133,"?*",J130:J133)))&lt;0.005,"","借贷不等")</f>
        <v/>
      </c>
      <c r="N134" s="158">
        <f>'账项调整(期初)'!N134</f>
        <v>0</v>
      </c>
      <c r="O134" s="166">
        <f>'账项调整(期初)'!O134</f>
        <v>0</v>
      </c>
    </row>
    <row r="135" spans="1:15">
      <c r="A135" s="925">
        <v>27</v>
      </c>
      <c r="B135" s="932"/>
      <c r="C135" s="929"/>
      <c r="D135" s="38"/>
      <c r="E135" s="48" t="str">
        <f>IF(D135=0,"",VLOOKUP(D135,$N:$O,2,0))</f>
        <v/>
      </c>
      <c r="F135" s="592"/>
      <c r="G135" s="49"/>
      <c r="H135" s="48" t="str">
        <f>IF(G135=0,"",VLOOKUP(G135,$N:$O,2,0))</f>
        <v/>
      </c>
      <c r="I135" s="592"/>
      <c r="J135" s="293"/>
      <c r="N135" s="158" t="str">
        <f>'账项调整(期初)'!N135</f>
        <v>E21</v>
      </c>
      <c r="O135" s="166" t="str">
        <f>'账项调整(期初)'!O135</f>
        <v>主营业务税金及附加</v>
      </c>
    </row>
    <row r="136" spans="1:15">
      <c r="A136" s="926"/>
      <c r="B136" s="933"/>
      <c r="C136" s="930"/>
      <c r="D136" s="38"/>
      <c r="E136" s="48" t="str">
        <f>IF(D136=0,"",VLOOKUP(D136,$N:$O,2,0))</f>
        <v/>
      </c>
      <c r="F136" s="592"/>
      <c r="G136" s="49"/>
      <c r="H136" s="48" t="str">
        <f>IF(G136=0,"",VLOOKUP(G136,$N:$O,2,0))</f>
        <v/>
      </c>
      <c r="I136" s="592"/>
      <c r="J136" s="293"/>
      <c r="N136" s="158">
        <f>'账项调整(期初)'!N136</f>
        <v>0</v>
      </c>
      <c r="O136" s="166" t="str">
        <f>'账项调整(期初)'!O136</f>
        <v>经营费用</v>
      </c>
    </row>
    <row r="137" spans="1:15">
      <c r="A137" s="926"/>
      <c r="B137" s="933"/>
      <c r="C137" s="930"/>
      <c r="D137" s="38"/>
      <c r="E137" s="48" t="str">
        <f>IF(D137=0,"",VLOOKUP(D137,$N:$O,2,0))</f>
        <v/>
      </c>
      <c r="F137" s="592"/>
      <c r="G137" s="49"/>
      <c r="H137" s="48" t="str">
        <f>IF(G137=0,"",VLOOKUP(G137,$N:$O,2,0))</f>
        <v/>
      </c>
      <c r="I137" s="592"/>
      <c r="J137" s="293"/>
      <c r="N137" s="158">
        <f>'账项调整(期初)'!N137</f>
        <v>0</v>
      </c>
      <c r="O137" s="166">
        <f>'账项调整(期初)'!O137</f>
        <v>0</v>
      </c>
    </row>
    <row r="138" spans="1:15">
      <c r="A138" s="927"/>
      <c r="B138" s="934"/>
      <c r="C138" s="931"/>
      <c r="D138" s="38"/>
      <c r="E138" s="48" t="str">
        <f>IF(D138=0,"",VLOOKUP(D138,$N:$O,2,0))</f>
        <v/>
      </c>
      <c r="F138" s="592"/>
      <c r="G138" s="49"/>
      <c r="H138" s="48" t="str">
        <f>IF(G138=0,"",VLOOKUP(G138,$N:$O,2,0))</f>
        <v/>
      </c>
      <c r="I138" s="592"/>
      <c r="J138" s="293"/>
      <c r="N138" s="158" t="str">
        <f>'账项调整(期初)'!N138</f>
        <v>I21</v>
      </c>
      <c r="O138" s="166">
        <f>'账项调整(期初)'!O138</f>
        <v>0</v>
      </c>
    </row>
    <row r="139" spans="1:15">
      <c r="A139" s="648"/>
      <c r="B139" s="648"/>
      <c r="C139" s="649"/>
      <c r="D139" s="650"/>
      <c r="E139" s="651"/>
      <c r="F139" s="651"/>
      <c r="G139" s="650"/>
      <c r="H139" s="651"/>
      <c r="I139" s="651"/>
      <c r="J139" s="591" t="str">
        <f>IF(ABS((SUMIF(E135:E138,"?*",J135:J138)-SUMIF(H135:H138,"?*",J135:J138)))&lt;0.005,"","借贷不等")</f>
        <v/>
      </c>
      <c r="N139" s="158">
        <f>'账项调整(期初)'!N139</f>
        <v>0</v>
      </c>
      <c r="O139" s="166" t="str">
        <f>'账项调整(期初)'!O139</f>
        <v>递延收益</v>
      </c>
    </row>
    <row r="140" spans="1:15">
      <c r="A140" s="925">
        <v>28</v>
      </c>
      <c r="B140" s="932"/>
      <c r="C140" s="929"/>
      <c r="D140" s="38"/>
      <c r="E140" s="48" t="str">
        <f>IF(D140=0,"",VLOOKUP(D140,$N:$O,2,0))</f>
        <v/>
      </c>
      <c r="F140" s="592"/>
      <c r="G140" s="49"/>
      <c r="H140" s="48" t="str">
        <f>IF(G140=0,"",VLOOKUP(G140,$N:$O,2,0))</f>
        <v/>
      </c>
      <c r="I140" s="592"/>
      <c r="J140" s="293"/>
      <c r="N140" s="158">
        <f>'账项调整(期初)'!N140</f>
        <v>0</v>
      </c>
      <c r="O140" s="166" t="str">
        <f>'账项调整(期初)'!O140</f>
        <v>代购代销收入</v>
      </c>
    </row>
    <row r="141" spans="1:15">
      <c r="A141" s="926"/>
      <c r="B141" s="933"/>
      <c r="C141" s="930"/>
      <c r="D141" s="38"/>
      <c r="E141" s="48" t="str">
        <f>IF(D141=0,"",VLOOKUP(D141,$N:$O,2,0))</f>
        <v/>
      </c>
      <c r="F141" s="592"/>
      <c r="G141" s="49"/>
      <c r="H141" s="48" t="str">
        <f>IF(G141=0,"",VLOOKUP(G141,$N:$O,2,0))</f>
        <v/>
      </c>
      <c r="I141" s="592"/>
      <c r="J141" s="293"/>
      <c r="N141" s="158">
        <f>'账项调整(期初)'!N141</f>
        <v>0</v>
      </c>
      <c r="O141" s="166">
        <f>'账项调整(期初)'!O141</f>
        <v>0</v>
      </c>
    </row>
    <row r="142" spans="1:15">
      <c r="A142" s="926"/>
      <c r="B142" s="933"/>
      <c r="C142" s="930"/>
      <c r="D142" s="38"/>
      <c r="E142" s="48" t="str">
        <f>IF(D142=0,"",VLOOKUP(D142,$N:$O,2,0))</f>
        <v/>
      </c>
      <c r="F142" s="592"/>
      <c r="G142" s="49"/>
      <c r="H142" s="48" t="str">
        <f>IF(G142=0,"",VLOOKUP(G142,$N:$O,2,0))</f>
        <v/>
      </c>
      <c r="I142" s="592"/>
      <c r="J142" s="293"/>
      <c r="N142" s="158">
        <f>'账项调整(期初)'!N142</f>
        <v>0</v>
      </c>
      <c r="O142" s="170" t="str">
        <f>'账项调整(期初)'!O142</f>
        <v>三、主营业务利润</v>
      </c>
    </row>
    <row r="143" spans="1:15">
      <c r="A143" s="927"/>
      <c r="B143" s="934"/>
      <c r="C143" s="931"/>
      <c r="D143" s="38"/>
      <c r="E143" s="48" t="str">
        <f>IF(D143=0,"",VLOOKUP(D143,$N:$O,2,0))</f>
        <v/>
      </c>
      <c r="F143" s="592"/>
      <c r="G143" s="49"/>
      <c r="H143" s="48" t="str">
        <f>IF(G143=0,"",VLOOKUP(G143,$N:$O,2,0))</f>
        <v/>
      </c>
      <c r="I143" s="592"/>
      <c r="J143" s="293"/>
      <c r="N143" s="158">
        <f>'账项调整(期初)'!N143</f>
        <v>0</v>
      </c>
      <c r="O143" s="166" t="str">
        <f>'账项调整(期初)'!O143</f>
        <v>其他业务利润</v>
      </c>
    </row>
    <row r="144" spans="1:15">
      <c r="A144" s="648"/>
      <c r="B144" s="648"/>
      <c r="C144" s="649"/>
      <c r="D144" s="650"/>
      <c r="E144" s="651"/>
      <c r="F144" s="651"/>
      <c r="G144" s="650"/>
      <c r="H144" s="651"/>
      <c r="I144" s="651"/>
      <c r="J144" s="591" t="str">
        <f>IF(ABS((SUMIF(E140:E143,"?*",J140:J143)-SUMIF(H140:H143,"?*",J140:J143)))&lt;0.005,"","借贷不等")</f>
        <v/>
      </c>
      <c r="N144" s="158">
        <f>'账项调整(期初)'!N144</f>
        <v>0</v>
      </c>
      <c r="O144" s="166" t="str">
        <f>'账项调整(期初)'!O144</f>
        <v>营业费用</v>
      </c>
    </row>
    <row r="145" spans="1:15">
      <c r="A145" s="925">
        <v>29</v>
      </c>
      <c r="B145" s="932"/>
      <c r="C145" s="929"/>
      <c r="D145" s="38"/>
      <c r="E145" s="48" t="str">
        <f>IF(D145=0,"",VLOOKUP(D145,$N:$O,2,0))</f>
        <v/>
      </c>
      <c r="F145" s="592"/>
      <c r="G145" s="49"/>
      <c r="H145" s="48" t="str">
        <f>IF(G145=0,"",VLOOKUP(G145,$N:$O,2,0))</f>
        <v/>
      </c>
      <c r="I145" s="592"/>
      <c r="J145" s="293"/>
      <c r="N145" s="158">
        <f>'账项调整(期初)'!N145</f>
        <v>0</v>
      </c>
      <c r="O145" s="166" t="str">
        <f>'账项调整(期初)'!O145</f>
        <v>管理费用</v>
      </c>
    </row>
    <row r="146" spans="1:15">
      <c r="A146" s="926"/>
      <c r="B146" s="933"/>
      <c r="C146" s="930"/>
      <c r="D146" s="38"/>
      <c r="E146" s="48" t="str">
        <f>IF(D146=0,"",VLOOKUP(D146,$N:$O,2,0))</f>
        <v/>
      </c>
      <c r="F146" s="592"/>
      <c r="G146" s="49"/>
      <c r="H146" s="48" t="str">
        <f>IF(G146=0,"",VLOOKUP(G146,$N:$O,2,0))</f>
        <v/>
      </c>
      <c r="I146" s="592"/>
      <c r="J146" s="293"/>
      <c r="N146" s="158" t="str">
        <f>'账项调整(期初)'!N146</f>
        <v>D22</v>
      </c>
      <c r="O146" s="166">
        <f>'账项调整(期初)'!O146</f>
        <v>0</v>
      </c>
    </row>
    <row r="147" spans="1:15">
      <c r="A147" s="926"/>
      <c r="B147" s="933"/>
      <c r="C147" s="930"/>
      <c r="D147" s="38"/>
      <c r="E147" s="48" t="str">
        <f>IF(D147=0,"",VLOOKUP(D147,$N:$O,2,0))</f>
        <v/>
      </c>
      <c r="F147" s="592"/>
      <c r="G147" s="49"/>
      <c r="H147" s="48" t="str">
        <f>IF(G147=0,"",VLOOKUP(G147,$N:$O,2,0))</f>
        <v/>
      </c>
      <c r="I147" s="592"/>
      <c r="J147" s="293"/>
      <c r="N147" s="158" t="str">
        <f>'账项调整(期初)'!N147</f>
        <v>I23</v>
      </c>
      <c r="O147" s="166" t="str">
        <f>'账项调整(期初)'!O147</f>
        <v>财务费用</v>
      </c>
    </row>
    <row r="148" spans="1:15">
      <c r="A148" s="927"/>
      <c r="B148" s="934"/>
      <c r="C148" s="931"/>
      <c r="D148" s="38"/>
      <c r="E148" s="48" t="str">
        <f>IF(D148=0,"",VLOOKUP(D148,$N:$O,2,0))</f>
        <v/>
      </c>
      <c r="F148" s="592"/>
      <c r="G148" s="49"/>
      <c r="H148" s="48" t="str">
        <f>IF(G148=0,"",VLOOKUP(G148,$N:$O,2,0))</f>
        <v/>
      </c>
      <c r="I148" s="592"/>
      <c r="J148" s="293"/>
      <c r="N148" s="158" t="str">
        <f>'账项调整(期初)'!N148</f>
        <v>I24</v>
      </c>
      <c r="O148" s="166">
        <f>'账项调整(期初)'!O148</f>
        <v>0</v>
      </c>
    </row>
    <row r="149" spans="1:15">
      <c r="A149" s="648"/>
      <c r="B149" s="648"/>
      <c r="C149" s="649"/>
      <c r="D149" s="650"/>
      <c r="E149" s="651"/>
      <c r="F149" s="651"/>
      <c r="G149" s="650"/>
      <c r="H149" s="651"/>
      <c r="I149" s="651"/>
      <c r="J149" s="591" t="str">
        <f>IF(ABS((SUMIF(E145:E148,"?*",J145:J148)-SUMIF(H145:H148,"?*",J145:J148)))&lt;0.005,"","借贷不等")</f>
        <v/>
      </c>
      <c r="N149" s="158">
        <f>'账项调整(期初)'!N149</f>
        <v>0</v>
      </c>
      <c r="O149" s="167">
        <f>'账项调整(期初)'!O149</f>
        <v>0</v>
      </c>
    </row>
    <row r="150" spans="1:15">
      <c r="A150" s="925">
        <v>30</v>
      </c>
      <c r="B150" s="932"/>
      <c r="C150" s="929"/>
      <c r="D150" s="38"/>
      <c r="E150" s="48" t="str">
        <f>IF(D150=0,"",VLOOKUP(D150,$N:$O,2,0))</f>
        <v/>
      </c>
      <c r="F150" s="592"/>
      <c r="G150" s="49"/>
      <c r="H150" s="48" t="str">
        <f>IF(G150=0,"",VLOOKUP(G150,$N:$O,2,0))</f>
        <v/>
      </c>
      <c r="I150" s="592"/>
      <c r="J150" s="293"/>
      <c r="N150" s="158" t="str">
        <f>'账项调整(期初)'!N150</f>
        <v>F22</v>
      </c>
      <c r="O150" s="167">
        <f>'账项调整(期初)'!O150</f>
        <v>0</v>
      </c>
    </row>
    <row r="151" spans="1:15">
      <c r="A151" s="926"/>
      <c r="B151" s="933"/>
      <c r="C151" s="930"/>
      <c r="D151" s="38"/>
      <c r="E151" s="48" t="str">
        <f>IF(D151=0,"",VLOOKUP(D151,$N:$O,2,0))</f>
        <v/>
      </c>
      <c r="F151" s="592"/>
      <c r="G151" s="49"/>
      <c r="H151" s="48" t="str">
        <f>IF(G151=0,"",VLOOKUP(G151,$N:$O,2,0))</f>
        <v/>
      </c>
      <c r="I151" s="592"/>
      <c r="J151" s="293"/>
      <c r="N151" s="158">
        <f>'账项调整(期初)'!N151</f>
        <v>0</v>
      </c>
      <c r="O151" s="166">
        <f>'账项调整(期初)'!O151</f>
        <v>0</v>
      </c>
    </row>
    <row r="152" spans="1:15">
      <c r="A152" s="926"/>
      <c r="B152" s="933"/>
      <c r="C152" s="930"/>
      <c r="D152" s="38"/>
      <c r="E152" s="48" t="str">
        <f>IF(D152=0,"",VLOOKUP(D152,$N:$O,2,0))</f>
        <v/>
      </c>
      <c r="F152" s="592"/>
      <c r="G152" s="49"/>
      <c r="H152" s="48" t="str">
        <f>IF(G152=0,"",VLOOKUP(G152,$N:$O,2,0))</f>
        <v/>
      </c>
      <c r="I152" s="592"/>
      <c r="J152" s="293"/>
      <c r="N152" s="158">
        <f>'账项调整(期初)'!N152</f>
        <v>0</v>
      </c>
      <c r="O152" s="166">
        <f>'账项调整(期初)'!O152</f>
        <v>0</v>
      </c>
    </row>
    <row r="153" spans="1:15">
      <c r="A153" s="927"/>
      <c r="B153" s="934"/>
      <c r="C153" s="931"/>
      <c r="D153" s="38"/>
      <c r="E153" s="48" t="str">
        <f>IF(D153=0,"",VLOOKUP(D153,$N:$O,2,0))</f>
        <v/>
      </c>
      <c r="F153" s="592"/>
      <c r="G153" s="49"/>
      <c r="H153" s="48" t="str">
        <f>IF(G153=0,"",VLOOKUP(G153,$N:$O,2,0))</f>
        <v/>
      </c>
      <c r="I153" s="592"/>
      <c r="J153" s="293"/>
      <c r="N153" s="158">
        <f>'账项调整(期初)'!N153</f>
        <v>0</v>
      </c>
      <c r="O153" s="170" t="str">
        <f>'账项调整(期初)'!O153</f>
        <v>四、营业利润</v>
      </c>
    </row>
    <row r="154" spans="1:15">
      <c r="A154" s="648"/>
      <c r="B154" s="648"/>
      <c r="C154" s="649"/>
      <c r="D154" s="650"/>
      <c r="E154" s="651"/>
      <c r="F154" s="651"/>
      <c r="G154" s="650"/>
      <c r="H154" s="651"/>
      <c r="I154" s="651"/>
      <c r="J154" s="591" t="str">
        <f>IF(ABS((SUMIF(E150:E153,"?*",J150:J153)-SUMIF(H150:H153,"?*",J150:J153)))&lt;0.005,"","借贷不等")</f>
        <v/>
      </c>
      <c r="N154" s="158">
        <f>'账项调整(期初)'!N154</f>
        <v>0</v>
      </c>
      <c r="O154" s="166" t="str">
        <f>'账项调整(期初)'!O154</f>
        <v>投资收益</v>
      </c>
    </row>
    <row r="155" spans="1:15">
      <c r="A155" s="925">
        <v>31</v>
      </c>
      <c r="B155" s="932"/>
      <c r="C155" s="929"/>
      <c r="D155" s="38"/>
      <c r="E155" s="48" t="str">
        <f>IF(D155=0,"",VLOOKUP(D155,$N:$O,2,0))</f>
        <v/>
      </c>
      <c r="F155" s="592"/>
      <c r="G155" s="49"/>
      <c r="H155" s="48" t="str">
        <f>IF(G155=0,"",VLOOKUP(G155,$N:$O,2,0))</f>
        <v/>
      </c>
      <c r="I155" s="592"/>
      <c r="J155" s="293"/>
      <c r="N155" s="158">
        <f>'账项调整(期初)'!N155</f>
        <v>0</v>
      </c>
      <c r="O155" s="166" t="str">
        <f>'账项调整(期初)'!O155</f>
        <v>期货收益</v>
      </c>
    </row>
    <row r="156" spans="1:15">
      <c r="A156" s="926"/>
      <c r="B156" s="933"/>
      <c r="C156" s="930"/>
      <c r="D156" s="38"/>
      <c r="E156" s="48" t="str">
        <f>IF(D156=0,"",VLOOKUP(D156,$N:$O,2,0))</f>
        <v/>
      </c>
      <c r="F156" s="592"/>
      <c r="G156" s="49"/>
      <c r="H156" s="48" t="str">
        <f>IF(G156=0,"",VLOOKUP(G156,$N:$O,2,0))</f>
        <v/>
      </c>
      <c r="I156" s="592"/>
      <c r="J156" s="293"/>
      <c r="N156" s="158">
        <f>'账项调整(期初)'!N156</f>
        <v>0</v>
      </c>
      <c r="O156" s="166">
        <f>'账项调整(期初)'!O156</f>
        <v>0</v>
      </c>
    </row>
    <row r="157" spans="1:15">
      <c r="A157" s="926"/>
      <c r="B157" s="933"/>
      <c r="C157" s="930"/>
      <c r="D157" s="38"/>
      <c r="E157" s="48" t="str">
        <f>IF(D157=0,"",VLOOKUP(D157,$N:$O,2,0))</f>
        <v/>
      </c>
      <c r="F157" s="592"/>
      <c r="G157" s="49"/>
      <c r="H157" s="48" t="str">
        <f>IF(G157=0,"",VLOOKUP(G157,$N:$O,2,0))</f>
        <v/>
      </c>
      <c r="I157" s="592"/>
      <c r="J157" s="293"/>
      <c r="N157" s="158" t="str">
        <f>'账项调整(期初)'!N157</f>
        <v>F21</v>
      </c>
      <c r="O157" s="166" t="str">
        <f>'账项调整(期初)'!O157</f>
        <v>补贴收入</v>
      </c>
    </row>
    <row r="158" spans="1:15">
      <c r="A158" s="927"/>
      <c r="B158" s="934"/>
      <c r="C158" s="931"/>
      <c r="D158" s="38"/>
      <c r="E158" s="48" t="str">
        <f>IF(D158=0,"",VLOOKUP(D158,$N:$O,2,0))</f>
        <v/>
      </c>
      <c r="F158" s="592"/>
      <c r="G158" s="49"/>
      <c r="H158" s="48" t="str">
        <f>IF(G158=0,"",VLOOKUP(G158,$N:$O,2,0))</f>
        <v/>
      </c>
      <c r="I158" s="592"/>
      <c r="J158" s="293"/>
      <c r="N158" s="158">
        <f>'账项调整(期初)'!N158</f>
        <v>0</v>
      </c>
      <c r="O158" s="166">
        <f>'账项调整(期初)'!O158</f>
        <v>0</v>
      </c>
    </row>
    <row r="159" spans="1:15">
      <c r="A159" s="648"/>
      <c r="B159" s="648"/>
      <c r="C159" s="649"/>
      <c r="D159" s="650"/>
      <c r="E159" s="651"/>
      <c r="F159" s="651"/>
      <c r="G159" s="650"/>
      <c r="H159" s="651"/>
      <c r="I159" s="651"/>
      <c r="J159" s="591" t="str">
        <f>IF(ABS((SUMIF(E155:E158,"?*",J155:J158)-SUMIF(H155:H158,"?*",J155:J158)))&lt;0.005,"","借贷不等")</f>
        <v/>
      </c>
      <c r="N159" s="158">
        <f>'账项调整(期初)'!N159</f>
        <v>0</v>
      </c>
      <c r="O159" s="166">
        <f>'账项调整(期初)'!O159</f>
        <v>0</v>
      </c>
    </row>
    <row r="160" spans="1:15">
      <c r="A160" s="925">
        <v>32</v>
      </c>
      <c r="B160" s="932"/>
      <c r="C160" s="929"/>
      <c r="D160" s="38"/>
      <c r="E160" s="48" t="str">
        <f>IF(D160=0,"",VLOOKUP(D160,$N:$O,2,0))</f>
        <v/>
      </c>
      <c r="F160" s="592"/>
      <c r="G160" s="49"/>
      <c r="H160" s="48" t="str">
        <f>IF(G160=0,"",VLOOKUP(G160,$N:$O,2,0))</f>
        <v/>
      </c>
      <c r="I160" s="592"/>
      <c r="J160" s="293"/>
      <c r="N160" s="158" t="str">
        <f>'账项调整(期初)'!N160</f>
        <v>I22</v>
      </c>
      <c r="O160" s="166" t="str">
        <f>'账项调整(期初)'!O160</f>
        <v>营业外收入</v>
      </c>
    </row>
    <row r="161" spans="1:15">
      <c r="A161" s="926"/>
      <c r="B161" s="933"/>
      <c r="C161" s="930"/>
      <c r="D161" s="38"/>
      <c r="E161" s="48" t="str">
        <f>IF(D161=0,"",VLOOKUP(D161,$N:$O,2,0))</f>
        <v/>
      </c>
      <c r="F161" s="592"/>
      <c r="G161" s="49"/>
      <c r="H161" s="48" t="str">
        <f>IF(G161=0,"",VLOOKUP(G161,$N:$O,2,0))</f>
        <v/>
      </c>
      <c r="I161" s="592"/>
      <c r="J161" s="293"/>
      <c r="N161" s="158">
        <f>'账项调整(期初)'!N161</f>
        <v>0</v>
      </c>
      <c r="O161" s="166">
        <f>'账项调整(期初)'!O161</f>
        <v>0</v>
      </c>
    </row>
    <row r="162" spans="1:15">
      <c r="A162" s="926"/>
      <c r="B162" s="933"/>
      <c r="C162" s="930"/>
      <c r="D162" s="38"/>
      <c r="E162" s="48" t="str">
        <f>IF(D162=0,"",VLOOKUP(D162,$N:$O,2,0))</f>
        <v/>
      </c>
      <c r="F162" s="592"/>
      <c r="G162" s="49"/>
      <c r="H162" s="48" t="str">
        <f>IF(G162=0,"",VLOOKUP(G162,$N:$O,2,0))</f>
        <v/>
      </c>
      <c r="I162" s="592"/>
      <c r="J162" s="293"/>
      <c r="N162" s="158">
        <f>'账项调整(期初)'!N162</f>
        <v>0</v>
      </c>
      <c r="O162" s="167">
        <f>'账项调整(期初)'!O162</f>
        <v>0</v>
      </c>
    </row>
    <row r="163" spans="1:15">
      <c r="A163" s="927"/>
      <c r="B163" s="934"/>
      <c r="C163" s="931"/>
      <c r="D163" s="38"/>
      <c r="E163" s="48" t="str">
        <f>IF(D163=0,"",VLOOKUP(D163,$N:$O,2,0))</f>
        <v/>
      </c>
      <c r="F163" s="592"/>
      <c r="G163" s="49"/>
      <c r="H163" s="48" t="str">
        <f>IF(G163=0,"",VLOOKUP(G163,$N:$O,2,0))</f>
        <v/>
      </c>
      <c r="I163" s="592"/>
      <c r="J163" s="293"/>
      <c r="N163" s="158" t="str">
        <f>'账项调整(期初)'!N163</f>
        <v>I25</v>
      </c>
      <c r="O163" s="167">
        <f>'账项调整(期初)'!O163</f>
        <v>0</v>
      </c>
    </row>
    <row r="164" spans="1:15">
      <c r="A164" s="648"/>
      <c r="B164" s="648"/>
      <c r="C164" s="649"/>
      <c r="D164" s="650"/>
      <c r="E164" s="651"/>
      <c r="F164" s="651"/>
      <c r="G164" s="650"/>
      <c r="H164" s="651"/>
      <c r="I164" s="651"/>
      <c r="J164" s="591" t="str">
        <f>IF(ABS((SUMIF(E160:E163,"?*",J160:J163)-SUMIF(H160:H163,"?*",J160:J163)))&lt;0.005,"","借贷不等")</f>
        <v/>
      </c>
      <c r="N164" s="158">
        <f>'账项调整(期初)'!N164</f>
        <v>0</v>
      </c>
      <c r="O164" s="167">
        <f>'账项调整(期初)'!O164</f>
        <v>0</v>
      </c>
    </row>
    <row r="165" spans="1:15">
      <c r="N165" s="158">
        <f>'账项调整(期初)'!N165</f>
        <v>0</v>
      </c>
      <c r="O165" s="166">
        <f>'账项调整(期初)'!O165</f>
        <v>0</v>
      </c>
    </row>
    <row r="166" spans="1:15">
      <c r="N166" s="158">
        <f>'账项调整(期初)'!N166</f>
        <v>0</v>
      </c>
      <c r="O166" s="166">
        <f>'账项调整(期初)'!O166</f>
        <v>0</v>
      </c>
    </row>
    <row r="167" spans="1:15">
      <c r="N167" s="158">
        <f>'账项调整(期初)'!N167</f>
        <v>0</v>
      </c>
      <c r="O167" s="166">
        <f>'账项调整(期初)'!O167</f>
        <v>0</v>
      </c>
    </row>
    <row r="168" spans="1:15">
      <c r="N168" s="158">
        <f>'账项调整(期初)'!N168</f>
        <v>0</v>
      </c>
      <c r="O168" s="159">
        <f>'账项调整(期初)'!O168</f>
        <v>0</v>
      </c>
    </row>
    <row r="169" spans="1:15">
      <c r="N169" s="158">
        <f>'账项调整(期初)'!N169</f>
        <v>0</v>
      </c>
      <c r="O169" s="166" t="str">
        <f>'账项调整(期初)'!O169</f>
        <v>营业外支出</v>
      </c>
    </row>
    <row r="170" spans="1:15">
      <c r="N170" s="158">
        <f>'账项调整(期初)'!N170</f>
        <v>0</v>
      </c>
      <c r="O170" s="159">
        <f>'账项调整(期初)'!O170</f>
        <v>0</v>
      </c>
    </row>
    <row r="171" spans="1:15">
      <c r="N171" s="158">
        <f>'账项调整(期初)'!N171</f>
        <v>0</v>
      </c>
      <c r="O171" s="167">
        <f>'账项调整(期初)'!O171</f>
        <v>0</v>
      </c>
    </row>
    <row r="172" spans="1:15">
      <c r="N172" s="158" t="str">
        <f>'账项调整(期初)'!N172</f>
        <v>I26</v>
      </c>
      <c r="O172" s="167">
        <f>'账项调整(期初)'!O172</f>
        <v>0</v>
      </c>
    </row>
    <row r="173" spans="1:15">
      <c r="N173" s="158">
        <f>'账项调整(期初)'!N173</f>
        <v>0</v>
      </c>
      <c r="O173" s="167">
        <f>'账项调整(期初)'!O173</f>
        <v>0</v>
      </c>
    </row>
    <row r="174" spans="1:15">
      <c r="N174" s="158">
        <f>'账项调整(期初)'!N174</f>
        <v>0</v>
      </c>
      <c r="O174" s="159">
        <f>'账项调整(期初)'!O174</f>
        <v>0</v>
      </c>
    </row>
    <row r="175" spans="1:15">
      <c r="N175" s="158">
        <f>'账项调整(期初)'!N175</f>
        <v>0</v>
      </c>
      <c r="O175" s="166">
        <f>'账项调整(期初)'!O175</f>
        <v>0</v>
      </c>
    </row>
    <row r="176" spans="1:15">
      <c r="N176" s="158">
        <f>'账项调整(期初)'!N176</f>
        <v>0</v>
      </c>
      <c r="O176" s="166">
        <f>'账项调整(期初)'!O176</f>
        <v>0</v>
      </c>
    </row>
    <row r="177" spans="14:15">
      <c r="N177" s="158">
        <f>'账项调整(期初)'!N177</f>
        <v>0</v>
      </c>
      <c r="O177" s="159">
        <f>'账项调整(期初)'!O177</f>
        <v>0</v>
      </c>
    </row>
    <row r="178" spans="14:15">
      <c r="N178" s="158">
        <f>'账项调整(期初)'!N178</f>
        <v>0</v>
      </c>
      <c r="O178" s="159">
        <f>'账项调整(期初)'!O178</f>
        <v>0</v>
      </c>
    </row>
    <row r="179" spans="14:15">
      <c r="N179" s="158">
        <f>'账项调整(期初)'!N179</f>
        <v>0</v>
      </c>
      <c r="O179" s="170" t="str">
        <f>'账项调整(期初)'!O179</f>
        <v>五、利润总额</v>
      </c>
    </row>
    <row r="180" spans="14:15">
      <c r="N180" s="158">
        <f>'账项调整(期初)'!N180</f>
        <v>0</v>
      </c>
      <c r="O180" s="166" t="str">
        <f>'账项调整(期初)'!O180</f>
        <v>所得税</v>
      </c>
    </row>
    <row r="181" spans="14:15">
      <c r="N181" s="158">
        <f>'账项调整(期初)'!N181</f>
        <v>0</v>
      </c>
      <c r="O181" s="166" t="str">
        <f>'账项调整(期初)'!O181</f>
        <v>少数股东损益</v>
      </c>
    </row>
    <row r="182" spans="14:15">
      <c r="N182" s="158">
        <f>'账项调整(期初)'!N182</f>
        <v>0</v>
      </c>
      <c r="O182" s="166" t="str">
        <f>'账项调整(期初)'!O182</f>
        <v>未确认的投资损失</v>
      </c>
    </row>
    <row r="183" spans="14:15">
      <c r="N183" s="158" t="str">
        <f>'账项调整(期初)'!N183</f>
        <v>I28</v>
      </c>
      <c r="O183" s="170" t="str">
        <f>'账项调整(期初)'!O183</f>
        <v>六、净利润</v>
      </c>
    </row>
    <row r="184" spans="14:15">
      <c r="N184" s="158">
        <f>'账项调整(期初)'!N184</f>
        <v>0</v>
      </c>
      <c r="O184" s="166" t="str">
        <f>'账项调整(期初)'!O184</f>
        <v>年初未分配利润</v>
      </c>
    </row>
    <row r="185" spans="14:15">
      <c r="N185" s="158">
        <f>'账项调整(期初)'!N185</f>
        <v>0</v>
      </c>
      <c r="O185" s="166" t="str">
        <f>'账项调整(期初)'!O185</f>
        <v>盈余公积补亏</v>
      </c>
    </row>
    <row r="186" spans="14:15">
      <c r="N186" s="158">
        <f>'账项调整(期初)'!N186</f>
        <v>0</v>
      </c>
      <c r="O186" s="166" t="str">
        <f>'账项调整(期初)'!O186</f>
        <v>其他调整因素</v>
      </c>
    </row>
    <row r="187" spans="14:15">
      <c r="N187" s="158">
        <f>'账项调整(期初)'!N187</f>
        <v>0</v>
      </c>
      <c r="O187" s="170" t="str">
        <f>'账项调整(期初)'!O187</f>
        <v>七、可供分配的利润</v>
      </c>
    </row>
    <row r="188" spans="14:15">
      <c r="N188" s="158">
        <f>'账项调整(期初)'!N188</f>
        <v>0</v>
      </c>
      <c r="O188" s="166" t="str">
        <f>'账项调整(期初)'!O188</f>
        <v>提取法定盈余公积</v>
      </c>
    </row>
    <row r="189" spans="14:15">
      <c r="N189" s="158">
        <f>'账项调整(期初)'!N189</f>
        <v>0</v>
      </c>
      <c r="O189" s="166" t="str">
        <f>'账项调整(期初)'!O189</f>
        <v>提取法定公益金</v>
      </c>
    </row>
    <row r="190" spans="14:15">
      <c r="N190" s="158">
        <f>'账项调整(期初)'!N190</f>
        <v>0</v>
      </c>
      <c r="O190" s="166" t="str">
        <f>'账项调整(期初)'!O190</f>
        <v>提取职工奖励及福利基金</v>
      </c>
    </row>
    <row r="191" spans="14:15">
      <c r="N191" s="158">
        <f>'账项调整(期初)'!N191</f>
        <v>0</v>
      </c>
      <c r="O191" s="166" t="str">
        <f>'账项调整(期初)'!O191</f>
        <v>提取储备基金</v>
      </c>
    </row>
    <row r="192" spans="14:15">
      <c r="N192" s="158">
        <f>'账项调整(期初)'!N192</f>
        <v>0</v>
      </c>
      <c r="O192" s="166" t="str">
        <f>'账项调整(期初)'!O192</f>
        <v>提取企业发展基金</v>
      </c>
    </row>
    <row r="193" spans="14:15">
      <c r="N193" s="158">
        <f>'账项调整(期初)'!N193</f>
        <v>0</v>
      </c>
      <c r="O193" s="166" t="str">
        <f>'账项调整(期初)'!O193</f>
        <v>利润归还投资</v>
      </c>
    </row>
    <row r="194" spans="14:15">
      <c r="N194" s="158">
        <f>'账项调整(期初)'!N194</f>
        <v>0</v>
      </c>
      <c r="O194" s="166" t="str">
        <f>'账项调整(期初)'!O194</f>
        <v>补充流动资本</v>
      </c>
    </row>
    <row r="195" spans="14:15">
      <c r="N195" s="158">
        <f>'账项调整(期初)'!N195</f>
        <v>0</v>
      </c>
      <c r="O195" s="166" t="str">
        <f>'账项调整(期初)'!O195</f>
        <v>单项留用的利润</v>
      </c>
    </row>
    <row r="196" spans="14:15">
      <c r="N196" s="158">
        <f>'账项调整(期初)'!N196</f>
        <v>0</v>
      </c>
      <c r="O196" s="166">
        <f>'账项调整(期初)'!O196</f>
        <v>0</v>
      </c>
    </row>
    <row r="197" spans="14:15">
      <c r="N197" s="158">
        <f>'账项调整(期初)'!N197</f>
        <v>0</v>
      </c>
      <c r="O197" s="170" t="str">
        <f>'账项调整(期初)'!O197</f>
        <v>八、可供投资者分配的利润</v>
      </c>
    </row>
    <row r="198" spans="14:15">
      <c r="N198" s="158">
        <f>'账项调整(期初)'!N198</f>
        <v>0</v>
      </c>
      <c r="O198" s="166" t="str">
        <f>'账项调整(期初)'!O198</f>
        <v>应付优先股股利</v>
      </c>
    </row>
    <row r="199" spans="14:15">
      <c r="N199" s="158">
        <f>'账项调整(期初)'!N199</f>
        <v>0</v>
      </c>
      <c r="O199" s="166" t="str">
        <f>'账项调整(期初)'!O199</f>
        <v>提取任意盈余公积</v>
      </c>
    </row>
    <row r="200" spans="14:15">
      <c r="N200" s="158">
        <f>'账项调整(期初)'!N200</f>
        <v>0</v>
      </c>
      <c r="O200" s="166" t="str">
        <f>'账项调整(期初)'!O200</f>
        <v>应付普通股股利（应付利润）</v>
      </c>
    </row>
    <row r="201" spans="14:15">
      <c r="N201" s="158">
        <f>'账项调整(期初)'!N201</f>
        <v>0</v>
      </c>
      <c r="O201" s="166" t="str">
        <f>'账项调整(期初)'!O201</f>
        <v>转作资本（股本）的普通股股利</v>
      </c>
    </row>
    <row r="202" spans="14:15">
      <c r="N202" s="158">
        <f>'账项调整(期初)'!N202</f>
        <v>0</v>
      </c>
      <c r="O202" s="166">
        <f>'账项调整(期初)'!O202</f>
        <v>0</v>
      </c>
    </row>
    <row r="203" spans="14:15">
      <c r="N203" s="158">
        <f>'账项调整(期初)'!N203</f>
        <v>0</v>
      </c>
      <c r="O203" s="169" t="str">
        <f>'账项调整(期初)'!O203</f>
        <v>九、未分配利润</v>
      </c>
    </row>
    <row r="204" spans="14:15">
      <c r="N204" s="158">
        <f>'账项调整(期初)'!N204</f>
        <v>0</v>
      </c>
      <c r="O204" s="166">
        <f>'账项调整(期初)'!O204</f>
        <v>0</v>
      </c>
    </row>
    <row r="205" spans="14:15">
      <c r="N205" s="160">
        <f>'账项调整(期初)'!N205</f>
        <v>0</v>
      </c>
      <c r="O205" s="159">
        <f>'账项调整(期初)'!O205</f>
        <v>0</v>
      </c>
    </row>
    <row r="206" spans="14:15">
      <c r="N206" s="160">
        <f>'账项调整(期初)'!N206</f>
        <v>0</v>
      </c>
      <c r="O206" s="159">
        <f>'账项调整(期初)'!O206</f>
        <v>0</v>
      </c>
    </row>
    <row r="207" spans="14:15">
      <c r="N207" s="160">
        <f>'账项调整(期初)'!N207</f>
        <v>0</v>
      </c>
      <c r="O207" s="159">
        <f>'账项调整(期初)'!O207</f>
        <v>0</v>
      </c>
    </row>
    <row r="208" spans="14:15">
      <c r="N208" s="160">
        <f>'账项调整(期初)'!N208</f>
        <v>0</v>
      </c>
      <c r="O208" s="159">
        <f>'账项调整(期初)'!O208</f>
        <v>0</v>
      </c>
    </row>
    <row r="209" spans="14:15">
      <c r="N209" s="160">
        <f>'账项调整(期初)'!N209</f>
        <v>0</v>
      </c>
      <c r="O209" s="159">
        <f>'账项调整(期初)'!O209</f>
        <v>0</v>
      </c>
    </row>
    <row r="210" spans="14:15">
      <c r="N210" s="160">
        <f>'账项调整(期初)'!N210</f>
        <v>0</v>
      </c>
      <c r="O210" s="159">
        <f>'账项调整(期初)'!O210</f>
        <v>0</v>
      </c>
    </row>
    <row r="211" spans="14:15">
      <c r="N211" s="160">
        <f>'账项调整(期初)'!N211</f>
        <v>0</v>
      </c>
      <c r="O211" s="159">
        <f>'账项调整(期初)'!O211</f>
        <v>0</v>
      </c>
    </row>
    <row r="212" spans="14:15">
      <c r="N212" s="160">
        <f>'账项调整(期初)'!N212</f>
        <v>0</v>
      </c>
      <c r="O212" s="159">
        <f>'账项调整(期初)'!O212</f>
        <v>0</v>
      </c>
    </row>
    <row r="213" spans="14:15">
      <c r="N213" s="160">
        <f>'账项调整(期初)'!N213</f>
        <v>0</v>
      </c>
      <c r="O213" s="159">
        <f>'账项调整(期初)'!O213</f>
        <v>0</v>
      </c>
    </row>
    <row r="214" spans="14:15">
      <c r="N214" s="160">
        <f>'账项调整(期初)'!N214</f>
        <v>0</v>
      </c>
      <c r="O214" s="159">
        <f>'账项调整(期初)'!O214</f>
        <v>0</v>
      </c>
    </row>
    <row r="215" spans="14:15">
      <c r="N215" s="160">
        <f>'账项调整(期初)'!N215</f>
        <v>0</v>
      </c>
      <c r="O215" s="159">
        <f>'账项调整(期初)'!O215</f>
        <v>0</v>
      </c>
    </row>
    <row r="216" spans="14:15">
      <c r="N216" s="160">
        <f>'账项调整(期初)'!N216</f>
        <v>0</v>
      </c>
      <c r="O216" s="159">
        <f>'账项调整(期初)'!O216</f>
        <v>0</v>
      </c>
    </row>
    <row r="217" spans="14:15">
      <c r="N217" s="160">
        <f>'账项调整(期初)'!N217</f>
        <v>0</v>
      </c>
      <c r="O217" s="159">
        <f>'账项调整(期初)'!O217</f>
        <v>0</v>
      </c>
    </row>
    <row r="218" spans="14:15">
      <c r="N218" s="160">
        <f>'账项调整(期初)'!N218</f>
        <v>0</v>
      </c>
      <c r="O218" s="159">
        <f>'账项调整(期初)'!O218</f>
        <v>0</v>
      </c>
    </row>
    <row r="219" spans="14:15">
      <c r="N219" s="160">
        <f>'账项调整(期初)'!N219</f>
        <v>0</v>
      </c>
      <c r="O219" s="159">
        <f>'账项调整(期初)'!O219</f>
        <v>0</v>
      </c>
    </row>
    <row r="220" spans="14:15">
      <c r="N220" s="160">
        <f>'账项调整(期初)'!N220</f>
        <v>0</v>
      </c>
      <c r="O220" s="159">
        <f>'账项调整(期初)'!O220</f>
        <v>0</v>
      </c>
    </row>
    <row r="221" spans="14:15">
      <c r="N221" s="160">
        <f>'账项调整(期初)'!N221</f>
        <v>0</v>
      </c>
      <c r="O221" s="159">
        <f>'账项调整(期初)'!O221</f>
        <v>0</v>
      </c>
    </row>
    <row r="222" spans="14:15">
      <c r="N222" s="160">
        <f>'账项调整(期初)'!N222</f>
        <v>0</v>
      </c>
      <c r="O222" s="159">
        <f>'账项调整(期初)'!O222</f>
        <v>0</v>
      </c>
    </row>
    <row r="223" spans="14:15">
      <c r="N223" s="160">
        <f>'账项调整(期初)'!N223</f>
        <v>0</v>
      </c>
      <c r="O223" s="159">
        <f>'账项调整(期初)'!O223</f>
        <v>0</v>
      </c>
    </row>
    <row r="224" spans="14:15">
      <c r="N224" s="160">
        <f>'账项调整(期初)'!N224</f>
        <v>0</v>
      </c>
      <c r="O224" s="159">
        <f>'账项调整(期初)'!O224</f>
        <v>0</v>
      </c>
    </row>
    <row r="225" spans="14:15">
      <c r="N225" s="160">
        <f>'账项调整(期初)'!N225</f>
        <v>0</v>
      </c>
      <c r="O225" s="159">
        <f>'账项调整(期初)'!O225</f>
        <v>0</v>
      </c>
    </row>
    <row r="226" spans="14:15">
      <c r="N226" s="160">
        <f>'账项调整(期初)'!N226</f>
        <v>0</v>
      </c>
      <c r="O226" s="159">
        <f>'账项调整(期初)'!O226</f>
        <v>0</v>
      </c>
    </row>
    <row r="227" spans="14:15">
      <c r="N227" s="160">
        <f>'账项调整(期初)'!N227</f>
        <v>0</v>
      </c>
      <c r="O227" s="159">
        <f>'账项调整(期初)'!O227</f>
        <v>0</v>
      </c>
    </row>
    <row r="228" spans="14:15">
      <c r="N228" s="160">
        <f>'账项调整(期初)'!N228</f>
        <v>0</v>
      </c>
      <c r="O228" s="159">
        <f>'账项调整(期初)'!O228</f>
        <v>0</v>
      </c>
    </row>
    <row r="229" spans="14:15">
      <c r="N229" s="160">
        <f>'账项调整(期初)'!N229</f>
        <v>0</v>
      </c>
      <c r="O229" s="159">
        <f>'账项调整(期初)'!O229</f>
        <v>0</v>
      </c>
    </row>
    <row r="230" spans="14:15">
      <c r="N230" s="160">
        <f>'账项调整(期初)'!N230</f>
        <v>0</v>
      </c>
      <c r="O230" s="159">
        <f>'账项调整(期初)'!O230</f>
        <v>0</v>
      </c>
    </row>
    <row r="231" spans="14:15">
      <c r="N231" s="160">
        <f>'账项调整(期初)'!N231</f>
        <v>0</v>
      </c>
      <c r="O231" s="159">
        <f>'账项调整(期初)'!O231</f>
        <v>0</v>
      </c>
    </row>
    <row r="232" spans="14:15">
      <c r="N232" s="160">
        <f>'账项调整(期初)'!N232</f>
        <v>0</v>
      </c>
      <c r="O232" s="159">
        <f>'账项调整(期初)'!O232</f>
        <v>0</v>
      </c>
    </row>
    <row r="233" spans="14:15">
      <c r="N233" s="160">
        <f>'账项调整(期初)'!N233</f>
        <v>0</v>
      </c>
      <c r="O233" s="159">
        <f>'账项调整(期初)'!O233</f>
        <v>0</v>
      </c>
    </row>
    <row r="234" spans="14:15">
      <c r="N234" s="160">
        <f>'账项调整(期初)'!N234</f>
        <v>0</v>
      </c>
      <c r="O234" s="159">
        <f>'账项调整(期初)'!O234</f>
        <v>0</v>
      </c>
    </row>
    <row r="235" spans="14:15">
      <c r="N235" s="160">
        <f>'账项调整(期初)'!N235</f>
        <v>0</v>
      </c>
      <c r="O235" s="159">
        <f>'账项调整(期初)'!O235</f>
        <v>0</v>
      </c>
    </row>
    <row r="236" spans="14:15">
      <c r="N236" s="160">
        <f>'账项调整(期初)'!N236</f>
        <v>0</v>
      </c>
      <c r="O236" s="159">
        <f>'账项调整(期初)'!O236</f>
        <v>0</v>
      </c>
    </row>
    <row r="237" spans="14:15">
      <c r="N237" s="160">
        <f>'账项调整(期初)'!N237</f>
        <v>0</v>
      </c>
      <c r="O237" s="159">
        <f>'账项调整(期初)'!O237</f>
        <v>0</v>
      </c>
    </row>
    <row r="238" spans="14:15">
      <c r="N238" s="160">
        <f>'账项调整(期初)'!N238</f>
        <v>0</v>
      </c>
      <c r="O238" s="159">
        <f>'账项调整(期初)'!O238</f>
        <v>0</v>
      </c>
    </row>
    <row r="239" spans="14:15">
      <c r="N239" s="160">
        <f>'账项调整(期初)'!N239</f>
        <v>0</v>
      </c>
      <c r="O239" s="159">
        <f>'账项调整(期初)'!O239</f>
        <v>0</v>
      </c>
    </row>
    <row r="240" spans="14:15">
      <c r="N240" s="160">
        <f>'账项调整(期初)'!N240</f>
        <v>0</v>
      </c>
      <c r="O240" s="159">
        <f>'账项调整(期初)'!O240</f>
        <v>0</v>
      </c>
    </row>
    <row r="241" spans="14:15">
      <c r="N241" s="160">
        <f>'账项调整(期初)'!N241</f>
        <v>0</v>
      </c>
      <c r="O241" s="159">
        <f>'账项调整(期初)'!O241</f>
        <v>0</v>
      </c>
    </row>
    <row r="242" spans="14:15">
      <c r="N242" s="160">
        <f>'账项调整(期初)'!N242</f>
        <v>0</v>
      </c>
      <c r="O242" s="159">
        <f>'账项调整(期初)'!O242</f>
        <v>0</v>
      </c>
    </row>
    <row r="243" spans="14:15">
      <c r="N243" s="160">
        <f>'账项调整(期初)'!N243</f>
        <v>0</v>
      </c>
      <c r="O243" s="159">
        <f>'账项调整(期初)'!O243</f>
        <v>0</v>
      </c>
    </row>
    <row r="244" spans="14:15">
      <c r="N244" s="160">
        <f>'账项调整(期初)'!N244</f>
        <v>0</v>
      </c>
      <c r="O244" s="159">
        <f>'账项调整(期初)'!O244</f>
        <v>0</v>
      </c>
    </row>
    <row r="245" spans="14:15">
      <c r="N245" s="160">
        <f>'账项调整(期初)'!N245</f>
        <v>0</v>
      </c>
      <c r="O245" s="159">
        <f>'账项调整(期初)'!O245</f>
        <v>0</v>
      </c>
    </row>
    <row r="246" spans="14:15">
      <c r="N246" s="160">
        <f>'账项调整(期初)'!N246</f>
        <v>0</v>
      </c>
      <c r="O246" s="159">
        <f>'账项调整(期初)'!O246</f>
        <v>0</v>
      </c>
    </row>
    <row r="247" spans="14:15">
      <c r="N247" s="160">
        <f>'账项调整(期初)'!N247</f>
        <v>0</v>
      </c>
      <c r="O247" s="159">
        <f>'账项调整(期初)'!O247</f>
        <v>0</v>
      </c>
    </row>
    <row r="248" spans="14:15">
      <c r="N248" s="160">
        <f>'账项调整(期初)'!N248</f>
        <v>0</v>
      </c>
      <c r="O248" s="159">
        <f>'账项调整(期初)'!O248</f>
        <v>0</v>
      </c>
    </row>
    <row r="249" spans="14:15">
      <c r="N249" s="160">
        <f>'账项调整(期初)'!N249</f>
        <v>0</v>
      </c>
      <c r="O249" s="159">
        <f>'账项调整(期初)'!O249</f>
        <v>0</v>
      </c>
    </row>
    <row r="250" spans="14:15">
      <c r="N250" s="160">
        <f>'账项调整(期初)'!N250</f>
        <v>0</v>
      </c>
      <c r="O250" s="159">
        <f>'账项调整(期初)'!O250</f>
        <v>0</v>
      </c>
    </row>
    <row r="251" spans="14:15">
      <c r="N251" s="160">
        <f>'账项调整(期初)'!N251</f>
        <v>0</v>
      </c>
      <c r="O251" s="159">
        <f>'账项调整(期初)'!O251</f>
        <v>0</v>
      </c>
    </row>
    <row r="252" spans="14:15">
      <c r="N252" s="160">
        <f>'账项调整(期初)'!N252</f>
        <v>0</v>
      </c>
      <c r="O252" s="159">
        <f>'账项调整(期初)'!O252</f>
        <v>0</v>
      </c>
    </row>
    <row r="253" spans="14:15">
      <c r="N253" s="160">
        <f>'账项调整(期初)'!N253</f>
        <v>0</v>
      </c>
      <c r="O253" s="159">
        <f>'账项调整(期初)'!O253</f>
        <v>0</v>
      </c>
    </row>
    <row r="254" spans="14:15">
      <c r="N254" s="160">
        <f>'账项调整(期初)'!N254</f>
        <v>0</v>
      </c>
      <c r="O254" s="159">
        <f>'账项调整(期初)'!O254</f>
        <v>0</v>
      </c>
    </row>
    <row r="255" spans="14:15">
      <c r="N255" s="160">
        <f>'账项调整(期初)'!N255</f>
        <v>0</v>
      </c>
      <c r="O255" s="159">
        <f>'账项调整(期初)'!O255</f>
        <v>0</v>
      </c>
    </row>
    <row r="256" spans="14:15">
      <c r="N256" s="160">
        <f>'账项调整(期初)'!N256</f>
        <v>0</v>
      </c>
      <c r="O256" s="159">
        <f>'账项调整(期初)'!O256</f>
        <v>0</v>
      </c>
    </row>
    <row r="257" spans="14:15">
      <c r="N257" s="160">
        <f>'账项调整(期初)'!N257</f>
        <v>0</v>
      </c>
      <c r="O257" s="159">
        <f>'账项调整(期初)'!O257</f>
        <v>0</v>
      </c>
    </row>
    <row r="258" spans="14:15">
      <c r="N258" s="160">
        <f>'账项调整(期初)'!N258</f>
        <v>0</v>
      </c>
      <c r="O258" s="159">
        <f>'账项调整(期初)'!O258</f>
        <v>0</v>
      </c>
    </row>
    <row r="259" spans="14:15">
      <c r="N259" s="160">
        <f>'账项调整(期初)'!N259</f>
        <v>0</v>
      </c>
      <c r="O259" s="159">
        <f>'账项调整(期初)'!O259</f>
        <v>0</v>
      </c>
    </row>
    <row r="260" spans="14:15">
      <c r="N260" s="160">
        <f>'账项调整(期初)'!N260</f>
        <v>0</v>
      </c>
      <c r="O260" s="159">
        <f>'账项调整(期初)'!O260</f>
        <v>0</v>
      </c>
    </row>
    <row r="261" spans="14:15">
      <c r="N261" s="160">
        <f>'账项调整(期初)'!N261</f>
        <v>0</v>
      </c>
      <c r="O261" s="159">
        <f>'账项调整(期初)'!O261</f>
        <v>0</v>
      </c>
    </row>
    <row r="262" spans="14:15">
      <c r="N262" s="160">
        <f>'账项调整(期初)'!N262</f>
        <v>0</v>
      </c>
      <c r="O262" s="159">
        <f>'账项调整(期初)'!O262</f>
        <v>0</v>
      </c>
    </row>
    <row r="263" spans="14:15">
      <c r="N263" s="160">
        <f>'账项调整(期初)'!N263</f>
        <v>0</v>
      </c>
      <c r="O263" s="159">
        <f>'账项调整(期初)'!O263</f>
        <v>0</v>
      </c>
    </row>
    <row r="264" spans="14:15">
      <c r="N264" s="160">
        <f>'账项调整(期初)'!N264</f>
        <v>0</v>
      </c>
      <c r="O264" s="159">
        <f>'账项调整(期初)'!O264</f>
        <v>0</v>
      </c>
    </row>
    <row r="265" spans="14:15">
      <c r="N265" s="160">
        <f>'账项调整(期初)'!N265</f>
        <v>0</v>
      </c>
      <c r="O265" s="159">
        <f>'账项调整(期初)'!O265</f>
        <v>0</v>
      </c>
    </row>
    <row r="266" spans="14:15">
      <c r="N266" s="160">
        <f>'账项调整(期初)'!N266</f>
        <v>0</v>
      </c>
      <c r="O266" s="159">
        <f>'账项调整(期初)'!O266</f>
        <v>0</v>
      </c>
    </row>
    <row r="267" spans="14:15">
      <c r="N267" s="160">
        <f>'账项调整(期初)'!N267</f>
        <v>0</v>
      </c>
      <c r="O267" s="159">
        <f>'账项调整(期初)'!O267</f>
        <v>0</v>
      </c>
    </row>
    <row r="268" spans="14:15">
      <c r="N268" s="160">
        <f>'账项调整(期初)'!N268</f>
        <v>0</v>
      </c>
      <c r="O268" s="159">
        <f>'账项调整(期初)'!O268</f>
        <v>0</v>
      </c>
    </row>
    <row r="269" spans="14:15">
      <c r="N269" s="160">
        <f>'账项调整(期初)'!N269</f>
        <v>0</v>
      </c>
      <c r="O269" s="159">
        <f>'账项调整(期初)'!O269</f>
        <v>0</v>
      </c>
    </row>
    <row r="270" spans="14:15">
      <c r="N270" s="160">
        <f>'账项调整(期初)'!N270</f>
        <v>0</v>
      </c>
      <c r="O270" s="159">
        <f>'账项调整(期初)'!O270</f>
        <v>0</v>
      </c>
    </row>
    <row r="271" spans="14:15">
      <c r="N271" s="160">
        <f>'账项调整(期初)'!N271</f>
        <v>0</v>
      </c>
      <c r="O271" s="159">
        <f>'账项调整(期初)'!O271</f>
        <v>0</v>
      </c>
    </row>
    <row r="272" spans="14:15">
      <c r="N272" s="160">
        <f>'账项调整(期初)'!N272</f>
        <v>0</v>
      </c>
      <c r="O272" s="159">
        <f>'账项调整(期初)'!O272</f>
        <v>0</v>
      </c>
    </row>
    <row r="273" spans="14:15">
      <c r="N273" s="160">
        <f>'账项调整(期初)'!N273</f>
        <v>0</v>
      </c>
      <c r="O273" s="159">
        <f>'账项调整(期初)'!O273</f>
        <v>0</v>
      </c>
    </row>
    <row r="274" spans="14:15">
      <c r="N274" s="160">
        <f>'账项调整(期初)'!N274</f>
        <v>0</v>
      </c>
      <c r="O274" s="159">
        <f>'账项调整(期初)'!O274</f>
        <v>0</v>
      </c>
    </row>
    <row r="275" spans="14:15">
      <c r="N275" s="160">
        <f>'账项调整(期初)'!N275</f>
        <v>0</v>
      </c>
      <c r="O275" s="159">
        <f>'账项调整(期初)'!O275</f>
        <v>0</v>
      </c>
    </row>
    <row r="276" spans="14:15">
      <c r="N276" s="160">
        <f>'账项调整(期初)'!N276</f>
        <v>0</v>
      </c>
      <c r="O276" s="159">
        <f>'账项调整(期初)'!O276</f>
        <v>0</v>
      </c>
    </row>
    <row r="277" spans="14:15">
      <c r="N277" s="160">
        <f>'账项调整(期初)'!N277</f>
        <v>0</v>
      </c>
      <c r="O277" s="159">
        <f>'账项调整(期初)'!O277</f>
        <v>0</v>
      </c>
    </row>
    <row r="278" spans="14:15">
      <c r="N278" s="160">
        <f>'账项调整(期初)'!N278</f>
        <v>0</v>
      </c>
      <c r="O278" s="159">
        <f>'账项调整(期初)'!O278</f>
        <v>0</v>
      </c>
    </row>
    <row r="279" spans="14:15">
      <c r="N279" s="160">
        <f>'账项调整(期初)'!N279</f>
        <v>0</v>
      </c>
      <c r="O279" s="159">
        <f>'账项调整(期初)'!O279</f>
        <v>0</v>
      </c>
    </row>
    <row r="280" spans="14:15">
      <c r="N280" s="160">
        <f>'账项调整(期初)'!N280</f>
        <v>0</v>
      </c>
      <c r="O280" s="159">
        <f>'账项调整(期初)'!O280</f>
        <v>0</v>
      </c>
    </row>
    <row r="281" spans="14:15">
      <c r="N281" s="160">
        <f>'账项调整(期初)'!N281</f>
        <v>0</v>
      </c>
      <c r="O281" s="159">
        <f>'账项调整(期初)'!O281</f>
        <v>0</v>
      </c>
    </row>
    <row r="282" spans="14:15">
      <c r="N282" s="160">
        <f>'账项调整(期初)'!N282</f>
        <v>0</v>
      </c>
      <c r="O282" s="159">
        <f>'账项调整(期初)'!O282</f>
        <v>0</v>
      </c>
    </row>
    <row r="283" spans="14:15">
      <c r="N283" s="160">
        <f>'账项调整(期初)'!N283</f>
        <v>0</v>
      </c>
      <c r="O283" s="159">
        <f>'账项调整(期初)'!O283</f>
        <v>0</v>
      </c>
    </row>
    <row r="284" spans="14:15">
      <c r="N284" s="160">
        <f>'账项调整(期初)'!N284</f>
        <v>0</v>
      </c>
      <c r="O284" s="159">
        <f>'账项调整(期初)'!O284</f>
        <v>0</v>
      </c>
    </row>
    <row r="285" spans="14:15">
      <c r="N285" s="160">
        <f>'账项调整(期初)'!N285</f>
        <v>0</v>
      </c>
      <c r="O285" s="159">
        <f>'账项调整(期初)'!O285</f>
        <v>0</v>
      </c>
    </row>
    <row r="286" spans="14:15">
      <c r="N286" s="160">
        <f>'账项调整(期初)'!N286</f>
        <v>0</v>
      </c>
      <c r="O286" s="159">
        <f>'账项调整(期初)'!O286</f>
        <v>0</v>
      </c>
    </row>
    <row r="287" spans="14:15">
      <c r="N287" s="160">
        <f>'账项调整(期初)'!N287</f>
        <v>0</v>
      </c>
      <c r="O287" s="159">
        <f>'账项调整(期初)'!O287</f>
        <v>0</v>
      </c>
    </row>
    <row r="288" spans="14:15">
      <c r="N288" s="160">
        <f>'账项调整(期初)'!N288</f>
        <v>0</v>
      </c>
      <c r="O288" s="159">
        <f>'账项调整(期初)'!O288</f>
        <v>0</v>
      </c>
    </row>
    <row r="289" spans="14:15">
      <c r="N289" s="160">
        <f>'账项调整(期初)'!N289</f>
        <v>0</v>
      </c>
      <c r="O289" s="159">
        <f>'账项调整(期初)'!O289</f>
        <v>0</v>
      </c>
    </row>
    <row r="290" spans="14:15">
      <c r="N290" s="160">
        <f>'账项调整(期初)'!N290</f>
        <v>0</v>
      </c>
      <c r="O290" s="159">
        <f>'账项调整(期初)'!O290</f>
        <v>0</v>
      </c>
    </row>
    <row r="291" spans="14:15">
      <c r="N291" s="160">
        <f>'账项调整(期初)'!N291</f>
        <v>0</v>
      </c>
      <c r="O291" s="159">
        <f>'账项调整(期初)'!O291</f>
        <v>0</v>
      </c>
    </row>
    <row r="292" spans="14:15">
      <c r="N292" s="160">
        <f>'账项调整(期初)'!N292</f>
        <v>0</v>
      </c>
      <c r="O292" s="159">
        <f>'账项调整(期初)'!O292</f>
        <v>0</v>
      </c>
    </row>
    <row r="293" spans="14:15">
      <c r="N293" s="160">
        <f>'账项调整(期初)'!N293</f>
        <v>0</v>
      </c>
      <c r="O293" s="159">
        <f>'账项调整(期初)'!O293</f>
        <v>0</v>
      </c>
    </row>
    <row r="294" spans="14:15">
      <c r="N294" s="160">
        <f>'账项调整(期初)'!N294</f>
        <v>0</v>
      </c>
      <c r="O294" s="159">
        <f>'账项调整(期初)'!O294</f>
        <v>0</v>
      </c>
    </row>
    <row r="295" spans="14:15">
      <c r="N295" s="160">
        <f>'账项调整(期初)'!N295</f>
        <v>0</v>
      </c>
      <c r="O295" s="159">
        <f>'账项调整(期初)'!O295</f>
        <v>0</v>
      </c>
    </row>
    <row r="296" spans="14:15">
      <c r="N296" s="160">
        <f>'账项调整(期初)'!N296</f>
        <v>0</v>
      </c>
      <c r="O296" s="159">
        <f>'账项调整(期初)'!O296</f>
        <v>0</v>
      </c>
    </row>
    <row r="297" spans="14:15">
      <c r="N297" s="160">
        <f>'账项调整(期初)'!N297</f>
        <v>0</v>
      </c>
      <c r="O297" s="159">
        <f>'账项调整(期初)'!O297</f>
        <v>0</v>
      </c>
    </row>
    <row r="298" spans="14:15">
      <c r="N298" s="160">
        <f>'账项调整(期初)'!N298</f>
        <v>0</v>
      </c>
      <c r="O298" s="159">
        <f>'账项调整(期初)'!O298</f>
        <v>0</v>
      </c>
    </row>
    <row r="299" spans="14:15">
      <c r="N299" s="160">
        <f>'账项调整(期初)'!N299</f>
        <v>0</v>
      </c>
      <c r="O299" s="159">
        <f>'账项调整(期初)'!O299</f>
        <v>0</v>
      </c>
    </row>
    <row r="300" spans="14:15">
      <c r="N300" s="160">
        <f>'账项调整(期初)'!N300</f>
        <v>0</v>
      </c>
      <c r="O300" s="159">
        <f>'账项调整(期初)'!O300</f>
        <v>0</v>
      </c>
    </row>
    <row r="301" spans="14:15">
      <c r="N301" s="160">
        <f>'账项调整(期初)'!N301</f>
        <v>0</v>
      </c>
      <c r="O301" s="159">
        <f>'账项调整(期初)'!O301</f>
        <v>0</v>
      </c>
    </row>
    <row r="302" spans="14:15">
      <c r="N302" s="160">
        <f>'账项调整(期初)'!N302</f>
        <v>0</v>
      </c>
      <c r="O302" s="159">
        <f>'账项调整(期初)'!O302</f>
        <v>0</v>
      </c>
    </row>
    <row r="303" spans="14:15">
      <c r="N303" s="160">
        <f>'账项调整(期初)'!N303</f>
        <v>0</v>
      </c>
      <c r="O303" s="159">
        <f>'账项调整(期初)'!O303</f>
        <v>0</v>
      </c>
    </row>
    <row r="304" spans="14:15">
      <c r="N304" s="160">
        <f>'账项调整(期初)'!N304</f>
        <v>0</v>
      </c>
      <c r="O304" s="159">
        <f>'账项调整(期初)'!O304</f>
        <v>0</v>
      </c>
    </row>
    <row r="305" spans="14:15">
      <c r="N305" s="160">
        <f>'账项调整(期初)'!N305</f>
        <v>0</v>
      </c>
      <c r="O305" s="159">
        <f>'账项调整(期初)'!O305</f>
        <v>0</v>
      </c>
    </row>
    <row r="306" spans="14:15">
      <c r="N306" s="160">
        <f>'账项调整(期初)'!N306</f>
        <v>0</v>
      </c>
      <c r="O306" s="159">
        <f>'账项调整(期初)'!O306</f>
        <v>0</v>
      </c>
    </row>
    <row r="307" spans="14:15">
      <c r="N307" s="160">
        <f>'账项调整(期初)'!N307</f>
        <v>0</v>
      </c>
      <c r="O307" s="159">
        <f>'账项调整(期初)'!O307</f>
        <v>0</v>
      </c>
    </row>
    <row r="308" spans="14:15">
      <c r="N308" s="160">
        <f>'账项调整(期初)'!N308</f>
        <v>0</v>
      </c>
      <c r="O308" s="159">
        <f>'账项调整(期初)'!O308</f>
        <v>0</v>
      </c>
    </row>
    <row r="309" spans="14:15">
      <c r="N309" s="160">
        <f>'账项调整(期初)'!N309</f>
        <v>0</v>
      </c>
      <c r="O309" s="159">
        <f>'账项调整(期初)'!O309</f>
        <v>0</v>
      </c>
    </row>
    <row r="310" spans="14:15">
      <c r="N310" s="160">
        <f>'账项调整(期初)'!N310</f>
        <v>0</v>
      </c>
      <c r="O310" s="159">
        <f>'账项调整(期初)'!O310</f>
        <v>0</v>
      </c>
    </row>
    <row r="311" spans="14:15">
      <c r="N311" s="160">
        <f>'账项调整(期初)'!N311</f>
        <v>0</v>
      </c>
      <c r="O311" s="159">
        <f>'账项调整(期初)'!O311</f>
        <v>0</v>
      </c>
    </row>
    <row r="312" spans="14:15">
      <c r="N312" s="160">
        <f>'账项调整(期初)'!N312</f>
        <v>0</v>
      </c>
      <c r="O312" s="159">
        <f>'账项调整(期初)'!O312</f>
        <v>0</v>
      </c>
    </row>
    <row r="313" spans="14:15">
      <c r="N313" s="160">
        <f>'账项调整(期初)'!N313</f>
        <v>0</v>
      </c>
      <c r="O313" s="159">
        <f>'账项调整(期初)'!O313</f>
        <v>0</v>
      </c>
    </row>
    <row r="314" spans="14:15">
      <c r="N314" s="160">
        <f>'账项调整(期初)'!N314</f>
        <v>0</v>
      </c>
      <c r="O314" s="159">
        <f>'账项调整(期初)'!O314</f>
        <v>0</v>
      </c>
    </row>
    <row r="315" spans="14:15">
      <c r="N315" s="160">
        <f>'账项调整(期初)'!N315</f>
        <v>0</v>
      </c>
      <c r="O315" s="159">
        <f>'账项调整(期初)'!O315</f>
        <v>0</v>
      </c>
    </row>
    <row r="316" spans="14:15">
      <c r="N316" s="160">
        <f>'账项调整(期初)'!N316</f>
        <v>0</v>
      </c>
      <c r="O316" s="159">
        <f>'账项调整(期初)'!O316</f>
        <v>0</v>
      </c>
    </row>
    <row r="317" spans="14:15">
      <c r="N317" s="160">
        <f>'账项调整(期初)'!N317</f>
        <v>0</v>
      </c>
      <c r="O317" s="159">
        <f>'账项调整(期初)'!O317</f>
        <v>0</v>
      </c>
    </row>
    <row r="318" spans="14:15">
      <c r="N318" s="160">
        <f>'账项调整(期初)'!N318</f>
        <v>0</v>
      </c>
      <c r="O318" s="159">
        <f>'账项调整(期初)'!O318</f>
        <v>0</v>
      </c>
    </row>
    <row r="319" spans="14:15">
      <c r="N319" s="160">
        <f>'账项调整(期初)'!N319</f>
        <v>0</v>
      </c>
      <c r="O319" s="159">
        <f>'账项调整(期初)'!O319</f>
        <v>0</v>
      </c>
    </row>
    <row r="320" spans="14:15">
      <c r="N320" s="160">
        <f>'账项调整(期初)'!N320</f>
        <v>0</v>
      </c>
      <c r="O320" s="159">
        <f>'账项调整(期初)'!O320</f>
        <v>0</v>
      </c>
    </row>
    <row r="321" spans="14:15">
      <c r="N321" s="160">
        <f>'账项调整(期初)'!N321</f>
        <v>0</v>
      </c>
      <c r="O321" s="159">
        <f>'账项调整(期初)'!O321</f>
        <v>0</v>
      </c>
    </row>
    <row r="322" spans="14:15">
      <c r="N322" s="160">
        <f>'账项调整(期初)'!N322</f>
        <v>0</v>
      </c>
      <c r="O322" s="159">
        <f>'账项调整(期初)'!O322</f>
        <v>0</v>
      </c>
    </row>
    <row r="323" spans="14:15">
      <c r="N323" s="160">
        <f>'账项调整(期初)'!N323</f>
        <v>0</v>
      </c>
      <c r="O323" s="159">
        <f>'账项调整(期初)'!O323</f>
        <v>0</v>
      </c>
    </row>
    <row r="324" spans="14:15">
      <c r="N324" s="160">
        <f>'账项调整(期初)'!N324</f>
        <v>0</v>
      </c>
      <c r="O324" s="159">
        <f>'账项调整(期初)'!O324</f>
        <v>0</v>
      </c>
    </row>
    <row r="325" spans="14:15">
      <c r="N325" s="160">
        <f>'账项调整(期初)'!N325</f>
        <v>0</v>
      </c>
      <c r="O325" s="159">
        <f>'账项调整(期初)'!O325</f>
        <v>0</v>
      </c>
    </row>
    <row r="326" spans="14:15">
      <c r="N326" s="160">
        <f>'账项调整(期初)'!N326</f>
        <v>0</v>
      </c>
      <c r="O326" s="159">
        <f>'账项调整(期初)'!O326</f>
        <v>0</v>
      </c>
    </row>
    <row r="327" spans="14:15">
      <c r="N327" s="160">
        <f>'账项调整(期初)'!N327</f>
        <v>0</v>
      </c>
      <c r="O327" s="159">
        <f>'账项调整(期初)'!O327</f>
        <v>0</v>
      </c>
    </row>
    <row r="328" spans="14:15">
      <c r="N328" s="160">
        <f>'账项调整(期初)'!N328</f>
        <v>0</v>
      </c>
      <c r="O328" s="159">
        <f>'账项调整(期初)'!O328</f>
        <v>0</v>
      </c>
    </row>
    <row r="329" spans="14:15">
      <c r="N329" s="160">
        <f>'账项调整(期初)'!N329</f>
        <v>0</v>
      </c>
      <c r="O329" s="159">
        <f>'账项调整(期初)'!O329</f>
        <v>0</v>
      </c>
    </row>
    <row r="330" spans="14:15">
      <c r="N330" s="160">
        <f>'账项调整(期初)'!N330</f>
        <v>0</v>
      </c>
      <c r="O330" s="159">
        <f>'账项调整(期初)'!O330</f>
        <v>0</v>
      </c>
    </row>
    <row r="331" spans="14:15">
      <c r="N331" s="160">
        <f>'账项调整(期初)'!N331</f>
        <v>0</v>
      </c>
      <c r="O331" s="159">
        <f>'账项调整(期初)'!O331</f>
        <v>0</v>
      </c>
    </row>
    <row r="332" spans="14:15">
      <c r="N332" s="160">
        <f>'账项调整(期初)'!N332</f>
        <v>0</v>
      </c>
      <c r="O332" s="159">
        <f>'账项调整(期初)'!O332</f>
        <v>0</v>
      </c>
    </row>
    <row r="333" spans="14:15">
      <c r="N333" s="160">
        <f>'账项调整(期初)'!N333</f>
        <v>0</v>
      </c>
      <c r="O333" s="159">
        <f>'账项调整(期初)'!O333</f>
        <v>0</v>
      </c>
    </row>
    <row r="334" spans="14:15">
      <c r="N334" s="160">
        <f>'账项调整(期初)'!N334</f>
        <v>0</v>
      </c>
      <c r="O334" s="159">
        <f>'账项调整(期初)'!O334</f>
        <v>0</v>
      </c>
    </row>
  </sheetData>
  <sheetCalcPr fullCalcOnLoad="1"/>
  <sheetProtection sheet="1" objects="1" scenarios="1" formatCells="0" formatColumns="0" formatRows="0" insertRows="0" autoFilter="0" pivotTables="0"/>
  <mergeCells count="96">
    <mergeCell ref="A160:A163"/>
    <mergeCell ref="B160:B163"/>
    <mergeCell ref="C160:C163"/>
    <mergeCell ref="A150:A153"/>
    <mergeCell ref="B150:B153"/>
    <mergeCell ref="C150:C153"/>
    <mergeCell ref="A155:A158"/>
    <mergeCell ref="B155:B158"/>
    <mergeCell ref="C155:C158"/>
    <mergeCell ref="A140:A143"/>
    <mergeCell ref="B140:B143"/>
    <mergeCell ref="C140:C143"/>
    <mergeCell ref="A145:A148"/>
    <mergeCell ref="B145:B148"/>
    <mergeCell ref="C145:C148"/>
    <mergeCell ref="A130:A133"/>
    <mergeCell ref="B130:B133"/>
    <mergeCell ref="C130:C133"/>
    <mergeCell ref="A135:A138"/>
    <mergeCell ref="B135:B138"/>
    <mergeCell ref="C135:C138"/>
    <mergeCell ref="A120:A123"/>
    <mergeCell ref="B120:B123"/>
    <mergeCell ref="C120:C123"/>
    <mergeCell ref="A125:A128"/>
    <mergeCell ref="B125:B128"/>
    <mergeCell ref="C125:C128"/>
    <mergeCell ref="B105:B108"/>
    <mergeCell ref="C105:C108"/>
    <mergeCell ref="A110:A113"/>
    <mergeCell ref="B110:B113"/>
    <mergeCell ref="C110:C113"/>
    <mergeCell ref="A115:A118"/>
    <mergeCell ref="B115:B118"/>
    <mergeCell ref="C115:C118"/>
    <mergeCell ref="A95:A98"/>
    <mergeCell ref="A100:A103"/>
    <mergeCell ref="A105:A108"/>
    <mergeCell ref="A85:A88"/>
    <mergeCell ref="A90:A93"/>
    <mergeCell ref="A65:A68"/>
    <mergeCell ref="A70:A73"/>
    <mergeCell ref="A75:A78"/>
    <mergeCell ref="A80:A83"/>
    <mergeCell ref="A15:A18"/>
    <mergeCell ref="A20:A23"/>
    <mergeCell ref="A25:A28"/>
    <mergeCell ref="A35:A38"/>
    <mergeCell ref="A30:A33"/>
    <mergeCell ref="A60:A63"/>
    <mergeCell ref="A10:A13"/>
    <mergeCell ref="A5:A8"/>
    <mergeCell ref="B5:B8"/>
    <mergeCell ref="C5:C8"/>
    <mergeCell ref="B10:B13"/>
    <mergeCell ref="C10:C13"/>
    <mergeCell ref="B25:B28"/>
    <mergeCell ref="C25:C28"/>
    <mergeCell ref="B30:B33"/>
    <mergeCell ref="C30:C33"/>
    <mergeCell ref="B15:B18"/>
    <mergeCell ref="C15:C18"/>
    <mergeCell ref="B20:B23"/>
    <mergeCell ref="C20:C23"/>
    <mergeCell ref="B45:B48"/>
    <mergeCell ref="C45:C48"/>
    <mergeCell ref="B50:B53"/>
    <mergeCell ref="C50:C53"/>
    <mergeCell ref="B35:B38"/>
    <mergeCell ref="C35:C38"/>
    <mergeCell ref="B40:B43"/>
    <mergeCell ref="C40:C43"/>
    <mergeCell ref="B65:B68"/>
    <mergeCell ref="C65:C68"/>
    <mergeCell ref="B70:B73"/>
    <mergeCell ref="C70:C73"/>
    <mergeCell ref="B55:B58"/>
    <mergeCell ref="C55:C58"/>
    <mergeCell ref="B60:B63"/>
    <mergeCell ref="C60:C63"/>
    <mergeCell ref="B100:B103"/>
    <mergeCell ref="C100:C103"/>
    <mergeCell ref="B85:B88"/>
    <mergeCell ref="C85:C88"/>
    <mergeCell ref="B90:B93"/>
    <mergeCell ref="C90:C93"/>
    <mergeCell ref="A55:A58"/>
    <mergeCell ref="A45:A48"/>
    <mergeCell ref="A50:A53"/>
    <mergeCell ref="A40:A43"/>
    <mergeCell ref="B95:B98"/>
    <mergeCell ref="C95:C98"/>
    <mergeCell ref="B75:B78"/>
    <mergeCell ref="C75:C78"/>
    <mergeCell ref="B80:B83"/>
    <mergeCell ref="C80:C83"/>
  </mergeCells>
  <phoneticPr fontId="59" type="noConversion"/>
  <conditionalFormatting sqref="A1">
    <cfRule type="cellIs" dxfId="7" priority="1" stopIfTrue="1" operator="equal">
      <formula>"调整事项未全部链入试算平衡表，请检查调整科目是否为报表项目!"</formula>
    </cfRule>
  </conditionalFormatting>
  <dataValidations count="5">
    <dataValidation allowBlank="1" showDropDown="1" showInputMessage="1" showErrorMessage="1" errorTitle="警告" error="   您输入的科目不是报表标准科目_x000a__x000a_请对应“调整事项转换表”核对科目名称" sqref="F5:G164"/>
    <dataValidation type="list" allowBlank="1" showDropDown="1" showInputMessage="1" showErrorMessage="1" errorTitle="警告" error="   您输入的科目不是报表标准科目_x000a__x000a_请对应“报表项目”核对科目名称" sqref="E10:E13 E160:E163 E155:E158 E150:E153 E145:E148 E140:E143 E135:E138 E130:E133 E125:E128 E120:E123 E115:E118 E110:E113 E105:E108 E100:E103 E95:E98 E90:E93 E85:E88 E80:E83 E75:E78 E70:E73 E65:E68 E60:E63 E55:E58 E50:E53 E45:E48 E40:E43 E35:E38 E30:E33 E25:E28 E20:E23 E15:E18 E6:E8 H6:H8">
      <formula1>$O:$O</formula1>
    </dataValidation>
    <dataValidation type="list" allowBlank="1" showDropDown="1" showInputMessage="1" showErrorMessage="1" errorTitle="警告" error="   您输入的科目不是报表标准科目_x000a__x000a_请对应“调整事项转换表”核对科目名称" sqref="H10:H13 H160:H163 H155:H158 H150:H153 H145:H148 H140:H143 H135:H138 H130:H133 H125:H128 H120:H123 H115:H118 H110:H113 H105:H108 H100:H103 H95:H98 H90:H93 H85:H88 H80:H83 H75:H78 H70:H73 H65:H68 H60:H63 H55:H58 H50:H53 H45:H48 H40:H43 H35:H38 H30:H33 H25:H28 H20:H23 H15:H18">
      <formula1>$O:$O</formula1>
    </dataValidation>
    <dataValidation type="list" allowBlank="1" showDropDown="1" showInputMessage="1" showErrorMessage="1" errorTitle="警告" error="   您输入的科目不是报表标准科目_x000a__x000a_请对应“调整事项转换表”核对科目名称" sqref="E14 H164 E164 H159 E159 H154 E154 H149 E149 H144 E144 H139 E139 H134 E134 H129 E129 H124 E124 H119 E119 H114 E114 H109 E109 H104 E104 H99 E99 H94 E94 H89 E89 H84 E84 H79 E79 H74 E74 H69 E69 H64 E64 H59 E59 H54 E54 H49 E49 H44 E44 H39 E39 H34 E34 H29 E29 H24 E24 H19 E19 E9 H9 H14">
      <formula1>$O$6:$O$117</formula1>
    </dataValidation>
    <dataValidation type="list" allowBlank="1" showDropDown="1" showInputMessage="1" showErrorMessage="1" sqref="E5 H5">
      <formula1>$O:$O</formula1>
    </dataValidation>
  </dataValidations>
  <pageMargins left="0.75" right="0.22" top="0.52" bottom="0.45" header="0.25" footer="0.23"/>
  <pageSetup paperSize="9" scale="97" orientation="portrait" horizontalDpi="360" verticalDpi="360" r:id="rId1"/>
  <headerFooter alignWithMargins="0">
    <oddFooter>&amp;C&amp;9&amp;P/&amp;N</oddFooter>
  </headerFooter>
  <colBreaks count="1" manualBreakCount="1">
    <brk id="8" max="1048575"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64"/>
  <sheetViews>
    <sheetView showZeros="0" workbookViewId="0">
      <pane xSplit="1" ySplit="5" topLeftCell="B45" activePane="bottomRight" state="frozen"/>
      <selection pane="topRight"/>
      <selection pane="bottomLeft"/>
      <selection pane="bottomRight" activeCell="A64" sqref="A64"/>
    </sheetView>
  </sheetViews>
  <sheetFormatPr defaultColWidth="7" defaultRowHeight="13.5" outlineLevelCol="1"/>
  <cols>
    <col min="1" max="1" width="23" style="62" customWidth="1"/>
    <col min="2" max="2" width="13" style="62" customWidth="1"/>
    <col min="3" max="6" width="11.625" style="62" customWidth="1"/>
    <col min="7" max="8" width="14.75" style="62" hidden="1" customWidth="1" outlineLevel="1"/>
    <col min="9" max="9" width="13.125" style="62" customWidth="1" collapsed="1"/>
    <col min="10" max="10" width="9.125" style="62" bestFit="1" customWidth="1"/>
    <col min="11" max="11" width="17.25" style="62" bestFit="1" customWidth="1"/>
    <col min="12" max="12" width="6.75" style="62" bestFit="1" customWidth="1"/>
    <col min="13" max="16384" width="7" style="62"/>
  </cols>
  <sheetData>
    <row r="1" spans="1:13" s="61" customFormat="1" ht="19.5" customHeight="1">
      <c r="A1" s="58" t="s">
        <v>266</v>
      </c>
      <c r="B1" s="59"/>
      <c r="C1" s="59"/>
      <c r="D1" s="59"/>
      <c r="E1" s="59"/>
      <c r="F1" s="59"/>
      <c r="G1" s="59"/>
      <c r="H1" s="59"/>
      <c r="I1" s="59"/>
      <c r="J1" s="62"/>
      <c r="K1" s="188"/>
      <c r="L1" s="42"/>
      <c r="M1" s="62"/>
    </row>
    <row r="2" spans="1:13" s="61" customFormat="1" ht="15" customHeight="1">
      <c r="A2" s="171" t="str">
        <f>CONCATENATE("客户名称：",参数!D3)</f>
        <v>客户名称：</v>
      </c>
      <c r="C2" s="172" t="str">
        <f>CONCATENATE("编制：",参数!D17)</f>
        <v>编制：</v>
      </c>
      <c r="D2" s="173"/>
      <c r="E2" s="171" t="str">
        <f>CONCATENATE("复核：",参数!D18)</f>
        <v>复核：</v>
      </c>
      <c r="G2" s="174"/>
      <c r="H2" s="175"/>
      <c r="I2" s="172" t="s">
        <v>267</v>
      </c>
      <c r="J2" s="62"/>
      <c r="K2" s="188"/>
      <c r="L2" s="42"/>
      <c r="M2" s="62"/>
    </row>
    <row r="3" spans="1:13" s="61" customFormat="1" ht="17.25" customHeight="1">
      <c r="A3" s="174" t="str">
        <f>CONCATENATE("会计时点：",TEXT(参数!D12,"yyyy.mm.dd"))</f>
        <v>会计时点：2007.12.31</v>
      </c>
      <c r="C3" s="176" t="str">
        <f ca="1">CONCATENATE("日期：",TEXT(NOW(),"yyyy.mm.dd"))</f>
        <v>日期：2023.08.14</v>
      </c>
      <c r="D3" s="174"/>
      <c r="E3" s="172" t="s">
        <v>268</v>
      </c>
      <c r="G3" s="174"/>
      <c r="H3" s="174"/>
      <c r="I3" s="172" t="s">
        <v>269</v>
      </c>
      <c r="J3" s="62"/>
      <c r="K3" s="188"/>
      <c r="L3" s="42"/>
      <c r="M3" s="62"/>
    </row>
    <row r="4" spans="1:13" s="61" customFormat="1">
      <c r="A4" s="946" t="str">
        <f>IF((ROUND(I62,2))=(ROUND('TB负债(期初)'!I62,2)),"资       产","报表未调平!")</f>
        <v>资       产</v>
      </c>
      <c r="B4" s="1020" t="str">
        <f>CONCATENATE("上期审定期末数",TEXT(参数!D11,"yyyy.mm.dd"))</f>
        <v>上期审定期末数2006.12.31</v>
      </c>
      <c r="C4" s="948" t="s">
        <v>271</v>
      </c>
      <c r="D4" s="948"/>
      <c r="E4" s="948" t="s">
        <v>272</v>
      </c>
      <c r="F4" s="948"/>
      <c r="G4" s="443" t="s">
        <v>273</v>
      </c>
      <c r="H4" s="443" t="s">
        <v>274</v>
      </c>
      <c r="I4" s="1018" t="str">
        <f>CONCATENATE("本期审定期初数",TEXT(参数!D11+1,"yyyy.mm.dd"))</f>
        <v>本期审定期初数2007.01.01</v>
      </c>
      <c r="J4" s="62"/>
      <c r="K4" s="188"/>
      <c r="L4" s="42"/>
      <c r="M4" s="62"/>
    </row>
    <row r="5" spans="1:13" s="61" customFormat="1">
      <c r="A5" s="947"/>
      <c r="B5" s="1021"/>
      <c r="C5" s="444" t="s">
        <v>711</v>
      </c>
      <c r="D5" s="444" t="s">
        <v>583</v>
      </c>
      <c r="E5" s="444" t="s">
        <v>711</v>
      </c>
      <c r="F5" s="444" t="s">
        <v>583</v>
      </c>
      <c r="G5" s="444"/>
      <c r="H5" s="444"/>
      <c r="I5" s="1019"/>
      <c r="J5" s="62"/>
      <c r="K5" s="188"/>
      <c r="L5" s="42"/>
      <c r="M5" s="62"/>
    </row>
    <row r="6" spans="1:13" ht="14.45" customHeight="1">
      <c r="A6" s="177" t="str">
        <f>报表格式!B5</f>
        <v>流动资产：</v>
      </c>
      <c r="B6" s="178"/>
      <c r="C6" s="178"/>
      <c r="D6" s="178"/>
      <c r="E6" s="178"/>
      <c r="F6" s="178"/>
      <c r="G6" s="178"/>
      <c r="H6" s="178"/>
      <c r="I6" s="179"/>
      <c r="K6" s="188"/>
      <c r="L6" s="42"/>
    </row>
    <row r="7" spans="1:13" ht="14.45" customHeight="1">
      <c r="A7" s="180" t="str">
        <f>报表格式!B6</f>
        <v>货币资金</v>
      </c>
      <c r="B7" s="413">
        <f>期初核对BS!C7</f>
        <v>0</v>
      </c>
      <c r="C7" s="413">
        <f>SUMIF('账项调整(期初)'!$E$5:$E$65536,IF(OR(MID(TRIM($A7),2,1)="：",MID(TRIM($A7),2,1)="、"),REPLACEB(TRIM($A7),1,4,""),TRIM($A7)),'账项调整(期初)'!$J$5:$J$65536)</f>
        <v>0</v>
      </c>
      <c r="D7" s="413">
        <f>SUMIF('账项调整(期初)'!$H$5:$H$65536,IF(OR(MID(TRIM($A7),2,1)="：",MID(TRIM($A7),2,1)="、"),REPLACEB(TRIM($A7),1,4,""),TRIM($A7)),'账项调整(期初)'!$J$5:$J$65536)</f>
        <v>0</v>
      </c>
      <c r="E7" s="413">
        <f>SUMIF('报表调整(期初)'!$E$5:$E$65536,IF(OR(MID(TRIM($A7),2,1)="：",MID(TRIM($A7),2,1)="、"),REPLACEB(TRIM($A7),1,4,""),TRIM($A7)),'报表调整(期初)'!$J$5:$J$65536)</f>
        <v>0</v>
      </c>
      <c r="F7" s="413">
        <f>SUMIF('报表调整(期初)'!$H$5:$H$65536,IF(OR(MID(TRIM($A7),2,1)="：",MID(TRIM($A7),2,1)="、"),REPLACEB(TRIM($A7),1,4,""),TRIM($A7)),'报表调整(期初)'!$J$5:$J$65536)</f>
        <v>0</v>
      </c>
      <c r="G7" s="413">
        <f t="shared" ref="G7:G26" si="0">B7+C7+E7-D7-F7</f>
        <v>0</v>
      </c>
      <c r="H7" s="413"/>
      <c r="I7" s="414">
        <f t="shared" ref="I7:I28" si="1">SUM(G7:H7)</f>
        <v>0</v>
      </c>
      <c r="K7" s="188"/>
      <c r="L7" s="42"/>
    </row>
    <row r="8" spans="1:13" ht="14.45" customHeight="1">
      <c r="A8" s="180" t="str">
        <f>报表格式!B7</f>
        <v>短期投资</v>
      </c>
      <c r="B8" s="413">
        <f>期初核对BS!C8</f>
        <v>0</v>
      </c>
      <c r="C8" s="413">
        <f>SUMIF('账项调整(期初)'!$E$5:$E$65536,IF(OR(MID(TRIM($A8),2,1)="：",MID(TRIM($A8),2,1)="、"),REPLACEB(TRIM($A8),1,4,""),TRIM($A8)),'账项调整(期初)'!$J$5:$J$65536)</f>
        <v>0</v>
      </c>
      <c r="D8" s="413">
        <f>SUMIF('账项调整(期初)'!$H$5:$H$65536,IF(OR(MID(TRIM($A8),2,1)="：",MID(TRIM($A8),2,1)="、"),REPLACEB(TRIM($A8),1,4,""),TRIM($A8)),'账项调整(期初)'!$J$5:$J$65536)</f>
        <v>0</v>
      </c>
      <c r="E8" s="413">
        <f>SUMIF('报表调整(期初)'!$E$5:$E$65536,IF(OR(MID(TRIM($A8),2,1)="：",MID(TRIM($A8),2,1)="、"),REPLACEB(TRIM($A8),1,4,""),TRIM($A8)),'报表调整(期初)'!$J$5:$J$65536)</f>
        <v>0</v>
      </c>
      <c r="F8" s="413">
        <f>SUMIF('报表调整(期初)'!$H$5:$H$65536,IF(OR(MID(TRIM($A8),2,1)="：",MID(TRIM($A8),2,1)="、"),REPLACEB(TRIM($A8),1,4,""),TRIM($A8)),'报表调整(期初)'!$J$5:$J$65536)</f>
        <v>0</v>
      </c>
      <c r="G8" s="413">
        <f t="shared" si="0"/>
        <v>0</v>
      </c>
      <c r="H8" s="413"/>
      <c r="I8" s="414">
        <f t="shared" si="1"/>
        <v>0</v>
      </c>
      <c r="K8" s="188"/>
      <c r="L8" s="42"/>
    </row>
    <row r="9" spans="1:13" ht="14.45" customHeight="1">
      <c r="A9" s="180" t="str">
        <f>报表格式!B8</f>
        <v>应收票据</v>
      </c>
      <c r="B9" s="413">
        <f>期初核对BS!C9</f>
        <v>0</v>
      </c>
      <c r="C9" s="413">
        <f>SUMIF('账项调整(期初)'!$E$5:$E$65536,IF(OR(MID(TRIM($A9),2,1)="：",MID(TRIM($A9),2,1)="、"),REPLACEB(TRIM($A9),1,4,""),TRIM($A9)),'账项调整(期初)'!$J$5:$J$65536)</f>
        <v>0</v>
      </c>
      <c r="D9" s="413">
        <f>SUMIF('账项调整(期初)'!$H$5:$H$65536,IF(OR(MID(TRIM($A9),2,1)="：",MID(TRIM($A9),2,1)="、"),REPLACEB(TRIM($A9),1,4,""),TRIM($A9)),'账项调整(期初)'!$J$5:$J$65536)</f>
        <v>0</v>
      </c>
      <c r="E9" s="413">
        <f>SUMIF('报表调整(期初)'!$E$5:$E$65536,IF(OR(MID(TRIM($A9),2,1)="：",MID(TRIM($A9),2,1)="、"),REPLACEB(TRIM($A9),1,4,""),TRIM($A9)),'报表调整(期初)'!$J$5:$J$65536)</f>
        <v>0</v>
      </c>
      <c r="F9" s="413">
        <f>SUMIF('报表调整(期初)'!$H$5:$H$65536,IF(OR(MID(TRIM($A9),2,1)="：",MID(TRIM($A9),2,1)="、"),REPLACEB(TRIM($A9),1,4,""),TRIM($A9)),'报表调整(期初)'!$J$5:$J$65536)</f>
        <v>0</v>
      </c>
      <c r="G9" s="413">
        <f t="shared" si="0"/>
        <v>0</v>
      </c>
      <c r="H9" s="413"/>
      <c r="I9" s="414">
        <f t="shared" si="1"/>
        <v>0</v>
      </c>
    </row>
    <row r="10" spans="1:13" ht="14.45" customHeight="1">
      <c r="A10" s="180" t="str">
        <f>报表格式!B9</f>
        <v>应收股利</v>
      </c>
      <c r="B10" s="413">
        <f>期初核对BS!C10</f>
        <v>0</v>
      </c>
      <c r="C10" s="413">
        <f>SUMIF('账项调整(期初)'!$E$5:$E$65536,IF(OR(MID(TRIM($A10),2,1)="：",MID(TRIM($A10),2,1)="、"),REPLACEB(TRIM($A10),1,4,""),TRIM($A10)),'账项调整(期初)'!$J$5:$J$65536)</f>
        <v>0</v>
      </c>
      <c r="D10" s="413">
        <f>SUMIF('账项调整(期初)'!$H$5:$H$65536,IF(OR(MID(TRIM($A10),2,1)="：",MID(TRIM($A10),2,1)="、"),REPLACEB(TRIM($A10),1,4,""),TRIM($A10)),'账项调整(期初)'!$J$5:$J$65536)</f>
        <v>0</v>
      </c>
      <c r="E10" s="413">
        <f>SUMIF('报表调整(期初)'!$E$5:$E$65536,IF(OR(MID(TRIM($A10),2,1)="：",MID(TRIM($A10),2,1)="、"),REPLACEB(TRIM($A10),1,4,""),TRIM($A10)),'报表调整(期初)'!$J$5:$J$65536)</f>
        <v>0</v>
      </c>
      <c r="F10" s="413">
        <f>SUMIF('报表调整(期初)'!$H$5:$H$65536,IF(OR(MID(TRIM($A10),2,1)="：",MID(TRIM($A10),2,1)="、"),REPLACEB(TRIM($A10),1,4,""),TRIM($A10)),'报表调整(期初)'!$J$5:$J$65536)</f>
        <v>0</v>
      </c>
      <c r="G10" s="413">
        <f t="shared" si="0"/>
        <v>0</v>
      </c>
      <c r="H10" s="413"/>
      <c r="I10" s="414">
        <f t="shared" si="1"/>
        <v>0</v>
      </c>
    </row>
    <row r="11" spans="1:13" ht="14.45" customHeight="1">
      <c r="A11" s="180" t="str">
        <f>报表格式!B10</f>
        <v>应收利息</v>
      </c>
      <c r="B11" s="413">
        <f>期初核对BS!C11</f>
        <v>0</v>
      </c>
      <c r="C11" s="413">
        <f>SUMIF('账项调整(期初)'!$E$5:$E$65536,IF(OR(MID(TRIM($A11),2,1)="：",MID(TRIM($A11),2,1)="、"),REPLACEB(TRIM($A11),1,4,""),TRIM($A11)),'账项调整(期初)'!$J$5:$J$65536)</f>
        <v>0</v>
      </c>
      <c r="D11" s="413">
        <f>SUMIF('账项调整(期初)'!$H$5:$H$65536,IF(OR(MID(TRIM($A11),2,1)="：",MID(TRIM($A11),2,1)="、"),REPLACEB(TRIM($A11),1,4,""),TRIM($A11)),'账项调整(期初)'!$J$5:$J$65536)</f>
        <v>0</v>
      </c>
      <c r="E11" s="413">
        <f>SUMIF('报表调整(期初)'!$E$5:$E$65536,IF(OR(MID(TRIM($A11),2,1)="：",MID(TRIM($A11),2,1)="、"),REPLACEB(TRIM($A11),1,4,""),TRIM($A11)),'报表调整(期初)'!$J$5:$J$65536)</f>
        <v>0</v>
      </c>
      <c r="F11" s="413">
        <f>SUMIF('报表调整(期初)'!$H$5:$H$65536,IF(OR(MID(TRIM($A11),2,1)="：",MID(TRIM($A11),2,1)="、"),REPLACEB(TRIM($A11),1,4,""),TRIM($A11)),'报表调整(期初)'!$J$5:$J$65536)</f>
        <v>0</v>
      </c>
      <c r="G11" s="413">
        <f t="shared" si="0"/>
        <v>0</v>
      </c>
      <c r="H11" s="413"/>
      <c r="I11" s="414">
        <f t="shared" si="1"/>
        <v>0</v>
      </c>
    </row>
    <row r="12" spans="1:13" ht="14.45" customHeight="1">
      <c r="A12" s="180" t="str">
        <f>报表格式!B11</f>
        <v>应收账款</v>
      </c>
      <c r="B12" s="413">
        <f>期初核对BS!C12</f>
        <v>0</v>
      </c>
      <c r="C12" s="413">
        <f>SUMIF('账项调整(期初)'!$E$5:$E$65536,IF(OR(MID(TRIM($A12),2,1)="：",MID(TRIM($A12),2,1)="、"),REPLACEB(TRIM($A12),1,4,""),TRIM($A12)),'账项调整(期初)'!$J$5:$J$65536)</f>
        <v>0</v>
      </c>
      <c r="D12" s="413">
        <f>SUMIF('账项调整(期初)'!$H$5:$H$65536,IF(OR(MID(TRIM($A12),2,1)="：",MID(TRIM($A12),2,1)="、"),REPLACEB(TRIM($A12),1,4,""),TRIM($A12)),'账项调整(期初)'!$J$5:$J$65536)</f>
        <v>0</v>
      </c>
      <c r="E12" s="413">
        <f>SUMIF('报表调整(期初)'!$E$5:$E$65536,IF(OR(MID(TRIM($A12),2,1)="：",MID(TRIM($A12),2,1)="、"),REPLACEB(TRIM($A12),1,4,""),TRIM($A12)),'报表调整(期初)'!$J$5:$J$65536)</f>
        <v>0</v>
      </c>
      <c r="F12" s="413">
        <f>SUMIF('报表调整(期初)'!$H$5:$H$65536,IF(OR(MID(TRIM($A12),2,1)="：",MID(TRIM($A12),2,1)="、"),REPLACEB(TRIM($A12),1,4,""),TRIM($A12)),'报表调整(期初)'!$J$5:$J$65536)</f>
        <v>0</v>
      </c>
      <c r="G12" s="413">
        <f t="shared" si="0"/>
        <v>0</v>
      </c>
      <c r="H12" s="413"/>
      <c r="I12" s="414">
        <f t="shared" si="1"/>
        <v>0</v>
      </c>
    </row>
    <row r="13" spans="1:13" ht="14.45" customHeight="1">
      <c r="A13" s="180" t="str">
        <f>报表格式!B12</f>
        <v>其他应收款</v>
      </c>
      <c r="B13" s="413">
        <f>期初核对BS!C13</f>
        <v>0</v>
      </c>
      <c r="C13" s="413">
        <f>SUMIF('账项调整(期初)'!$E$5:$E$65536,IF(OR(MID(TRIM($A13),2,1)="：",MID(TRIM($A13),2,1)="、"),REPLACEB(TRIM($A13),1,4,""),TRIM($A13)),'账项调整(期初)'!$J$5:$J$65536)</f>
        <v>0</v>
      </c>
      <c r="D13" s="413">
        <f>SUMIF('账项调整(期初)'!$H$5:$H$65536,IF(OR(MID(TRIM($A13),2,1)="：",MID(TRIM($A13),2,1)="、"),REPLACEB(TRIM($A13),1,4,""),TRIM($A13)),'账项调整(期初)'!$J$5:$J$65536)</f>
        <v>0</v>
      </c>
      <c r="E13" s="413">
        <f>SUMIF('报表调整(期初)'!$E$5:$E$65536,IF(OR(MID(TRIM($A13),2,1)="：",MID(TRIM($A13),2,1)="、"),REPLACEB(TRIM($A13),1,4,""),TRIM($A13)),'报表调整(期初)'!$J$5:$J$65536)</f>
        <v>0</v>
      </c>
      <c r="F13" s="413">
        <f>SUMIF('报表调整(期初)'!$H$5:$H$65536,IF(OR(MID(TRIM($A13),2,1)="：",MID(TRIM($A13),2,1)="、"),REPLACEB(TRIM($A13),1,4,""),TRIM($A13)),'报表调整(期初)'!$J$5:$J$65536)</f>
        <v>0</v>
      </c>
      <c r="G13" s="413">
        <f t="shared" si="0"/>
        <v>0</v>
      </c>
      <c r="H13" s="413"/>
      <c r="I13" s="414">
        <f t="shared" si="1"/>
        <v>0</v>
      </c>
    </row>
    <row r="14" spans="1:13" ht="14.45" customHeight="1">
      <c r="A14" s="180" t="str">
        <f>报表格式!B13</f>
        <v>预付账款</v>
      </c>
      <c r="B14" s="413">
        <f>期初核对BS!C14</f>
        <v>0</v>
      </c>
      <c r="C14" s="413">
        <f>SUMIF('账项调整(期初)'!$E$5:$E$65536,IF(OR(MID(TRIM($A14),2,1)="：",MID(TRIM($A14),2,1)="、"),REPLACEB(TRIM($A14),1,4,""),TRIM($A14)),'账项调整(期初)'!$J$5:$J$65536)</f>
        <v>0</v>
      </c>
      <c r="D14" s="413">
        <f>SUMIF('账项调整(期初)'!$H$5:$H$65536,IF(OR(MID(TRIM($A14),2,1)="：",MID(TRIM($A14),2,1)="、"),REPLACEB(TRIM($A14),1,4,""),TRIM($A14)),'账项调整(期初)'!$J$5:$J$65536)</f>
        <v>0</v>
      </c>
      <c r="E14" s="413">
        <f>SUMIF('报表调整(期初)'!$E$5:$E$65536,IF(OR(MID(TRIM($A14),2,1)="：",MID(TRIM($A14),2,1)="、"),REPLACEB(TRIM($A14),1,4,""),TRIM($A14)),'报表调整(期初)'!$J$5:$J$65536)</f>
        <v>0</v>
      </c>
      <c r="F14" s="413">
        <f>SUMIF('报表调整(期初)'!$H$5:$H$65536,IF(OR(MID(TRIM($A14),2,1)="：",MID(TRIM($A14),2,1)="、"),REPLACEB(TRIM($A14),1,4,""),TRIM($A14)),'报表调整(期初)'!$J$5:$J$65536)</f>
        <v>0</v>
      </c>
      <c r="G14" s="413">
        <f t="shared" si="0"/>
        <v>0</v>
      </c>
      <c r="H14" s="413"/>
      <c r="I14" s="414">
        <f t="shared" si="1"/>
        <v>0</v>
      </c>
    </row>
    <row r="15" spans="1:13" ht="14.45" customHeight="1">
      <c r="A15" s="180" t="str">
        <f>报表格式!B14</f>
        <v>期货保证金</v>
      </c>
      <c r="B15" s="413">
        <f>期初核对BS!C15</f>
        <v>0</v>
      </c>
      <c r="C15" s="413">
        <f>SUMIF('账项调整(期初)'!$E$5:$E$65536,IF(OR(MID(TRIM($A15),2,1)="：",MID(TRIM($A15),2,1)="、"),REPLACEB(TRIM($A15),1,4,""),TRIM($A15)),'账项调整(期初)'!$J$5:$J$65536)</f>
        <v>0</v>
      </c>
      <c r="D15" s="413">
        <f>SUMIF('账项调整(期初)'!$H$5:$H$65536,IF(OR(MID(TRIM($A15),2,1)="：",MID(TRIM($A15),2,1)="、"),REPLACEB(TRIM($A15),1,4,""),TRIM($A15)),'账项调整(期初)'!$J$5:$J$65536)</f>
        <v>0</v>
      </c>
      <c r="E15" s="413">
        <f>SUMIF('报表调整(期初)'!$E$5:$E$65536,IF(OR(MID(TRIM($A15),2,1)="：",MID(TRIM($A15),2,1)="、"),REPLACEB(TRIM($A15),1,4,""),TRIM($A15)),'报表调整(期初)'!$J$5:$J$65536)</f>
        <v>0</v>
      </c>
      <c r="F15" s="413">
        <f>SUMIF('报表调整(期初)'!$H$5:$H$65536,IF(OR(MID(TRIM($A15),2,1)="：",MID(TRIM($A15),2,1)="、"),REPLACEB(TRIM($A15),1,4,""),TRIM($A15)),'报表调整(期初)'!$J$5:$J$65536)</f>
        <v>0</v>
      </c>
      <c r="G15" s="413">
        <f t="shared" si="0"/>
        <v>0</v>
      </c>
      <c r="H15" s="413"/>
      <c r="I15" s="414">
        <f t="shared" si="1"/>
        <v>0</v>
      </c>
    </row>
    <row r="16" spans="1:13" ht="14.45" customHeight="1">
      <c r="A16" s="180" t="str">
        <f>报表格式!B15</f>
        <v>应收补贴款</v>
      </c>
      <c r="B16" s="413">
        <f>期初核对BS!C16</f>
        <v>0</v>
      </c>
      <c r="C16" s="413">
        <f>SUMIF('账项调整(期初)'!$E$5:$E$65536,IF(OR(MID(TRIM($A16),2,1)="：",MID(TRIM($A16),2,1)="、"),REPLACEB(TRIM($A16),1,4,""),TRIM($A16)),'账项调整(期初)'!$J$5:$J$65536)</f>
        <v>0</v>
      </c>
      <c r="D16" s="413">
        <f>SUMIF('账项调整(期初)'!$H$5:$H$65536,IF(OR(MID(TRIM($A16),2,1)="：",MID(TRIM($A16),2,1)="、"),REPLACEB(TRIM($A16),1,4,""),TRIM($A16)),'账项调整(期初)'!$J$5:$J$65536)</f>
        <v>0</v>
      </c>
      <c r="E16" s="413">
        <f>SUMIF('报表调整(期初)'!$E$5:$E$65536,IF(OR(MID(TRIM($A16),2,1)="：",MID(TRIM($A16),2,1)="、"),REPLACEB(TRIM($A16),1,4,""),TRIM($A16)),'报表调整(期初)'!$J$5:$J$65536)</f>
        <v>0</v>
      </c>
      <c r="F16" s="413">
        <f>SUMIF('报表调整(期初)'!$H$5:$H$65536,IF(OR(MID(TRIM($A16),2,1)="：",MID(TRIM($A16),2,1)="、"),REPLACEB(TRIM($A16),1,4,""),TRIM($A16)),'报表调整(期初)'!$J$5:$J$65536)</f>
        <v>0</v>
      </c>
      <c r="G16" s="413">
        <f t="shared" si="0"/>
        <v>0</v>
      </c>
      <c r="H16" s="413"/>
      <c r="I16" s="414">
        <f t="shared" si="1"/>
        <v>0</v>
      </c>
    </row>
    <row r="17" spans="1:9" ht="14.45" customHeight="1">
      <c r="A17" s="180" t="str">
        <f>报表格式!B16</f>
        <v>应收出口退税</v>
      </c>
      <c r="B17" s="413">
        <f>期初核对BS!C17</f>
        <v>0</v>
      </c>
      <c r="C17" s="413">
        <f>SUMIF('账项调整(期初)'!$E$5:$E$65536,IF(OR(MID(TRIM($A17),2,1)="：",MID(TRIM($A17),2,1)="、"),REPLACEB(TRIM($A17),1,4,""),TRIM($A17)),'账项调整(期初)'!$J$5:$J$65536)</f>
        <v>0</v>
      </c>
      <c r="D17" s="413">
        <f>SUMIF('账项调整(期初)'!$H$5:$H$65536,IF(OR(MID(TRIM($A17),2,1)="：",MID(TRIM($A17),2,1)="、"),REPLACEB(TRIM($A17),1,4,""),TRIM($A17)),'账项调整(期初)'!$J$5:$J$65536)</f>
        <v>0</v>
      </c>
      <c r="E17" s="413">
        <f>SUMIF('报表调整(期初)'!$E$5:$E$65536,IF(OR(MID(TRIM($A17),2,1)="：",MID(TRIM($A17),2,1)="、"),REPLACEB(TRIM($A17),1,4,""),TRIM($A17)),'报表调整(期初)'!$J$5:$J$65536)</f>
        <v>0</v>
      </c>
      <c r="F17" s="413">
        <f>SUMIF('报表调整(期初)'!$H$5:$H$65536,IF(OR(MID(TRIM($A17),2,1)="：",MID(TRIM($A17),2,1)="、"),REPLACEB(TRIM($A17),1,4,""),TRIM($A17)),'报表调整(期初)'!$J$5:$J$65536)</f>
        <v>0</v>
      </c>
      <c r="G17" s="413">
        <f t="shared" si="0"/>
        <v>0</v>
      </c>
      <c r="H17" s="413"/>
      <c r="I17" s="414">
        <f t="shared" si="1"/>
        <v>0</v>
      </c>
    </row>
    <row r="18" spans="1:9" ht="14.45" customHeight="1">
      <c r="A18" s="180" t="str">
        <f>报表格式!B17</f>
        <v>存货</v>
      </c>
      <c r="B18" s="413">
        <f>期初核对BS!C18</f>
        <v>0</v>
      </c>
      <c r="C18" s="413">
        <f>SUMIF('账项调整(期初)'!$E$5:$E$65536,IF(OR(MID(TRIM($A18),2,1)="：",MID(TRIM($A18),2,1)="、"),REPLACEB(TRIM($A18),1,4,""),TRIM($A18)),'账项调整(期初)'!$J$5:$J$65536)</f>
        <v>0</v>
      </c>
      <c r="D18" s="413">
        <f>SUMIF('账项调整(期初)'!$H$5:$H$65536,IF(OR(MID(TRIM($A18),2,1)="：",MID(TRIM($A18),2,1)="、"),REPLACEB(TRIM($A18),1,4,""),TRIM($A18)),'账项调整(期初)'!$J$5:$J$65536)</f>
        <v>0</v>
      </c>
      <c r="E18" s="413">
        <f>SUMIF('报表调整(期初)'!$E$5:$E$65536,IF(OR(MID(TRIM($A18),2,1)="：",MID(TRIM($A18),2,1)="、"),REPLACEB(TRIM($A18),1,4,""),TRIM($A18)),'报表调整(期初)'!$J$5:$J$65536)</f>
        <v>0</v>
      </c>
      <c r="F18" s="413">
        <f>SUMIF('报表调整(期初)'!$H$5:$H$65536,IF(OR(MID(TRIM($A18),2,1)="：",MID(TRIM($A18),2,1)="、"),REPLACEB(TRIM($A18),1,4,""),TRIM($A18)),'报表调整(期初)'!$J$5:$J$65536)</f>
        <v>0</v>
      </c>
      <c r="G18" s="413">
        <f t="shared" si="0"/>
        <v>0</v>
      </c>
      <c r="H18" s="413"/>
      <c r="I18" s="414">
        <f t="shared" si="1"/>
        <v>0</v>
      </c>
    </row>
    <row r="19" spans="1:9" ht="14.45" customHeight="1">
      <c r="A19" s="180" t="str">
        <f>报表格式!B18</f>
        <v xml:space="preserve">  其中：原材料</v>
      </c>
      <c r="B19" s="413">
        <f>期初核对BS!C19</f>
        <v>0</v>
      </c>
      <c r="C19" s="413">
        <f>SUMIF('账项调整(期初)'!$F$5:$F$65536,IF(OR(MID(TRIM($A19),2,1)="：",MID(TRIM($A19),2,1)="、"),REPLACEB(TRIM($A19),1,4,""),TRIM($A19)),'账项调整(期初)'!$J$5:$J$65536)</f>
        <v>0</v>
      </c>
      <c r="D19" s="413">
        <f>SUMIF('账项调整(期初)'!$I$5:$I$65536,IF(OR(MID(TRIM($A19),2,1)="：",MID(TRIM($A19),2,1)="、"),REPLACEB(TRIM($A19),1,4,""),TRIM($A19)),'账项调整(期初)'!$J$5:$J$65536)</f>
        <v>0</v>
      </c>
      <c r="E19" s="413">
        <f>SUMIF('报表调整(期初)'!$F$5:$F$65536,IF(OR(MID(TRIM($A19),2,1)="：",MID(TRIM($A19),2,1)="、"),REPLACEB(TRIM($A19),1,4,""),TRIM($A19)),'报表调整(期初)'!$J$5:$J$65536)</f>
        <v>0</v>
      </c>
      <c r="F19" s="413">
        <f>SUMIF('报表调整(期初)'!$I$5:$I$65536,IF(OR(MID(TRIM($A19),2,1)="：",MID(TRIM($A19),2,1)="、"),REPLACEB(TRIM($A19),1,4,""),TRIM($A19)),'报表调整(期初)'!$J$5:$J$65536)</f>
        <v>0</v>
      </c>
      <c r="G19" s="413">
        <f t="shared" si="0"/>
        <v>0</v>
      </c>
      <c r="H19" s="413"/>
      <c r="I19" s="414">
        <f t="shared" si="1"/>
        <v>0</v>
      </c>
    </row>
    <row r="20" spans="1:9" ht="14.45" customHeight="1">
      <c r="A20" s="180" t="str">
        <f>报表格式!B19</f>
        <v xml:space="preserve">        库存商品（产成品）</v>
      </c>
      <c r="B20" s="413">
        <f>期初核对BS!C20</f>
        <v>0</v>
      </c>
      <c r="C20" s="413">
        <f>SUMIF('账项调整(期初)'!$F$5:$F$65536,IF(OR(MID(TRIM($A20),2,1)="：",MID(TRIM($A20),2,1)="、"),REPLACEB(TRIM($A20),1,4,""),TRIM($A20)),'账项调整(期初)'!$J$5:$J$65536)</f>
        <v>0</v>
      </c>
      <c r="D20" s="413">
        <f>SUMIF('账项调整(期初)'!$I$5:$I$65536,IF(OR(MID(TRIM($A20),2,1)="：",MID(TRIM($A20),2,1)="、"),REPLACEB(TRIM($A20),1,4,""),TRIM($A20)),'账项调整(期初)'!$J$5:$J$65536)</f>
        <v>0</v>
      </c>
      <c r="E20" s="413">
        <f>SUMIF('报表调整(期初)'!$F$5:$F$65536,IF(OR(MID(TRIM($A20),2,1)="：",MID(TRIM($A20),2,1)="、"),REPLACEB(TRIM($A20),1,4,""),TRIM($A20)),'报表调整(期初)'!$J$5:$J$65536)</f>
        <v>0</v>
      </c>
      <c r="F20" s="413">
        <f>SUMIF('报表调整(期初)'!$I$5:$I$65536,IF(OR(MID(TRIM($A20),2,1)="：",MID(TRIM($A20),2,1)="、"),REPLACEB(TRIM($A20),1,4,""),TRIM($A20)),'报表调整(期初)'!$J$5:$J$65536)</f>
        <v>0</v>
      </c>
      <c r="G20" s="413">
        <f t="shared" si="0"/>
        <v>0</v>
      </c>
      <c r="H20" s="413"/>
      <c r="I20" s="414">
        <f t="shared" si="1"/>
        <v>0</v>
      </c>
    </row>
    <row r="21" spans="1:9" ht="14.45" customHeight="1">
      <c r="A21" s="180" t="str">
        <f>报表格式!B20</f>
        <v>待摊费用</v>
      </c>
      <c r="B21" s="413">
        <f>期初核对BS!C21</f>
        <v>0</v>
      </c>
      <c r="C21" s="413">
        <f>SUMIF('账项调整(期初)'!$E$5:$E$65536,IF(OR(MID(TRIM($A21),2,1)="：",MID(TRIM($A21),2,1)="、"),REPLACEB(TRIM($A21),1,4,""),TRIM($A21)),'账项调整(期初)'!$J$5:$J$65536)</f>
        <v>0</v>
      </c>
      <c r="D21" s="413">
        <f>SUMIF('账项调整(期初)'!$H$5:$H$65536,IF(OR(MID(TRIM($A21),2,1)="：",MID(TRIM($A21),2,1)="、"),REPLACEB(TRIM($A21),1,4,""),TRIM($A21)),'账项调整(期初)'!$J$5:$J$65536)</f>
        <v>0</v>
      </c>
      <c r="E21" s="413">
        <f>SUMIF('报表调整(期初)'!$E$5:$E$65536,IF(OR(MID(TRIM($A21),2,1)="：",MID(TRIM($A21),2,1)="、"),REPLACEB(TRIM($A21),1,4,""),TRIM($A21)),'报表调整(期初)'!$J$5:$J$65536)</f>
        <v>0</v>
      </c>
      <c r="F21" s="413">
        <f>SUMIF('报表调整(期初)'!$H$5:$H$65536,IF(OR(MID(TRIM($A21),2,1)="：",MID(TRIM($A21),2,1)="、"),REPLACEB(TRIM($A21),1,4,""),TRIM($A21)),'报表调整(期初)'!$J$5:$J$65536)</f>
        <v>0</v>
      </c>
      <c r="G21" s="413">
        <f t="shared" si="0"/>
        <v>0</v>
      </c>
      <c r="H21" s="413"/>
      <c r="I21" s="414">
        <f t="shared" si="1"/>
        <v>0</v>
      </c>
    </row>
    <row r="22" spans="1:9" ht="14.45" customHeight="1">
      <c r="A22" s="180" t="str">
        <f>报表格式!B21</f>
        <v>待处理流动资产净损失</v>
      </c>
      <c r="B22" s="413">
        <f>期初核对BS!C22</f>
        <v>0</v>
      </c>
      <c r="C22" s="413">
        <f>SUMIF('账项调整(期初)'!$E$5:$E$65536,IF(OR(MID(TRIM($A22),2,1)="：",MID(TRIM($A22),2,1)="、"),REPLACEB(TRIM($A22),1,4,""),TRIM($A22)),'账项调整(期初)'!$J$5:$J$65536)</f>
        <v>0</v>
      </c>
      <c r="D22" s="413">
        <f>SUMIF('账项调整(期初)'!$H$5:$H$65536,IF(OR(MID(TRIM($A22),2,1)="：",MID(TRIM($A22),2,1)="、"),REPLACEB(TRIM($A22),1,4,""),TRIM($A22)),'账项调整(期初)'!$J$5:$J$65536)</f>
        <v>0</v>
      </c>
      <c r="E22" s="413">
        <f>SUMIF('报表调整(期初)'!$E$5:$E$65536,IF(OR(MID(TRIM($A22),2,1)="：",MID(TRIM($A22),2,1)="、"),REPLACEB(TRIM($A22),1,4,""),TRIM($A22)),'报表调整(期初)'!$J$5:$J$65536)</f>
        <v>0</v>
      </c>
      <c r="F22" s="413">
        <f>SUMIF('报表调整(期初)'!$H$5:$H$65536,IF(OR(MID(TRIM($A22),2,1)="：",MID(TRIM($A22),2,1)="、"),REPLACEB(TRIM($A22),1,4,""),TRIM($A22)),'报表调整(期初)'!$J$5:$J$65536)</f>
        <v>0</v>
      </c>
      <c r="G22" s="413">
        <f t="shared" si="0"/>
        <v>0</v>
      </c>
      <c r="H22" s="413"/>
      <c r="I22" s="414">
        <f t="shared" si="1"/>
        <v>0</v>
      </c>
    </row>
    <row r="23" spans="1:9" ht="14.45" customHeight="1">
      <c r="A23" s="180" t="str">
        <f>报表格式!B22</f>
        <v>一年内到期的长期债权投资</v>
      </c>
      <c r="B23" s="413">
        <f>期初核对BS!C23</f>
        <v>0</v>
      </c>
      <c r="C23" s="413">
        <f>SUMIF('账项调整(期初)'!$E$5:$E$65536,IF(OR(MID(TRIM($A23),2,1)="：",MID(TRIM($A23),2,1)="、"),REPLACEB(TRIM($A23),1,4,""),TRIM($A23)),'账项调整(期初)'!$J$5:$J$65536)</f>
        <v>0</v>
      </c>
      <c r="D23" s="413">
        <f>SUMIF('账项调整(期初)'!$H$5:$H$65536,IF(OR(MID(TRIM($A23),2,1)="：",MID(TRIM($A23),2,1)="、"),REPLACEB(TRIM($A23),1,4,""),TRIM($A23)),'账项调整(期初)'!$J$5:$J$65536)</f>
        <v>0</v>
      </c>
      <c r="E23" s="413">
        <f>SUMIF('报表调整(期初)'!$E$5:$E$65536,IF(OR(MID(TRIM($A23),2,1)="：",MID(TRIM($A23),2,1)="、"),REPLACEB(TRIM($A23),1,4,""),TRIM($A23)),'报表调整(期初)'!$J$5:$J$65536)</f>
        <v>0</v>
      </c>
      <c r="F23" s="413">
        <f>SUMIF('报表调整(期初)'!$H$5:$H$65536,IF(OR(MID(TRIM($A23),2,1)="：",MID(TRIM($A23),2,1)="、"),REPLACEB(TRIM($A23),1,4,""),TRIM($A23)),'报表调整(期初)'!$J$5:$J$65536)</f>
        <v>0</v>
      </c>
      <c r="G23" s="413">
        <f t="shared" si="0"/>
        <v>0</v>
      </c>
      <c r="H23" s="413"/>
      <c r="I23" s="414">
        <f t="shared" si="1"/>
        <v>0</v>
      </c>
    </row>
    <row r="24" spans="1:9" ht="14.45" customHeight="1">
      <c r="A24" s="180" t="str">
        <f>报表格式!B23</f>
        <v>其他流动资产</v>
      </c>
      <c r="B24" s="413">
        <f>期初核对BS!C24</f>
        <v>0</v>
      </c>
      <c r="C24" s="413">
        <f>SUMIF('账项调整(期初)'!$E$5:$E$65536,IF(OR(MID(TRIM($A24),2,1)="：",MID(TRIM($A24),2,1)="、"),REPLACEB(TRIM($A24),1,4,""),TRIM($A24)),'账项调整(期初)'!$J$5:$J$65536)</f>
        <v>0</v>
      </c>
      <c r="D24" s="413">
        <f>SUMIF('账项调整(期初)'!$H$5:$H$65536,IF(OR(MID(TRIM($A24),2,1)="：",MID(TRIM($A24),2,1)="、"),REPLACEB(TRIM($A24),1,4,""),TRIM($A24)),'账项调整(期初)'!$J$5:$J$65536)</f>
        <v>0</v>
      </c>
      <c r="E24" s="413">
        <f>SUMIF('报表调整(期初)'!$E$5:$E$65536,IF(OR(MID(TRIM($A24),2,1)="：",MID(TRIM($A24),2,1)="、"),REPLACEB(TRIM($A24),1,4,""),TRIM($A24)),'报表调整(期初)'!$J$5:$J$65536)</f>
        <v>0</v>
      </c>
      <c r="F24" s="413">
        <f>SUMIF('报表调整(期初)'!$H$5:$H$65536,IF(OR(MID(TRIM($A24),2,1)="：",MID(TRIM($A24),2,1)="、"),REPLACEB(TRIM($A24),1,4,""),TRIM($A24)),'报表调整(期初)'!$J$5:$J$65536)</f>
        <v>0</v>
      </c>
      <c r="G24" s="413">
        <f t="shared" si="0"/>
        <v>0</v>
      </c>
      <c r="H24" s="413"/>
      <c r="I24" s="414">
        <f t="shared" si="1"/>
        <v>0</v>
      </c>
    </row>
    <row r="25" spans="1:9" ht="14.45" customHeight="1">
      <c r="A25" s="180">
        <f>报表格式!B24</f>
        <v>0</v>
      </c>
      <c r="B25" s="413">
        <f>期初核对BS!C25</f>
        <v>0</v>
      </c>
      <c r="C25" s="413">
        <f>SUMIF('账项调整(期初)'!$E$5:$E$65536,IF(OR(MID(TRIM($A25),2,1)="：",MID(TRIM($A25),2,1)="、"),REPLACEB(TRIM($A25),1,4,""),TRIM($A25)),'账项调整(期初)'!$J$5:$J$65536)</f>
        <v>0</v>
      </c>
      <c r="D25" s="413">
        <f>SUMIF('账项调整(期初)'!$H$5:$H$65536,IF(OR(MID(TRIM($A25),2,1)="：",MID(TRIM($A25),2,1)="、"),REPLACEB(TRIM($A25),1,4,""),TRIM($A25)),'账项调整(期初)'!$J$5:$J$65536)</f>
        <v>0</v>
      </c>
      <c r="E25" s="413">
        <f>SUMIF('报表调整(期初)'!$E$5:$E$65536,IF(OR(MID(TRIM($A25),2,1)="：",MID(TRIM($A25),2,1)="、"),REPLACEB(TRIM($A25),1,4,""),TRIM($A25)),'报表调整(期初)'!$J$5:$J$65536)</f>
        <v>0</v>
      </c>
      <c r="F25" s="413">
        <f>SUMIF('报表调整(期初)'!$H$5:$H$65536,IF(OR(MID(TRIM($A25),2,1)="：",MID(TRIM($A25),2,1)="、"),REPLACEB(TRIM($A25),1,4,""),TRIM($A25)),'报表调整(期初)'!$J$5:$J$65536)</f>
        <v>0</v>
      </c>
      <c r="G25" s="413">
        <f t="shared" si="0"/>
        <v>0</v>
      </c>
      <c r="H25" s="413"/>
      <c r="I25" s="414">
        <f t="shared" si="1"/>
        <v>0</v>
      </c>
    </row>
    <row r="26" spans="1:9" ht="14.45" customHeight="1">
      <c r="A26" s="180">
        <f>报表格式!B25</f>
        <v>0</v>
      </c>
      <c r="B26" s="413">
        <f>期初核对BS!C26</f>
        <v>0</v>
      </c>
      <c r="C26" s="413">
        <f>SUMIF('账项调整(期初)'!$E$5:$E$65536,IF(OR(MID(TRIM($A26),2,1)="：",MID(TRIM($A26),2,1)="、"),REPLACEB(TRIM($A26),1,4,""),TRIM($A26)),'账项调整(期初)'!$J$5:$J$65536)</f>
        <v>0</v>
      </c>
      <c r="D26" s="413">
        <f>SUMIF('账项调整(期初)'!$H$5:$H$65536,IF(OR(MID(TRIM($A26),2,1)="：",MID(TRIM($A26),2,1)="、"),REPLACEB(TRIM($A26),1,4,""),TRIM($A26)),'账项调整(期初)'!$J$5:$J$65536)</f>
        <v>0</v>
      </c>
      <c r="E26" s="413">
        <f>SUMIF('报表调整(期初)'!$E$5:$E$65536,IF(OR(MID(TRIM($A26),2,1)="：",MID(TRIM($A26),2,1)="、"),REPLACEB(TRIM($A26),1,4,""),TRIM($A26)),'报表调整(期初)'!$J$5:$J$65536)</f>
        <v>0</v>
      </c>
      <c r="F26" s="413">
        <f>SUMIF('报表调整(期初)'!$H$5:$H$65536,IF(OR(MID(TRIM($A26),2,1)="：",MID(TRIM($A26),2,1)="、"),REPLACEB(TRIM($A26),1,4,""),TRIM($A26)),'报表调整(期初)'!$J$5:$J$65536)</f>
        <v>0</v>
      </c>
      <c r="G26" s="413">
        <f t="shared" si="0"/>
        <v>0</v>
      </c>
      <c r="H26" s="413"/>
      <c r="I26" s="414">
        <f t="shared" si="1"/>
        <v>0</v>
      </c>
    </row>
    <row r="27" spans="1:9" ht="14.45" customHeight="1">
      <c r="A27" s="181" t="str">
        <f>报表格式!B26</f>
        <v>流动资产合计</v>
      </c>
      <c r="B27" s="415">
        <f t="shared" ref="B27:H27" si="2">SUM(B7:B26)-B19-B20</f>
        <v>0</v>
      </c>
      <c r="C27" s="415">
        <f t="shared" si="2"/>
        <v>0</v>
      </c>
      <c r="D27" s="415">
        <f t="shared" si="2"/>
        <v>0</v>
      </c>
      <c r="E27" s="415">
        <f t="shared" si="2"/>
        <v>0</v>
      </c>
      <c r="F27" s="415">
        <f t="shared" si="2"/>
        <v>0</v>
      </c>
      <c r="G27" s="415">
        <f t="shared" si="2"/>
        <v>0</v>
      </c>
      <c r="H27" s="415">
        <f t="shared" si="2"/>
        <v>0</v>
      </c>
      <c r="I27" s="416">
        <f t="shared" si="1"/>
        <v>0</v>
      </c>
    </row>
    <row r="28" spans="1:9" ht="14.45" customHeight="1">
      <c r="A28" s="710" t="str">
        <f>报表格式!B27</f>
        <v>长期投资</v>
      </c>
      <c r="B28" s="413">
        <f t="shared" ref="B28:H28" si="3">SUM(B29:B30)</f>
        <v>0</v>
      </c>
      <c r="C28" s="413">
        <f t="shared" si="3"/>
        <v>0</v>
      </c>
      <c r="D28" s="413">
        <f t="shared" si="3"/>
        <v>0</v>
      </c>
      <c r="E28" s="413">
        <f t="shared" si="3"/>
        <v>0</v>
      </c>
      <c r="F28" s="413">
        <f t="shared" si="3"/>
        <v>0</v>
      </c>
      <c r="G28" s="413">
        <f t="shared" si="3"/>
        <v>0</v>
      </c>
      <c r="H28" s="413">
        <f t="shared" si="3"/>
        <v>0</v>
      </c>
      <c r="I28" s="416">
        <f t="shared" si="1"/>
        <v>0</v>
      </c>
    </row>
    <row r="29" spans="1:9" ht="14.45" customHeight="1">
      <c r="A29" s="183" t="str">
        <f>报表格式!B28</f>
        <v xml:space="preserve">  其中：长期股权投资</v>
      </c>
      <c r="B29" s="413">
        <f>期初核对BS!C29</f>
        <v>0</v>
      </c>
      <c r="C29" s="413">
        <f>SUMIF('账项调整(期初)'!$E$5:$E$65536,IF(OR(MID(TRIM($A29),3,1)="：",MID(TRIM($A29),3,1)="、"),TRIM(REPLACEB(TRIM($A29),1,5,"")),TRIM($A29)),'账项调整(期初)'!$J$5:$J$65536)-C31</f>
        <v>0</v>
      </c>
      <c r="D29" s="413">
        <f>SUMIF('账项调整(期初)'!$H$5:$H$65536,IF(OR(MID(TRIM($A29),3,1)="：",MID(TRIM($A29),3,1)="、"),TRIM(REPLACEB(TRIM($A29),1,5,"")),TRIM($A29)),'账项调整(期初)'!$J$5:$J$65536)-D31</f>
        <v>0</v>
      </c>
      <c r="E29" s="413">
        <f>SUMIF('报表调整(期初)'!$E$5:$E$65536,IF(OR(MID(TRIM($A29),3,1)="：",MID(TRIM($A29),3,1)="、"),TRIM(REPLACEB(TRIM($A29),1,5,"")),TRIM($A29)),'报表调整(期初)'!$J$5:$J$65536)-E31</f>
        <v>0</v>
      </c>
      <c r="F29" s="413">
        <f>SUMIF('报表调整(期初)'!$H$5:$H$65536,IF(OR(MID(TRIM($A29),3,1)="：",MID(TRIM($A29),3,1)="、"),TRIM(REPLACEB(TRIM($A29),1,5,"")),TRIM($A29)),'报表调整(期初)'!$J$5:$J$65536)-F31</f>
        <v>0</v>
      </c>
      <c r="G29" s="413">
        <f>B29+C29+E29-D29-F29</f>
        <v>0</v>
      </c>
      <c r="H29" s="413"/>
      <c r="I29" s="414">
        <f t="shared" ref="I29:I34" si="4">SUM(G29:H29)</f>
        <v>0</v>
      </c>
    </row>
    <row r="30" spans="1:9" ht="14.45" customHeight="1">
      <c r="A30" s="183" t="str">
        <f>报表格式!B29</f>
        <v xml:space="preserve">       长期债权投资</v>
      </c>
      <c r="B30" s="413">
        <f>期初核对BS!C30</f>
        <v>0</v>
      </c>
      <c r="C30" s="413">
        <f>SUMIF('账项调整(期初)'!$E$5:$E$65536,IF(OR(MID(TRIM($A30),2,1)="：",MID(TRIM($A30),2,1)="、"),REPLACEB(TRIM($A30),1,4,""),TRIM($A30)),'账项调整(期初)'!$J$5:$J$65536)</f>
        <v>0</v>
      </c>
      <c r="D30" s="413">
        <f>SUMIF('账项调整(期初)'!$H$5:$H$65536,IF(OR(MID(TRIM($A30),2,1)="：",MID(TRIM($A30),2,1)="、"),REPLACEB(TRIM($A30),1,4,""),TRIM($A30)),'账项调整(期初)'!$J$5:$J$65536)</f>
        <v>0</v>
      </c>
      <c r="E30" s="413">
        <f>SUMIF('报表调整(期初)'!$E$5:$E$65536,IF(OR(MID(TRIM($A30),2,1)="：",MID(TRIM($A30),2,1)="、"),REPLACEB(TRIM($A30),1,4,""),TRIM($A30)),'报表调整(期初)'!$J$5:$J$65536)</f>
        <v>0</v>
      </c>
      <c r="F30" s="413">
        <f>SUMIF('报表调整(期初)'!$H$5:$H$65536,IF(OR(MID(TRIM($A30),2,1)="：",MID(TRIM($A30),2,1)="、"),REPLACEB(TRIM($A30),1,4,""),TRIM($A30)),'报表调整(期初)'!$J$5:$J$65536)</f>
        <v>0</v>
      </c>
      <c r="G30" s="413">
        <f>B30+C30+E30-D30-F30</f>
        <v>0</v>
      </c>
      <c r="H30" s="413"/>
      <c r="I30" s="414">
        <f t="shared" si="4"/>
        <v>0</v>
      </c>
    </row>
    <row r="31" spans="1:9" ht="14.45" customHeight="1">
      <c r="A31" s="183" t="str">
        <f>报表格式!B30</f>
        <v>*合并价差</v>
      </c>
      <c r="B31" s="413">
        <f>期初核对BS!C31</f>
        <v>0</v>
      </c>
      <c r="C31" s="413">
        <f>SUMIF('账项调整(期初)'!$F$5:$F$65536,REPLACEB(IF(OR(MID(TRIM($A31),2,1)="：",MID(TRIM($A31),2,1)="、"),REPLACEB(TRIM($A31),1,4,""),TRIM($A31)),1,1,""),'账项调整(期初)'!$J$5:$J$65536)</f>
        <v>0</v>
      </c>
      <c r="D31" s="413">
        <f>SUMIF('账项调整(期初)'!$I$5:$I$65536,REPLACEB(IF(OR(MID(TRIM($A31),2,1)="：",MID(TRIM($A31),2,1)="、"),REPLACEB(TRIM($A31),1,4,""),TRIM($A31)),1,1,""),'账项调整(期初)'!$J$5:$J$65536)</f>
        <v>0</v>
      </c>
      <c r="E31" s="413">
        <f>SUMIF('报表调整(期初)'!$F$5:$F$65536,REPLACEB(IF(OR(MID(TRIM($A31),2,1)="：",MID(TRIM($A31),2,1)="、"),REPLACEB(TRIM($A31),1,4,""),TRIM($A31)),1,1,""),'报表调整(期初)'!$J$5:$J$65536)</f>
        <v>0</v>
      </c>
      <c r="F31" s="413">
        <f>SUMIF('报表调整(期初)'!$I$5:$I$65536,REPLACEB(IF(OR(MID(TRIM($A31),2,1)="：",MID(TRIM($A31),2,1)="、"),REPLACEB(TRIM($A31),1,4,""),TRIM($A31)),1,1,""),'报表调整(期初)'!$J$5:$J$65536)</f>
        <v>0</v>
      </c>
      <c r="G31" s="413">
        <f>B31+C31+E31-D31-F31</f>
        <v>0</v>
      </c>
      <c r="H31" s="413"/>
      <c r="I31" s="414">
        <f t="shared" si="4"/>
        <v>0</v>
      </c>
    </row>
    <row r="32" spans="1:9" ht="14.45" customHeight="1">
      <c r="A32" s="183">
        <f>报表格式!B31</f>
        <v>0</v>
      </c>
      <c r="B32" s="413">
        <f>期初核对BS!C32</f>
        <v>0</v>
      </c>
      <c r="C32" s="413">
        <f>SUMIF('账项调整(期初)'!$E$5:$E$65536,IF(OR(MID(TRIM($A32),2,1)="：",MID(TRIM($A32),2,1)="、"),REPLACEB(TRIM($A32),1,4,""),TRIM($A32)),'账项调整(期初)'!$J$5:$J$65536)</f>
        <v>0</v>
      </c>
      <c r="D32" s="413">
        <f>SUMIF('账项调整(期初)'!$H$5:$H$65536,IF(OR(MID(TRIM($A32),2,1)="：",MID(TRIM($A32),2,1)="、"),REPLACEB(TRIM($A32),1,4,""),TRIM($A32)),'账项调整(期初)'!$J$5:$J$65536)</f>
        <v>0</v>
      </c>
      <c r="E32" s="413">
        <f>SUMIF('报表调整(期初)'!$E$5:$E$65536,IF(OR(MID(TRIM($A32),2,1)="：",MID(TRIM($A32),2,1)="、"),REPLACEB(TRIM($A32),1,4,""),TRIM($A32)),'报表调整(期初)'!$J$5:$J$65536)</f>
        <v>0</v>
      </c>
      <c r="F32" s="413">
        <f>SUMIF('报表调整(期初)'!$H$5:$H$65536,IF(OR(MID(TRIM($A32),2,1)="：",MID(TRIM($A32),2,1)="、"),REPLACEB(TRIM($A32),1,4,""),TRIM($A32)),'报表调整(期初)'!$J$5:$J$65536)</f>
        <v>0</v>
      </c>
      <c r="G32" s="413">
        <f>B32+C32+E32-D32-F32</f>
        <v>0</v>
      </c>
      <c r="H32" s="413"/>
      <c r="I32" s="414">
        <f t="shared" si="4"/>
        <v>0</v>
      </c>
    </row>
    <row r="33" spans="1:9" ht="14.45" customHeight="1">
      <c r="A33" s="183">
        <f>报表格式!B32</f>
        <v>0</v>
      </c>
      <c r="B33" s="413">
        <f>期初核对BS!C33</f>
        <v>0</v>
      </c>
      <c r="C33" s="413">
        <f>SUMIF('账项调整(期初)'!$E$5:$E$65536,IF(OR(MID(TRIM($A33),2,1)="：",MID(TRIM($A33),2,1)="、"),REPLACEB(TRIM($A33),1,4,""),TRIM($A33)),'账项调整(期初)'!$J$5:$J$65536)</f>
        <v>0</v>
      </c>
      <c r="D33" s="413">
        <f>SUMIF('账项调整(期初)'!$H$5:$H$65536,IF(OR(MID(TRIM($A33),2,1)="：",MID(TRIM($A33),2,1)="、"),REPLACEB(TRIM($A33),1,4,""),TRIM($A33)),'账项调整(期初)'!$J$5:$J$65536)</f>
        <v>0</v>
      </c>
      <c r="E33" s="413">
        <f>SUMIF('报表调整(期初)'!$E$5:$E$65536,IF(OR(MID(TRIM($A33),2,1)="：",MID(TRIM($A33),2,1)="、"),REPLACEB(TRIM($A33),1,4,""),TRIM($A33)),'报表调整(期初)'!$J$5:$J$65536)</f>
        <v>0</v>
      </c>
      <c r="F33" s="413">
        <f>SUMIF('报表调整(期初)'!$H$5:$H$65536,IF(OR(MID(TRIM($A33),2,1)="：",MID(TRIM($A33),2,1)="、"),REPLACEB(TRIM($A33),1,4,""),TRIM($A33)),'报表调整(期初)'!$J$5:$J$65536)</f>
        <v>0</v>
      </c>
      <c r="G33" s="413">
        <f>B33+C33+E33-D33-F33</f>
        <v>0</v>
      </c>
      <c r="H33" s="413"/>
      <c r="I33" s="414">
        <f t="shared" si="4"/>
        <v>0</v>
      </c>
    </row>
    <row r="34" spans="1:9" ht="14.45" customHeight="1">
      <c r="A34" s="184" t="str">
        <f>报表格式!B33</f>
        <v>长期投资合计</v>
      </c>
      <c r="B34" s="415">
        <f t="shared" ref="B34:H34" si="5">SUM(B28,B31:B33)</f>
        <v>0</v>
      </c>
      <c r="C34" s="415">
        <f t="shared" si="5"/>
        <v>0</v>
      </c>
      <c r="D34" s="415">
        <f t="shared" si="5"/>
        <v>0</v>
      </c>
      <c r="E34" s="415">
        <f t="shared" si="5"/>
        <v>0</v>
      </c>
      <c r="F34" s="415">
        <f t="shared" si="5"/>
        <v>0</v>
      </c>
      <c r="G34" s="415">
        <f t="shared" si="5"/>
        <v>0</v>
      </c>
      <c r="H34" s="415">
        <f t="shared" si="5"/>
        <v>0</v>
      </c>
      <c r="I34" s="416">
        <f t="shared" si="4"/>
        <v>0</v>
      </c>
    </row>
    <row r="35" spans="1:9" ht="14.45" customHeight="1">
      <c r="A35" s="182" t="str">
        <f>报表格式!B34</f>
        <v>固定资产：</v>
      </c>
      <c r="B35" s="413"/>
      <c r="C35" s="413"/>
      <c r="D35" s="413"/>
      <c r="E35" s="413"/>
      <c r="F35" s="413"/>
      <c r="G35" s="413"/>
      <c r="H35" s="413"/>
      <c r="I35" s="414"/>
    </row>
    <row r="36" spans="1:9" ht="14.45" customHeight="1">
      <c r="A36" s="185" t="str">
        <f>报表格式!B35</f>
        <v>固定资产原价</v>
      </c>
      <c r="B36" s="413">
        <f>期初核对BS!C36</f>
        <v>0</v>
      </c>
      <c r="C36" s="413">
        <f>SUMIF('账项调整(期初)'!$E$5:$E$65536,IF(OR(MID(TRIM($A36),2,1)="：",MID(TRIM($A36),2,1)="、"),REPLACEB(TRIM($A36),1,4,""),TRIM($A36)),'账项调整(期初)'!$J$5:$J$65536)</f>
        <v>0</v>
      </c>
      <c r="D36" s="413">
        <f>SUMIF('账项调整(期初)'!$H$5:$H$65536,IF(OR(MID(TRIM($A36),2,1)="：",MID(TRIM($A36),2,1)="、"),REPLACEB(TRIM($A36),1,4,""),TRIM($A36)),'账项调整(期初)'!$J$5:$J$65536)</f>
        <v>0</v>
      </c>
      <c r="E36" s="413">
        <f>SUMIF('报表调整(期初)'!$E$5:$E$65536,IF(OR(MID(TRIM($A36),2,1)="：",MID(TRIM($A36),2,1)="、"),REPLACEB(TRIM($A36),1,4,""),TRIM($A36)),'报表调整(期初)'!$J$5:$J$65536)</f>
        <v>0</v>
      </c>
      <c r="F36" s="413">
        <f>SUMIF('报表调整(期初)'!$H$5:$H$65536,IF(OR(MID(TRIM($A36),2,1)="：",MID(TRIM($A36),2,1)="、"),REPLACEB(TRIM($A36),1,4,""),TRIM($A36)),'报表调整(期初)'!$J$5:$J$65536)</f>
        <v>0</v>
      </c>
      <c r="G36" s="413">
        <f>B36+C36+E36-D36-F36</f>
        <v>0</v>
      </c>
      <c r="H36" s="413"/>
      <c r="I36" s="414">
        <f t="shared" ref="I36:I47" si="6">SUM(G36:H36)</f>
        <v>0</v>
      </c>
    </row>
    <row r="37" spans="1:9" ht="14.45" customHeight="1">
      <c r="A37" s="185" t="str">
        <f>报表格式!B36</f>
        <v xml:space="preserve">  减：累计折旧</v>
      </c>
      <c r="B37" s="413">
        <f>期初核对BS!C37</f>
        <v>0</v>
      </c>
      <c r="C37" s="413">
        <f>SUMIF('账项调整(期初)'!$E$5:$E$65536,IF(OR(MID(TRIM($A37),2,1)="：",MID(TRIM($A37),2,1)="、"),REPLACEB(TRIM($A37),1,4,""),TRIM($A37)),'账项调整(期初)'!$J$5:$J$65536)</f>
        <v>0</v>
      </c>
      <c r="D37" s="413">
        <f>SUMIF('账项调整(期初)'!$H$5:$H$65536,IF(OR(MID(TRIM($A37),2,1)="：",MID(TRIM($A37),2,1)="、"),REPLACEB(TRIM($A37),1,4,""),TRIM($A37)),'账项调整(期初)'!$J$5:$J$65536)</f>
        <v>0</v>
      </c>
      <c r="E37" s="413">
        <f>SUMIF('报表调整(期初)'!$E$5:$E$65536,IF(OR(MID(TRIM($A37),2,1)="：",MID(TRIM($A37),2,1)="、"),REPLACEB(TRIM($A37),1,4,""),TRIM($A37)),'报表调整(期初)'!$J$5:$J$65536)</f>
        <v>0</v>
      </c>
      <c r="F37" s="413">
        <f>SUMIF('报表调整(期初)'!$H$5:$H$65536,IF(OR(MID(TRIM($A37),2,1)="：",MID(TRIM($A37),2,1)="、"),REPLACEB(TRIM($A37),1,4,""),TRIM($A37)),'报表调整(期初)'!$J$5:$J$65536)</f>
        <v>0</v>
      </c>
      <c r="G37" s="413">
        <f>B37-C37-E37+D37+F37</f>
        <v>0</v>
      </c>
      <c r="H37" s="413"/>
      <c r="I37" s="414">
        <f t="shared" si="6"/>
        <v>0</v>
      </c>
    </row>
    <row r="38" spans="1:9" ht="14.45" customHeight="1">
      <c r="A38" s="185" t="str">
        <f>报表格式!B37</f>
        <v>固定资产净值</v>
      </c>
      <c r="B38" s="413">
        <f>B36-B37</f>
        <v>0</v>
      </c>
      <c r="C38" s="413">
        <f t="shared" ref="C38:H38" si="7">C36-C37</f>
        <v>0</v>
      </c>
      <c r="D38" s="413">
        <f t="shared" si="7"/>
        <v>0</v>
      </c>
      <c r="E38" s="413">
        <f t="shared" si="7"/>
        <v>0</v>
      </c>
      <c r="F38" s="413">
        <f t="shared" si="7"/>
        <v>0</v>
      </c>
      <c r="G38" s="413">
        <f t="shared" si="7"/>
        <v>0</v>
      </c>
      <c r="H38" s="413">
        <f t="shared" si="7"/>
        <v>0</v>
      </c>
      <c r="I38" s="414">
        <f t="shared" si="6"/>
        <v>0</v>
      </c>
    </row>
    <row r="39" spans="1:9" ht="14.45" customHeight="1">
      <c r="A39" s="185" t="str">
        <f>报表格式!B38</f>
        <v xml:space="preserve">  减：固定资产减值准备</v>
      </c>
      <c r="B39" s="413">
        <f>期初核对BS!C39</f>
        <v>0</v>
      </c>
      <c r="C39" s="413">
        <f>SUMIF('账项调整(期初)'!$E$5:$E$65536,IF(OR(MID(TRIM($A39),2,1)="：",MID(TRIM($A39),2,1)="、"),REPLACEB(TRIM($A39),1,4,""),TRIM($A39)),'账项调整(期初)'!$J$5:$J$65536)</f>
        <v>0</v>
      </c>
      <c r="D39" s="413">
        <f>SUMIF('账项调整(期初)'!$H$5:$H$65536,IF(OR(MID(TRIM($A39),2,1)="：",MID(TRIM($A39),2,1)="、"),REPLACEB(TRIM($A39),1,4,""),TRIM($A39)),'账项调整(期初)'!$J$5:$J$65536)</f>
        <v>0</v>
      </c>
      <c r="E39" s="413">
        <f>SUMIF('报表调整(期初)'!$E$5:$E$65536,IF(OR(MID(TRIM($A39),2,1)="：",MID(TRIM($A39),2,1)="、"),REPLACEB(TRIM($A39),1,4,""),TRIM($A39)),'报表调整(期初)'!$J$5:$J$65536)</f>
        <v>0</v>
      </c>
      <c r="F39" s="413">
        <f>SUMIF('报表调整(期初)'!$H$5:$H$65536,IF(OR(MID(TRIM($A39),2,1)="：",MID(TRIM($A39),2,1)="、"),REPLACEB(TRIM($A39),1,4,""),TRIM($A39)),'报表调整(期初)'!$J$5:$J$65536)</f>
        <v>0</v>
      </c>
      <c r="G39" s="413">
        <f>B39-C39-E39+D39+F39</f>
        <v>0</v>
      </c>
      <c r="H39" s="413"/>
      <c r="I39" s="414">
        <f t="shared" si="6"/>
        <v>0</v>
      </c>
    </row>
    <row r="40" spans="1:9" ht="14.45" customHeight="1">
      <c r="A40" s="185" t="str">
        <f>报表格式!B39</f>
        <v>固定资产净额</v>
      </c>
      <c r="B40" s="413">
        <f>B38-B39</f>
        <v>0</v>
      </c>
      <c r="C40" s="413">
        <f t="shared" ref="C40:H40" si="8">C38-C39</f>
        <v>0</v>
      </c>
      <c r="D40" s="413">
        <f t="shared" si="8"/>
        <v>0</v>
      </c>
      <c r="E40" s="413">
        <f t="shared" si="8"/>
        <v>0</v>
      </c>
      <c r="F40" s="413">
        <f t="shared" si="8"/>
        <v>0</v>
      </c>
      <c r="G40" s="413">
        <f t="shared" si="8"/>
        <v>0</v>
      </c>
      <c r="H40" s="413">
        <f t="shared" si="8"/>
        <v>0</v>
      </c>
      <c r="I40" s="414">
        <f t="shared" si="6"/>
        <v>0</v>
      </c>
    </row>
    <row r="41" spans="1:9" ht="14.45" customHeight="1">
      <c r="A41" s="185" t="str">
        <f>报表格式!B40</f>
        <v>工程物资</v>
      </c>
      <c r="B41" s="413">
        <f>期初核对BS!C41</f>
        <v>0</v>
      </c>
      <c r="C41" s="413">
        <f>SUMIF('账项调整(期初)'!$E$5:$E$65536,IF(OR(MID(TRIM($A41),2,1)="：",MID(TRIM($A41),2,1)="、"),REPLACEB(TRIM($A41),1,4,""),TRIM($A41)),'账项调整(期初)'!$J$5:$J$65536)</f>
        <v>0</v>
      </c>
      <c r="D41" s="413">
        <f>SUMIF('账项调整(期初)'!$H$5:$H$65536,IF(OR(MID(TRIM($A41),2,1)="：",MID(TRIM($A41),2,1)="、"),REPLACEB(TRIM($A41),1,4,""),TRIM($A41)),'账项调整(期初)'!$J$5:$J$65536)</f>
        <v>0</v>
      </c>
      <c r="E41" s="413">
        <f>SUMIF('报表调整(期初)'!$E$5:$E$65536,IF(OR(MID(TRIM($A41),2,1)="：",MID(TRIM($A41),2,1)="、"),REPLACEB(TRIM($A41),1,4,""),TRIM($A41)),'报表调整(期初)'!$J$5:$J$65536)</f>
        <v>0</v>
      </c>
      <c r="F41" s="413">
        <f>SUMIF('报表调整(期初)'!$H$5:$H$65536,IF(OR(MID(TRIM($A41),2,1)="：",MID(TRIM($A41),2,1)="、"),REPLACEB(TRIM($A41),1,4,""),TRIM($A41)),'报表调整(期初)'!$J$5:$J$65536)</f>
        <v>0</v>
      </c>
      <c r="G41" s="413">
        <f t="shared" ref="G41:G46" si="9">B41+C41+E41-D41-F41</f>
        <v>0</v>
      </c>
      <c r="H41" s="413"/>
      <c r="I41" s="414">
        <f t="shared" si="6"/>
        <v>0</v>
      </c>
    </row>
    <row r="42" spans="1:9" ht="14.45" customHeight="1">
      <c r="A42" s="185" t="str">
        <f>报表格式!B41</f>
        <v>在建工程</v>
      </c>
      <c r="B42" s="413">
        <f>期初核对BS!C42</f>
        <v>0</v>
      </c>
      <c r="C42" s="413">
        <f>SUMIF('账项调整(期初)'!$E$5:$E$65536,IF(OR(MID(TRIM($A42),2,1)="：",MID(TRIM($A42),2,1)="、"),REPLACEB(TRIM($A42),1,4,""),TRIM($A42)),'账项调整(期初)'!$J$5:$J$65536)</f>
        <v>0</v>
      </c>
      <c r="D42" s="413">
        <f>SUMIF('账项调整(期初)'!$H$5:$H$65536,IF(OR(MID(TRIM($A42),2,1)="：",MID(TRIM($A42),2,1)="、"),REPLACEB(TRIM($A42),1,4,""),TRIM($A42)),'账项调整(期初)'!$J$5:$J$65536)</f>
        <v>0</v>
      </c>
      <c r="E42" s="413">
        <f>SUMIF('报表调整(期初)'!$E$5:$E$65536,IF(OR(MID(TRIM($A42),2,1)="：",MID(TRIM($A42),2,1)="、"),REPLACEB(TRIM($A42),1,4,""),TRIM($A42)),'报表调整(期初)'!$J$5:$J$65536)</f>
        <v>0</v>
      </c>
      <c r="F42" s="413">
        <f>SUMIF('报表调整(期初)'!$H$5:$H$65536,IF(OR(MID(TRIM($A42),2,1)="：",MID(TRIM($A42),2,1)="、"),REPLACEB(TRIM($A42),1,4,""),TRIM($A42)),'报表调整(期初)'!$J$5:$J$65536)</f>
        <v>0</v>
      </c>
      <c r="G42" s="413">
        <f t="shared" si="9"/>
        <v>0</v>
      </c>
      <c r="H42" s="413"/>
      <c r="I42" s="414">
        <f t="shared" si="6"/>
        <v>0</v>
      </c>
    </row>
    <row r="43" spans="1:9" ht="14.45" customHeight="1">
      <c r="A43" s="185" t="str">
        <f>报表格式!B42</f>
        <v>固定资产清理</v>
      </c>
      <c r="B43" s="413">
        <f>期初核对BS!C43</f>
        <v>0</v>
      </c>
      <c r="C43" s="413">
        <f>SUMIF('账项调整(期初)'!$E$5:$E$65536,IF(OR(MID(TRIM($A43),2,1)="：",MID(TRIM($A43),2,1)="、"),REPLACEB(TRIM($A43),1,4,""),TRIM($A43)),'账项调整(期初)'!$J$5:$J$65536)</f>
        <v>0</v>
      </c>
      <c r="D43" s="413">
        <f>SUMIF('账项调整(期初)'!$H$5:$H$65536,IF(OR(MID(TRIM($A43),2,1)="：",MID(TRIM($A43),2,1)="、"),REPLACEB(TRIM($A43),1,4,""),TRIM($A43)),'账项调整(期初)'!$J$5:$J$65536)</f>
        <v>0</v>
      </c>
      <c r="E43" s="413">
        <f>SUMIF('报表调整(期初)'!$E$5:$E$65536,IF(OR(MID(TRIM($A43),2,1)="：",MID(TRIM($A43),2,1)="、"),REPLACEB(TRIM($A43),1,4,""),TRIM($A43)),'报表调整(期初)'!$J$5:$J$65536)</f>
        <v>0</v>
      </c>
      <c r="F43" s="413">
        <f>SUMIF('报表调整(期初)'!$H$5:$H$65536,IF(OR(MID(TRIM($A43),2,1)="：",MID(TRIM($A43),2,1)="、"),REPLACEB(TRIM($A43),1,4,""),TRIM($A43)),'报表调整(期初)'!$J$5:$J$65536)</f>
        <v>0</v>
      </c>
      <c r="G43" s="413">
        <f t="shared" si="9"/>
        <v>0</v>
      </c>
      <c r="H43" s="413"/>
      <c r="I43" s="414">
        <f t="shared" si="6"/>
        <v>0</v>
      </c>
    </row>
    <row r="44" spans="1:9" ht="14.45" customHeight="1">
      <c r="A44" s="185" t="str">
        <f>报表格式!B43</f>
        <v>待处理固定资产净损失</v>
      </c>
      <c r="B44" s="413">
        <f>期初核对BS!C44</f>
        <v>0</v>
      </c>
      <c r="C44" s="413">
        <f>SUMIF('账项调整(期初)'!$E$5:$E$65536,IF(OR(MID(TRIM($A44),2,1)="：",MID(TRIM($A44),2,1)="、"),REPLACEB(TRIM($A44),1,4,""),TRIM($A44)),'账项调整(期初)'!$J$5:$J$65536)</f>
        <v>0</v>
      </c>
      <c r="D44" s="413">
        <f>SUMIF('账项调整(期初)'!$H$5:$H$65536,IF(OR(MID(TRIM($A44),2,1)="：",MID(TRIM($A44),2,1)="、"),REPLACEB(TRIM($A44),1,4,""),TRIM($A44)),'账项调整(期初)'!$J$5:$J$65536)</f>
        <v>0</v>
      </c>
      <c r="E44" s="413">
        <f>SUMIF('报表调整(期初)'!$E$5:$E$65536,IF(OR(MID(TRIM($A44),2,1)="：",MID(TRIM($A44),2,1)="、"),REPLACEB(TRIM($A44),1,4,""),TRIM($A44)),'报表调整(期初)'!$J$5:$J$65536)</f>
        <v>0</v>
      </c>
      <c r="F44" s="413">
        <f>SUMIF('报表调整(期初)'!$H$5:$H$65536,IF(OR(MID(TRIM($A44),2,1)="：",MID(TRIM($A44),2,1)="、"),REPLACEB(TRIM($A44),1,4,""),TRIM($A44)),'报表调整(期初)'!$J$5:$J$65536)</f>
        <v>0</v>
      </c>
      <c r="G44" s="413">
        <f t="shared" si="9"/>
        <v>0</v>
      </c>
      <c r="H44" s="413"/>
      <c r="I44" s="414">
        <f t="shared" si="6"/>
        <v>0</v>
      </c>
    </row>
    <row r="45" spans="1:9" ht="14.45" customHeight="1">
      <c r="A45" s="185">
        <f>报表格式!B44</f>
        <v>0</v>
      </c>
      <c r="B45" s="413">
        <f>期初核对BS!C45</f>
        <v>0</v>
      </c>
      <c r="C45" s="413">
        <f>SUMIF('账项调整(期初)'!$E$5:$E$65536,IF(OR(MID(TRIM($A45),2,1)="：",MID(TRIM($A45),2,1)="、"),REPLACEB(TRIM($A45),1,4,""),TRIM($A45)),'账项调整(期初)'!$J$5:$J$65536)</f>
        <v>0</v>
      </c>
      <c r="D45" s="413">
        <f>SUMIF('账项调整(期初)'!$H$5:$H$65536,IF(OR(MID(TRIM($A45),2,1)="：",MID(TRIM($A45),2,1)="、"),REPLACEB(TRIM($A45),1,4,""),TRIM($A45)),'账项调整(期初)'!$J$5:$J$65536)</f>
        <v>0</v>
      </c>
      <c r="E45" s="413">
        <f>SUMIF('报表调整(期初)'!$E$5:$E$65536,IF(OR(MID(TRIM($A45),2,1)="：",MID(TRIM($A45),2,1)="、"),REPLACEB(TRIM($A45),1,4,""),TRIM($A45)),'报表调整(期初)'!$J$5:$J$65536)</f>
        <v>0</v>
      </c>
      <c r="F45" s="413">
        <f>SUMIF('报表调整(期初)'!$H$5:$H$65536,IF(OR(MID(TRIM($A45),2,1)="：",MID(TRIM($A45),2,1)="、"),REPLACEB(TRIM($A45),1,4,""),TRIM($A45)),'报表调整(期初)'!$J$5:$J$65536)</f>
        <v>0</v>
      </c>
      <c r="G45" s="413">
        <f t="shared" si="9"/>
        <v>0</v>
      </c>
      <c r="H45" s="413"/>
      <c r="I45" s="414">
        <f t="shared" si="6"/>
        <v>0</v>
      </c>
    </row>
    <row r="46" spans="1:9" ht="14.45" customHeight="1">
      <c r="A46" s="185">
        <f>报表格式!B45</f>
        <v>0</v>
      </c>
      <c r="B46" s="413">
        <f>期初核对BS!C46</f>
        <v>0</v>
      </c>
      <c r="C46" s="413">
        <f>SUMIF('账项调整(期初)'!$E$5:$E$65536,IF(OR(MID(TRIM($A46),2,1)="：",MID(TRIM($A46),2,1)="、"),REPLACEB(TRIM($A46),1,4,""),TRIM($A46)),'账项调整(期初)'!$J$5:$J$65536)</f>
        <v>0</v>
      </c>
      <c r="D46" s="413">
        <f>SUMIF('账项调整(期初)'!$H$5:$H$65536,IF(OR(MID(TRIM($A46),2,1)="：",MID(TRIM($A46),2,1)="、"),REPLACEB(TRIM($A46),1,4,""),TRIM($A46)),'账项调整(期初)'!$J$5:$J$65536)</f>
        <v>0</v>
      </c>
      <c r="E46" s="413">
        <f>SUMIF('报表调整(期初)'!$E$5:$E$65536,IF(OR(MID(TRIM($A46),2,1)="：",MID(TRIM($A46),2,1)="、"),REPLACEB(TRIM($A46),1,4,""),TRIM($A46)),'报表调整(期初)'!$J$5:$J$65536)</f>
        <v>0</v>
      </c>
      <c r="F46" s="413">
        <f>SUMIF('报表调整(期初)'!$H$5:$H$65536,IF(OR(MID(TRIM($A46),2,1)="：",MID(TRIM($A46),2,1)="、"),REPLACEB(TRIM($A46),1,4,""),TRIM($A46)),'报表调整(期初)'!$J$5:$J$65536)</f>
        <v>0</v>
      </c>
      <c r="G46" s="413">
        <f t="shared" si="9"/>
        <v>0</v>
      </c>
      <c r="H46" s="413"/>
      <c r="I46" s="414">
        <f t="shared" si="6"/>
        <v>0</v>
      </c>
    </row>
    <row r="47" spans="1:9" ht="14.45" customHeight="1">
      <c r="A47" s="181" t="str">
        <f>报表格式!B46</f>
        <v>固定资产合计</v>
      </c>
      <c r="B47" s="415">
        <f t="shared" ref="B47:H47" si="10">SUM(B40:B46)</f>
        <v>0</v>
      </c>
      <c r="C47" s="415">
        <f t="shared" si="10"/>
        <v>0</v>
      </c>
      <c r="D47" s="415">
        <f t="shared" si="10"/>
        <v>0</v>
      </c>
      <c r="E47" s="415">
        <f t="shared" si="10"/>
        <v>0</v>
      </c>
      <c r="F47" s="415">
        <f t="shared" si="10"/>
        <v>0</v>
      </c>
      <c r="G47" s="415">
        <f t="shared" si="10"/>
        <v>0</v>
      </c>
      <c r="H47" s="415">
        <f t="shared" si="10"/>
        <v>0</v>
      </c>
      <c r="I47" s="416">
        <f t="shared" si="6"/>
        <v>0</v>
      </c>
    </row>
    <row r="48" spans="1:9" ht="14.45" customHeight="1">
      <c r="A48" s="182" t="str">
        <f>报表格式!B47</f>
        <v>无形资产及其他资产：</v>
      </c>
      <c r="B48" s="413"/>
      <c r="C48" s="413"/>
      <c r="D48" s="413"/>
      <c r="E48" s="413"/>
      <c r="F48" s="413"/>
      <c r="G48" s="413"/>
      <c r="H48" s="413"/>
      <c r="I48" s="414"/>
    </row>
    <row r="49" spans="1:9" ht="14.45" customHeight="1">
      <c r="A49" s="183" t="str">
        <f>报表格式!B48</f>
        <v>无形资产</v>
      </c>
      <c r="B49" s="413">
        <f>期初核对BS!C49</f>
        <v>0</v>
      </c>
      <c r="C49" s="413">
        <f>SUMIF('账项调整(期初)'!$E$5:$E$65536,IF(OR(MID(TRIM($A49),2,1)="：",MID(TRIM($A49),2,1)="、"),REPLACEB(TRIM($A49),1,4,""),TRIM($A49)),'账项调整(期初)'!$J$5:$J$65536)</f>
        <v>0</v>
      </c>
      <c r="D49" s="413">
        <f>SUMIF('账项调整(期初)'!$H$5:$H$65536,IF(OR(MID(TRIM($A49),2,1)="：",MID(TRIM($A49),2,1)="、"),REPLACEB(TRIM($A49),1,4,""),TRIM($A49)),'账项调整(期初)'!$J$5:$J$65536)</f>
        <v>0</v>
      </c>
      <c r="E49" s="413">
        <f>SUMIF('报表调整(期初)'!$E$5:$E$65536,IF(OR(MID(TRIM($A49),2,1)="：",MID(TRIM($A49),2,1)="、"),REPLACEB(TRIM($A49),1,4,""),TRIM($A49)),'报表调整(期初)'!$J$5:$J$65536)</f>
        <v>0</v>
      </c>
      <c r="F49" s="413">
        <f>SUMIF('报表调整(期初)'!$H$5:$H$65536,IF(OR(MID(TRIM($A49),2,1)="：",MID(TRIM($A49),2,1)="、"),REPLACEB(TRIM($A49),1,4,""),TRIM($A49)),'报表调整(期初)'!$J$5:$J$65536)</f>
        <v>0</v>
      </c>
      <c r="G49" s="413">
        <f t="shared" ref="G49:G57" si="11">B49+C49+E49-D49-F49</f>
        <v>0</v>
      </c>
      <c r="H49" s="413"/>
      <c r="I49" s="414">
        <f t="shared" ref="I49:I58" si="12">SUM(G49:H49)</f>
        <v>0</v>
      </c>
    </row>
    <row r="50" spans="1:9" ht="14.45" customHeight="1">
      <c r="A50" s="183" t="str">
        <f>报表格式!B49</f>
        <v xml:space="preserve">  其中：土地使用权</v>
      </c>
      <c r="B50" s="413">
        <f>期初核对BS!C50</f>
        <v>0</v>
      </c>
      <c r="C50" s="413">
        <f>SUMIF('账项调整(期初)'!$F$5:$F$65536,IF(OR(MID(TRIM($A50),2,1)="：",MID(TRIM($A50),2,1)="、"),REPLACEB(TRIM($A50),1,4,""),TRIM($A50)),'账项调整(期初)'!$J$5:$J$65536)</f>
        <v>0</v>
      </c>
      <c r="D50" s="413">
        <f>SUMIF('账项调整(期初)'!$I$5:$I$65536,IF(OR(MID(TRIM($A50),2,1)="：",MID(TRIM($A50),2,1)="、"),REPLACEB(TRIM($A50),1,4,""),TRIM($A50)),'账项调整(期初)'!$J$5:$J$65536)</f>
        <v>0</v>
      </c>
      <c r="E50" s="413">
        <f>SUMIF('报表调整(期初)'!$F$5:$F$65536,IF(OR(MID(TRIM($A50),2,1)="：",MID(TRIM($A50),2,1)="、"),REPLACEB(TRIM($A50),1,4,""),TRIM($A50)),'报表调整(期初)'!$J$5:$J$65536)</f>
        <v>0</v>
      </c>
      <c r="F50" s="413">
        <f>SUMIF('报表调整(期初)'!$I$5:$I$65536,IF(OR(MID(TRIM($A50),2,1)="：",MID(TRIM($A50),2,1)="、"),REPLACEB(TRIM($A50),1,4,""),TRIM($A50)),'报表调整(期初)'!$J$5:$J$65536)</f>
        <v>0</v>
      </c>
      <c r="G50" s="413">
        <f t="shared" si="11"/>
        <v>0</v>
      </c>
      <c r="H50" s="413"/>
      <c r="I50" s="414">
        <f t="shared" si="12"/>
        <v>0</v>
      </c>
    </row>
    <row r="51" spans="1:9" ht="14.45" customHeight="1">
      <c r="A51" s="183" t="str">
        <f>报表格式!B50</f>
        <v>长期待摊费用</v>
      </c>
      <c r="B51" s="413">
        <f>期初核对BS!C51</f>
        <v>0</v>
      </c>
      <c r="C51" s="413">
        <f>SUMIF('账项调整(期初)'!$E$5:$E$65536,IF(OR(MID(TRIM($A51),2,1)="：",MID(TRIM($A51),2,1)="、"),REPLACEB(TRIM($A51),1,4,""),TRIM($A51)),'账项调整(期初)'!$J$5:$J$65536)</f>
        <v>0</v>
      </c>
      <c r="D51" s="413">
        <f>SUMIF('账项调整(期初)'!$H$5:$H$65536,IF(OR(MID(TRIM($A51),2,1)="：",MID(TRIM($A51),2,1)="、"),REPLACEB(TRIM($A51),1,4,""),TRIM($A51)),'账项调整(期初)'!$J$5:$J$65536)</f>
        <v>0</v>
      </c>
      <c r="E51" s="413">
        <f>SUMIF('报表调整(期初)'!$E$5:$E$65536,IF(OR(MID(TRIM($A51),2,1)="：",MID(TRIM($A51),2,1)="、"),REPLACEB(TRIM($A51),1,4,""),TRIM($A51)),'报表调整(期初)'!$J$5:$J$65536)</f>
        <v>0</v>
      </c>
      <c r="F51" s="413">
        <f>SUMIF('报表调整(期初)'!$H$5:$H$65536,IF(OR(MID(TRIM($A51),2,1)="：",MID(TRIM($A51),2,1)="、"),REPLACEB(TRIM($A51),1,4,""),TRIM($A51)),'报表调整(期初)'!$J$5:$J$65536)</f>
        <v>0</v>
      </c>
      <c r="G51" s="413">
        <f t="shared" si="11"/>
        <v>0</v>
      </c>
      <c r="H51" s="413"/>
      <c r="I51" s="414">
        <f t="shared" si="12"/>
        <v>0</v>
      </c>
    </row>
    <row r="52" spans="1:9" ht="14.45" customHeight="1">
      <c r="A52" s="183" t="str">
        <f>报表格式!B51</f>
        <v xml:space="preserve">  其中：固定资产修理</v>
      </c>
      <c r="B52" s="413">
        <f>期初核对BS!C52</f>
        <v>0</v>
      </c>
      <c r="C52" s="413">
        <f>SUMIF('账项调整(期初)'!$F$5:$F$65536,IF(OR(MID(TRIM($A52),2,1)="：",MID(TRIM($A52),2,1)="、"),REPLACEB(TRIM($A52),1,4,""),TRIM($A52)),'账项调整(期初)'!$J$5:$J$65536)</f>
        <v>0</v>
      </c>
      <c r="D52" s="413">
        <f>SUMIF('账项调整(期初)'!$I$5:$I$65536,IF(OR(MID(TRIM($A52),2,1)="：",MID(TRIM($A52),2,1)="、"),REPLACEB(TRIM($A52),1,4,""),TRIM($A52)),'账项调整(期初)'!$J$5:$J$65536)</f>
        <v>0</v>
      </c>
      <c r="E52" s="413">
        <f>SUMIF('报表调整(期初)'!$F$5:$F$65536,IF(OR(MID(TRIM($A52),2,1)="：",MID(TRIM($A52),2,1)="、"),REPLACEB(TRIM($A52),1,4,""),TRIM($A52)),'报表调整(期初)'!$J$5:$J$65536)</f>
        <v>0</v>
      </c>
      <c r="F52" s="413">
        <f>SUMIF('报表调整(期初)'!$I$5:$I$65536,IF(OR(MID(TRIM($A52),2,1)="：",MID(TRIM($A52),2,1)="、"),REPLACEB(TRIM($A52),1,4,""),TRIM($A52)),'报表调整(期初)'!$J$5:$J$65536)</f>
        <v>0</v>
      </c>
      <c r="G52" s="413">
        <f t="shared" si="11"/>
        <v>0</v>
      </c>
      <c r="H52" s="413"/>
      <c r="I52" s="414">
        <f t="shared" si="12"/>
        <v>0</v>
      </c>
    </row>
    <row r="53" spans="1:9" ht="14.45" customHeight="1">
      <c r="A53" s="183" t="str">
        <f>报表格式!B52</f>
        <v xml:space="preserve">       固定资产改良支出</v>
      </c>
      <c r="B53" s="413">
        <f>期初核对BS!C53</f>
        <v>0</v>
      </c>
      <c r="C53" s="413">
        <f>SUMIF('账项调整(期初)'!$F$5:$F$65536,IF(OR(MID(TRIM($A53),2,1)="：",MID(TRIM($A53),2,1)="、"),REPLACEB(TRIM($A53),1,4,""),TRIM($A53)),'账项调整(期初)'!$J$5:$J$65536)</f>
        <v>0</v>
      </c>
      <c r="D53" s="413">
        <f>SUMIF('账项调整(期初)'!$I$5:$I$65536,IF(OR(MID(TRIM($A53),2,1)="：",MID(TRIM($A53),2,1)="、"),REPLACEB(TRIM($A53),1,4,""),TRIM($A53)),'账项调整(期初)'!$J$5:$J$65536)</f>
        <v>0</v>
      </c>
      <c r="E53" s="413">
        <f>SUMIF('报表调整(期初)'!$F$5:$F$65536,IF(OR(MID(TRIM($A53),2,1)="：",MID(TRIM($A53),2,1)="、"),REPLACEB(TRIM($A53),1,4,""),TRIM($A53)),'报表调整(期初)'!$J$5:$J$65536)</f>
        <v>0</v>
      </c>
      <c r="F53" s="413">
        <f>SUMIF('报表调整(期初)'!$I$5:$I$65536,IF(OR(MID(TRIM($A53),2,1)="：",MID(TRIM($A53),2,1)="、"),REPLACEB(TRIM($A53),1,4,""),TRIM($A53)),'报表调整(期初)'!$J$5:$J$65536)</f>
        <v>0</v>
      </c>
      <c r="G53" s="413">
        <f t="shared" si="11"/>
        <v>0</v>
      </c>
      <c r="H53" s="413"/>
      <c r="I53" s="414">
        <f t="shared" si="12"/>
        <v>0</v>
      </c>
    </row>
    <row r="54" spans="1:9" ht="14.45" customHeight="1">
      <c r="A54" s="183" t="str">
        <f>报表格式!B53</f>
        <v>股权分置流通权</v>
      </c>
      <c r="B54" s="413">
        <f>期初核对BS!C54</f>
        <v>0</v>
      </c>
      <c r="C54" s="413">
        <f>SUMIF('账项调整(期初)'!$E$5:$E$65536,IF(OR(MID(TRIM($A54),2,1)="：",MID(TRIM($A54),2,1)="、"),REPLACEB(TRIM($A54),1,4,""),TRIM($A54)),'账项调整(期初)'!$J$5:$J$65536)</f>
        <v>0</v>
      </c>
      <c r="D54" s="413">
        <f>SUMIF('账项调整(期初)'!$H$5:$H$65536,IF(OR(MID(TRIM($A54),2,1)="：",MID(TRIM($A54),2,1)="、"),REPLACEB(TRIM($A54),1,4,""),TRIM($A54)),'账项调整(期初)'!$J$5:$J$65536)</f>
        <v>0</v>
      </c>
      <c r="E54" s="413">
        <f>SUMIF('报表调整(期初)'!$E$5:$E$65536,IF(OR(MID(TRIM($A54),2,1)="：",MID(TRIM($A54),2,1)="、"),REPLACEB(TRIM($A54),1,4,""),TRIM($A54)),'报表调整(期初)'!$J$5:$J$65536)</f>
        <v>0</v>
      </c>
      <c r="F54" s="413">
        <f>SUMIF('报表调整(期初)'!$H$5:$H$65536,IF(OR(MID(TRIM($A54),2,1)="：",MID(TRIM($A54),2,1)="、"),REPLACEB(TRIM($A54),1,4,""),TRIM($A54)),'报表调整(期初)'!$J$5:$J$65536)</f>
        <v>0</v>
      </c>
      <c r="G54" s="413">
        <f t="shared" si="11"/>
        <v>0</v>
      </c>
      <c r="H54" s="413"/>
      <c r="I54" s="414">
        <f t="shared" si="12"/>
        <v>0</v>
      </c>
    </row>
    <row r="55" spans="1:9" ht="14.45" customHeight="1">
      <c r="A55" s="183" t="str">
        <f>报表格式!B54</f>
        <v>其他长期资产</v>
      </c>
      <c r="B55" s="413">
        <f>期初核对BS!C55</f>
        <v>0</v>
      </c>
      <c r="C55" s="413">
        <f>SUMIF('账项调整(期初)'!$E$5:$E$65536,IF(OR(MID(TRIM($A55),2,1)="：",MID(TRIM($A55),2,1)="、"),REPLACEB(TRIM($A55),1,4,""),TRIM($A55)),'账项调整(期初)'!$J$5:$J$65536)</f>
        <v>0</v>
      </c>
      <c r="D55" s="413">
        <f>SUMIF('账项调整(期初)'!$H$5:$H$65536,IF(OR(MID(TRIM($A55),2,1)="：",MID(TRIM($A55),2,1)="、"),REPLACEB(TRIM($A55),1,4,""),TRIM($A55)),'账项调整(期初)'!$J$5:$J$65536)</f>
        <v>0</v>
      </c>
      <c r="E55" s="413">
        <f>SUMIF('报表调整(期初)'!$E$5:$E$65536,IF(OR(MID(TRIM($A55),2,1)="：",MID(TRIM($A55),2,1)="、"),REPLACEB(TRIM($A55),1,4,""),TRIM($A55)),'报表调整(期初)'!$J$5:$J$65536)</f>
        <v>0</v>
      </c>
      <c r="F55" s="413">
        <f>SUMIF('报表调整(期初)'!$H$5:$H$65536,IF(OR(MID(TRIM($A55),2,1)="：",MID(TRIM($A55),2,1)="、"),REPLACEB(TRIM($A55),1,4,""),TRIM($A55)),'报表调整(期初)'!$J$5:$J$65536)</f>
        <v>0</v>
      </c>
      <c r="G55" s="413">
        <f t="shared" si="11"/>
        <v>0</v>
      </c>
      <c r="H55" s="413"/>
      <c r="I55" s="414">
        <f t="shared" si="12"/>
        <v>0</v>
      </c>
    </row>
    <row r="56" spans="1:9" ht="14.45" customHeight="1">
      <c r="A56" s="183" t="str">
        <f>报表格式!B55</f>
        <v xml:space="preserve">  其中：特准储备物资</v>
      </c>
      <c r="B56" s="413">
        <f>期初核对BS!C56</f>
        <v>0</v>
      </c>
      <c r="C56" s="413">
        <f>SUMIF('账项调整(期初)'!$F$5:$F$65536,IF(OR(MID(TRIM($A56),2,1)="：",MID(TRIM($A56),2,1)="、"),REPLACEB(TRIM($A56),1,4,""),TRIM($A56)),'账项调整(期初)'!$J$5:$J$65536)</f>
        <v>0</v>
      </c>
      <c r="D56" s="413">
        <f>SUMIF('账项调整(期初)'!$I$5:$I$65536,IF(OR(MID(TRIM($A56),2,1)="：",MID(TRIM($A56),2,1)="、"),REPLACEB(TRIM($A56),1,4,""),TRIM($A56)),'账项调整(期初)'!$J$5:$J$65536)</f>
        <v>0</v>
      </c>
      <c r="E56" s="413">
        <f>SUMIF('报表调整(期初)'!$F$5:$F$65536,IF(OR(MID(TRIM($A56),2,1)="：",MID(TRIM($A56),2,1)="、"),REPLACEB(TRIM($A56),1,4,""),TRIM($A56)),'报表调整(期初)'!$J$5:$J$65536)</f>
        <v>0</v>
      </c>
      <c r="F56" s="413">
        <f>SUMIF('报表调整(期初)'!$I$5:$I$65536,IF(OR(MID(TRIM($A56),2,1)="：",MID(TRIM($A56),2,1)="、"),REPLACEB(TRIM($A56),1,4,""),TRIM($A56)),'报表调整(期初)'!$J$5:$J$65536)</f>
        <v>0</v>
      </c>
      <c r="G56" s="413">
        <f t="shared" si="11"/>
        <v>0</v>
      </c>
      <c r="H56" s="413"/>
      <c r="I56" s="414">
        <f t="shared" si="12"/>
        <v>0</v>
      </c>
    </row>
    <row r="57" spans="1:9" ht="14.45" customHeight="1">
      <c r="A57" s="183">
        <f>报表格式!B56</f>
        <v>0</v>
      </c>
      <c r="B57" s="413">
        <f>期初核对BS!C57</f>
        <v>0</v>
      </c>
      <c r="C57" s="413">
        <f>SUMIF('账项调整(期初)'!$E$5:$E$65536,IF(OR(MID(TRIM($A57),2,1)="：",MID(TRIM($A57),2,1)="、"),REPLACEB(TRIM($A57),1,4,""),TRIM($A57)),'账项调整(期初)'!$J$5:$J$65536)</f>
        <v>0</v>
      </c>
      <c r="D57" s="413">
        <f>SUMIF('账项调整(期初)'!$H$5:$H$65536,IF(OR(MID(TRIM($A57),2,1)="：",MID(TRIM($A57),2,1)="、"),REPLACEB(TRIM($A57),1,4,""),TRIM($A57)),'账项调整(期初)'!$J$5:$J$65536)</f>
        <v>0</v>
      </c>
      <c r="E57" s="413">
        <f>SUMIF('报表调整(期初)'!$E$5:$E$65536,IF(OR(MID(TRIM($A57),2,1)="：",MID(TRIM($A57),2,1)="、"),REPLACEB(TRIM($A57),1,4,""),TRIM($A57)),'报表调整(期初)'!$J$5:$J$65536)</f>
        <v>0</v>
      </c>
      <c r="F57" s="413">
        <f>SUMIF('报表调整(期初)'!$H$5:$H$65536,IF(OR(MID(TRIM($A57),2,1)="：",MID(TRIM($A57),2,1)="、"),REPLACEB(TRIM($A57),1,4,""),TRIM($A57)),'报表调整(期初)'!$J$5:$J$65536)</f>
        <v>0</v>
      </c>
      <c r="G57" s="413">
        <f t="shared" si="11"/>
        <v>0</v>
      </c>
      <c r="H57" s="413"/>
      <c r="I57" s="414">
        <f t="shared" si="12"/>
        <v>0</v>
      </c>
    </row>
    <row r="58" spans="1:9" ht="14.45" customHeight="1">
      <c r="A58" s="181" t="str">
        <f>报表格式!B57</f>
        <v>无形资产及其他资产合计</v>
      </c>
      <c r="B58" s="415">
        <f t="shared" ref="B58:H58" si="13">SUM(B49,B51,B54:B55,B57)</f>
        <v>0</v>
      </c>
      <c r="C58" s="415">
        <f t="shared" si="13"/>
        <v>0</v>
      </c>
      <c r="D58" s="415">
        <f t="shared" si="13"/>
        <v>0</v>
      </c>
      <c r="E58" s="415">
        <f t="shared" si="13"/>
        <v>0</v>
      </c>
      <c r="F58" s="415">
        <f t="shared" si="13"/>
        <v>0</v>
      </c>
      <c r="G58" s="415">
        <f t="shared" si="13"/>
        <v>0</v>
      </c>
      <c r="H58" s="415">
        <f t="shared" si="13"/>
        <v>0</v>
      </c>
      <c r="I58" s="416">
        <f t="shared" si="12"/>
        <v>0</v>
      </c>
    </row>
    <row r="59" spans="1:9" ht="14.45" customHeight="1">
      <c r="A59" s="182" t="str">
        <f>报表格式!B58</f>
        <v>递延税项：</v>
      </c>
      <c r="B59" s="413"/>
      <c r="C59" s="413"/>
      <c r="D59" s="413"/>
      <c r="E59" s="413"/>
      <c r="F59" s="413"/>
      <c r="G59" s="413"/>
      <c r="H59" s="413"/>
      <c r="I59" s="414"/>
    </row>
    <row r="60" spans="1:9" ht="14.45" customHeight="1">
      <c r="A60" s="186" t="str">
        <f>报表格式!B59</f>
        <v>递延税款借项</v>
      </c>
      <c r="B60" s="417">
        <f>期初核对BS!C60</f>
        <v>0</v>
      </c>
      <c r="C60" s="417">
        <f>SUMIF('账项调整(期初)'!$E$5:$E$65536,IF(OR(MID(TRIM($A60),2,1)="：",MID(TRIM($A60),2,1)="、"),REPLACEB(TRIM($A60),1,4,""),TRIM($A60)),'账项调整(期初)'!$J$5:$J$65536)</f>
        <v>0</v>
      </c>
      <c r="D60" s="417">
        <f>SUMIF('账项调整(期初)'!$H$5:$H$65536,IF(OR(MID(TRIM($A60),2,1)="：",MID(TRIM($A60),2,1)="、"),REPLACEB(TRIM($A60),1,4,""),TRIM($A60)),'账项调整(期初)'!$J$5:$J$65536)</f>
        <v>0</v>
      </c>
      <c r="E60" s="417">
        <f>SUMIF('报表调整(期初)'!$E$5:$E$65536,IF(OR(MID(TRIM($A60),2,1)="：",MID(TRIM($A60),2,1)="、"),REPLACEB(TRIM($A60),1,4,""),TRIM($A60)),'报表调整(期初)'!$J$5:$J$65536)</f>
        <v>0</v>
      </c>
      <c r="F60" s="417">
        <f>SUMIF('报表调整(期初)'!$H$5:$H$65536,IF(OR(MID(TRIM($A60),2,1)="：",MID(TRIM($A60),2,1)="、"),REPLACEB(TRIM($A60),1,4,""),TRIM($A60)),'报表调整(期初)'!$J$5:$J$65536)</f>
        <v>0</v>
      </c>
      <c r="G60" s="417">
        <f>B60+C60+E60-D60-F60</f>
        <v>0</v>
      </c>
      <c r="H60" s="417"/>
      <c r="I60" s="418">
        <f>SUM(G60:H60)</f>
        <v>0</v>
      </c>
    </row>
    <row r="61" spans="1:9" ht="14.45" customHeight="1">
      <c r="A61" s="186">
        <f>报表格式!B60</f>
        <v>0</v>
      </c>
      <c r="B61" s="417">
        <f>期初核对BS!C61</f>
        <v>0</v>
      </c>
      <c r="C61" s="417">
        <f>SUMIF('账项调整(期初)'!$E$5:$E$65536,IF(OR(MID(TRIM($A61),2,1)="：",MID(TRIM($A61),2,1)="、"),REPLACEB(TRIM($A61),1,4,""),TRIM($A61)),'账项调整(期初)'!$J$5:$J$65536)</f>
        <v>0</v>
      </c>
      <c r="D61" s="417">
        <f>SUMIF('账项调整(期初)'!$H$5:$H$65536,IF(OR(MID(TRIM($A61),2,1)="：",MID(TRIM($A61),2,1)="、"),REPLACEB(TRIM($A61),1,4,""),TRIM($A61)),'账项调整(期初)'!$J$5:$J$65536)</f>
        <v>0</v>
      </c>
      <c r="E61" s="417">
        <f>SUMIF('报表调整(期初)'!$E$5:$E$65536,IF(OR(MID(TRIM($A61),2,1)="：",MID(TRIM($A61),2,1)="、"),REPLACEB(TRIM($A61),1,4,""),TRIM($A61)),'报表调整(期初)'!$J$5:$J$65536)</f>
        <v>0</v>
      </c>
      <c r="F61" s="417">
        <f>SUMIF('报表调整(期初)'!$H$5:$H$65536,IF(OR(MID(TRIM($A61),2,1)="：",MID(TRIM($A61),2,1)="、"),REPLACEB(TRIM($A61),1,4,""),TRIM($A61)),'报表调整(期初)'!$J$5:$J$65536)</f>
        <v>0</v>
      </c>
      <c r="G61" s="417">
        <f>B61+C61+E61-D61-F61</f>
        <v>0</v>
      </c>
      <c r="H61" s="425"/>
      <c r="I61" s="418">
        <f>SUM(G61:H61)</f>
        <v>0</v>
      </c>
    </row>
    <row r="62" spans="1:9" ht="14.45" customHeight="1">
      <c r="A62" s="187" t="str">
        <f>报表格式!B73</f>
        <v>资 产 总 计</v>
      </c>
      <c r="B62" s="419">
        <f t="shared" ref="B62:H62" si="14">SUM(B60:B61,B58,B47,B34,B27)</f>
        <v>0</v>
      </c>
      <c r="C62" s="419">
        <f t="shared" si="14"/>
        <v>0</v>
      </c>
      <c r="D62" s="419">
        <f t="shared" si="14"/>
        <v>0</v>
      </c>
      <c r="E62" s="419">
        <f t="shared" si="14"/>
        <v>0</v>
      </c>
      <c r="F62" s="419">
        <f t="shared" si="14"/>
        <v>0</v>
      </c>
      <c r="G62" s="419">
        <f t="shared" si="14"/>
        <v>0</v>
      </c>
      <c r="H62" s="419">
        <f t="shared" si="14"/>
        <v>0</v>
      </c>
      <c r="I62" s="420">
        <f>SUM(G62:H62)</f>
        <v>0</v>
      </c>
    </row>
    <row r="63" spans="1:9">
      <c r="A63" s="727"/>
      <c r="B63" s="728">
        <f>B62-'TB负债(期初)'!B62</f>
        <v>0</v>
      </c>
      <c r="C63" s="725">
        <f>SUM(C7:C18,C21:C26,C29:C33,C36:C37,C39,C41:C46,C49,C51,C54:C55,C57,C60:C61)</f>
        <v>0</v>
      </c>
      <c r="D63" s="725">
        <f>SUM(D7:D18,D21:D26,D29:D33,D36:D37,D39,D41:D46,D49,D51,D54:D55,D57,D60:D61)</f>
        <v>0</v>
      </c>
      <c r="E63" s="725">
        <f>SUM(E7:E18,E21:E26,E29:E33,E36:E37,E39,E41:E46,E49,E51,E54:E55,E57,E60:E61)</f>
        <v>0</v>
      </c>
      <c r="F63" s="725">
        <f>SUM(F7:F18,F21:F26,F29:F33,F36:F37,F39,F41:F46,F49,F51,F54:F55,F57,F60:F61)</f>
        <v>0</v>
      </c>
      <c r="G63" s="728">
        <f>G62-'TB负债(期初)'!G62</f>
        <v>0</v>
      </c>
      <c r="H63" s="728">
        <f>H62-'TB负债(期初)'!H62</f>
        <v>0</v>
      </c>
      <c r="I63" s="728">
        <f>I62-'TB负债(期初)'!I62</f>
        <v>0</v>
      </c>
    </row>
    <row r="64" spans="1:9">
      <c r="A64" s="623"/>
      <c r="B64" s="623"/>
      <c r="C64" s="623"/>
      <c r="D64" s="623"/>
      <c r="E64" s="623"/>
      <c r="F64" s="623"/>
      <c r="G64" s="623"/>
      <c r="H64" s="623"/>
      <c r="I64" s="623"/>
    </row>
  </sheetData>
  <sheetProtection sheet="1" objects="1" scenarios="1"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6" priority="1" stopIfTrue="1" operator="equal">
      <formula>"报表未调平!"</formula>
    </cfRule>
  </conditionalFormatting>
  <printOptions horizontalCentered="1" verticalCentered="1"/>
  <pageMargins left="0.55118110236220474" right="0.37" top="0.4" bottom="0.28999999999999998" header="0.23622047244094491" footer="0.19685039370078741"/>
  <pageSetup paperSize="9" scale="7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64"/>
  <sheetViews>
    <sheetView showZeros="0" workbookViewId="0">
      <pane xSplit="1" ySplit="5" topLeftCell="B57" activePane="bottomRight" state="frozen"/>
      <selection pane="topRight"/>
      <selection pane="bottomLeft"/>
      <selection pane="bottomRight" activeCell="A64" sqref="A64"/>
    </sheetView>
  </sheetViews>
  <sheetFormatPr defaultColWidth="7" defaultRowHeight="13.5" outlineLevelCol="1"/>
  <cols>
    <col min="1" max="1" width="25.5" style="62" customWidth="1"/>
    <col min="2" max="2" width="13.375" style="62" customWidth="1"/>
    <col min="3" max="6" width="11.625" style="62" customWidth="1"/>
    <col min="7" max="7" width="11.25" style="62" hidden="1" customWidth="1" outlineLevel="1"/>
    <col min="8" max="8" width="8.625" style="62" hidden="1" customWidth="1" outlineLevel="1"/>
    <col min="9" max="9" width="13" style="62" customWidth="1" collapsed="1"/>
    <col min="10" max="10" width="7" style="62" customWidth="1"/>
    <col min="11" max="11" width="12.25" style="62" bestFit="1" customWidth="1"/>
    <col min="12" max="12" width="13.125" style="62" customWidth="1"/>
    <col min="13" max="16384" width="7" style="62"/>
  </cols>
  <sheetData>
    <row r="1" spans="1:13" s="61" customFormat="1" ht="19.5" customHeight="1">
      <c r="A1" s="190" t="s">
        <v>276</v>
      </c>
      <c r="B1" s="191"/>
      <c r="C1" s="191"/>
      <c r="D1" s="191"/>
      <c r="E1" s="191"/>
      <c r="F1" s="191"/>
      <c r="G1" s="191"/>
      <c r="H1" s="191"/>
      <c r="I1" s="191"/>
      <c r="J1" s="60"/>
      <c r="K1" s="62"/>
      <c r="L1" s="62"/>
      <c r="M1" s="62"/>
    </row>
    <row r="2" spans="1:13" s="61" customFormat="1" ht="17.25" customHeight="1">
      <c r="A2" s="174" t="str">
        <f>CONCATENATE("客户名称：",参数!D3)</f>
        <v>客户名称：</v>
      </c>
      <c r="C2" s="172" t="str">
        <f>CONCATENATE("编制：",参数!D17)</f>
        <v>编制：</v>
      </c>
      <c r="D2" s="173"/>
      <c r="E2" s="174" t="str">
        <f>CONCATENATE("复核：",参数!D18)</f>
        <v>复核：</v>
      </c>
      <c r="G2" s="174"/>
      <c r="H2" s="175"/>
      <c r="I2" s="176" t="str">
        <f>'TB资产(期初)'!I2</f>
        <v xml:space="preserve">索引：            </v>
      </c>
      <c r="K2" s="62"/>
      <c r="L2" s="62"/>
      <c r="M2" s="62"/>
    </row>
    <row r="3" spans="1:13" s="61" customFormat="1" ht="17.25" customHeight="1">
      <c r="A3" s="174" t="str">
        <f>CONCATENATE("会计时点：",TEXT(参数!D12,"yyyy.mm.dd"))</f>
        <v>会计时点：2007.12.31</v>
      </c>
      <c r="C3" s="176" t="str">
        <f ca="1">CONCATENATE("日期：",TEXT(NOW(),"yyyy.mm.dd"))</f>
        <v>日期：2023.08.14</v>
      </c>
      <c r="D3" s="174"/>
      <c r="E3" s="174" t="str">
        <f>'TB资产(期初)'!E3</f>
        <v>日期：</v>
      </c>
      <c r="G3" s="174"/>
      <c r="H3" s="174"/>
      <c r="I3" s="176" t="str">
        <f>'TB资产(期初)'!I3</f>
        <v xml:space="preserve">分页：           </v>
      </c>
      <c r="K3" s="62"/>
      <c r="L3" s="62"/>
      <c r="M3" s="62"/>
    </row>
    <row r="4" spans="1:13" s="61" customFormat="1">
      <c r="A4" s="946" t="str">
        <f>IF((ROUND(G62,2))=(ROUND('TB资产(期初)'!G62,2)),IF(参数!D$8="股份有限公司","  负债和股东权益",IF(参数!D$8="一般企业（执行统一会计制度）","负债和所有权益","")),"报表未调平!")</f>
        <v>负债和所有权益</v>
      </c>
      <c r="B4" s="1020" t="str">
        <f>CONCATENATE("上期审定期末数",TEXT(参数!D11,"yyyy.mm.dd"))</f>
        <v>上期审定期末数2006.12.31</v>
      </c>
      <c r="C4" s="948" t="s">
        <v>271</v>
      </c>
      <c r="D4" s="948"/>
      <c r="E4" s="948" t="s">
        <v>272</v>
      </c>
      <c r="F4" s="948"/>
      <c r="G4" s="443" t="s">
        <v>273</v>
      </c>
      <c r="H4" s="443" t="s">
        <v>274</v>
      </c>
      <c r="I4" s="1018" t="str">
        <f>CONCATENATE("本期审定期初数",TEXT(参数!D11+1,"yyyy.mm.dd"))</f>
        <v>本期审定期初数2007.01.01</v>
      </c>
      <c r="K4" s="62"/>
      <c r="L4" s="62"/>
      <c r="M4" s="62"/>
    </row>
    <row r="5" spans="1:13" s="61" customFormat="1">
      <c r="A5" s="947"/>
      <c r="B5" s="1021"/>
      <c r="C5" s="444" t="s">
        <v>711</v>
      </c>
      <c r="D5" s="444" t="s">
        <v>583</v>
      </c>
      <c r="E5" s="444" t="s">
        <v>711</v>
      </c>
      <c r="F5" s="444" t="s">
        <v>583</v>
      </c>
      <c r="G5" s="444"/>
      <c r="H5" s="444"/>
      <c r="I5" s="1019"/>
      <c r="K5" s="62"/>
      <c r="L5" s="62"/>
      <c r="M5" s="62"/>
    </row>
    <row r="6" spans="1:13" ht="14.45" customHeight="1">
      <c r="A6" s="177" t="str">
        <f>报表格式!G5</f>
        <v>流动负债：</v>
      </c>
      <c r="B6" s="178"/>
      <c r="C6" s="178"/>
      <c r="D6" s="178"/>
      <c r="E6" s="178"/>
      <c r="F6" s="178"/>
      <c r="G6" s="178"/>
      <c r="H6" s="178"/>
      <c r="I6" s="179"/>
    </row>
    <row r="7" spans="1:13" ht="14.45" customHeight="1">
      <c r="A7" s="180" t="str">
        <f>报表格式!G6</f>
        <v>短期借款</v>
      </c>
      <c r="B7" s="413">
        <f>期初核对BS!I7</f>
        <v>0</v>
      </c>
      <c r="C7" s="413">
        <f>SUMIF('账项调整(期初)'!$E$5:$E$65536,IF(OR(MID(TRIM($A7),2,1)="：",MID(TRIM($A7),2,1)="、"),REPLACEB(TRIM($A7),1,4,""),TRIM($A7)),'账项调整(期初)'!$J$5:$J$65536)</f>
        <v>0</v>
      </c>
      <c r="D7" s="413">
        <f>SUMIF('账项调整(期初)'!$H$5:$H$65536,IF(OR(MID(TRIM($A7),2,1)="：",MID(TRIM($A7),2,1)="、"),REPLACEB(TRIM($A7),1,4,""),TRIM($A7)),'账项调整(期初)'!$J$5:$J$65536)</f>
        <v>0</v>
      </c>
      <c r="E7" s="413">
        <f>SUMIF('报表调整(期初)'!$E$5:$E$65536,IF(OR(MID(TRIM($A7),2,1)="：",MID(TRIM($A7),2,1)="、"),REPLACEB(TRIM($A7),1,4,""),TRIM($A7)),'报表调整(期初)'!$J$5:$J$65536)</f>
        <v>0</v>
      </c>
      <c r="F7" s="413">
        <f>SUMIF('报表调整(期初)'!$H$5:$H$65536,IF(OR(MID(TRIM($A7),2,1)="：",MID(TRIM($A7),2,1)="、"),REPLACEB(TRIM($A7),1,4,""),TRIM($A7)),'报表调整(期初)'!$J$5:$J$65536)</f>
        <v>0</v>
      </c>
      <c r="G7" s="413">
        <f t="shared" ref="G7:G25" si="0">B7-C7-E7+D7+F7</f>
        <v>0</v>
      </c>
      <c r="H7" s="413"/>
      <c r="I7" s="414">
        <f t="shared" ref="I7:I26" si="1">SUM(G7:H7)</f>
        <v>0</v>
      </c>
    </row>
    <row r="8" spans="1:13" ht="14.45" customHeight="1">
      <c r="A8" s="180" t="str">
        <f>报表格式!G7</f>
        <v>应付票据</v>
      </c>
      <c r="B8" s="413">
        <f>期初核对BS!I8</f>
        <v>0</v>
      </c>
      <c r="C8" s="413">
        <f>SUMIF('账项调整(期初)'!$E$5:$E$65536,IF(OR(MID(TRIM($A8),2,1)="：",MID(TRIM($A8),2,1)="、"),REPLACEB(TRIM($A8),1,4,""),TRIM($A8)),'账项调整(期初)'!$J$5:$J$65536)</f>
        <v>0</v>
      </c>
      <c r="D8" s="413">
        <f>SUMIF('账项调整(期初)'!$H$5:$H$65536,IF(OR(MID(TRIM($A8),2,1)="：",MID(TRIM($A8),2,1)="、"),REPLACEB(TRIM($A8),1,4,""),TRIM($A8)),'账项调整(期初)'!$J$5:$J$65536)</f>
        <v>0</v>
      </c>
      <c r="E8" s="413">
        <f>SUMIF('报表调整(期初)'!$E$5:$E$65536,IF(OR(MID(TRIM($A8),2,1)="：",MID(TRIM($A8),2,1)="、"),REPLACEB(TRIM($A8),1,4,""),TRIM($A8)),'报表调整(期初)'!$J$5:$J$65536)</f>
        <v>0</v>
      </c>
      <c r="F8" s="413">
        <f>SUMIF('报表调整(期初)'!$H$5:$H$65536,IF(OR(MID(TRIM($A8),2,1)="：",MID(TRIM($A8),2,1)="、"),REPLACEB(TRIM($A8),1,4,""),TRIM($A8)),'报表调整(期初)'!$J$5:$J$65536)</f>
        <v>0</v>
      </c>
      <c r="G8" s="413">
        <f t="shared" si="0"/>
        <v>0</v>
      </c>
      <c r="H8" s="413"/>
      <c r="I8" s="414">
        <f t="shared" si="1"/>
        <v>0</v>
      </c>
    </row>
    <row r="9" spans="1:13" ht="14.45" customHeight="1">
      <c r="A9" s="180" t="str">
        <f>报表格式!G8</f>
        <v>应付账款</v>
      </c>
      <c r="B9" s="413">
        <f>期初核对BS!I9</f>
        <v>0</v>
      </c>
      <c r="C9" s="413">
        <f>SUMIF('账项调整(期初)'!$E$5:$E$65536,IF(OR(MID(TRIM($A9),2,1)="：",MID(TRIM($A9),2,1)="、"),REPLACEB(TRIM($A9),1,4,""),TRIM($A9)),'账项调整(期初)'!$J$5:$J$65536)</f>
        <v>0</v>
      </c>
      <c r="D9" s="413">
        <f>SUMIF('账项调整(期初)'!$H$5:$H$65536,IF(OR(MID(TRIM($A9),2,1)="：",MID(TRIM($A9),2,1)="、"),REPLACEB(TRIM($A9),1,4,""),TRIM($A9)),'账项调整(期初)'!$J$5:$J$65536)</f>
        <v>0</v>
      </c>
      <c r="E9" s="413">
        <f>SUMIF('报表调整(期初)'!$E$5:$E$65536,IF(OR(MID(TRIM($A9),2,1)="：",MID(TRIM($A9),2,1)="、"),REPLACEB(TRIM($A9),1,4,""),TRIM($A9)),'报表调整(期初)'!$J$5:$J$65536)</f>
        <v>0</v>
      </c>
      <c r="F9" s="413">
        <f>SUMIF('报表调整(期初)'!$H$5:$H$65536,IF(OR(MID(TRIM($A9),2,1)="：",MID(TRIM($A9),2,1)="、"),REPLACEB(TRIM($A9),1,4,""),TRIM($A9)),'报表调整(期初)'!$J$5:$J$65536)</f>
        <v>0</v>
      </c>
      <c r="G9" s="413">
        <f t="shared" si="0"/>
        <v>0</v>
      </c>
      <c r="H9" s="413"/>
      <c r="I9" s="414">
        <f t="shared" si="1"/>
        <v>0</v>
      </c>
    </row>
    <row r="10" spans="1:13" ht="14.45" customHeight="1">
      <c r="A10" s="180" t="str">
        <f>报表格式!G9</f>
        <v>预收账款</v>
      </c>
      <c r="B10" s="413">
        <f>期初核对BS!I10</f>
        <v>0</v>
      </c>
      <c r="C10" s="413">
        <f>SUMIF('账项调整(期初)'!$E$5:$E$65536,IF(OR(MID(TRIM($A10),2,1)="：",MID(TRIM($A10),2,1)="、"),REPLACEB(TRIM($A10),1,4,""),TRIM($A10)),'账项调整(期初)'!$J$5:$J$65536)</f>
        <v>0</v>
      </c>
      <c r="D10" s="413">
        <f>SUMIF('账项调整(期初)'!$H$5:$H$65536,IF(OR(MID(TRIM($A10),2,1)="：",MID(TRIM($A10),2,1)="、"),REPLACEB(TRIM($A10),1,4,""),TRIM($A10)),'账项调整(期初)'!$J$5:$J$65536)</f>
        <v>0</v>
      </c>
      <c r="E10" s="413">
        <f>SUMIF('报表调整(期初)'!$E$5:$E$65536,IF(OR(MID(TRIM($A10),2,1)="：",MID(TRIM($A10),2,1)="、"),REPLACEB(TRIM($A10),1,4,""),TRIM($A10)),'报表调整(期初)'!$J$5:$J$65536)</f>
        <v>0</v>
      </c>
      <c r="F10" s="413">
        <f>SUMIF('报表调整(期初)'!$H$5:$H$65536,IF(OR(MID(TRIM($A10),2,1)="：",MID(TRIM($A10),2,1)="、"),REPLACEB(TRIM($A10),1,4,""),TRIM($A10)),'报表调整(期初)'!$J$5:$J$65536)</f>
        <v>0</v>
      </c>
      <c r="G10" s="413">
        <f t="shared" si="0"/>
        <v>0</v>
      </c>
      <c r="H10" s="413"/>
      <c r="I10" s="414">
        <f t="shared" si="1"/>
        <v>0</v>
      </c>
    </row>
    <row r="11" spans="1:13" ht="14.45" customHeight="1">
      <c r="A11" s="180" t="str">
        <f>报表格式!G10</f>
        <v>应付工资</v>
      </c>
      <c r="B11" s="413">
        <f>期初核对BS!I11</f>
        <v>0</v>
      </c>
      <c r="C11" s="413">
        <f>SUMIF('账项调整(期初)'!$E$5:$E$65536,IF(OR(MID(TRIM($A11),2,1)="：",MID(TRIM($A11),2,1)="、"),REPLACEB(TRIM($A11),1,4,""),TRIM($A11)),'账项调整(期初)'!$J$5:$J$65536)</f>
        <v>0</v>
      </c>
      <c r="D11" s="413">
        <f>SUMIF('账项调整(期初)'!$H$5:$H$65536,IF(OR(MID(TRIM($A11),2,1)="：",MID(TRIM($A11),2,1)="、"),REPLACEB(TRIM($A11),1,4,""),TRIM($A11)),'账项调整(期初)'!$J$5:$J$65536)</f>
        <v>0</v>
      </c>
      <c r="E11" s="413">
        <f>SUMIF('报表调整(期初)'!$E$5:$E$65536,IF(OR(MID(TRIM($A11),2,1)="：",MID(TRIM($A11),2,1)="、"),REPLACEB(TRIM($A11),1,4,""),TRIM($A11)),'报表调整(期初)'!$J$5:$J$65536)</f>
        <v>0</v>
      </c>
      <c r="F11" s="413">
        <f>SUMIF('报表调整(期初)'!$H$5:$H$65536,IF(OR(MID(TRIM($A11),2,1)="：",MID(TRIM($A11),2,1)="、"),REPLACEB(TRIM($A11),1,4,""),TRIM($A11)),'报表调整(期初)'!$J$5:$J$65536)</f>
        <v>0</v>
      </c>
      <c r="G11" s="413">
        <f t="shared" si="0"/>
        <v>0</v>
      </c>
      <c r="H11" s="413"/>
      <c r="I11" s="414">
        <f t="shared" si="1"/>
        <v>0</v>
      </c>
    </row>
    <row r="12" spans="1:13" ht="14.45" customHeight="1">
      <c r="A12" s="180" t="str">
        <f>报表格式!G11</f>
        <v>应付福利费</v>
      </c>
      <c r="B12" s="413">
        <f>期初核对BS!I12</f>
        <v>0</v>
      </c>
      <c r="C12" s="413">
        <f>SUMIF('账项调整(期初)'!$E$5:$E$65536,IF(OR(MID(TRIM($A12),2,1)="：",MID(TRIM($A12),2,1)="、"),REPLACEB(TRIM($A12),1,4,""),TRIM($A12)),'账项调整(期初)'!$J$5:$J$65536)</f>
        <v>0</v>
      </c>
      <c r="D12" s="413">
        <f>SUMIF('账项调整(期初)'!$H$5:$H$65536,IF(OR(MID(TRIM($A12),2,1)="：",MID(TRIM($A12),2,1)="、"),REPLACEB(TRIM($A12),1,4,""),TRIM($A12)),'账项调整(期初)'!$J$5:$J$65536)</f>
        <v>0</v>
      </c>
      <c r="E12" s="413">
        <f>SUMIF('报表调整(期初)'!$E$5:$E$65536,IF(OR(MID(TRIM($A12),2,1)="：",MID(TRIM($A12),2,1)="、"),REPLACEB(TRIM($A12),1,4,""),TRIM($A12)),'报表调整(期初)'!$J$5:$J$65536)</f>
        <v>0</v>
      </c>
      <c r="F12" s="413">
        <f>SUMIF('报表调整(期初)'!$H$5:$H$65536,IF(OR(MID(TRIM($A12),2,1)="：",MID(TRIM($A12),2,1)="、"),REPLACEB(TRIM($A12),1,4,""),TRIM($A12)),'报表调整(期初)'!$J$5:$J$65536)</f>
        <v>0</v>
      </c>
      <c r="G12" s="413">
        <f t="shared" si="0"/>
        <v>0</v>
      </c>
      <c r="H12" s="413"/>
      <c r="I12" s="414">
        <f t="shared" si="1"/>
        <v>0</v>
      </c>
    </row>
    <row r="13" spans="1:13" ht="14.45" customHeight="1">
      <c r="A13" s="180" t="str">
        <f>报表格式!G12</f>
        <v>应付股利（利润）</v>
      </c>
      <c r="B13" s="413">
        <f>期初核对BS!I13</f>
        <v>0</v>
      </c>
      <c r="C13" s="413">
        <f>SUMIF('账项调整(期初)'!$E$5:$E$65536,IF(OR(MID(TRIM($A13),2,1)="：",MID(TRIM($A13),2,1)="、"),REPLACEB(TRIM($A13),1,4,""),TRIM($A13)),'账项调整(期初)'!$J$5:$J$65536)</f>
        <v>0</v>
      </c>
      <c r="D13" s="413">
        <f>SUMIF('账项调整(期初)'!$H$5:$H$65536,IF(OR(MID(TRIM($A13),2,1)="：",MID(TRIM($A13),2,1)="、"),REPLACEB(TRIM($A13),1,4,""),TRIM($A13)),'账项调整(期初)'!$J$5:$J$65536)</f>
        <v>0</v>
      </c>
      <c r="E13" s="413">
        <f>SUMIF('报表调整(期初)'!$E$5:$E$65536,IF(OR(MID(TRIM($A13),2,1)="：",MID(TRIM($A13),2,1)="、"),REPLACEB(TRIM($A13),1,4,""),TRIM($A13)),'报表调整(期初)'!$J$5:$J$65536)</f>
        <v>0</v>
      </c>
      <c r="F13" s="413">
        <f>SUMIF('报表调整(期初)'!$H$5:$H$65536,IF(OR(MID(TRIM($A13),2,1)="：",MID(TRIM($A13),2,1)="、"),REPLACEB(TRIM($A13),1,4,""),TRIM($A13)),'报表调整(期初)'!$J$5:$J$65536)</f>
        <v>0</v>
      </c>
      <c r="G13" s="413">
        <f t="shared" si="0"/>
        <v>0</v>
      </c>
      <c r="H13" s="413"/>
      <c r="I13" s="414">
        <f t="shared" si="1"/>
        <v>0</v>
      </c>
    </row>
    <row r="14" spans="1:13" ht="14.45" customHeight="1">
      <c r="A14" s="180" t="str">
        <f>报表格式!G13</f>
        <v>应付利息</v>
      </c>
      <c r="B14" s="413">
        <f>期初核对BS!I14</f>
        <v>0</v>
      </c>
      <c r="C14" s="413">
        <f>SUMIF('账项调整(期初)'!$E$5:$E$65536,IF(OR(MID(TRIM($A14),2,1)="：",MID(TRIM($A14),2,1)="、"),REPLACEB(TRIM($A14),1,4,""),TRIM($A14)),'账项调整(期初)'!$J$5:$J$65536)</f>
        <v>0</v>
      </c>
      <c r="D14" s="413">
        <f>SUMIF('账项调整(期初)'!$H$5:$H$65536,IF(OR(MID(TRIM($A14),2,1)="：",MID(TRIM($A14),2,1)="、"),REPLACEB(TRIM($A14),1,4,""),TRIM($A14)),'账项调整(期初)'!$J$5:$J$65536)</f>
        <v>0</v>
      </c>
      <c r="E14" s="413">
        <f>SUMIF('报表调整(期初)'!$E$5:$E$65536,IF(OR(MID(TRIM($A14),2,1)="：",MID(TRIM($A14),2,1)="、"),REPLACEB(TRIM($A14),1,4,""),TRIM($A14)),'报表调整(期初)'!$J$5:$J$65536)</f>
        <v>0</v>
      </c>
      <c r="F14" s="413">
        <f>SUMIF('报表调整(期初)'!$H$5:$H$65536,IF(OR(MID(TRIM($A14),2,1)="：",MID(TRIM($A14),2,1)="、"),REPLACEB(TRIM($A14),1,4,""),TRIM($A14)),'报表调整(期初)'!$J$5:$J$65536)</f>
        <v>0</v>
      </c>
      <c r="G14" s="413">
        <f t="shared" si="0"/>
        <v>0</v>
      </c>
      <c r="H14" s="413"/>
      <c r="I14" s="414">
        <f t="shared" si="1"/>
        <v>0</v>
      </c>
    </row>
    <row r="15" spans="1:13" ht="14.45" customHeight="1">
      <c r="A15" s="180" t="str">
        <f>报表格式!G14</f>
        <v>应交税金</v>
      </c>
      <c r="B15" s="413">
        <f>期初核对BS!I15</f>
        <v>0</v>
      </c>
      <c r="C15" s="413">
        <f>SUMIF('账项调整(期初)'!$E$5:$E$65536,IF(OR(MID(TRIM($A15),2,1)="：",MID(TRIM($A15),2,1)="、"),REPLACEB(TRIM($A15),1,4,""),TRIM($A15)),'账项调整(期初)'!$J$5:$J$65536)</f>
        <v>0</v>
      </c>
      <c r="D15" s="413">
        <f>SUMIF('账项调整(期初)'!$H$5:$H$65536,IF(OR(MID(TRIM($A15),2,1)="：",MID(TRIM($A15),2,1)="、"),REPLACEB(TRIM($A15),1,4,""),TRIM($A15)),'账项调整(期初)'!$J$5:$J$65536)</f>
        <v>0</v>
      </c>
      <c r="E15" s="413">
        <f>SUMIF('报表调整(期初)'!$E$5:$E$65536,IF(OR(MID(TRIM($A15),2,1)="：",MID(TRIM($A15),2,1)="、"),REPLACEB(TRIM($A15),1,4,""),TRIM($A15)),'报表调整(期初)'!$J$5:$J$65536)</f>
        <v>0</v>
      </c>
      <c r="F15" s="413">
        <f>SUMIF('报表调整(期初)'!$H$5:$H$65536,IF(OR(MID(TRIM($A15),2,1)="：",MID(TRIM($A15),2,1)="、"),REPLACEB(TRIM($A15),1,4,""),TRIM($A15)),'报表调整(期初)'!$J$5:$J$65536)</f>
        <v>0</v>
      </c>
      <c r="G15" s="413">
        <f t="shared" si="0"/>
        <v>0</v>
      </c>
      <c r="H15" s="413"/>
      <c r="I15" s="414">
        <f t="shared" si="1"/>
        <v>0</v>
      </c>
    </row>
    <row r="16" spans="1:13" ht="14.45" customHeight="1">
      <c r="A16" s="180" t="str">
        <f>报表格式!G15</f>
        <v>其他应交款</v>
      </c>
      <c r="B16" s="413">
        <f>期初核对BS!I16</f>
        <v>0</v>
      </c>
      <c r="C16" s="413">
        <f>SUMIF('账项调整(期初)'!$E$5:$E$65536,IF(OR(MID(TRIM($A16),2,1)="：",MID(TRIM($A16),2,1)="、"),REPLACEB(TRIM($A16),1,4,""),TRIM($A16)),'账项调整(期初)'!$J$5:$J$65536)</f>
        <v>0</v>
      </c>
      <c r="D16" s="413">
        <f>SUMIF('账项调整(期初)'!$H$5:$H$65536,IF(OR(MID(TRIM($A16),2,1)="：",MID(TRIM($A16),2,1)="、"),REPLACEB(TRIM($A16),1,4,""),TRIM($A16)),'账项调整(期初)'!$J$5:$J$65536)</f>
        <v>0</v>
      </c>
      <c r="E16" s="413">
        <f>SUMIF('报表调整(期初)'!$E$5:$E$65536,IF(OR(MID(TRIM($A16),2,1)="：",MID(TRIM($A16),2,1)="、"),REPLACEB(TRIM($A16),1,4,""),TRIM($A16)),'报表调整(期初)'!$J$5:$J$65536)</f>
        <v>0</v>
      </c>
      <c r="F16" s="413">
        <f>SUMIF('报表调整(期初)'!$H$5:$H$65536,IF(OR(MID(TRIM($A16),2,1)="：",MID(TRIM($A16),2,1)="、"),REPLACEB(TRIM($A16),1,4,""),TRIM($A16)),'报表调整(期初)'!$J$5:$J$65536)</f>
        <v>0</v>
      </c>
      <c r="G16" s="413">
        <f t="shared" si="0"/>
        <v>0</v>
      </c>
      <c r="H16" s="413"/>
      <c r="I16" s="414">
        <f t="shared" si="1"/>
        <v>0</v>
      </c>
    </row>
    <row r="17" spans="1:9" ht="14.45" customHeight="1">
      <c r="A17" s="180" t="str">
        <f>报表格式!G16</f>
        <v>其他应付款</v>
      </c>
      <c r="B17" s="413">
        <f>期初核对BS!I17</f>
        <v>0</v>
      </c>
      <c r="C17" s="413">
        <f>SUMIF('账项调整(期初)'!$E$5:$E$65536,IF(OR(MID(TRIM($A17),2,1)="：",MID(TRIM($A17),2,1)="、"),REPLACEB(TRIM($A17),1,4,""),TRIM($A17)),'账项调整(期初)'!$J$5:$J$65536)</f>
        <v>0</v>
      </c>
      <c r="D17" s="413">
        <f>SUMIF('账项调整(期初)'!$H$5:$H$65536,IF(OR(MID(TRIM($A17),2,1)="：",MID(TRIM($A17),2,1)="、"),REPLACEB(TRIM($A17),1,4,""),TRIM($A17)),'账项调整(期初)'!$J$5:$J$65536)</f>
        <v>0</v>
      </c>
      <c r="E17" s="413">
        <f>SUMIF('报表调整(期初)'!$E$5:$E$65536,IF(OR(MID(TRIM($A17),2,1)="：",MID(TRIM($A17),2,1)="、"),REPLACEB(TRIM($A17),1,4,""),TRIM($A17)),'报表调整(期初)'!$J$5:$J$65536)</f>
        <v>0</v>
      </c>
      <c r="F17" s="413">
        <f>SUMIF('报表调整(期初)'!$H$5:$H$65536,IF(OR(MID(TRIM($A17),2,1)="：",MID(TRIM($A17),2,1)="、"),REPLACEB(TRIM($A17),1,4,""),TRIM($A17)),'报表调整(期初)'!$J$5:$J$65536)</f>
        <v>0</v>
      </c>
      <c r="G17" s="413">
        <f t="shared" si="0"/>
        <v>0</v>
      </c>
      <c r="H17" s="413"/>
      <c r="I17" s="414">
        <f t="shared" si="1"/>
        <v>0</v>
      </c>
    </row>
    <row r="18" spans="1:9" ht="14.45" customHeight="1">
      <c r="A18" s="180" t="str">
        <f>报表格式!G17</f>
        <v>预提费用</v>
      </c>
      <c r="B18" s="413">
        <f>期初核对BS!I18</f>
        <v>0</v>
      </c>
      <c r="C18" s="413">
        <f>SUMIF('账项调整(期初)'!$E$5:$E$65536,IF(OR(MID(TRIM($A18),2,1)="：",MID(TRIM($A18),2,1)="、"),REPLACEB(TRIM($A18),1,4,""),TRIM($A18)),'账项调整(期初)'!$J$5:$J$65536)</f>
        <v>0</v>
      </c>
      <c r="D18" s="413">
        <f>SUMIF('账项调整(期初)'!$H$5:$H$65536,IF(OR(MID(TRIM($A18),2,1)="：",MID(TRIM($A18),2,1)="、"),REPLACEB(TRIM($A18),1,4,""),TRIM($A18)),'账项调整(期初)'!$J$5:$J$65536)</f>
        <v>0</v>
      </c>
      <c r="E18" s="413">
        <f>SUMIF('报表调整(期初)'!$E$5:$E$65536,IF(OR(MID(TRIM($A18),2,1)="：",MID(TRIM($A18),2,1)="、"),REPLACEB(TRIM($A18),1,4,""),TRIM($A18)),'报表调整(期初)'!$J$5:$J$65536)</f>
        <v>0</v>
      </c>
      <c r="F18" s="413">
        <f>SUMIF('报表调整(期初)'!$H$5:$H$65536,IF(OR(MID(TRIM($A18),2,1)="：",MID(TRIM($A18),2,1)="、"),REPLACEB(TRIM($A18),1,4,""),TRIM($A18)),'报表调整(期初)'!$J$5:$J$65536)</f>
        <v>0</v>
      </c>
      <c r="G18" s="413">
        <f t="shared" si="0"/>
        <v>0</v>
      </c>
      <c r="H18" s="413"/>
      <c r="I18" s="414">
        <f t="shared" si="1"/>
        <v>0</v>
      </c>
    </row>
    <row r="19" spans="1:9" ht="14.45" customHeight="1">
      <c r="A19" s="180" t="str">
        <f>报表格式!G18</f>
        <v>预计负债</v>
      </c>
      <c r="B19" s="413">
        <f>期初核对BS!I19</f>
        <v>0</v>
      </c>
      <c r="C19" s="413">
        <f>SUMIF('账项调整(期初)'!$E$5:$E$65536,IF(OR(MID(TRIM($A19),2,1)="：",MID(TRIM($A19),2,1)="、"),REPLACEB(TRIM($A19),1,4,""),TRIM($A19)),'账项调整(期初)'!$J$5:$J$65536)</f>
        <v>0</v>
      </c>
      <c r="D19" s="413">
        <f>SUMIF('账项调整(期初)'!$H$5:$H$65536,IF(OR(MID(TRIM($A19),2,1)="：",MID(TRIM($A19),2,1)="、"),REPLACEB(TRIM($A19),1,4,""),TRIM($A19)),'账项调整(期初)'!$J$5:$J$65536)</f>
        <v>0</v>
      </c>
      <c r="E19" s="413">
        <f>SUMIF('报表调整(期初)'!$E$5:$E$65536,IF(OR(MID(TRIM($A19),2,1)="：",MID(TRIM($A19),2,1)="、"),REPLACEB(TRIM($A19),1,4,""),TRIM($A19)),'报表调整(期初)'!$J$5:$J$65536)</f>
        <v>0</v>
      </c>
      <c r="F19" s="413">
        <f>SUMIF('报表调整(期初)'!$H$5:$H$65536,IF(OR(MID(TRIM($A19),2,1)="：",MID(TRIM($A19),2,1)="、"),REPLACEB(TRIM($A19),1,4,""),TRIM($A19)),'报表调整(期初)'!$J$5:$J$65536)</f>
        <v>0</v>
      </c>
      <c r="G19" s="413">
        <f t="shared" si="0"/>
        <v>0</v>
      </c>
      <c r="H19" s="413"/>
      <c r="I19" s="414">
        <f t="shared" si="1"/>
        <v>0</v>
      </c>
    </row>
    <row r="20" spans="1:9" ht="14.45" customHeight="1">
      <c r="A20" s="180" t="str">
        <f>报表格式!G19</f>
        <v>递延收益</v>
      </c>
      <c r="B20" s="413">
        <f>期初核对BS!I20</f>
        <v>0</v>
      </c>
      <c r="C20" s="413">
        <f>SUMIF('账项调整(期初)'!$E$5:$E$65536,IF(OR(MID(TRIM($A20),2,1)="：",MID(TRIM($A20),2,1)="、"),REPLACEB(TRIM($A20),1,4,""),TRIM($A20)),'账项调整(期初)'!$J$5:$J$65536)</f>
        <v>0</v>
      </c>
      <c r="D20" s="413">
        <f>SUMIF('账项调整(期初)'!$H$5:$H$65536,IF(OR(MID(TRIM($A20),2,1)="：",MID(TRIM($A20),2,1)="、"),REPLACEB(TRIM($A20),1,4,""),TRIM($A20)),'账项调整(期初)'!$J$5:$J$65536)</f>
        <v>0</v>
      </c>
      <c r="E20" s="413">
        <f>SUMIF('报表调整(期初)'!$E$5:$E$65536,IF(OR(MID(TRIM($A20),2,1)="：",MID(TRIM($A20),2,1)="、"),REPLACEB(TRIM($A20),1,4,""),TRIM($A20)),'报表调整(期初)'!$J$5:$J$65536)</f>
        <v>0</v>
      </c>
      <c r="F20" s="413">
        <f>SUMIF('报表调整(期初)'!$H$5:$H$65536,IF(OR(MID(TRIM($A20),2,1)="：",MID(TRIM($A20),2,1)="、"),REPLACEB(TRIM($A20),1,4,""),TRIM($A20)),'报表调整(期初)'!$J$5:$J$65536)</f>
        <v>0</v>
      </c>
      <c r="G20" s="413">
        <f t="shared" si="0"/>
        <v>0</v>
      </c>
      <c r="H20" s="413"/>
      <c r="I20" s="414">
        <f t="shared" si="1"/>
        <v>0</v>
      </c>
    </row>
    <row r="21" spans="1:9" ht="14.45" customHeight="1">
      <c r="A21" s="180" t="str">
        <f>报表格式!G20</f>
        <v>一年内到期的长期负债</v>
      </c>
      <c r="B21" s="413">
        <f>期初核对BS!I21</f>
        <v>0</v>
      </c>
      <c r="C21" s="413">
        <f>SUMIF('账项调整(期初)'!$E$5:$E$65536,IF(OR(MID(TRIM($A21),2,1)="：",MID(TRIM($A21),2,1)="、"),REPLACEB(TRIM($A21),1,4,""),TRIM($A21)),'账项调整(期初)'!$J$5:$J$65536)</f>
        <v>0</v>
      </c>
      <c r="D21" s="413">
        <f>SUMIF('账项调整(期初)'!$H$5:$H$65536,IF(OR(MID(TRIM($A21),2,1)="：",MID(TRIM($A21),2,1)="、"),REPLACEB(TRIM($A21),1,4,""),TRIM($A21)),'账项调整(期初)'!$J$5:$J$65536)</f>
        <v>0</v>
      </c>
      <c r="E21" s="413">
        <f>SUMIF('报表调整(期初)'!$E$5:$E$65536,IF(OR(MID(TRIM($A21),2,1)="：",MID(TRIM($A21),2,1)="、"),REPLACEB(TRIM($A21),1,4,""),TRIM($A21)),'报表调整(期初)'!$J$5:$J$65536)</f>
        <v>0</v>
      </c>
      <c r="F21" s="413">
        <f>SUMIF('报表调整(期初)'!$H$5:$H$65536,IF(OR(MID(TRIM($A21),2,1)="：",MID(TRIM($A21),2,1)="、"),REPLACEB(TRIM($A21),1,4,""),TRIM($A21)),'报表调整(期初)'!$J$5:$J$65536)</f>
        <v>0</v>
      </c>
      <c r="G21" s="413">
        <f t="shared" si="0"/>
        <v>0</v>
      </c>
      <c r="H21" s="413"/>
      <c r="I21" s="414">
        <f t="shared" si="1"/>
        <v>0</v>
      </c>
    </row>
    <row r="22" spans="1:9" ht="14.45" customHeight="1">
      <c r="A22" s="180" t="str">
        <f>报表格式!G21</f>
        <v>应付权证</v>
      </c>
      <c r="B22" s="413">
        <f>期初核对BS!I22</f>
        <v>0</v>
      </c>
      <c r="C22" s="413">
        <f>SUMIF('账项调整(期初)'!$E$5:$E$65536,IF(OR(MID(TRIM($A22),2,1)="：",MID(TRIM($A22),2,1)="、"),REPLACEB(TRIM($A22),1,4,""),TRIM($A22)),'账项调整(期初)'!$J$5:$J$65536)</f>
        <v>0</v>
      </c>
      <c r="D22" s="413">
        <f>SUMIF('账项调整(期初)'!$H$5:$H$65536,IF(OR(MID(TRIM($A22),2,1)="：",MID(TRIM($A22),2,1)="、"),REPLACEB(TRIM($A22),1,4,""),TRIM($A22)),'账项调整(期初)'!$J$5:$J$65536)</f>
        <v>0</v>
      </c>
      <c r="E22" s="413">
        <f>SUMIF('报表调整(期初)'!$E$5:$E$65536,IF(OR(MID(TRIM($A22),2,1)="：",MID(TRIM($A22),2,1)="、"),REPLACEB(TRIM($A22),1,4,""),TRIM($A22)),'报表调整(期初)'!$J$5:$J$65536)</f>
        <v>0</v>
      </c>
      <c r="F22" s="413">
        <f>SUMIF('报表调整(期初)'!$H$5:$H$65536,IF(OR(MID(TRIM($A22),2,1)="：",MID(TRIM($A22),2,1)="、"),REPLACEB(TRIM($A22),1,4,""),TRIM($A22)),'报表调整(期初)'!$J$5:$J$65536)</f>
        <v>0</v>
      </c>
      <c r="G22" s="413">
        <f t="shared" si="0"/>
        <v>0</v>
      </c>
      <c r="H22" s="413"/>
      <c r="I22" s="414">
        <f t="shared" si="1"/>
        <v>0</v>
      </c>
    </row>
    <row r="23" spans="1:9" ht="14.45" customHeight="1">
      <c r="A23" s="180" t="str">
        <f>报表格式!G22</f>
        <v>其他流动负债</v>
      </c>
      <c r="B23" s="413">
        <f>期初核对BS!I23</f>
        <v>0</v>
      </c>
      <c r="C23" s="413">
        <f>SUMIF('账项调整(期初)'!$E$5:$E$65536,IF(OR(MID(TRIM($A23),2,1)="：",MID(TRIM($A23),2,1)="、"),REPLACEB(TRIM($A23),1,4,""),TRIM($A23)),'账项调整(期初)'!$J$5:$J$65536)</f>
        <v>0</v>
      </c>
      <c r="D23" s="413">
        <f>SUMIF('账项调整(期初)'!$H$5:$H$65536,IF(OR(MID(TRIM($A23),2,1)="：",MID(TRIM($A23),2,1)="、"),REPLACEB(TRIM($A23),1,4,""),TRIM($A23)),'账项调整(期初)'!$J$5:$J$65536)</f>
        <v>0</v>
      </c>
      <c r="E23" s="413">
        <f>SUMIF('报表调整(期初)'!$E$5:$E$65536,IF(OR(MID(TRIM($A23),2,1)="：",MID(TRIM($A23),2,1)="、"),REPLACEB(TRIM($A23),1,4,""),TRIM($A23)),'报表调整(期初)'!$J$5:$J$65536)</f>
        <v>0</v>
      </c>
      <c r="F23" s="413">
        <f>SUMIF('报表调整(期初)'!$H$5:$H$65536,IF(OR(MID(TRIM($A23),2,1)="：",MID(TRIM($A23),2,1)="、"),REPLACEB(TRIM($A23),1,4,""),TRIM($A23)),'报表调整(期初)'!$J$5:$J$65536)</f>
        <v>0</v>
      </c>
      <c r="G23" s="413">
        <f t="shared" si="0"/>
        <v>0</v>
      </c>
      <c r="H23" s="413"/>
      <c r="I23" s="414">
        <f t="shared" si="1"/>
        <v>0</v>
      </c>
    </row>
    <row r="24" spans="1:9" ht="14.45" customHeight="1">
      <c r="A24" s="180">
        <f>报表格式!G23</f>
        <v>0</v>
      </c>
      <c r="B24" s="413">
        <f>期初核对BS!I24</f>
        <v>0</v>
      </c>
      <c r="C24" s="413">
        <f>SUMIF('账项调整(期初)'!$E$5:$E$65536,IF(OR(MID(TRIM($A24),2,1)="：",MID(TRIM($A24),2,1)="、"),REPLACEB(TRIM($A24),1,4,""),TRIM($A24)),'账项调整(期初)'!$J$5:$J$65536)</f>
        <v>0</v>
      </c>
      <c r="D24" s="413">
        <f>SUMIF('账项调整(期初)'!$H$5:$H$65536,IF(OR(MID(TRIM($A24),2,1)="：",MID(TRIM($A24),2,1)="、"),REPLACEB(TRIM($A24),1,4,""),TRIM($A24)),'账项调整(期初)'!$J$5:$J$65536)</f>
        <v>0</v>
      </c>
      <c r="E24" s="413">
        <f>SUMIF('报表调整(期初)'!$E$5:$E$65536,IF(OR(MID(TRIM($A24),2,1)="：",MID(TRIM($A24),2,1)="、"),REPLACEB(TRIM($A24),1,4,""),TRIM($A24)),'报表调整(期初)'!$J$5:$J$65536)</f>
        <v>0</v>
      </c>
      <c r="F24" s="413">
        <f>SUMIF('报表调整(期初)'!$H$5:$H$65536,IF(OR(MID(TRIM($A24),2,1)="：",MID(TRIM($A24),2,1)="、"),REPLACEB(TRIM($A24),1,4,""),TRIM($A24)),'报表调整(期初)'!$J$5:$J$65536)</f>
        <v>0</v>
      </c>
      <c r="G24" s="413">
        <f t="shared" si="0"/>
        <v>0</v>
      </c>
      <c r="H24" s="413"/>
      <c r="I24" s="414">
        <f t="shared" si="1"/>
        <v>0</v>
      </c>
    </row>
    <row r="25" spans="1:9" ht="14.45" customHeight="1">
      <c r="A25" s="180">
        <f>报表格式!G24</f>
        <v>0</v>
      </c>
      <c r="B25" s="413">
        <f>期初核对BS!I25</f>
        <v>0</v>
      </c>
      <c r="C25" s="413">
        <f>SUMIF('账项调整(期初)'!$E$5:$E$65536,IF(OR(MID(TRIM($A25),2,1)="：",MID(TRIM($A25),2,1)="、"),REPLACEB(TRIM($A25),1,4,""),TRIM($A25)),'账项调整(期初)'!$J$5:$J$65536)</f>
        <v>0</v>
      </c>
      <c r="D25" s="413">
        <f>SUMIF('账项调整(期初)'!$H$5:$H$65536,IF(OR(MID(TRIM($A25),2,1)="：",MID(TRIM($A25),2,1)="、"),REPLACEB(TRIM($A25),1,4,""),TRIM($A25)),'账项调整(期初)'!$J$5:$J$65536)</f>
        <v>0</v>
      </c>
      <c r="E25" s="413">
        <f>SUMIF('报表调整(期初)'!$E$5:$E$65536,IF(OR(MID(TRIM($A25),2,1)="：",MID(TRIM($A25),2,1)="、"),REPLACEB(TRIM($A25),1,4,""),TRIM($A25)),'报表调整(期初)'!$J$5:$J$65536)</f>
        <v>0</v>
      </c>
      <c r="F25" s="413">
        <f>SUMIF('报表调整(期初)'!$H$5:$H$65536,IF(OR(MID(TRIM($A25),2,1)="：",MID(TRIM($A25),2,1)="、"),REPLACEB(TRIM($A25),1,4,""),TRIM($A25)),'报表调整(期初)'!$J$5:$J$65536)</f>
        <v>0</v>
      </c>
      <c r="G25" s="413">
        <f t="shared" si="0"/>
        <v>0</v>
      </c>
      <c r="H25" s="413"/>
      <c r="I25" s="414">
        <f t="shared" si="1"/>
        <v>0</v>
      </c>
    </row>
    <row r="26" spans="1:9" ht="14.45" customHeight="1">
      <c r="A26" s="181" t="str">
        <f>报表格式!G25</f>
        <v>流动负债合计</v>
      </c>
      <c r="B26" s="415">
        <f t="shared" ref="B26:H26" si="2">SUM(B7:B25)</f>
        <v>0</v>
      </c>
      <c r="C26" s="415">
        <f t="shared" si="2"/>
        <v>0</v>
      </c>
      <c r="D26" s="415">
        <f t="shared" si="2"/>
        <v>0</v>
      </c>
      <c r="E26" s="415">
        <f t="shared" si="2"/>
        <v>0</v>
      </c>
      <c r="F26" s="415">
        <f t="shared" si="2"/>
        <v>0</v>
      </c>
      <c r="G26" s="415">
        <f t="shared" si="2"/>
        <v>0</v>
      </c>
      <c r="H26" s="415">
        <f t="shared" si="2"/>
        <v>0</v>
      </c>
      <c r="I26" s="416">
        <f t="shared" si="1"/>
        <v>0</v>
      </c>
    </row>
    <row r="27" spans="1:9" ht="14.45" customHeight="1">
      <c r="A27" s="182" t="str">
        <f>报表格式!G26</f>
        <v>长期负债：</v>
      </c>
      <c r="B27" s="413"/>
      <c r="C27" s="413"/>
      <c r="D27" s="413"/>
      <c r="E27" s="413"/>
      <c r="F27" s="413"/>
      <c r="G27" s="413"/>
      <c r="H27" s="421"/>
      <c r="I27" s="414"/>
    </row>
    <row r="28" spans="1:9" ht="14.45" customHeight="1">
      <c r="A28" s="185" t="str">
        <f>报表格式!G27</f>
        <v>长期借款</v>
      </c>
      <c r="B28" s="413">
        <f>期初核对BS!I28</f>
        <v>0</v>
      </c>
      <c r="C28" s="413">
        <f>SUMIF('账项调整(期初)'!$E$5:$E$65536,IF(OR(MID(TRIM($A28),2,1)="：",MID(TRIM($A28),2,1)="、"),REPLACEB(TRIM($A28),1,4,""),TRIM($A28)),'账项调整(期初)'!$J$5:$J$65536)</f>
        <v>0</v>
      </c>
      <c r="D28" s="413">
        <f>SUMIF('账项调整(期初)'!$H$5:$H$65536,IF(OR(MID(TRIM($A28),2,1)="：",MID(TRIM($A28),2,1)="、"),REPLACEB(TRIM($A28),1,4,""),TRIM($A28)),'账项调整(期初)'!$J$5:$J$65536)</f>
        <v>0</v>
      </c>
      <c r="E28" s="413">
        <f>SUMIF('报表调整(期初)'!$E$5:$E$65536,IF(OR(MID(TRIM($A28),2,1)="：",MID(TRIM($A28),2,1)="、"),REPLACEB(TRIM($A28),1,4,""),TRIM($A28)),'报表调整(期初)'!$J$5:$J$65536)</f>
        <v>0</v>
      </c>
      <c r="F28" s="413">
        <f>SUMIF('报表调整(期初)'!$H$5:$H$65536,IF(OR(MID(TRIM($A28),2,1)="：",MID(TRIM($A28),2,1)="、"),REPLACEB(TRIM($A28),1,4,""),TRIM($A28)),'报表调整(期初)'!$J$5:$J$65536)</f>
        <v>0</v>
      </c>
      <c r="G28" s="413">
        <f t="shared" ref="G28:G35" si="3">B28-C28-E28+D28+F28</f>
        <v>0</v>
      </c>
      <c r="H28" s="421"/>
      <c r="I28" s="414">
        <f t="shared" ref="I28:I36" si="4">SUM(G28:H28)</f>
        <v>0</v>
      </c>
    </row>
    <row r="29" spans="1:9" ht="14.45" customHeight="1">
      <c r="A29" s="185" t="str">
        <f>报表格式!G28</f>
        <v>应付债券</v>
      </c>
      <c r="B29" s="413">
        <f>期初核对BS!I29</f>
        <v>0</v>
      </c>
      <c r="C29" s="413">
        <f>SUMIF('账项调整(期初)'!$E$5:$E$65536,IF(OR(MID(TRIM($A29),2,1)="：",MID(TRIM($A29),2,1)="、"),REPLACEB(TRIM($A29),1,4,""),TRIM($A29)),'账项调整(期初)'!$J$5:$J$65536)</f>
        <v>0</v>
      </c>
      <c r="D29" s="413">
        <f>SUMIF('账项调整(期初)'!$H$5:$H$65536,IF(OR(MID(TRIM($A29),2,1)="：",MID(TRIM($A29),2,1)="、"),REPLACEB(TRIM($A29),1,4,""),TRIM($A29)),'账项调整(期初)'!$J$5:$J$65536)</f>
        <v>0</v>
      </c>
      <c r="E29" s="413">
        <f>SUMIF('报表调整(期初)'!$E$5:$E$65536,IF(OR(MID(TRIM($A29),2,1)="：",MID(TRIM($A29),2,1)="、"),REPLACEB(TRIM($A29),1,4,""),TRIM($A29)),'报表调整(期初)'!$J$5:$J$65536)</f>
        <v>0</v>
      </c>
      <c r="F29" s="413">
        <f>SUMIF('报表调整(期初)'!$H$5:$H$65536,IF(OR(MID(TRIM($A29),2,1)="：",MID(TRIM($A29),2,1)="、"),REPLACEB(TRIM($A29),1,4,""),TRIM($A29)),'报表调整(期初)'!$J$5:$J$65536)</f>
        <v>0</v>
      </c>
      <c r="G29" s="413">
        <f t="shared" si="3"/>
        <v>0</v>
      </c>
      <c r="H29" s="421"/>
      <c r="I29" s="414">
        <f t="shared" si="4"/>
        <v>0</v>
      </c>
    </row>
    <row r="30" spans="1:9" ht="14.45" customHeight="1">
      <c r="A30" s="185" t="str">
        <f>报表格式!G29</f>
        <v>长期应付款</v>
      </c>
      <c r="B30" s="413">
        <f>期初核对BS!I30</f>
        <v>0</v>
      </c>
      <c r="C30" s="413">
        <f>SUMIF('账项调整(期初)'!$E$5:$E$65536,IF(OR(MID(TRIM($A30),2,1)="：",MID(TRIM($A30),2,1)="、"),REPLACEB(TRIM($A30),1,4,""),TRIM($A30)),'账项调整(期初)'!$J$5:$J$65536)</f>
        <v>0</v>
      </c>
      <c r="D30" s="413">
        <f>SUMIF('账项调整(期初)'!$H$5:$H$65536,IF(OR(MID(TRIM($A30),2,1)="：",MID(TRIM($A30),2,1)="、"),REPLACEB(TRIM($A30),1,4,""),TRIM($A30)),'账项调整(期初)'!$J$5:$J$65536)</f>
        <v>0</v>
      </c>
      <c r="E30" s="413">
        <f>SUMIF('报表调整(期初)'!$E$5:$E$65536,IF(OR(MID(TRIM($A30),2,1)="：",MID(TRIM($A30),2,1)="、"),REPLACEB(TRIM($A30),1,4,""),TRIM($A30)),'报表调整(期初)'!$J$5:$J$65536)</f>
        <v>0</v>
      </c>
      <c r="F30" s="413">
        <f>SUMIF('报表调整(期初)'!$H$5:$H$65536,IF(OR(MID(TRIM($A30),2,1)="：",MID(TRIM($A30),2,1)="、"),REPLACEB(TRIM($A30),1,4,""),TRIM($A30)),'报表调整(期初)'!$J$5:$J$65536)</f>
        <v>0</v>
      </c>
      <c r="G30" s="413">
        <f t="shared" si="3"/>
        <v>0</v>
      </c>
      <c r="H30" s="421"/>
      <c r="I30" s="414">
        <f t="shared" si="4"/>
        <v>0</v>
      </c>
    </row>
    <row r="31" spans="1:9" ht="14.45" customHeight="1">
      <c r="A31" s="185" t="str">
        <f>报表格式!G30</f>
        <v>专项应付款</v>
      </c>
      <c r="B31" s="413">
        <f>期初核对BS!I31</f>
        <v>0</v>
      </c>
      <c r="C31" s="413">
        <f>SUMIF('账项调整(期初)'!$E$5:$E$65536,IF(OR(MID(TRIM($A31),2,1)="：",MID(TRIM($A31),2,1)="、"),REPLACEB(TRIM($A31),1,4,""),TRIM($A31)),'账项调整(期初)'!$J$5:$J$65536)</f>
        <v>0</v>
      </c>
      <c r="D31" s="413">
        <f>SUMIF('账项调整(期初)'!$H$5:$H$65536,IF(OR(MID(TRIM($A31),2,1)="：",MID(TRIM($A31),2,1)="、"),REPLACEB(TRIM($A31),1,4,""),TRIM($A31)),'账项调整(期初)'!$J$5:$J$65536)</f>
        <v>0</v>
      </c>
      <c r="E31" s="413">
        <f>SUMIF('报表调整(期初)'!$E$5:$E$65536,IF(OR(MID(TRIM($A31),2,1)="：",MID(TRIM($A31),2,1)="、"),REPLACEB(TRIM($A31),1,4,""),TRIM($A31)),'报表调整(期初)'!$J$5:$J$65536)</f>
        <v>0</v>
      </c>
      <c r="F31" s="413">
        <f>SUMIF('报表调整(期初)'!$H$5:$H$65536,IF(OR(MID(TRIM($A31),2,1)="：",MID(TRIM($A31),2,1)="、"),REPLACEB(TRIM($A31),1,4,""),TRIM($A31)),'报表调整(期初)'!$J$5:$J$65536)</f>
        <v>0</v>
      </c>
      <c r="G31" s="413">
        <f t="shared" si="3"/>
        <v>0</v>
      </c>
      <c r="H31" s="421"/>
      <c r="I31" s="414">
        <f t="shared" si="4"/>
        <v>0</v>
      </c>
    </row>
    <row r="32" spans="1:9" ht="14.45" customHeight="1">
      <c r="A32" s="185" t="str">
        <f>报表格式!G31</f>
        <v>其他长期负债</v>
      </c>
      <c r="B32" s="413">
        <f>期初核对BS!I32</f>
        <v>0</v>
      </c>
      <c r="C32" s="413">
        <f>SUMIF('账项调整(期初)'!$E$5:$E$65536,IF(OR(MID(TRIM($A32),2,1)="：",MID(TRIM($A32),2,1)="、"),REPLACEB(TRIM($A32),1,4,""),TRIM($A32)),'账项调整(期初)'!$J$5:$J$65536)</f>
        <v>0</v>
      </c>
      <c r="D32" s="413">
        <f>SUMIF('账项调整(期初)'!$H$5:$H$65536,IF(OR(MID(TRIM($A32),2,1)="：",MID(TRIM($A32),2,1)="、"),REPLACEB(TRIM($A32),1,4,""),TRIM($A32)),'账项调整(期初)'!$J$5:$J$65536)</f>
        <v>0</v>
      </c>
      <c r="E32" s="413">
        <f>SUMIF('报表调整(期初)'!$E$5:$E$65536,IF(OR(MID(TRIM($A32),2,1)="：",MID(TRIM($A32),2,1)="、"),REPLACEB(TRIM($A32),1,4,""),TRIM($A32)),'报表调整(期初)'!$J$5:$J$65536)</f>
        <v>0</v>
      </c>
      <c r="F32" s="413">
        <f>SUMIF('报表调整(期初)'!$H$5:$H$65536,IF(OR(MID(TRIM($A32),2,1)="：",MID(TRIM($A32),2,1)="、"),REPLACEB(TRIM($A32),1,4,""),TRIM($A32)),'报表调整(期初)'!$J$5:$J$65536)</f>
        <v>0</v>
      </c>
      <c r="G32" s="413">
        <f t="shared" si="3"/>
        <v>0</v>
      </c>
      <c r="H32" s="421"/>
      <c r="I32" s="414">
        <f t="shared" si="4"/>
        <v>0</v>
      </c>
    </row>
    <row r="33" spans="1:9" ht="14.45" customHeight="1">
      <c r="A33" s="185" t="str">
        <f>报表格式!G32</f>
        <v xml:space="preserve">  其中：特准储备资金</v>
      </c>
      <c r="B33" s="413">
        <f>期初核对BS!I33</f>
        <v>0</v>
      </c>
      <c r="C33" s="413">
        <f>SUMIF('账项调整(期初)'!$F$5:$F$65536,IF(OR(MID(TRIM($A33),2,1)="：",MID(TRIM($A33),2,1)="、"),REPLACEB(TRIM($A33),1,4,""),TRIM($A33)),'账项调整(期初)'!$J$5:$J$65536)</f>
        <v>0</v>
      </c>
      <c r="D33" s="413">
        <f>SUMIF('账项调整(期初)'!$I$5:$I$65536,IF(OR(MID(TRIM($A33),2,1)="：",MID(TRIM($A33),2,1)="、"),REPLACEB(TRIM($A33),1,4,""),TRIM($A33)),'账项调整(期初)'!$J$5:$J$65536)</f>
        <v>0</v>
      </c>
      <c r="E33" s="413">
        <f>SUMIF('报表调整(期初)'!$F$5:$F$65536,IF(OR(MID(TRIM($A33),2,1)="：",MID(TRIM($A33),2,1)="、"),REPLACEB(TRIM($A33),1,4,""),TRIM($A33)),'报表调整(期初)'!$J$5:$J$65536)</f>
        <v>0</v>
      </c>
      <c r="F33" s="413">
        <f>SUMIF('报表调整(期初)'!$I$5:$I$65536,IF(OR(MID(TRIM($A33),2,1)="：",MID(TRIM($A33),2,1)="、"),REPLACEB(TRIM($A33),1,4,""),TRIM($A33)),'报表调整(期初)'!$J$5:$J$65536)</f>
        <v>0</v>
      </c>
      <c r="G33" s="413">
        <f t="shared" si="3"/>
        <v>0</v>
      </c>
      <c r="H33" s="421"/>
      <c r="I33" s="414">
        <f t="shared" si="4"/>
        <v>0</v>
      </c>
    </row>
    <row r="34" spans="1:9" ht="14.45" customHeight="1">
      <c r="A34" s="185">
        <f>报表格式!G33</f>
        <v>0</v>
      </c>
      <c r="B34" s="413">
        <f>期初核对BS!I34</f>
        <v>0</v>
      </c>
      <c r="C34" s="413">
        <f>SUMIF('账项调整(期初)'!$E$5:$E$65536,IF(OR(MID(TRIM($A34),2,1)="：",MID(TRIM($A34),2,1)="、"),REPLACEB(TRIM($A34),1,4,""),TRIM($A34)),'账项调整(期初)'!$J$5:$J$65536)</f>
        <v>0</v>
      </c>
      <c r="D34" s="413">
        <f>SUMIF('账项调整(期初)'!$H$5:$H$65536,IF(OR(MID(TRIM($A34),2,1)="：",MID(TRIM($A34),2,1)="、"),REPLACEB(TRIM($A34),1,4,""),TRIM($A34)),'账项调整(期初)'!$J$5:$J$65536)</f>
        <v>0</v>
      </c>
      <c r="E34" s="413">
        <f>SUMIF('报表调整(期初)'!$E$5:$E$65536,IF(OR(MID(TRIM($A34),2,1)="：",MID(TRIM($A34),2,1)="、"),REPLACEB(TRIM($A34),1,4,""),TRIM($A34)),'报表调整(期初)'!$J$5:$J$65536)</f>
        <v>0</v>
      </c>
      <c r="F34" s="413">
        <f>SUMIF('报表调整(期初)'!$H$5:$H$65536,IF(OR(MID(TRIM($A34),2,1)="：",MID(TRIM($A34),2,1)="、"),REPLACEB(TRIM($A34),1,4,""),TRIM($A34)),'报表调整(期初)'!$J$5:$J$65536)</f>
        <v>0</v>
      </c>
      <c r="G34" s="413">
        <f t="shared" si="3"/>
        <v>0</v>
      </c>
      <c r="H34" s="421"/>
      <c r="I34" s="414">
        <f t="shared" si="4"/>
        <v>0</v>
      </c>
    </row>
    <row r="35" spans="1:9" ht="14.45" customHeight="1">
      <c r="A35" s="185">
        <f>报表格式!G34</f>
        <v>0</v>
      </c>
      <c r="B35" s="413">
        <f>期初核对BS!I35</f>
        <v>0</v>
      </c>
      <c r="C35" s="413">
        <f>SUMIF('账项调整(期初)'!$E$5:$E$65536,IF(OR(MID(TRIM($A35),2,1)="：",MID(TRIM($A35),2,1)="、"),REPLACEB(TRIM($A35),1,4,""),TRIM($A35)),'账项调整(期初)'!$J$5:$J$65536)</f>
        <v>0</v>
      </c>
      <c r="D35" s="413">
        <f>SUMIF('账项调整(期初)'!$H$5:$H$65536,IF(OR(MID(TRIM($A35),2,1)="：",MID(TRIM($A35),2,1)="、"),REPLACEB(TRIM($A35),1,4,""),TRIM($A35)),'账项调整(期初)'!$J$5:$J$65536)</f>
        <v>0</v>
      </c>
      <c r="E35" s="413">
        <f>SUMIF('报表调整(期初)'!$E$5:$E$65536,IF(OR(MID(TRIM($A35),2,1)="：",MID(TRIM($A35),2,1)="、"),REPLACEB(TRIM($A35),1,4,""),TRIM($A35)),'报表调整(期初)'!$J$5:$J$65536)</f>
        <v>0</v>
      </c>
      <c r="F35" s="413">
        <f>SUMIF('报表调整(期初)'!$H$5:$H$65536,IF(OR(MID(TRIM($A35),2,1)="：",MID(TRIM($A35),2,1)="、"),REPLACEB(TRIM($A35),1,4,""),TRIM($A35)),'报表调整(期初)'!$J$5:$J$65536)</f>
        <v>0</v>
      </c>
      <c r="G35" s="413">
        <f t="shared" si="3"/>
        <v>0</v>
      </c>
      <c r="H35" s="421"/>
      <c r="I35" s="414">
        <f t="shared" si="4"/>
        <v>0</v>
      </c>
    </row>
    <row r="36" spans="1:9" ht="14.45" customHeight="1">
      <c r="A36" s="181" t="str">
        <f>报表格式!G35</f>
        <v>长期负债合计</v>
      </c>
      <c r="B36" s="415">
        <f t="shared" ref="B36:H36" si="5">SUM(B28:B32)+SUM(B34:B35)</f>
        <v>0</v>
      </c>
      <c r="C36" s="415">
        <f t="shared" si="5"/>
        <v>0</v>
      </c>
      <c r="D36" s="415">
        <f t="shared" si="5"/>
        <v>0</v>
      </c>
      <c r="E36" s="415">
        <f t="shared" si="5"/>
        <v>0</v>
      </c>
      <c r="F36" s="415">
        <f t="shared" si="5"/>
        <v>0</v>
      </c>
      <c r="G36" s="415">
        <f t="shared" si="5"/>
        <v>0</v>
      </c>
      <c r="H36" s="415">
        <f t="shared" si="5"/>
        <v>0</v>
      </c>
      <c r="I36" s="416">
        <f t="shared" si="4"/>
        <v>0</v>
      </c>
    </row>
    <row r="37" spans="1:9" ht="14.45" customHeight="1">
      <c r="A37" s="182" t="str">
        <f>报表格式!G36</f>
        <v>递延税项：</v>
      </c>
      <c r="B37" s="413"/>
      <c r="C37" s="413"/>
      <c r="D37" s="413"/>
      <c r="E37" s="413"/>
      <c r="F37" s="413"/>
      <c r="G37" s="413"/>
      <c r="H37" s="421"/>
      <c r="I37" s="414"/>
    </row>
    <row r="38" spans="1:9" ht="14.45" customHeight="1">
      <c r="A38" s="185" t="str">
        <f>报表格式!G37</f>
        <v>递延税款贷项</v>
      </c>
      <c r="B38" s="421">
        <f>期初核对BS!I38</f>
        <v>0</v>
      </c>
      <c r="C38" s="413">
        <f>SUMIF('账项调整(期初)'!$E$5:$E$65536,IF(OR(MID(TRIM($A38),2,1)="：",MID(TRIM($A38),2,1)="、"),REPLACEB(TRIM($A38),1,4,""),TRIM($A38)),'账项调整(期初)'!$J$5:$J$65536)</f>
        <v>0</v>
      </c>
      <c r="D38" s="413">
        <f>SUMIF('账项调整(期初)'!$H$5:$H$65536,IF(OR(MID(TRIM($A38),2,1)="：",MID(TRIM($A38),2,1)="、"),REPLACEB(TRIM($A38),1,4,""),TRIM($A38)),'账项调整(期初)'!$J$5:$J$65536)</f>
        <v>0</v>
      </c>
      <c r="E38" s="413">
        <f>SUMIF('报表调整(期初)'!$E$5:$E$65536,IF(OR(MID(TRIM($A38),2,1)="：",MID(TRIM($A38),2,1)="、"),REPLACEB(TRIM($A38),1,4,""),TRIM($A38)),'报表调整(期初)'!$J$5:$J$65536)</f>
        <v>0</v>
      </c>
      <c r="F38" s="413">
        <f>SUMIF('报表调整(期初)'!$H$5:$H$65536,IF(OR(MID(TRIM($A38),2,1)="：",MID(TRIM($A38),2,1)="、"),REPLACEB(TRIM($A38),1,4,""),TRIM($A38)),'报表调整(期初)'!$J$5:$J$65536)</f>
        <v>0</v>
      </c>
      <c r="G38" s="413">
        <f>B38-C38-E38+D38+F38</f>
        <v>0</v>
      </c>
      <c r="H38" s="421"/>
      <c r="I38" s="422">
        <f>SUM(G38:H38)</f>
        <v>0</v>
      </c>
    </row>
    <row r="39" spans="1:9" ht="14.45" customHeight="1">
      <c r="A39" s="181" t="str">
        <f>报表格式!G38</f>
        <v>负 债 合 计</v>
      </c>
      <c r="B39" s="415">
        <f t="shared" ref="B39:H39" si="6">SUM(B38:B38,B36,B26)</f>
        <v>0</v>
      </c>
      <c r="C39" s="415">
        <f t="shared" si="6"/>
        <v>0</v>
      </c>
      <c r="D39" s="415">
        <f t="shared" si="6"/>
        <v>0</v>
      </c>
      <c r="E39" s="415">
        <f t="shared" si="6"/>
        <v>0</v>
      </c>
      <c r="F39" s="415">
        <f t="shared" si="6"/>
        <v>0</v>
      </c>
      <c r="G39" s="415">
        <f t="shared" si="6"/>
        <v>0</v>
      </c>
      <c r="H39" s="415">
        <f t="shared" si="6"/>
        <v>0</v>
      </c>
      <c r="I39" s="416">
        <f>SUM(G39:H39)</f>
        <v>0</v>
      </c>
    </row>
    <row r="40" spans="1:9" ht="14.45" customHeight="1">
      <c r="A40" s="185" t="str">
        <f>报表格式!G39</f>
        <v>*少数股东权益</v>
      </c>
      <c r="B40" s="421">
        <f>期初核对BS!I40</f>
        <v>0</v>
      </c>
      <c r="C40" s="413">
        <f>SUMIF('账项调整(期初)'!$E$5:$E$65536,REPLACEB(IF(OR(MID(TRIM($A40),2,1)="：",MID(TRIM($A40),2,1)="、"),REPLACEB(TRIM($A40),1,4,""),TRIM($A40)),1,1,""),'账项调整(期初)'!$J$5:$J$65536)</f>
        <v>0</v>
      </c>
      <c r="D40" s="413">
        <f>SUMIF('账项调整(期初)'!$H$5:$H$65536,REPLACEB(IF(OR(MID(TRIM($A40),2,1)="：",MID(TRIM($A40),2,1)="、"),REPLACEB(TRIM($A40),1,4,""),TRIM($A40)),1,1,""),'账项调整(期初)'!$J$5:$J$65536)</f>
        <v>0</v>
      </c>
      <c r="E40" s="413">
        <f>SUMIF('报表调整(期初)'!$E$5:$E$65536,REPLACEB(IF(OR(MID(TRIM($A40),2,1)="：",MID(TRIM($A40),2,1)="、"),REPLACEB(TRIM($A40),1,4,""),TRIM($A40)),1,1,""),'报表调整(期初)'!$J$5:$J$65536)</f>
        <v>0</v>
      </c>
      <c r="F40" s="413">
        <f>SUMIF('报表调整(期初)'!$H$5:$H$65536,REPLACEB(IF(OR(MID(TRIM($A40),2,1)="：",MID(TRIM($A40),2,1)="、"),REPLACEB(TRIM($A40),1,4,""),TRIM($A40)),1,1,""),'报表调整(期初)'!$J$5:$J$65536)</f>
        <v>0</v>
      </c>
      <c r="G40" s="413">
        <f>B40-C40-E40+D40+F40</f>
        <v>0</v>
      </c>
      <c r="H40" s="421"/>
      <c r="I40" s="422">
        <f>SUM(G40:H40)</f>
        <v>0</v>
      </c>
    </row>
    <row r="41" spans="1:9" ht="14.45" customHeight="1">
      <c r="A41" s="185">
        <f>报表格式!G40</f>
        <v>0</v>
      </c>
      <c r="B41" s="421">
        <f>期初核对BS!I41</f>
        <v>0</v>
      </c>
      <c r="C41" s="413">
        <f>SUMIF('账项调整(期初)'!$E$5:$E$65536,IF(OR(MID(TRIM($A41),2,1)="：",MID(TRIM($A41),2,1)="、"),REPLACEB(TRIM($A41),1,4,""),TRIM($A41)),'账项调整(期初)'!$J$5:$J$65536)</f>
        <v>0</v>
      </c>
      <c r="D41" s="413">
        <f>SUMIF('账项调整(期初)'!$H$5:$H$65536,IF(OR(MID(TRIM($A41),2,1)="：",MID(TRIM($A41),2,1)="、"),REPLACEB(TRIM($A41),1,4,""),TRIM($A41)),'账项调整(期初)'!$J$5:$J$65536)</f>
        <v>0</v>
      </c>
      <c r="E41" s="413">
        <f>SUMIF('报表调整(期初)'!$E$5:$E$65536,IF(OR(MID(TRIM($A41),2,1)="：",MID(TRIM($A41),2,1)="、"),REPLACEB(TRIM($A41),1,4,""),TRIM($A41)),'报表调整(期初)'!$J$5:$J$65536)</f>
        <v>0</v>
      </c>
      <c r="F41" s="413">
        <f>SUMIF('报表调整(期初)'!$H$5:$H$65536,IF(OR(MID(TRIM($A41),2,1)="：",MID(TRIM($A41),2,1)="、"),REPLACEB(TRIM($A41),1,4,""),TRIM($A41)),'报表调整(期初)'!$J$5:$J$65536)</f>
        <v>0</v>
      </c>
      <c r="G41" s="413">
        <f>B41-C41-E41+D41+F41</f>
        <v>0</v>
      </c>
      <c r="H41" s="421"/>
      <c r="I41" s="422">
        <f>SUM(G41:H41)</f>
        <v>0</v>
      </c>
    </row>
    <row r="42" spans="1:9" ht="14.45" customHeight="1">
      <c r="A42" s="182" t="str">
        <f>报表格式!G41</f>
        <v>所有者权益：</v>
      </c>
      <c r="B42" s="413"/>
      <c r="C42" s="421"/>
      <c r="D42" s="421"/>
      <c r="E42" s="421"/>
      <c r="F42" s="413"/>
      <c r="G42" s="413"/>
      <c r="H42" s="421"/>
      <c r="I42" s="414"/>
    </row>
    <row r="43" spans="1:9" ht="14.45" customHeight="1">
      <c r="A43" s="185" t="str">
        <f>报表格式!G42</f>
        <v>实收资本</v>
      </c>
      <c r="B43" s="413">
        <f>期初核对BS!I43</f>
        <v>0</v>
      </c>
      <c r="C43" s="413">
        <f>SUMIF('账项调整(期初)'!$E$5:$E$65536,IF(OR(MID(TRIM($A43),2,1)="：",MID(TRIM($A43),2,1)="、"),REPLACEB(TRIM($A43),1,4,""),TRIM($A43)),'账项调整(期初)'!$J$5:$J$65536)</f>
        <v>0</v>
      </c>
      <c r="D43" s="413">
        <f>SUMIF('账项调整(期初)'!$H$5:$H$65536,IF(OR(MID(TRIM($A43),2,1)="：",MID(TRIM($A43),2,1)="、"),REPLACEB(TRIM($A43),1,4,""),TRIM($A43)),'账项调整(期初)'!$J$5:$J$65536)</f>
        <v>0</v>
      </c>
      <c r="E43" s="413">
        <f>SUMIF('报表调整(期初)'!$E$5:$E$65536,IF(OR(MID(TRIM($A43),2,1)="：",MID(TRIM($A43),2,1)="、"),REPLACEB(TRIM($A43),1,4,""),TRIM($A43)),'报表调整(期初)'!$J$5:$J$65536)</f>
        <v>0</v>
      </c>
      <c r="F43" s="413">
        <f>SUMIF('报表调整(期初)'!$H$5:$H$65536,IF(OR(MID(TRIM($A43),2,1)="：",MID(TRIM($A43),2,1)="、"),REPLACEB(TRIM($A43),1,4,""),TRIM($A43)),'报表调整(期初)'!$J$5:$J$65536)</f>
        <v>0</v>
      </c>
      <c r="G43" s="413">
        <f t="shared" ref="G43:G54" si="7">B43-C43-E43+D43+F43</f>
        <v>0</v>
      </c>
      <c r="H43" s="413"/>
      <c r="I43" s="414">
        <f t="shared" ref="I43:I62" si="8">SUM(G43:H43)</f>
        <v>0</v>
      </c>
    </row>
    <row r="44" spans="1:9" ht="14.45" customHeight="1">
      <c r="A44" s="185" t="str">
        <f>报表格式!G43</f>
        <v xml:space="preserve"> 国家资本</v>
      </c>
      <c r="B44" s="413">
        <f>期初核对BS!I44</f>
        <v>0</v>
      </c>
      <c r="C44" s="413">
        <f>SUMIF('账项调整(期初)'!$E$5:$E$65536,IF(OR(MID(TRIM($A44),2,1)="：",MID(TRIM($A44),2,1)="、"),REPLACEB(TRIM($A44),1,4,""),TRIM($A44)),'账项调整(期初)'!$J$5:$J$65536)</f>
        <v>0</v>
      </c>
      <c r="D44" s="413">
        <f>SUMIF('账项调整(期初)'!$H$5:$H$65536,IF(OR(MID(TRIM($A44),2,1)="：",MID(TRIM($A44),2,1)="、"),REPLACEB(TRIM($A44),1,4,""),TRIM($A44)),'账项调整(期初)'!$J$5:$J$65536)</f>
        <v>0</v>
      </c>
      <c r="E44" s="413">
        <f>SUMIF('报表调整(期初)'!$E$5:$E$65536,IF(OR(MID(TRIM($A44),2,1)="：",MID(TRIM($A44),2,1)="、"),REPLACEB(TRIM($A44),1,4,""),TRIM($A44)),'报表调整(期初)'!$J$5:$J$65536)</f>
        <v>0</v>
      </c>
      <c r="F44" s="413">
        <f>SUMIF('报表调整(期初)'!$H$5:$H$65536,IF(OR(MID(TRIM($A44),2,1)="：",MID(TRIM($A44),2,1)="、"),REPLACEB(TRIM($A44),1,4,""),TRIM($A44)),'报表调整(期初)'!$J$5:$J$65536)</f>
        <v>0</v>
      </c>
      <c r="G44" s="413">
        <f t="shared" si="7"/>
        <v>0</v>
      </c>
      <c r="H44" s="413"/>
      <c r="I44" s="414">
        <f t="shared" si="8"/>
        <v>0</v>
      </c>
    </row>
    <row r="45" spans="1:9" ht="14.45" customHeight="1">
      <c r="A45" s="185" t="str">
        <f>报表格式!G44</f>
        <v xml:space="preserve"> 集体资本</v>
      </c>
      <c r="B45" s="413">
        <f>期初核对BS!I45</f>
        <v>0</v>
      </c>
      <c r="C45" s="413">
        <f>SUMIF('账项调整(期初)'!$E$5:$E$65536,IF(OR(MID(TRIM($A45),2,1)="：",MID(TRIM($A45),2,1)="、"),REPLACEB(TRIM($A45),1,4,""),TRIM($A45)),'账项调整(期初)'!$J$5:$J$65536)</f>
        <v>0</v>
      </c>
      <c r="D45" s="413">
        <f>SUMIF('账项调整(期初)'!$H$5:$H$65536,IF(OR(MID(TRIM($A45),2,1)="：",MID(TRIM($A45),2,1)="、"),REPLACEB(TRIM($A45),1,4,""),TRIM($A45)),'账项调整(期初)'!$J$5:$J$65536)</f>
        <v>0</v>
      </c>
      <c r="E45" s="413">
        <f>SUMIF('报表调整(期初)'!$E$5:$E$65536,IF(OR(MID(TRIM($A45),2,1)="：",MID(TRIM($A45),2,1)="、"),REPLACEB(TRIM($A45),1,4,""),TRIM($A45)),'报表调整(期初)'!$J$5:$J$65536)</f>
        <v>0</v>
      </c>
      <c r="F45" s="413">
        <f>SUMIF('报表调整(期初)'!$H$5:$H$65536,IF(OR(MID(TRIM($A45),2,1)="：",MID(TRIM($A45),2,1)="、"),REPLACEB(TRIM($A45),1,4,""),TRIM($A45)),'报表调整(期初)'!$J$5:$J$65536)</f>
        <v>0</v>
      </c>
      <c r="G45" s="413">
        <f t="shared" si="7"/>
        <v>0</v>
      </c>
      <c r="H45" s="413"/>
      <c r="I45" s="414">
        <f t="shared" si="8"/>
        <v>0</v>
      </c>
    </row>
    <row r="46" spans="1:9" ht="14.45" customHeight="1">
      <c r="A46" s="185" t="str">
        <f>报表格式!G45</f>
        <v xml:space="preserve"> 法人资本</v>
      </c>
      <c r="B46" s="413">
        <f>期初核对BS!I46</f>
        <v>0</v>
      </c>
      <c r="C46" s="413">
        <f>SUM(C47:C48)</f>
        <v>0</v>
      </c>
      <c r="D46" s="413">
        <f>SUM(D47:D48)</f>
        <v>0</v>
      </c>
      <c r="E46" s="413">
        <f>SUM(E47:E48)</f>
        <v>0</v>
      </c>
      <c r="F46" s="413">
        <f>SUM(F47:F48)</f>
        <v>0</v>
      </c>
      <c r="G46" s="413">
        <f t="shared" si="7"/>
        <v>0</v>
      </c>
      <c r="H46" s="413"/>
      <c r="I46" s="414">
        <f t="shared" si="8"/>
        <v>0</v>
      </c>
    </row>
    <row r="47" spans="1:9" ht="14.45" customHeight="1">
      <c r="A47" s="185" t="str">
        <f>报表格式!G46</f>
        <v xml:space="preserve">   其中：国有法人资本</v>
      </c>
      <c r="B47" s="413">
        <f>期初核对BS!I47</f>
        <v>0</v>
      </c>
      <c r="C47" s="413">
        <f>SUMIF('账项调整(期初)'!$F$5:$F$65536,IF(OR(MID(TRIM($A47),2,1)="：",MID(TRIM($A47),2,1)="、"),REPLACEB(TRIM($A47),1,4,""),TRIM($A47)),'账项调整(期初)'!$J$5:$J$65536)</f>
        <v>0</v>
      </c>
      <c r="D47" s="413">
        <f>SUMIF('账项调整(期初)'!$I$5:$I$65536,IF(OR(MID(TRIM($A47),2,1)="：",MID(TRIM($A47),2,1)="、"),REPLACEB(TRIM($A47),1,4,""),TRIM($A47)),'账项调整(期初)'!$J$5:$J$65536)</f>
        <v>0</v>
      </c>
      <c r="E47" s="413">
        <f>SUMIF('报表调整(期初)'!$F$5:$F$65536,IF(OR(MID(TRIM($A47),2,1)="：",MID(TRIM($A47),2,1)="、"),REPLACEB(TRIM($A47),1,4,""),TRIM($A47)),'报表调整(期初)'!$J$5:$J$65536)</f>
        <v>0</v>
      </c>
      <c r="F47" s="413">
        <f>SUMIF('报表调整(期初)'!$I$5:$I$65536,IF(OR(MID(TRIM($A47),2,1)="：",MID(TRIM($A47),2,1)="、"),REPLACEB(TRIM($A47),1,4,""),TRIM($A47)),'报表调整(期初)'!$J$5:$J$65536)</f>
        <v>0</v>
      </c>
      <c r="G47" s="413">
        <f t="shared" si="7"/>
        <v>0</v>
      </c>
      <c r="H47" s="413"/>
      <c r="I47" s="414">
        <f t="shared" si="8"/>
        <v>0</v>
      </c>
    </row>
    <row r="48" spans="1:9" ht="14.45" customHeight="1">
      <c r="A48" s="185" t="str">
        <f>报表格式!G47</f>
        <v xml:space="preserve">         集体法人资本</v>
      </c>
      <c r="B48" s="413">
        <f>期初核对BS!I48</f>
        <v>0</v>
      </c>
      <c r="C48" s="413">
        <f>SUMIF('账项调整(期初)'!$F$5:$F$65536,IF(OR(MID(TRIM($A48),2,1)="：",MID(TRIM($A48),2,1)="、"),REPLACEB(TRIM($A48),1,4,""),TRIM($A48)),'账项调整(期初)'!$J$5:$J$65536)</f>
        <v>0</v>
      </c>
      <c r="D48" s="413">
        <f>SUMIF('账项调整(期初)'!$I$5:$I$65536,IF(OR(MID(TRIM($A48),2,1)="：",MID(TRIM($A48),2,1)="、"),REPLACEB(TRIM($A48),1,4,""),TRIM($A48)),'账项调整(期初)'!$J$5:$J$65536)</f>
        <v>0</v>
      </c>
      <c r="E48" s="413">
        <f>SUMIF('报表调整(期初)'!$F$5:$F$65536,IF(OR(MID(TRIM($A48),2,1)="：",MID(TRIM($A48),2,1)="、"),REPLACEB(TRIM($A48),1,4,""),TRIM($A48)),'报表调整(期初)'!$J$5:$J$65536)</f>
        <v>0</v>
      </c>
      <c r="F48" s="413">
        <f>SUMIF('报表调整(期初)'!$I$5:$I$65536,IF(OR(MID(TRIM($A48),2,1)="：",MID(TRIM($A48),2,1)="、"),REPLACEB(TRIM($A48),1,4,""),TRIM($A48)),'报表调整(期初)'!$J$5:$J$65536)</f>
        <v>0</v>
      </c>
      <c r="G48" s="413">
        <f t="shared" si="7"/>
        <v>0</v>
      </c>
      <c r="H48" s="413"/>
      <c r="I48" s="414">
        <f t="shared" si="8"/>
        <v>0</v>
      </c>
    </row>
    <row r="49" spans="1:9" ht="14.45" customHeight="1">
      <c r="A49" s="185" t="str">
        <f>报表格式!G48</f>
        <v xml:space="preserve"> 个人资本</v>
      </c>
      <c r="B49" s="413">
        <f>期初核对BS!I49</f>
        <v>0</v>
      </c>
      <c r="C49" s="413">
        <f>SUMIF('账项调整(期初)'!$E$5:$E$65536,IF(OR(MID(TRIM($A49),2,1)="：",MID(TRIM($A49),2,1)="、"),REPLACEB(TRIM($A49),1,4,""),TRIM($A49)),'账项调整(期初)'!$J$5:$J$65536)</f>
        <v>0</v>
      </c>
      <c r="D49" s="413">
        <f>SUMIF('账项调整(期初)'!$H$5:$H$65536,IF(OR(MID(TRIM($A49),2,1)="：",MID(TRIM($A49),2,1)="、"),REPLACEB(TRIM($A49),1,4,""),TRIM($A49)),'账项调整(期初)'!$J$5:$J$65536)</f>
        <v>0</v>
      </c>
      <c r="E49" s="413">
        <f>SUMIF('报表调整(期初)'!$E$5:$E$65536,IF(OR(MID(TRIM($A49),2,1)="：",MID(TRIM($A49),2,1)="、"),REPLACEB(TRIM($A49),1,4,""),TRIM($A49)),'报表调整(期初)'!$J$5:$J$65536)</f>
        <v>0</v>
      </c>
      <c r="F49" s="413">
        <f>SUMIF('报表调整(期初)'!$H$5:$H$65536,IF(OR(MID(TRIM($A49),2,1)="：",MID(TRIM($A49),2,1)="、"),REPLACEB(TRIM($A49),1,4,""),TRIM($A49)),'报表调整(期初)'!$J$5:$J$65536)</f>
        <v>0</v>
      </c>
      <c r="G49" s="413">
        <f t="shared" si="7"/>
        <v>0</v>
      </c>
      <c r="H49" s="413"/>
      <c r="I49" s="414">
        <f t="shared" si="8"/>
        <v>0</v>
      </c>
    </row>
    <row r="50" spans="1:9" ht="14.45" customHeight="1">
      <c r="A50" s="185" t="str">
        <f>报表格式!G49</f>
        <v xml:space="preserve"> 外商资本</v>
      </c>
      <c r="B50" s="413">
        <f>期初核对BS!I50</f>
        <v>0</v>
      </c>
      <c r="C50" s="413">
        <f>SUMIF('账项调整(期初)'!$E$5:$E$65536,IF(OR(MID(TRIM($A50),2,1)="：",MID(TRIM($A50),2,1)="、"),REPLACEB(TRIM($A50),1,4,""),TRIM($A50)),'账项调整(期初)'!$J$5:$J$65536)</f>
        <v>0</v>
      </c>
      <c r="D50" s="413">
        <f>SUMIF('账项调整(期初)'!$H$5:$H$65536,IF(OR(MID(TRIM($A50),2,1)="：",MID(TRIM($A50),2,1)="、"),REPLACEB(TRIM($A50),1,4,""),TRIM($A50)),'账项调整(期初)'!$J$5:$J$65536)</f>
        <v>0</v>
      </c>
      <c r="E50" s="413">
        <f>SUMIF('报表调整(期初)'!$E$5:$E$65536,IF(OR(MID(TRIM($A50),2,1)="：",MID(TRIM($A50),2,1)="、"),REPLACEB(TRIM($A50),1,4,""),TRIM($A50)),'报表调整(期初)'!$J$5:$J$65536)</f>
        <v>0</v>
      </c>
      <c r="F50" s="413">
        <f>SUMIF('报表调整(期初)'!$H$5:$H$65536,IF(OR(MID(TRIM($A50),2,1)="：",MID(TRIM($A50),2,1)="、"),REPLACEB(TRIM($A50),1,4,""),TRIM($A50)),'报表调整(期初)'!$J$5:$J$65536)</f>
        <v>0</v>
      </c>
      <c r="G50" s="413">
        <f t="shared" si="7"/>
        <v>0</v>
      </c>
      <c r="H50" s="413"/>
      <c r="I50" s="414">
        <f t="shared" si="8"/>
        <v>0</v>
      </c>
    </row>
    <row r="51" spans="1:9" ht="14.45" customHeight="1">
      <c r="A51" s="185" t="str">
        <f>报表格式!G50</f>
        <v>资本公积</v>
      </c>
      <c r="B51" s="413">
        <f>期初核对BS!I51</f>
        <v>0</v>
      </c>
      <c r="C51" s="413">
        <f>SUMIF('账项调整(期初)'!$E$5:$E$65536,IF(OR(MID(TRIM($A51),2,1)="：",MID(TRIM($A51),2,1)="、"),REPLACEB(TRIM($A51),1,4,""),TRIM($A51)),'账项调整(期初)'!$J$5:$J$65536)</f>
        <v>0</v>
      </c>
      <c r="D51" s="413">
        <f>SUMIF('账项调整(期初)'!$H$5:$H$65536,IF(OR(MID(TRIM($A51),2,1)="：",MID(TRIM($A51),2,1)="、"),REPLACEB(TRIM($A51),1,4,""),TRIM($A51)),'账项调整(期初)'!$J$5:$J$65536)</f>
        <v>0</v>
      </c>
      <c r="E51" s="413">
        <f>SUMIF('报表调整(期初)'!$E$5:$E$65536,IF(OR(MID(TRIM($A51),2,1)="：",MID(TRIM($A51),2,1)="、"),REPLACEB(TRIM($A51),1,4,""),TRIM($A51)),'报表调整(期初)'!$J$5:$J$65536)</f>
        <v>0</v>
      </c>
      <c r="F51" s="413">
        <f>SUMIF('报表调整(期初)'!$H$5:$H$65536,IF(OR(MID(TRIM($A51),2,1)="：",MID(TRIM($A51),2,1)="、"),REPLACEB(TRIM($A51),1,4,""),TRIM($A51)),'报表调整(期初)'!$J$5:$J$65536)</f>
        <v>0</v>
      </c>
      <c r="G51" s="413">
        <f t="shared" si="7"/>
        <v>0</v>
      </c>
      <c r="H51" s="413"/>
      <c r="I51" s="414">
        <f t="shared" si="8"/>
        <v>0</v>
      </c>
    </row>
    <row r="52" spans="1:9" ht="14.45" customHeight="1">
      <c r="A52" s="185" t="str">
        <f>报表格式!G51</f>
        <v>盈余公积</v>
      </c>
      <c r="B52" s="413">
        <f>期初核对BS!I52</f>
        <v>0</v>
      </c>
      <c r="C52" s="413">
        <f>SUMIF('账项调整(期初)'!$E$5:$E$65536,IF(OR(MID(TRIM($A52),2,1)="：",MID(TRIM($A52),2,1)="、"),REPLACEB(TRIM($A52),1,4,""),TRIM($A52)),'账项调整(期初)'!$J$5:$J$65536)</f>
        <v>0</v>
      </c>
      <c r="D52" s="413">
        <f>SUMIF('账项调整(期初)'!$H$5:$H$65536,IF(OR(MID(TRIM($A52),2,1)="：",MID(TRIM($A52),2,1)="、"),REPLACEB(TRIM($A52),1,4,""),TRIM($A52)),'账项调整(期初)'!$J$5:$J$65536)</f>
        <v>0</v>
      </c>
      <c r="E52" s="413">
        <f>SUMIF('报表调整(期初)'!$E$5:$E$65536,IF(OR(MID(TRIM($A52),2,1)="：",MID(TRIM($A52),2,1)="、"),REPLACEB(TRIM($A52),1,4,""),TRIM($A52)),'报表调整(期初)'!$J$5:$J$65536)</f>
        <v>0</v>
      </c>
      <c r="F52" s="413">
        <f>SUMIF('报表调整(期初)'!$H$5:$H$65536,IF(OR(MID(TRIM($A52),2,1)="：",MID(TRIM($A52),2,1)="、"),REPLACEB(TRIM($A52),1,4,""),TRIM($A52)),'报表调整(期初)'!$J$5:$J$65536)</f>
        <v>0</v>
      </c>
      <c r="G52" s="413">
        <f t="shared" si="7"/>
        <v>0</v>
      </c>
      <c r="H52" s="413"/>
      <c r="I52" s="414">
        <f t="shared" si="8"/>
        <v>0</v>
      </c>
    </row>
    <row r="53" spans="1:9" ht="14.45" customHeight="1">
      <c r="A53" s="185" t="str">
        <f>报表格式!G52</f>
        <v xml:space="preserve">  其中：法定公益金</v>
      </c>
      <c r="B53" s="413">
        <f>期初核对BS!I53</f>
        <v>0</v>
      </c>
      <c r="C53" s="413">
        <f>SUMIF('账项调整(期初)'!$F$5:$F$65536,IF(OR(MID(TRIM($A53),2,1)="：",MID(TRIM($A53),2,1)="、"),REPLACEB(TRIM($A53),1,4,""),TRIM($A53)),'账项调整(期初)'!$J$5:$J$65536)</f>
        <v>0</v>
      </c>
      <c r="D53" s="413">
        <f>SUMIF('账项调整(期初)'!$I$5:$I$65536,IF(OR(MID(TRIM($A53),2,1)="：",MID(TRIM($A53),2,1)="、"),REPLACEB(TRIM($A53),1,4,""),TRIM($A53)),'账项调整(期初)'!$J$5:$J$65536)</f>
        <v>0</v>
      </c>
      <c r="E53" s="413">
        <f>SUMIF('报表调整(期初)'!$F$5:$F$65536,IF(OR(MID(TRIM($A53),2,1)="：",MID(TRIM($A53),2,1)="、"),REPLACEB(TRIM($A53),1,4,""),TRIM($A53)),'报表调整(期初)'!$J$5:$J$65536)</f>
        <v>0</v>
      </c>
      <c r="F53" s="413">
        <f>SUMIF('报表调整(期初)'!$I$5:$I$65536,IF(OR(MID(TRIM($A53),2,1)="：",MID(TRIM($A53),2,1)="、"),REPLACEB(TRIM($A53),1,4,""),TRIM($A53)),'报表调整(期初)'!$J$5:$J$65536)</f>
        <v>0</v>
      </c>
      <c r="G53" s="413">
        <f t="shared" si="7"/>
        <v>0</v>
      </c>
      <c r="H53" s="413"/>
      <c r="I53" s="414">
        <f t="shared" si="8"/>
        <v>0</v>
      </c>
    </row>
    <row r="54" spans="1:9" ht="14.45" customHeight="1">
      <c r="A54" s="185" t="str">
        <f>报表格式!G53</f>
        <v>*未确认的投资损失（以“-”号填列）</v>
      </c>
      <c r="B54" s="413">
        <f>期初核对BS!I54</f>
        <v>0</v>
      </c>
      <c r="C54" s="413">
        <f>SUMIF('账项调整(期初)'!$E$5:$E$65536,REPLACEB(IF(OR(MID(TRIM($A54),2,1)="：",MID(TRIM($A54),2,1)="、"),REPLACEB(TRIM($A54),1,4,""),TRIM($A54)),1,1,""),'账项调整(期初)'!$J$5:$J$65536)</f>
        <v>0</v>
      </c>
      <c r="D54" s="413">
        <f>SUMIF('账项调整(期初)'!$H$5:$H$65536,REPLACEB(IF(OR(MID(TRIM($A54),2,1)="：",MID(TRIM($A54),2,1)="、"),REPLACEB(TRIM($A54),1,4,""),TRIM($A54)),1,1,""),'账项调整(期初)'!$J$5:$J$65536)</f>
        <v>0</v>
      </c>
      <c r="E54" s="413">
        <f>SUMIF('报表调整(期初)'!$E$5:$E$65536,REPLACEB(IF(OR(MID(TRIM($A54),2,1)="：",MID(TRIM($A54),2,1)="、"),REPLACEB(TRIM($A54),1,4,""),TRIM($A54)),1,1,""),'报表调整(期初)'!$J$5:$J$65536)</f>
        <v>0</v>
      </c>
      <c r="F54" s="413">
        <f>SUMIF('报表调整(期初)'!$H$5:$H$65536,REPLACEB(IF(OR(MID(TRIM($A54),2,1)="：",MID(TRIM($A54),2,1)="、"),REPLACEB(TRIM($A54),1,4,""),TRIM($A54)),1,1,""),'报表调整(期初)'!$J$5:$J$65536)</f>
        <v>0</v>
      </c>
      <c r="G54" s="413">
        <f t="shared" si="7"/>
        <v>0</v>
      </c>
      <c r="H54" s="413"/>
      <c r="I54" s="414">
        <f t="shared" si="8"/>
        <v>0</v>
      </c>
    </row>
    <row r="55" spans="1:9" ht="14.45" customHeight="1">
      <c r="A55" s="653" t="str">
        <f>报表格式!G54</f>
        <v>未分配利润</v>
      </c>
      <c r="B55" s="660">
        <f>期初核对BS!I55</f>
        <v>0</v>
      </c>
      <c r="C55" s="413"/>
      <c r="D55" s="413"/>
      <c r="E55" s="413"/>
      <c r="F55" s="413"/>
      <c r="G55" s="655">
        <f>'TB损益(期初)'!I73</f>
        <v>0</v>
      </c>
      <c r="H55" s="656"/>
      <c r="I55" s="657">
        <f t="shared" si="8"/>
        <v>0</v>
      </c>
    </row>
    <row r="56" spans="1:9" ht="14.45" customHeight="1">
      <c r="A56" s="185" t="str">
        <f>报表格式!G55</f>
        <v xml:space="preserve">  其中：现金股利</v>
      </c>
      <c r="B56" s="413">
        <f>期初核对BS!I56</f>
        <v>0</v>
      </c>
      <c r="C56" s="413">
        <f>SUMIF('账项调整(期初)'!$F$5:$F$65536,IF(OR(MID(TRIM($A56),2,1)="：",MID(TRIM($A56),2,1)="、"),REPLACEB(TRIM($A56),1,4,""),TRIM($A56)),'账项调整(期初)'!$J$5:$J$65536)</f>
        <v>0</v>
      </c>
      <c r="D56" s="413">
        <f>SUMIF('账项调整(期初)'!$I$5:$I$65536,IF(OR(MID(TRIM($A56),2,1)="：",MID(TRIM($A56),2,1)="、"),REPLACEB(TRIM($A56),1,4,""),TRIM($A56)),'账项调整(期初)'!$J$5:$J$65536)</f>
        <v>0</v>
      </c>
      <c r="E56" s="413">
        <f>SUMIF('报表调整(期初)'!$F$5:$F$65536,IF(OR(MID(TRIM($A56),2,1)="：",MID(TRIM($A56),2,1)="、"),REPLACEB(TRIM($A56),1,4,""),TRIM($A56)),'报表调整(期初)'!$J$5:$J$65536)</f>
        <v>0</v>
      </c>
      <c r="F56" s="413">
        <f>SUMIF('报表调整(期初)'!$I$5:$I$65536,IF(OR(MID(TRIM($A56),2,1)="：",MID(TRIM($A56),2,1)="、"),REPLACEB(TRIM($A56),1,4,""),TRIM($A56)),'报表调整(期初)'!$J$5:$J$65536)</f>
        <v>0</v>
      </c>
      <c r="G56" s="413">
        <f>B56-C56-E56+D56+F56</f>
        <v>0</v>
      </c>
      <c r="H56" s="413"/>
      <c r="I56" s="414">
        <f t="shared" si="8"/>
        <v>0</v>
      </c>
    </row>
    <row r="57" spans="1:9" ht="14.45" customHeight="1">
      <c r="A57" s="185" t="str">
        <f>报表格式!G56</f>
        <v>外币报表折算差额</v>
      </c>
      <c r="B57" s="413">
        <f>期初核对BS!I57</f>
        <v>0</v>
      </c>
      <c r="C57" s="413">
        <f>SUMIF('账项调整(期初)'!$E$5:$E$65536,IF(OR(MID(TRIM($A57),2,1)="：",MID(TRIM($A57),2,1)="、"),REPLACEB(TRIM($A57),1,4,""),TRIM($A57)),'账项调整(期初)'!$J$5:$J$65536)</f>
        <v>0</v>
      </c>
      <c r="D57" s="413">
        <f>SUMIF('账项调整(期初)'!$H$5:$H$65536,IF(OR(MID(TRIM($A57),2,1)="：",MID(TRIM($A57),2,1)="、"),REPLACEB(TRIM($A57),1,4,""),TRIM($A57)),'账项调整(期初)'!$J$5:$J$65536)</f>
        <v>0</v>
      </c>
      <c r="E57" s="413">
        <f>SUMIF('报表调整(期初)'!$E$5:$E$65536,IF(OR(MID(TRIM($A57),2,1)="：",MID(TRIM($A57),2,1)="、"),REPLACEB(TRIM($A57),1,4,""),TRIM($A57)),'报表调整(期初)'!$J$5:$J$65536)</f>
        <v>0</v>
      </c>
      <c r="F57" s="413">
        <f>SUMIF('报表调整(期初)'!$H$5:$H$65536,IF(OR(MID(TRIM($A57),2,1)="：",MID(TRIM($A57),2,1)="、"),REPLACEB(TRIM($A57),1,4,""),TRIM($A57)),'报表调整(期初)'!$J$5:$J$65536)</f>
        <v>0</v>
      </c>
      <c r="G57" s="413">
        <f>B57-C57-E57+D57+F57</f>
        <v>0</v>
      </c>
      <c r="H57" s="413"/>
      <c r="I57" s="414">
        <f t="shared" si="8"/>
        <v>0</v>
      </c>
    </row>
    <row r="58" spans="1:9" ht="14.45" customHeight="1">
      <c r="A58" s="185">
        <f>报表格式!G57</f>
        <v>0</v>
      </c>
      <c r="B58" s="413">
        <f>期初核对BS!I58</f>
        <v>0</v>
      </c>
      <c r="C58" s="413">
        <f>SUMIF('账项调整(期初)'!$E$5:$E$65536,IF(OR(MID(TRIM($A58),2,1)="：",MID(TRIM($A58),2,1)="、"),REPLACEB(TRIM($A58),1,4,""),TRIM($A58)),'账项调整(期初)'!$J$5:$J$65536)</f>
        <v>0</v>
      </c>
      <c r="D58" s="413">
        <f>SUMIF('账项调整(期初)'!$H$5:$H$65536,IF(OR(MID(TRIM($A58),2,1)="：",MID(TRIM($A58),2,1)="、"),REPLACEB(TRIM($A58),1,4,""),TRIM($A58)),'账项调整(期初)'!$J$5:$J$65536)</f>
        <v>0</v>
      </c>
      <c r="E58" s="413">
        <f>SUMIF('报表调整(期初)'!$E$5:$E$65536,IF(OR(MID(TRIM($A58),2,1)="：",MID(TRIM($A58),2,1)="、"),REPLACEB(TRIM($A58),1,4,""),TRIM($A58)),'报表调整(期初)'!$J$5:$J$65536)</f>
        <v>0</v>
      </c>
      <c r="F58" s="413">
        <f>SUMIF('报表调整(期初)'!$H$5:$H$65536,IF(OR(MID(TRIM($A58),2,1)="：",MID(TRIM($A58),2,1)="、"),REPLACEB(TRIM($A58),1,4,""),TRIM($A58)),'报表调整(期初)'!$J$5:$J$65536)</f>
        <v>0</v>
      </c>
      <c r="G58" s="413">
        <f>B58-C58-E58+D58+F58</f>
        <v>0</v>
      </c>
      <c r="H58" s="413"/>
      <c r="I58" s="414">
        <f t="shared" si="8"/>
        <v>0</v>
      </c>
    </row>
    <row r="59" spans="1:9" ht="14.45" customHeight="1">
      <c r="A59" s="192" t="str">
        <f>报表格式!G58</f>
        <v>所有者权益小计</v>
      </c>
      <c r="B59" s="423">
        <f t="shared" ref="B59:H59" si="9">SUM(B43,B51,B52,B54,B55,B57:B58)</f>
        <v>0</v>
      </c>
      <c r="C59" s="423">
        <f t="shared" si="9"/>
        <v>0</v>
      </c>
      <c r="D59" s="423">
        <f t="shared" si="9"/>
        <v>0</v>
      </c>
      <c r="E59" s="423">
        <f t="shared" si="9"/>
        <v>0</v>
      </c>
      <c r="F59" s="423">
        <f t="shared" si="9"/>
        <v>0</v>
      </c>
      <c r="G59" s="423">
        <f t="shared" si="9"/>
        <v>0</v>
      </c>
      <c r="H59" s="423">
        <f t="shared" si="9"/>
        <v>0</v>
      </c>
      <c r="I59" s="424">
        <f t="shared" si="8"/>
        <v>0</v>
      </c>
    </row>
    <row r="60" spans="1:9" ht="14.45" customHeight="1">
      <c r="A60" s="186" t="str">
        <f>报表格式!G59</f>
        <v>减：未处理资产损失</v>
      </c>
      <c r="B60" s="425">
        <f>期初核对BS!I60</f>
        <v>0</v>
      </c>
      <c r="C60" s="413">
        <f>SUMIF('账项调整(期初)'!$E$5:$E$65536,IF(OR(MID(TRIM($A60),2,1)="：",MID(TRIM($A60),2,1)="、"),REPLACEB(TRIM($A60),1,4,""),TRIM($A60)),'账项调整(期初)'!$J$5:$J$65536)</f>
        <v>0</v>
      </c>
      <c r="D60" s="413">
        <f>SUMIF('账项调整(期初)'!$H$5:$H$65536,IF(OR(MID(TRIM($A60),2,1)="：",MID(TRIM($A60),2,1)="、"),REPLACEB(TRIM($A60),1,4,""),TRIM($A60)),'账项调整(期初)'!$J$5:$J$65536)</f>
        <v>0</v>
      </c>
      <c r="E60" s="413">
        <f>SUMIF('报表调整(期初)'!$E$5:$E$65536,IF(OR(MID(TRIM($A60),2,1)="：",MID(TRIM($A60),2,1)="、"),REPLACEB(TRIM($A60),1,4,""),TRIM($A60)),'报表调整(期初)'!$J$5:$J$65536)</f>
        <v>0</v>
      </c>
      <c r="F60" s="413">
        <f>SUMIF('报表调整(期初)'!$H$5:$H$65536,IF(OR(MID(TRIM($A60),2,1)="：",MID(TRIM($A60),2,1)="、"),REPLACEB(TRIM($A60),1,4,""),TRIM($A60)),'报表调整(期初)'!$J$5:$J$65536)</f>
        <v>0</v>
      </c>
      <c r="G60" s="413">
        <f>B60+C60+E60-D60-F60</f>
        <v>0</v>
      </c>
      <c r="H60" s="425"/>
      <c r="I60" s="426">
        <f t="shared" si="8"/>
        <v>0</v>
      </c>
    </row>
    <row r="61" spans="1:9" ht="14.45" customHeight="1">
      <c r="A61" s="733" t="str">
        <f>报表格式!G60</f>
        <v>所有者权益合计(剔除未处理资产损失后的金额)</v>
      </c>
      <c r="B61" s="423">
        <f t="shared" ref="B61:H61" si="10">B59-B60</f>
        <v>0</v>
      </c>
      <c r="C61" s="423">
        <f t="shared" si="10"/>
        <v>0</v>
      </c>
      <c r="D61" s="423">
        <f t="shared" si="10"/>
        <v>0</v>
      </c>
      <c r="E61" s="423">
        <f t="shared" si="10"/>
        <v>0</v>
      </c>
      <c r="F61" s="423">
        <f t="shared" si="10"/>
        <v>0</v>
      </c>
      <c r="G61" s="423">
        <f t="shared" si="10"/>
        <v>0</v>
      </c>
      <c r="H61" s="423">
        <f t="shared" si="10"/>
        <v>0</v>
      </c>
      <c r="I61" s="424">
        <f t="shared" si="8"/>
        <v>0</v>
      </c>
    </row>
    <row r="62" spans="1:9" ht="14.45" customHeight="1">
      <c r="A62" s="187" t="str">
        <f>报表格式!G73</f>
        <v>负债及所有者权益合计</v>
      </c>
      <c r="B62" s="419">
        <f t="shared" ref="B62:H62" si="11">SUM(B61,B40:B41,B39)</f>
        <v>0</v>
      </c>
      <c r="C62" s="419">
        <f t="shared" si="11"/>
        <v>0</v>
      </c>
      <c r="D62" s="419">
        <f t="shared" si="11"/>
        <v>0</v>
      </c>
      <c r="E62" s="419">
        <f t="shared" si="11"/>
        <v>0</v>
      </c>
      <c r="F62" s="419">
        <f t="shared" si="11"/>
        <v>0</v>
      </c>
      <c r="G62" s="419">
        <f t="shared" si="11"/>
        <v>0</v>
      </c>
      <c r="H62" s="419">
        <f t="shared" si="11"/>
        <v>0</v>
      </c>
      <c r="I62" s="420">
        <f t="shared" si="8"/>
        <v>0</v>
      </c>
    </row>
    <row r="63" spans="1:9">
      <c r="A63" s="727"/>
      <c r="B63" s="728">
        <f>B62-'TB资产(期初)'!B62</f>
        <v>0</v>
      </c>
      <c r="C63" s="725">
        <f>SUM(C7:C25,C28:C32,C34:C35,C38:C38,C40:C41,C43,C51:C52,C54,C57:C58,C60:C60)</f>
        <v>0</v>
      </c>
      <c r="D63" s="725">
        <f>SUM(D7:D25,D28:D32,D38,D40,D43,D51:D52,D54,D57,D60)</f>
        <v>0</v>
      </c>
      <c r="E63" s="725">
        <f>SUM(E7:E25,E28:E32,E38,E40,E43,E51:E52,E54,E57,E60)</f>
        <v>0</v>
      </c>
      <c r="F63" s="725">
        <f>SUM(F7:F25,F28:F32,F38,F40,F43,F51:F52,F54,F57,F60)</f>
        <v>0</v>
      </c>
      <c r="G63" s="728"/>
      <c r="H63" s="728"/>
      <c r="I63" s="728">
        <f>I62-'TB资产(期初)'!I62</f>
        <v>0</v>
      </c>
    </row>
    <row r="64" spans="1:9">
      <c r="A64" s="623"/>
      <c r="B64" s="622"/>
      <c r="C64" s="622"/>
      <c r="D64" s="622"/>
      <c r="E64" s="622"/>
      <c r="F64" s="622"/>
      <c r="G64" s="622"/>
      <c r="H64" s="622"/>
      <c r="I64" s="622">
        <f>I62-'TB资产(期初)'!I62</f>
        <v>0</v>
      </c>
    </row>
  </sheetData>
  <sheetProtection sheet="1" objects="1" scenarios="1"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5" priority="1" stopIfTrue="1" operator="equal">
      <formula>"报表未调平!"</formula>
    </cfRule>
  </conditionalFormatting>
  <printOptions horizontalCentered="1" verticalCentered="1"/>
  <pageMargins left="0.55118110236220474" right="0.35" top="0.38" bottom="0.31" header="0.19685039370078741" footer="0.19685039370078741"/>
  <pageSetup paperSize="9" scale="78"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4"/>
    <pageSetUpPr fitToPage="1"/>
  </sheetPr>
  <dimension ref="A1:M76"/>
  <sheetViews>
    <sheetView showZeros="0" workbookViewId="0">
      <pane xSplit="1" ySplit="5" topLeftCell="B69" activePane="bottomRight" state="frozen"/>
      <selection pane="topRight"/>
      <selection pane="bottomLeft"/>
      <selection pane="bottomRight" activeCell="A76" sqref="A76"/>
    </sheetView>
  </sheetViews>
  <sheetFormatPr defaultColWidth="7" defaultRowHeight="13.5" outlineLevelCol="1"/>
  <cols>
    <col min="1" max="1" width="39.5" style="62" customWidth="1"/>
    <col min="2" max="2" width="12.875" style="62" customWidth="1"/>
    <col min="3" max="6" width="12.375" style="62" customWidth="1"/>
    <col min="7" max="7" width="9.25" style="62" hidden="1" customWidth="1" outlineLevel="1"/>
    <col min="8" max="8" width="8.5" style="62" hidden="1" customWidth="1" outlineLevel="1"/>
    <col min="9" max="9" width="13.375" style="62" customWidth="1" collapsed="1"/>
    <col min="10" max="10" width="7.375" style="62" bestFit="1" customWidth="1"/>
    <col min="11" max="11" width="12.25" style="62" bestFit="1" customWidth="1"/>
    <col min="12" max="12" width="12.125" style="62" customWidth="1"/>
    <col min="13" max="16384" width="7" style="62"/>
  </cols>
  <sheetData>
    <row r="1" spans="1:13" s="61" customFormat="1" ht="24" customHeight="1">
      <c r="A1" s="190" t="s">
        <v>277</v>
      </c>
      <c r="B1" s="191"/>
      <c r="C1" s="191"/>
      <c r="D1" s="191"/>
      <c r="E1" s="191"/>
      <c r="F1" s="191"/>
      <c r="G1" s="191"/>
      <c r="H1" s="191"/>
      <c r="I1" s="191"/>
      <c r="J1" s="60"/>
      <c r="K1" s="62"/>
      <c r="L1" s="62"/>
      <c r="M1" s="62"/>
    </row>
    <row r="2" spans="1:13" s="61" customFormat="1" ht="17.25" customHeight="1">
      <c r="A2" s="174" t="str">
        <f>CONCATENATE("客户名称：",参数!D3)</f>
        <v>客户名称：</v>
      </c>
      <c r="C2" s="172" t="str">
        <f>CONCATENATE("编制：",参数!D17)</f>
        <v>编制：</v>
      </c>
      <c r="D2" s="173"/>
      <c r="E2" s="174" t="str">
        <f>CONCATENATE("复核：",参数!D18)</f>
        <v>复核：</v>
      </c>
      <c r="G2" s="174"/>
      <c r="H2" s="175"/>
      <c r="I2" s="176" t="str">
        <f>'TB资产(期初)'!I2</f>
        <v xml:space="preserve">索引：            </v>
      </c>
      <c r="K2" s="62"/>
      <c r="L2" s="62"/>
      <c r="M2" s="62"/>
    </row>
    <row r="3" spans="1:13" s="61" customFormat="1" ht="17.25" customHeight="1">
      <c r="A3" s="174" t="str">
        <f>CONCATENATE("会计期间：",TEXT(参数!D10,"yyyy.mm.dd"))</f>
        <v>会计期间：2007年度</v>
      </c>
      <c r="C3" s="176" t="str">
        <f ca="1">CONCATENATE("日期：",TEXT(NOW(),"yyyy.mm.dd"))</f>
        <v>日期：2023.08.14</v>
      </c>
      <c r="D3" s="174"/>
      <c r="E3" s="174" t="str">
        <f>'TB资产(期初)'!E3</f>
        <v>日期：</v>
      </c>
      <c r="G3" s="174"/>
      <c r="H3" s="174"/>
      <c r="I3" s="176" t="str">
        <f>'TB资产(期初)'!I3</f>
        <v xml:space="preserve">分页：           </v>
      </c>
      <c r="K3" s="62"/>
      <c r="L3" s="62"/>
      <c r="M3" s="62"/>
    </row>
    <row r="4" spans="1:13" s="61" customFormat="1">
      <c r="A4" s="950" t="str">
        <f>IF((ROUND('TB资产(期初)'!I62,2))=(ROUND('TB负债(期初)'!I62,2)),"项       目","报表未调平!")</f>
        <v>项       目</v>
      </c>
      <c r="B4" s="948" t="s">
        <v>712</v>
      </c>
      <c r="C4" s="948" t="s">
        <v>271</v>
      </c>
      <c r="D4" s="948"/>
      <c r="E4" s="948" t="s">
        <v>272</v>
      </c>
      <c r="F4" s="948"/>
      <c r="G4" s="443" t="s">
        <v>273</v>
      </c>
      <c r="H4" s="443" t="s">
        <v>274</v>
      </c>
      <c r="I4" s="944" t="s">
        <v>812</v>
      </c>
      <c r="K4" s="62"/>
      <c r="L4" s="62"/>
      <c r="M4" s="62"/>
    </row>
    <row r="5" spans="1:13" s="61" customFormat="1" ht="14.25" customHeight="1">
      <c r="A5" s="951"/>
      <c r="B5" s="949"/>
      <c r="C5" s="444" t="s">
        <v>711</v>
      </c>
      <c r="D5" s="444" t="s">
        <v>583</v>
      </c>
      <c r="E5" s="444" t="s">
        <v>711</v>
      </c>
      <c r="F5" s="444" t="s">
        <v>583</v>
      </c>
      <c r="G5" s="444"/>
      <c r="H5" s="444"/>
      <c r="I5" s="945"/>
      <c r="K5" s="62"/>
      <c r="L5" s="62"/>
      <c r="M5" s="62"/>
    </row>
    <row r="6" spans="1:13" ht="15" customHeight="1">
      <c r="A6" s="177" t="str">
        <f>报表格式!L5</f>
        <v>一、主营业务收入</v>
      </c>
      <c r="B6" s="427">
        <f>期初核对PL!C6</f>
        <v>0</v>
      </c>
      <c r="C6" s="427">
        <f>SUMIF('账项调整(期初)'!$E$5:$E$65536,IF(OR(MID(TRIM($A6),2,1)="：",MID(TRIM($A6),2,1)="、"),REPLACEB(TRIM($A6),1,4,""),TRIM($A6)),'账项调整(期初)'!$J$5:$J$65536)</f>
        <v>0</v>
      </c>
      <c r="D6" s="427">
        <f>SUMIF('账项调整(期初)'!$H$5:$H$65536,IF(OR(MID(TRIM($A6),2,1)="：",MID(TRIM($A6),2,1)="、"),REPLACEB(TRIM($A6),1,4,""),TRIM($A6)),'账项调整(期初)'!$J$5:$J$65536)</f>
        <v>0</v>
      </c>
      <c r="E6" s="427">
        <f>SUMIF('报表调整(期初)'!$E$5:$E$65536,IF(OR(MID(TRIM($A6),2,1)="：",MID(TRIM($A6),2,1)="、"),REPLACEB(TRIM($A6),1,4,""),TRIM($A6)),'报表调整(期初)'!$J$5:$J$65536)</f>
        <v>0</v>
      </c>
      <c r="F6" s="427">
        <f>SUMIF('报表调整(期初)'!$H$5:$H$65536,IF(OR(MID(TRIM($A6),2,1)="：",MID(TRIM($A6),2,1)="、"),REPLACEB(TRIM($A6),1,4,""),TRIM($A6)),'报表调整(期初)'!$J$5:$J$65536)</f>
        <v>0</v>
      </c>
      <c r="G6" s="427">
        <f>B6-C6-E6+D6+F6</f>
        <v>0</v>
      </c>
      <c r="H6" s="427"/>
      <c r="I6" s="428">
        <f t="shared" ref="I6:I39" si="0">SUM(G6:H6)</f>
        <v>0</v>
      </c>
    </row>
    <row r="7" spans="1:13" ht="15" customHeight="1">
      <c r="A7" s="193" t="str">
        <f>报表格式!L6</f>
        <v xml:space="preserve">    其中：进口产品（商品）销售收入</v>
      </c>
      <c r="B7" s="429">
        <f>期初核对PL!C7</f>
        <v>0</v>
      </c>
      <c r="C7" s="429">
        <f>SUMIF('账项调整(期初)'!$F$5:$F$65536,IF(OR(MID(TRIM($A7),2,1)="：",MID(TRIM($A7),2,1)="、"),REPLACEB(TRIM($A7),1,4,""),TRIM($A7)),'账项调整(期初)'!$J$5:$J$65536)</f>
        <v>0</v>
      </c>
      <c r="D7" s="429">
        <f>SUMIF('账项调整(期初)'!$I$5:$I$65536,IF(OR(MID(TRIM($A7),2,1)="：",MID(TRIM($A7),2,1)="、"),REPLACEB(TRIM($A7),1,4,""),TRIM($A7)),'账项调整(期初)'!$J$5:$J$65536)</f>
        <v>0</v>
      </c>
      <c r="E7" s="429">
        <f>SUMIF('报表调整(期初)'!$F$5:$F$65536,IF(OR(MID(TRIM($A7),2,1)="：",MID(TRIM($A7),2,1)="、"),REPLACEB(TRIM($A7),1,4,""),TRIM($A7)),'报表调整(期初)'!$J$5:$J$65536)</f>
        <v>0</v>
      </c>
      <c r="F7" s="429">
        <f>SUMIF('报表调整(期初)'!$I$5:$I$65536,IF(OR(MID(TRIM($A7),2,1)="：",MID(TRIM($A7),2,1)="、"),REPLACEB(TRIM($A7),1,4,""),TRIM($A7)),'报表调整(期初)'!$J$5:$J$65536)</f>
        <v>0</v>
      </c>
      <c r="G7" s="429">
        <f>B7-C7-E7+D7+F7</f>
        <v>0</v>
      </c>
      <c r="H7" s="429"/>
      <c r="I7" s="712">
        <f t="shared" si="0"/>
        <v>0</v>
      </c>
    </row>
    <row r="8" spans="1:13" ht="15" customHeight="1">
      <c r="A8" s="193" t="str">
        <f>报表格式!L7</f>
        <v xml:space="preserve">          出口产品（商品）销售收入</v>
      </c>
      <c r="B8" s="429">
        <f>期初核对PL!C8</f>
        <v>0</v>
      </c>
      <c r="C8" s="429">
        <f>SUMIF('账项调整(期初)'!$F$5:$F$65536,IF(OR(MID(TRIM($A8),2,1)="：",MID(TRIM($A8),2,1)="、"),REPLACEB(TRIM($A8),1,4,""),TRIM($A8)),'账项调整(期初)'!$J$5:$J$65536)</f>
        <v>0</v>
      </c>
      <c r="D8" s="429">
        <f>SUMIF('账项调整(期初)'!$I$5:$I$65536,IF(OR(MID(TRIM($A8),2,1)="：",MID(TRIM($A8),2,1)="、"),REPLACEB(TRIM($A8),1,4,""),TRIM($A8)),'账项调整(期初)'!$J$5:$J$65536)</f>
        <v>0</v>
      </c>
      <c r="E8" s="429">
        <f>SUMIF('报表调整(期初)'!$F$5:$F$65536,IF(OR(MID(TRIM($A8),2,1)="：",MID(TRIM($A8),2,1)="、"),REPLACEB(TRIM($A8),1,4,""),TRIM($A8)),'报表调整(期初)'!$J$5:$J$65536)</f>
        <v>0</v>
      </c>
      <c r="F8" s="429">
        <f>SUMIF('报表调整(期初)'!$I$5:$I$65536,IF(OR(MID(TRIM($A8),2,1)="：",MID(TRIM($A8),2,1)="、"),REPLACEB(TRIM($A8),1,4,""),TRIM($A8)),'报表调整(期初)'!$J$5:$J$65536)</f>
        <v>0</v>
      </c>
      <c r="G8" s="429">
        <f>B8-C8-E8+D8+F8</f>
        <v>0</v>
      </c>
      <c r="H8" s="429"/>
      <c r="I8" s="712">
        <f t="shared" si="0"/>
        <v>0</v>
      </c>
    </row>
    <row r="9" spans="1:13" ht="15" customHeight="1">
      <c r="A9" s="193" t="str">
        <f>报表格式!L8</f>
        <v xml:space="preserve">    减：折扣与折让</v>
      </c>
      <c r="B9" s="429">
        <f>期初核对PL!C9</f>
        <v>0</v>
      </c>
      <c r="C9" s="427">
        <f>SUMIF('账项调整(期初)'!$E$5:$E$65536,IF(OR(MID(TRIM($A9),2,1)="：",MID(TRIM($A9),2,1)="、"),REPLACEB(TRIM($A9),1,4,""),TRIM($A9)),'账项调整(期初)'!$J$5:$J$65536)</f>
        <v>0</v>
      </c>
      <c r="D9" s="427">
        <f>SUMIF('账项调整(期初)'!$H$5:$H$65536,IF(OR(MID(TRIM($A9),2,1)="：",MID(TRIM($A9),2,1)="、"),REPLACEB(TRIM($A9),1,4,""),TRIM($A9)),'账项调整(期初)'!$J$5:$J$65536)</f>
        <v>0</v>
      </c>
      <c r="E9" s="427">
        <f>SUMIF('报表调整(期初)'!$E$5:$E$65536,IF(OR(MID(TRIM($A9),2,1)="：",MID(TRIM($A9),2,1)="、"),REPLACEB(TRIM($A9),1,4,""),TRIM($A9)),'报表调整(期初)'!$J$5:$J$65536)</f>
        <v>0</v>
      </c>
      <c r="F9" s="427">
        <f>SUMIF('报表调整(期初)'!$H$5:$H$65536,IF(OR(MID(TRIM($A9),2,1)="：",MID(TRIM($A9),2,1)="、"),REPLACEB(TRIM($A9),1,4,""),TRIM($A9)),'报表调整(期初)'!$J$5:$J$65536)</f>
        <v>0</v>
      </c>
      <c r="G9" s="427">
        <f>B9+C9+E9-D9-F9</f>
        <v>0</v>
      </c>
      <c r="H9" s="427"/>
      <c r="I9" s="428">
        <f t="shared" si="0"/>
        <v>0</v>
      </c>
    </row>
    <row r="10" spans="1:13" ht="15" customHeight="1">
      <c r="A10" s="177" t="str">
        <f>报表格式!L9</f>
        <v>二、主营业务收入净额</v>
      </c>
      <c r="B10" s="430">
        <f t="shared" ref="B10:H10" si="1">B6-B9</f>
        <v>0</v>
      </c>
      <c r="C10" s="415">
        <f t="shared" si="1"/>
        <v>0</v>
      </c>
      <c r="D10" s="415">
        <f t="shared" si="1"/>
        <v>0</v>
      </c>
      <c r="E10" s="415">
        <f t="shared" si="1"/>
        <v>0</v>
      </c>
      <c r="F10" s="415">
        <f t="shared" si="1"/>
        <v>0</v>
      </c>
      <c r="G10" s="415">
        <f t="shared" si="1"/>
        <v>0</v>
      </c>
      <c r="H10" s="415">
        <f t="shared" si="1"/>
        <v>0</v>
      </c>
      <c r="I10" s="416">
        <f t="shared" si="0"/>
        <v>0</v>
      </c>
    </row>
    <row r="11" spans="1:13" ht="15" customHeight="1">
      <c r="A11" s="193" t="str">
        <f>报表格式!L10</f>
        <v xml:space="preserve">    减：（一）主营业务成本</v>
      </c>
      <c r="B11" s="429">
        <f>期初核对PL!C11</f>
        <v>0</v>
      </c>
      <c r="C11" s="413">
        <f>SUMIF('账项调整(期初)'!$E$5:$E$65536,REPLACEB(IF(OR(MID(TRIM($A11),2,1)="：",MID(TRIM($A11),2,1)="、"),REPLACEB(TRIM($A11),1,4,""),TRIM($A11)),1,6,""),'账项调整(期初)'!$J$5:$J$65536)</f>
        <v>0</v>
      </c>
      <c r="D11" s="413">
        <f>SUMIF('账项调整(期初)'!$H$5:$H$65536,REPLACEB(IF(OR(MID(TRIM($A11),2,1)="：",MID(TRIM($A11),2,1)="、"),REPLACEB(TRIM($A11),1,4,""),TRIM($A11)),1,6,""),'账项调整(期初)'!$J$5:$J$65536)</f>
        <v>0</v>
      </c>
      <c r="E11" s="413">
        <f>SUMIF('报表调整(期初)'!$E$5:$E$65536,REPLACEB(IF(OR(MID(TRIM($A11),2,1)="：",MID(TRIM($A11),2,1)="、"),REPLACEB(TRIM($A11),1,4,""),TRIM($A11)),1,6,""),'报表调整(期初)'!$J$5:$J$65536)</f>
        <v>0</v>
      </c>
      <c r="F11" s="413">
        <f>SUMIF('报表调整(期初)'!$H$5:$H$65536,REPLACEB(IF(OR(MID(TRIM($A11),2,1)="：",MID(TRIM($A11),2,1)="、"),REPLACEB(TRIM($A11),1,4,""),TRIM($A11)),1,6,""),'报表调整(期初)'!$J$5:$J$65536)</f>
        <v>0</v>
      </c>
      <c r="G11" s="413">
        <f>B11+C11+E11-D11-F11</f>
        <v>0</v>
      </c>
      <c r="H11" s="413"/>
      <c r="I11" s="414">
        <f t="shared" si="0"/>
        <v>0</v>
      </c>
    </row>
    <row r="12" spans="1:13" ht="15" customHeight="1">
      <c r="A12" s="193" t="str">
        <f>报表格式!L11</f>
        <v xml:space="preserve">              其中：出口产品（商品）销售成本</v>
      </c>
      <c r="B12" s="429">
        <f>期初核对PL!C12</f>
        <v>0</v>
      </c>
      <c r="C12" s="429">
        <f>SUMIF('账项调整(期初)'!$F$5:$F$65536,IF(OR(MID(TRIM($A12),2,1)="：",MID(TRIM($A12),2,1)="、"),REPLACEB(TRIM($A12),1,4,""),TRIM($A12)),'账项调整(期初)'!$J$5:$J$65536)</f>
        <v>0</v>
      </c>
      <c r="D12" s="429">
        <f>SUMIF('账项调整(期初)'!$I$5:$I$65536,IF(OR(MID(TRIM($A12),2,1)="：",MID(TRIM($A12),2,1)="、"),REPLACEB(TRIM($A12),1,4,""),TRIM($A12)),'账项调整(期初)'!$J$5:$J$65536)</f>
        <v>0</v>
      </c>
      <c r="E12" s="429">
        <f>SUMIF('报表调整(期初)'!$F$5:$F$65536,IF(OR(MID(TRIM($A12),2,1)="：",MID(TRIM($A12),2,1)="、"),REPLACEB(TRIM($A12),1,4,""),TRIM($A12)),'报表调整(期初)'!$J$5:$J$65536)</f>
        <v>0</v>
      </c>
      <c r="F12" s="429">
        <f>SUMIF('报表调整(期初)'!$I$5:$I$65536,IF(OR(MID(TRIM($A12),2,1)="：",MID(TRIM($A12),2,1)="、"),REPLACEB(TRIM($A12),1,4,""),TRIM($A12)),'报表调整(期初)'!$J$5:$J$65536)</f>
        <v>0</v>
      </c>
      <c r="G12" s="413">
        <f>B12+C12+E12-D12-F12</f>
        <v>0</v>
      </c>
      <c r="H12" s="413"/>
      <c r="I12" s="414">
        <f t="shared" si="0"/>
        <v>0</v>
      </c>
    </row>
    <row r="13" spans="1:13" ht="15" customHeight="1">
      <c r="A13" s="193" t="str">
        <f>报表格式!L12</f>
        <v xml:space="preserve">        （二）主营业务税金及附加</v>
      </c>
      <c r="B13" s="429">
        <f>期初核对PL!C13</f>
        <v>0</v>
      </c>
      <c r="C13" s="413">
        <f>SUMIF('账项调整(期初)'!$E$5:$E$65536,REPLACEB(IF(OR(MID(TRIM($A13),2,1)="：",MID(TRIM($A13),2,1)="、"),REPLACEB(TRIM($A13),1,4,""),TRIM($A13)),1,6,""),'账项调整(期初)'!$J$5:$J$65536)</f>
        <v>0</v>
      </c>
      <c r="D13" s="413">
        <f>SUMIF('账项调整(期初)'!$H$5:$H$65536,REPLACEB(IF(OR(MID(TRIM($A13),2,1)="：",MID(TRIM($A13),2,1)="、"),REPLACEB(TRIM($A13),1,4,""),TRIM($A13)),1,6,""),'账项调整(期初)'!$J$5:$J$65536)</f>
        <v>0</v>
      </c>
      <c r="E13" s="413">
        <f>SUMIF('报表调整(期初)'!$E$5:$E$65536,REPLACEB(IF(OR(MID(TRIM($A13),2,1)="：",MID(TRIM($A13),2,1)="、"),REPLACEB(TRIM($A13),1,4,""),TRIM($A13)),1,6,""),'报表调整(期初)'!$J$5:$J$65536)</f>
        <v>0</v>
      </c>
      <c r="F13" s="413">
        <f>SUMIF('报表调整(期初)'!$H$5:$H$65536,REPLACEB(IF(OR(MID(TRIM($A13),2,1)="：",MID(TRIM($A13),2,1)="、"),REPLACEB(TRIM($A13),1,4,""),TRIM($A13)),1,6,""),'报表调整(期初)'!$J$5:$J$65536)</f>
        <v>0</v>
      </c>
      <c r="G13" s="413">
        <f>B13+C13+E13-D13-F13</f>
        <v>0</v>
      </c>
      <c r="H13" s="413"/>
      <c r="I13" s="414">
        <f t="shared" si="0"/>
        <v>0</v>
      </c>
    </row>
    <row r="14" spans="1:13" ht="15" customHeight="1">
      <c r="A14" s="193" t="str">
        <f>报表格式!L13</f>
        <v xml:space="preserve">        （三）经营费用</v>
      </c>
      <c r="B14" s="429">
        <f>期初核对PL!C14</f>
        <v>0</v>
      </c>
      <c r="C14" s="413">
        <f>SUMIF('账项调整(期初)'!$E$5:$E$65536,REPLACEB(IF(OR(MID(TRIM($A14),2,1)="：",MID(TRIM($A14),2,1)="、"),REPLACEB(TRIM($A14),1,4,""),TRIM($A14)),1,6,""),'账项调整(期初)'!$J$5:$J$65536)</f>
        <v>0</v>
      </c>
      <c r="D14" s="413">
        <f>SUMIF('账项调整(期初)'!$H$5:$H$65536,REPLACEB(IF(OR(MID(TRIM($A14),2,1)="：",MID(TRIM($A14),2,1)="、"),REPLACEB(TRIM($A14),1,4,""),TRIM($A14)),1,6,""),'账项调整(期初)'!$J$5:$J$65536)</f>
        <v>0</v>
      </c>
      <c r="E14" s="413">
        <f>SUMIF('报表调整(期初)'!$E$5:$E$65536,REPLACEB(IF(OR(MID(TRIM($A14),2,1)="：",MID(TRIM($A14),2,1)="、"),REPLACEB(TRIM($A14),1,4,""),TRIM($A14)),1,6,""),'报表调整(期初)'!$J$5:$J$65536)</f>
        <v>0</v>
      </c>
      <c r="F14" s="413">
        <f>SUMIF('报表调整(期初)'!$H$5:$H$65536,REPLACEB(IF(OR(MID(TRIM($A14),2,1)="：",MID(TRIM($A14),2,1)="、"),REPLACEB(TRIM($A14),1,4,""),TRIM($A14)),1,6,""),'报表调整(期初)'!$J$5:$J$65536)</f>
        <v>0</v>
      </c>
      <c r="G14" s="413">
        <f>B14+C14+E14-D14-F14</f>
        <v>0</v>
      </c>
      <c r="H14" s="421"/>
      <c r="I14" s="414">
        <f t="shared" si="0"/>
        <v>0</v>
      </c>
    </row>
    <row r="15" spans="1:13" ht="15" customHeight="1">
      <c r="A15" s="193" t="str">
        <f>报表格式!L14</f>
        <v xml:space="preserve">        （四）其他</v>
      </c>
      <c r="B15" s="429">
        <f>期初核对PL!C15</f>
        <v>0</v>
      </c>
      <c r="C15" s="413">
        <f>SUMIF('账项调整(期初)'!$E$5:$E$65536,REPLACEB(IF(OR(MID(TRIM($A15),2,1)="：",MID(TRIM($A15),2,1)="、"),REPLACEB(TRIM($A15),1,4,""),TRIM($A15)),1,6,""),'账项调整(期初)'!$J$5:$J$65536)</f>
        <v>0</v>
      </c>
      <c r="D15" s="413">
        <f>SUMIF('账项调整(期初)'!$H$5:$H$65536,REPLACEB(IF(OR(MID(TRIM($A15),2,1)="：",MID(TRIM($A15),2,1)="、"),REPLACEB(TRIM($A15),1,4,""),TRIM($A15)),1,6,""),'账项调整(期初)'!$J$5:$J$65536)</f>
        <v>0</v>
      </c>
      <c r="E15" s="413">
        <f>SUMIF('报表调整(期初)'!$E$5:$E$65536,REPLACEB(IF(OR(MID(TRIM($A15),2,1)="：",MID(TRIM($A15),2,1)="、"),REPLACEB(TRIM($A15),1,4,""),TRIM($A15)),1,6,""),'报表调整(期初)'!$J$5:$J$65536)</f>
        <v>0</v>
      </c>
      <c r="F15" s="413">
        <f>SUMIF('报表调整(期初)'!$H$5:$H$65536,REPLACEB(IF(OR(MID(TRIM($A15),2,1)="：",MID(TRIM($A15),2,1)="、"),REPLACEB(TRIM($A15),1,4,""),TRIM($A15)),1,6,""),'报表调整(期初)'!$J$5:$J$65536)</f>
        <v>0</v>
      </c>
      <c r="G15" s="413">
        <f>B15+C15+E15-D15-F15</f>
        <v>0</v>
      </c>
      <c r="H15" s="413"/>
      <c r="I15" s="414">
        <f t="shared" si="0"/>
        <v>0</v>
      </c>
    </row>
    <row r="16" spans="1:13" ht="15" customHeight="1">
      <c r="A16" s="193" t="str">
        <f>报表格式!L15</f>
        <v xml:space="preserve">    加：（一）递延收益</v>
      </c>
      <c r="B16" s="429">
        <f>期初核对PL!C16</f>
        <v>0</v>
      </c>
      <c r="C16" s="413">
        <f>SUMIF('账项调整(期初)'!$E$5:$E$65536,REPLACEB(IF(OR(MID(TRIM($A16),2,1)="：",MID(TRIM($A16),2,1)="、"),REPLACEB(TRIM($A16),1,4,""),TRIM($A16)),1,6,""),'账项调整(期初)'!$J$5:$J$65536)</f>
        <v>0</v>
      </c>
      <c r="D16" s="413">
        <f>SUMIF('账项调整(期初)'!$H$5:$H$65536,REPLACEB(IF(OR(MID(TRIM($A16),2,1)="：",MID(TRIM($A16),2,1)="、"),REPLACEB(TRIM($A16),1,4,""),TRIM($A16)),1,6,""),'账项调整(期初)'!$J$5:$J$65536)</f>
        <v>0</v>
      </c>
      <c r="E16" s="413">
        <f>SUMIF('报表调整(期初)'!$E$5:$E$65536,REPLACEB(IF(OR(MID(TRIM($A16),2,1)="：",MID(TRIM($A16),2,1)="、"),REPLACEB(TRIM($A16),1,4,""),TRIM($A16)),1,6,""),'报表调整(期初)'!$J$5:$J$65536)</f>
        <v>0</v>
      </c>
      <c r="F16" s="413">
        <f>SUMIF('报表调整(期初)'!$H$5:$H$65536,REPLACEB(IF(OR(MID(TRIM($A16),2,1)="：",MID(TRIM($A16),2,1)="、"),REPLACEB(TRIM($A16),1,4,""),TRIM($A16)),1,6,""),'报表调整(期初)'!$J$5:$J$65536)</f>
        <v>0</v>
      </c>
      <c r="G16" s="413">
        <f>B16-C16-E16+D16+F16</f>
        <v>0</v>
      </c>
      <c r="H16" s="413"/>
      <c r="I16" s="414">
        <f t="shared" si="0"/>
        <v>0</v>
      </c>
    </row>
    <row r="17" spans="1:12" ht="15" customHeight="1">
      <c r="A17" s="193" t="str">
        <f>报表格式!L16</f>
        <v xml:space="preserve">        （二）代购代销收入</v>
      </c>
      <c r="B17" s="429">
        <f>期初核对PL!C17</f>
        <v>0</v>
      </c>
      <c r="C17" s="413">
        <f>SUMIF('账项调整(期初)'!$E$5:$E$65536,REPLACEB(IF(OR(MID(TRIM($A17),2,1)="：",MID(TRIM($A17),2,1)="、"),REPLACEB(TRIM($A17),1,4,""),TRIM($A17)),1,6,""),'账项调整(期初)'!$J$5:$J$65536)</f>
        <v>0</v>
      </c>
      <c r="D17" s="413">
        <f>SUMIF('账项调整(期初)'!$H$5:$H$65536,REPLACEB(IF(OR(MID(TRIM($A17),2,1)="：",MID(TRIM($A17),2,1)="、"),REPLACEB(TRIM($A17),1,4,""),TRIM($A17)),1,6,""),'账项调整(期初)'!$J$5:$J$65536)</f>
        <v>0</v>
      </c>
      <c r="E17" s="413">
        <f>SUMIF('报表调整(期初)'!$E$5:$E$65536,REPLACEB(IF(OR(MID(TRIM($A17),2,1)="：",MID(TRIM($A17),2,1)="、"),REPLACEB(TRIM($A17),1,4,""),TRIM($A17)),1,6,""),'报表调整(期初)'!$J$5:$J$65536)</f>
        <v>0</v>
      </c>
      <c r="F17" s="413">
        <f>SUMIF('报表调整(期初)'!$H$5:$H$65536,REPLACEB(IF(OR(MID(TRIM($A17),2,1)="：",MID(TRIM($A17),2,1)="、"),REPLACEB(TRIM($A17),1,4,""),TRIM($A17)),1,6,""),'报表调整(期初)'!$J$5:$J$65536)</f>
        <v>0</v>
      </c>
      <c r="G17" s="413">
        <f>B17-C17-E17+D17+F17</f>
        <v>0</v>
      </c>
      <c r="H17" s="413"/>
      <c r="I17" s="414">
        <f t="shared" si="0"/>
        <v>0</v>
      </c>
    </row>
    <row r="18" spans="1:12" ht="15" customHeight="1">
      <c r="A18" s="193" t="str">
        <f>报表格式!L17</f>
        <v xml:space="preserve">        （三）其他</v>
      </c>
      <c r="B18" s="429">
        <f>期初核对PL!C18</f>
        <v>0</v>
      </c>
      <c r="C18" s="413">
        <f>SUMIF('账项调整(期初)'!$E$5:$E$65536,REPLACEB(IF(OR(MID(TRIM($A18),2,1)="：",MID(TRIM($A18),2,1)="、"),REPLACEB(TRIM($A18),1,4,""),TRIM($A18)),1,6,""),'账项调整(期初)'!$J$5:$J$65536)</f>
        <v>0</v>
      </c>
      <c r="D18" s="413">
        <f>SUMIF('账项调整(期初)'!$H$5:$H$65536,REPLACEB(IF(OR(MID(TRIM($A18),2,1)="：",MID(TRIM($A18),2,1)="、"),REPLACEB(TRIM($A18),1,4,""),TRIM($A18)),1,6,""),'账项调整(期初)'!$J$5:$J$65536)</f>
        <v>0</v>
      </c>
      <c r="E18" s="413">
        <f>SUMIF('报表调整(期初)'!$E$5:$E$65536,REPLACEB(IF(OR(MID(TRIM($A18),2,1)="：",MID(TRIM($A18),2,1)="、"),REPLACEB(TRIM($A18),1,4,""),TRIM($A18)),1,6,""),'报表调整(期初)'!$J$5:$J$65536)</f>
        <v>0</v>
      </c>
      <c r="F18" s="413">
        <f>SUMIF('报表调整(期初)'!$H$5:$H$65536,REPLACEB(IF(OR(MID(TRIM($A18),2,1)="：",MID(TRIM($A18),2,1)="、"),REPLACEB(TRIM($A18),1,4,""),TRIM($A18)),1,6,""),'报表调整(期初)'!$J$5:$J$65536)</f>
        <v>0</v>
      </c>
      <c r="G18" s="413">
        <f>B18-C18-E18+D18+F18</f>
        <v>0</v>
      </c>
      <c r="H18" s="413"/>
      <c r="I18" s="414">
        <f t="shared" si="0"/>
        <v>0</v>
      </c>
    </row>
    <row r="19" spans="1:12" ht="15" customHeight="1">
      <c r="A19" s="177" t="str">
        <f>报表格式!L18</f>
        <v>三、主营业务利润</v>
      </c>
      <c r="B19" s="430">
        <f t="shared" ref="B19:H19" si="2">B10-B11-B13-B14-B15+B16+B17+B18</f>
        <v>0</v>
      </c>
      <c r="C19" s="415">
        <f t="shared" si="2"/>
        <v>0</v>
      </c>
      <c r="D19" s="415">
        <f t="shared" si="2"/>
        <v>0</v>
      </c>
      <c r="E19" s="415">
        <f t="shared" si="2"/>
        <v>0</v>
      </c>
      <c r="F19" s="415">
        <f t="shared" si="2"/>
        <v>0</v>
      </c>
      <c r="G19" s="415">
        <f t="shared" si="2"/>
        <v>0</v>
      </c>
      <c r="H19" s="415">
        <f t="shared" si="2"/>
        <v>0</v>
      </c>
      <c r="I19" s="416">
        <f t="shared" si="0"/>
        <v>0</v>
      </c>
    </row>
    <row r="20" spans="1:12" ht="15" customHeight="1">
      <c r="A20" s="193" t="str">
        <f>报表格式!L19</f>
        <v xml:space="preserve">    加：其他业务利润</v>
      </c>
      <c r="B20" s="429">
        <f>期初核对PL!C20</f>
        <v>0</v>
      </c>
      <c r="C20" s="413">
        <f>SUMIF('账项调整(期初)'!$E$5:$E$65536,IF(OR(MID(TRIM($A20),2,1)="：",MID(TRIM($A20),2,1)="、"),REPLACEB(TRIM($A20),1,4,""),TRIM($A20)),'账项调整(期初)'!$J$5:$J$65536)</f>
        <v>0</v>
      </c>
      <c r="D20" s="413">
        <f>SUMIF('账项调整(期初)'!$H$5:$H$65536,IF(OR(MID(TRIM($A20),2,1)="：",MID(TRIM($A20),2,1)="、"),REPLACEB(TRIM($A20),1,4,""),TRIM($A20)),'账项调整(期初)'!$J$5:$J$65536)</f>
        <v>0</v>
      </c>
      <c r="E20" s="413">
        <f>SUMIF('报表调整(期初)'!$E$5:$E$65536,IF(OR(MID(TRIM($A20),2,1)="：",MID(TRIM($A20),2,1)="、"),REPLACEB(TRIM($A20),1,4,""),TRIM($A20)),'报表调整(期初)'!$J$5:$J$65536)</f>
        <v>0</v>
      </c>
      <c r="F20" s="413">
        <f>SUMIF('报表调整(期初)'!$H$5:$H$65536,IF(OR(MID(TRIM($A20),2,1)="：",MID(TRIM($A20),2,1)="、"),REPLACEB(TRIM($A20),1,4,""),TRIM($A20)),'报表调整(期初)'!$J$5:$J$65536)</f>
        <v>0</v>
      </c>
      <c r="G20" s="413">
        <f>B20-C20-E20+D20+F20</f>
        <v>0</v>
      </c>
      <c r="H20" s="413"/>
      <c r="I20" s="414">
        <f t="shared" si="0"/>
        <v>0</v>
      </c>
    </row>
    <row r="21" spans="1:12" ht="15" customHeight="1">
      <c r="A21" s="193" t="str">
        <f>报表格式!L20</f>
        <v xml:space="preserve">    减：（一）营业费用</v>
      </c>
      <c r="B21" s="429">
        <f>期初核对PL!C21</f>
        <v>0</v>
      </c>
      <c r="C21" s="413">
        <f>SUMIF('账项调整(期初)'!$E$5:$E$65536,REPLACEB(IF(OR(MID(TRIM($A21),2,1)="：",MID(TRIM($A21),2,1)="、"),REPLACEB(TRIM($A21),1,4,""),TRIM($A21)),1,6,""),'账项调整(期初)'!$J$5:$J$65536)</f>
        <v>0</v>
      </c>
      <c r="D21" s="413">
        <f>SUMIF('账项调整(期初)'!$H$5:$H$65536,REPLACEB(IF(OR(MID(TRIM($A21),2,1)="：",MID(TRIM($A21),2,1)="、"),REPLACEB(TRIM($A21),1,4,""),TRIM($A21)),1,6,""),'账项调整(期初)'!$J$5:$J$65536)</f>
        <v>0</v>
      </c>
      <c r="E21" s="413">
        <f>SUMIF('报表调整(期初)'!$E$5:$E$65536,REPLACEB(IF(OR(MID(TRIM($A21),2,1)="：",MID(TRIM($A21),2,1)="、"),REPLACEB(TRIM($A21),1,4,""),TRIM($A21)),1,6,""),'报表调整(期初)'!$J$5:$J$65536)</f>
        <v>0</v>
      </c>
      <c r="F21" s="413">
        <f>SUMIF('报表调整(期初)'!$H$5:$H$65536,REPLACEB(IF(OR(MID(TRIM($A21),2,1)="：",MID(TRIM($A21),2,1)="、"),REPLACEB(TRIM($A21),1,4,""),TRIM($A21)),1,6,""),'报表调整(期初)'!$J$5:$J$65536)</f>
        <v>0</v>
      </c>
      <c r="G21" s="413">
        <f t="shared" ref="G21:G29" si="3">B21+C21+E21-D21-F21</f>
        <v>0</v>
      </c>
      <c r="H21" s="413"/>
      <c r="I21" s="414">
        <f t="shared" si="0"/>
        <v>0</v>
      </c>
    </row>
    <row r="22" spans="1:12" ht="15" customHeight="1">
      <c r="A22" s="193" t="str">
        <f>报表格式!L21</f>
        <v xml:space="preserve">        （二）管理费用</v>
      </c>
      <c r="B22" s="429">
        <f>期初核对PL!C22</f>
        <v>0</v>
      </c>
      <c r="C22" s="413">
        <f>SUMIF('账项调整(期初)'!$E$5:$E$65536,REPLACEB(IF(OR(MID(TRIM($A22),2,1)="：",MID(TRIM($A22),2,1)="、"),REPLACEB(TRIM($A22),1,4,""),TRIM($A22)),1,6,""),'账项调整(期初)'!$J$5:$J$65536)</f>
        <v>0</v>
      </c>
      <c r="D22" s="413">
        <f>SUMIF('账项调整(期初)'!$H$5:$H$65536,REPLACEB(IF(OR(MID(TRIM($A22),2,1)="：",MID(TRIM($A22),2,1)="、"),REPLACEB(TRIM($A22),1,4,""),TRIM($A22)),1,6,""),'账项调整(期初)'!$J$5:$J$65536)</f>
        <v>0</v>
      </c>
      <c r="E22" s="413">
        <f>SUMIF('报表调整(期初)'!$E$5:$E$65536,REPLACEB(IF(OR(MID(TRIM($A22),2,1)="：",MID(TRIM($A22),2,1)="、"),REPLACEB(TRIM($A22),1,4,""),TRIM($A22)),1,6,""),'报表调整(期初)'!$J$5:$J$65536)</f>
        <v>0</v>
      </c>
      <c r="F22" s="413">
        <f>SUMIF('报表调整(期初)'!$H$5:$H$65536,REPLACEB(IF(OR(MID(TRIM($A22),2,1)="：",MID(TRIM($A22),2,1)="、"),REPLACEB(TRIM($A22),1,4,""),TRIM($A22)),1,6,""),'报表调整(期初)'!$J$5:$J$65536)</f>
        <v>0</v>
      </c>
      <c r="G22" s="413">
        <f t="shared" si="3"/>
        <v>0</v>
      </c>
      <c r="H22" s="421"/>
      <c r="I22" s="414">
        <f t="shared" si="0"/>
        <v>0</v>
      </c>
    </row>
    <row r="23" spans="1:12" ht="15" customHeight="1">
      <c r="A23" s="193" t="str">
        <f>报表格式!L22</f>
        <v xml:space="preserve">         其中：业务招待费</v>
      </c>
      <c r="B23" s="429">
        <f>期初核对PL!C23</f>
        <v>0</v>
      </c>
      <c r="C23" s="429">
        <f>SUMIF('账项调整(期初)'!$F$5:$F$65536,IF(OR(MID(TRIM($A23),2,1)="：",MID(TRIM($A23),2,1)="、"),REPLACEB(TRIM($A23),1,4,""),TRIM($A23)),'账项调整(期初)'!$J$5:$J$65536)</f>
        <v>0</v>
      </c>
      <c r="D23" s="429">
        <f>SUMIF('账项调整(期初)'!$I$5:$I$65536,IF(OR(MID(TRIM($A23),2,1)="：",MID(TRIM($A23),2,1)="、"),REPLACEB(TRIM($A23),1,4,""),TRIM($A23)),'账项调整(期初)'!$J$5:$J$65536)</f>
        <v>0</v>
      </c>
      <c r="E23" s="429">
        <f>SUMIF('报表调整(期初)'!$F$5:$F$65536,IF(OR(MID(TRIM($A23),2,1)="：",MID(TRIM($A23),2,1)="、"),REPLACEB(TRIM($A23),1,4,""),TRIM($A23)),'报表调整(期初)'!$J$5:$J$65536)</f>
        <v>0</v>
      </c>
      <c r="F23" s="429">
        <f>SUMIF('报表调整(期初)'!$I$5:$I$65536,IF(OR(MID(TRIM($A23),2,1)="：",MID(TRIM($A23),2,1)="、"),REPLACEB(TRIM($A23),1,4,""),TRIM($A23)),'报表调整(期初)'!$J$5:$J$65536)</f>
        <v>0</v>
      </c>
      <c r="G23" s="413">
        <f t="shared" si="3"/>
        <v>0</v>
      </c>
      <c r="H23" s="421"/>
      <c r="I23" s="414">
        <f t="shared" si="0"/>
        <v>0</v>
      </c>
    </row>
    <row r="24" spans="1:12" ht="15" customHeight="1">
      <c r="A24" s="193" t="str">
        <f>报表格式!L23</f>
        <v xml:space="preserve">               研究与开发费</v>
      </c>
      <c r="B24" s="429">
        <f>期初核对PL!C24</f>
        <v>0</v>
      </c>
      <c r="C24" s="429">
        <f>SUMIF('账项调整(期初)'!$F$5:$F$65536,IF(OR(MID(TRIM($A24),2,1)="：",MID(TRIM($A24),2,1)="、"),REPLACEB(TRIM($A24),1,4,""),TRIM($A24)),'账项调整(期初)'!$J$5:$J$65536)</f>
        <v>0</v>
      </c>
      <c r="D24" s="429">
        <f>SUMIF('账项调整(期初)'!$I$5:$I$65536,IF(OR(MID(TRIM($A24),2,1)="：",MID(TRIM($A24),2,1)="、"),REPLACEB(TRIM($A24),1,4,""),TRIM($A24)),'账项调整(期初)'!$J$5:$J$65536)</f>
        <v>0</v>
      </c>
      <c r="E24" s="429">
        <f>SUMIF('报表调整(期初)'!$F$5:$F$65536,IF(OR(MID(TRIM($A24),2,1)="：",MID(TRIM($A24),2,1)="、"),REPLACEB(TRIM($A24),1,4,""),TRIM($A24)),'报表调整(期初)'!$J$5:$J$65536)</f>
        <v>0</v>
      </c>
      <c r="F24" s="429">
        <f>SUMIF('报表调整(期初)'!$I$5:$I$65536,IF(OR(MID(TRIM($A24),2,1)="：",MID(TRIM($A24),2,1)="、"),REPLACEB(TRIM($A24),1,4,""),TRIM($A24)),'报表调整(期初)'!$J$5:$J$65536)</f>
        <v>0</v>
      </c>
      <c r="G24" s="413">
        <f t="shared" si="3"/>
        <v>0</v>
      </c>
      <c r="H24" s="421"/>
      <c r="I24" s="414">
        <f t="shared" si="0"/>
        <v>0</v>
      </c>
    </row>
    <row r="25" spans="1:12" ht="15" customHeight="1">
      <c r="A25" s="193" t="str">
        <f>报表格式!L24</f>
        <v xml:space="preserve">        （三）财务费用</v>
      </c>
      <c r="B25" s="429">
        <f>期初核对PL!C25</f>
        <v>0</v>
      </c>
      <c r="C25" s="413">
        <f>SUMIF('账项调整(期初)'!$E$5:$E$65536,REPLACEB(IF(OR(MID(TRIM($A25),2,1)="：",MID(TRIM($A25),2,1)="、"),REPLACEB(TRIM($A25),1,4,""),TRIM($A25)),1,6,""),'账项调整(期初)'!$J$5:$J$65536)</f>
        <v>0</v>
      </c>
      <c r="D25" s="413">
        <f>SUMIF('账项调整(期初)'!$H$5:$H$65536,REPLACEB(IF(OR(MID(TRIM($A25),2,1)="：",MID(TRIM($A25),2,1)="、"),REPLACEB(TRIM($A25),1,4,""),TRIM($A25)),1,6,""),'账项调整(期初)'!$J$5:$J$65536)</f>
        <v>0</v>
      </c>
      <c r="E25" s="413">
        <f>SUMIF('报表调整(期初)'!$E$5:$E$65536,REPLACEB(IF(OR(MID(TRIM($A25),2,1)="：",MID(TRIM($A25),2,1)="、"),REPLACEB(TRIM($A25),1,4,""),TRIM($A25)),1,6,""),'报表调整(期初)'!$J$5:$J$65536)</f>
        <v>0</v>
      </c>
      <c r="F25" s="413">
        <f>SUMIF('报表调整(期初)'!$H$5:$H$65536,REPLACEB(IF(OR(MID(TRIM($A25),2,1)="：",MID(TRIM($A25),2,1)="、"),REPLACEB(TRIM($A25),1,4,""),TRIM($A25)),1,6,""),'报表调整(期初)'!$J$5:$J$65536)</f>
        <v>0</v>
      </c>
      <c r="G25" s="413">
        <f t="shared" si="3"/>
        <v>0</v>
      </c>
      <c r="H25" s="413"/>
      <c r="I25" s="414">
        <f t="shared" si="0"/>
        <v>0</v>
      </c>
    </row>
    <row r="26" spans="1:12" ht="15" customHeight="1">
      <c r="A26" s="193" t="str">
        <f>报表格式!L25</f>
        <v xml:space="preserve">         其中：利息支出</v>
      </c>
      <c r="B26" s="429">
        <f>期初核对PL!C26</f>
        <v>0</v>
      </c>
      <c r="C26" s="429">
        <f>SUMIF('账项调整(期初)'!$F$5:$F$65536,IF(OR(MID(TRIM($A26),2,1)="：",MID(TRIM($A26),2,1)="、"),REPLACEB(TRIM($A26),1,4,""),TRIM($A26)),'账项调整(期初)'!$J$5:$J$65536)</f>
        <v>0</v>
      </c>
      <c r="D26" s="429">
        <f>SUMIF('账项调整(期初)'!$I$5:$I$65536,IF(OR(MID(TRIM($A26),2,1)="：",MID(TRIM($A26),2,1)="、"),REPLACEB(TRIM($A26),1,4,""),TRIM($A26)),'账项调整(期初)'!$J$5:$J$65536)</f>
        <v>0</v>
      </c>
      <c r="E26" s="429">
        <f>SUMIF('报表调整(期初)'!$F$5:$F$65536,IF(OR(MID(TRIM($A26),2,1)="：",MID(TRIM($A26),2,1)="、"),REPLACEB(TRIM($A26),1,4,""),TRIM($A26)),'报表调整(期初)'!$J$5:$J$65536)</f>
        <v>0</v>
      </c>
      <c r="F26" s="429">
        <f>SUMIF('报表调整(期初)'!$I$5:$I$65536,IF(OR(MID(TRIM($A26),2,1)="：",MID(TRIM($A26),2,1)="、"),REPLACEB(TRIM($A26),1,4,""),TRIM($A26)),'报表调整(期初)'!$J$5:$J$65536)</f>
        <v>0</v>
      </c>
      <c r="G26" s="413">
        <f t="shared" si="3"/>
        <v>0</v>
      </c>
      <c r="H26" s="413"/>
      <c r="I26" s="414">
        <f t="shared" si="0"/>
        <v>0</v>
      </c>
    </row>
    <row r="27" spans="1:12" ht="15" customHeight="1">
      <c r="A27" s="193" t="str">
        <f>报表格式!L26</f>
        <v xml:space="preserve">               利息收入</v>
      </c>
      <c r="B27" s="429">
        <f>期初核对PL!C27</f>
        <v>0</v>
      </c>
      <c r="C27" s="429">
        <f>SUMIF('账项调整(期初)'!$F$5:$F$65536,IF(OR(MID(TRIM($A27),2,1)="：",MID(TRIM($A27),2,1)="、"),REPLACEB(TRIM($A27),1,4,""),TRIM($A27)),'账项调整(期初)'!$J$5:$J$65536)</f>
        <v>0</v>
      </c>
      <c r="D27" s="429">
        <f>SUMIF('账项调整(期初)'!$I$5:$I$65536,IF(OR(MID(TRIM($A27),2,1)="：",MID(TRIM($A27),2,1)="、"),REPLACEB(TRIM($A27),1,4,""),TRIM($A27)),'账项调整(期初)'!$J$5:$J$65536)</f>
        <v>0</v>
      </c>
      <c r="E27" s="429">
        <f>SUMIF('报表调整(期初)'!$F$5:$F$65536,IF(OR(MID(TRIM($A27),2,1)="：",MID(TRIM($A27),2,1)="、"),REPLACEB(TRIM($A27),1,4,""),TRIM($A27)),'报表调整(期初)'!$J$5:$J$65536)</f>
        <v>0</v>
      </c>
      <c r="F27" s="429">
        <f>SUMIF('报表调整(期初)'!$I$5:$I$65536,IF(OR(MID(TRIM($A27),2,1)="：",MID(TRIM($A27),2,1)="、"),REPLACEB(TRIM($A27),1,4,""),TRIM($A27)),'报表调整(期初)'!$J$5:$J$65536)</f>
        <v>0</v>
      </c>
      <c r="G27" s="413">
        <f t="shared" si="3"/>
        <v>0</v>
      </c>
      <c r="H27" s="421"/>
      <c r="I27" s="414">
        <f t="shared" si="0"/>
        <v>0</v>
      </c>
      <c r="L27" s="63"/>
    </row>
    <row r="28" spans="1:12" ht="15" customHeight="1">
      <c r="A28" s="193" t="str">
        <f>报表格式!L27</f>
        <v xml:space="preserve">               汇兑净损失</v>
      </c>
      <c r="B28" s="429">
        <f>期初核对PL!C28</f>
        <v>0</v>
      </c>
      <c r="C28" s="429">
        <f>SUMIF('账项调整(期初)'!$F$5:$F$65536,IF(OR(MID(TRIM($A28),2,1)="：",MID(TRIM($A28),2,1)="、"),REPLACEB(TRIM($A28),1,4,""),TRIM($A28)),'账项调整(期初)'!$J$5:$J$65536)</f>
        <v>0</v>
      </c>
      <c r="D28" s="429">
        <f>SUMIF('账项调整(期初)'!$I$5:$I$65536,IF(OR(MID(TRIM($A28),2,1)="：",MID(TRIM($A28),2,1)="、"),REPLACEB(TRIM($A28),1,4,""),TRIM($A28)),'账项调整(期初)'!$J$5:$J$65536)</f>
        <v>0</v>
      </c>
      <c r="E28" s="429">
        <f>SUMIF('报表调整(期初)'!$F$5:$F$65536,IF(OR(MID(TRIM($A28),2,1)="：",MID(TRIM($A28),2,1)="、"),REPLACEB(TRIM($A28),1,4,""),TRIM($A28)),'报表调整(期初)'!$J$5:$J$65536)</f>
        <v>0</v>
      </c>
      <c r="F28" s="429">
        <f>SUMIF('报表调整(期初)'!$I$5:$I$65536,IF(OR(MID(TRIM($A28),2,1)="：",MID(TRIM($A28),2,1)="、"),REPLACEB(TRIM($A28),1,4,""),TRIM($A28)),'报表调整(期初)'!$J$5:$J$65536)</f>
        <v>0</v>
      </c>
      <c r="G28" s="413">
        <f t="shared" si="3"/>
        <v>0</v>
      </c>
      <c r="H28" s="413"/>
      <c r="I28" s="414">
        <f t="shared" si="0"/>
        <v>0</v>
      </c>
    </row>
    <row r="29" spans="1:12" ht="15" customHeight="1">
      <c r="A29" s="193" t="str">
        <f>报表格式!L28</f>
        <v xml:space="preserve">        （四）其他</v>
      </c>
      <c r="B29" s="429">
        <f>期初核对PL!C29</f>
        <v>0</v>
      </c>
      <c r="C29" s="413">
        <f>SUMIF('账项调整(期初)'!$E$5:$E$65536,REPLACEB(IF(OR(MID(TRIM($A29),2,1)="：",MID(TRIM($A29),2,1)="、"),REPLACEB(TRIM($A29),1,4,""),TRIM($A29)),1,6,""),'账项调整(期初)'!$J$5:$J$65536)</f>
        <v>0</v>
      </c>
      <c r="D29" s="413">
        <f>SUMIF('账项调整(期初)'!$H$5:$H$65536,REPLACEB(IF(OR(MID(TRIM($A29),2,1)="：",MID(TRIM($A29),2,1)="、"),REPLACEB(TRIM($A29),1,4,""),TRIM($A29)),1,6,""),'账项调整(期初)'!$J$5:$J$65536)</f>
        <v>0</v>
      </c>
      <c r="E29" s="413">
        <f>SUMIF('报表调整(期初)'!$E$5:$E$65536,REPLACEB(IF(OR(MID(TRIM($A29),2,1)="：",MID(TRIM($A29),2,1)="、"),REPLACEB(TRIM($A29),1,4,""),TRIM($A29)),1,6,""),'报表调整(期初)'!$J$5:$J$65536)</f>
        <v>0</v>
      </c>
      <c r="F29" s="413">
        <f>SUMIF('报表调整(期初)'!$H$5:$H$65536,REPLACEB(IF(OR(MID(TRIM($A29),2,1)="：",MID(TRIM($A29),2,1)="、"),REPLACEB(TRIM($A29),1,4,""),TRIM($A29)),1,6,""),'报表调整(期初)'!$J$5:$J$65536)</f>
        <v>0</v>
      </c>
      <c r="G29" s="413">
        <f t="shared" si="3"/>
        <v>0</v>
      </c>
      <c r="H29" s="413"/>
      <c r="I29" s="414">
        <f t="shared" si="0"/>
        <v>0</v>
      </c>
    </row>
    <row r="30" spans="1:12" ht="15" customHeight="1">
      <c r="A30" s="177" t="str">
        <f>报表格式!L29</f>
        <v>四、营业利润</v>
      </c>
      <c r="B30" s="430">
        <f t="shared" ref="B30:H30" si="4">B19+B20-B21-B22-B25-B29</f>
        <v>0</v>
      </c>
      <c r="C30" s="415">
        <f t="shared" si="4"/>
        <v>0</v>
      </c>
      <c r="D30" s="415">
        <f t="shared" si="4"/>
        <v>0</v>
      </c>
      <c r="E30" s="415">
        <f t="shared" si="4"/>
        <v>0</v>
      </c>
      <c r="F30" s="415">
        <f t="shared" si="4"/>
        <v>0</v>
      </c>
      <c r="G30" s="415">
        <f t="shared" si="4"/>
        <v>0</v>
      </c>
      <c r="H30" s="415">
        <f t="shared" si="4"/>
        <v>0</v>
      </c>
      <c r="I30" s="416">
        <f t="shared" si="0"/>
        <v>0</v>
      </c>
    </row>
    <row r="31" spans="1:12" ht="15" customHeight="1">
      <c r="A31" s="193" t="str">
        <f>报表格式!L30</f>
        <v xml:space="preserve">    加：（一）投资收益</v>
      </c>
      <c r="B31" s="429">
        <f>期初核对PL!C31</f>
        <v>0</v>
      </c>
      <c r="C31" s="413">
        <f>SUMIF('账项调整(期初)'!$E$5:$E$65536,REPLACEB(IF(OR(MID(TRIM($A31),2,1)="：",MID(TRIM($A31),2,1)="、"),REPLACEB(TRIM($A31),1,4,""),TRIM($A31)),1,6,""),'账项调整(期初)'!$J$5:$J$65536)</f>
        <v>0</v>
      </c>
      <c r="D31" s="413">
        <f>SUMIF('账项调整(期初)'!$H$5:$H$65536,REPLACEB(IF(OR(MID(TRIM($A31),2,1)="：",MID(TRIM($A31),2,1)="、"),REPLACEB(TRIM($A31),1,4,""),TRIM($A31)),1,6,""),'账项调整(期初)'!$J$5:$J$65536)</f>
        <v>0</v>
      </c>
      <c r="E31" s="413">
        <f>SUMIF('报表调整(期初)'!$E$5:$E$65536,REPLACEB(IF(OR(MID(TRIM($A31),2,1)="：",MID(TRIM($A31),2,1)="、"),REPLACEB(TRIM($A31),1,4,""),TRIM($A31)),1,6,""),'报表调整(期初)'!$J$5:$J$65536)</f>
        <v>0</v>
      </c>
      <c r="F31" s="413">
        <f>SUMIF('报表调整(期初)'!$H$5:$H$65536,REPLACEB(IF(OR(MID(TRIM($A31),2,1)="：",MID(TRIM($A31),2,1)="、"),REPLACEB(TRIM($A31),1,4,""),TRIM($A31)),1,6,""),'报表调整(期初)'!$J$5:$J$65536)</f>
        <v>0</v>
      </c>
      <c r="G31" s="413">
        <f t="shared" ref="G31:G41" si="5">B31-C31-E31+D31+F31</f>
        <v>0</v>
      </c>
      <c r="H31" s="413"/>
      <c r="I31" s="414">
        <f t="shared" si="0"/>
        <v>0</v>
      </c>
    </row>
    <row r="32" spans="1:12" ht="15" customHeight="1">
      <c r="A32" s="193" t="str">
        <f>报表格式!L31</f>
        <v xml:space="preserve">        （二）期货收益</v>
      </c>
      <c r="B32" s="429">
        <f>期初核对PL!C32</f>
        <v>0</v>
      </c>
      <c r="C32" s="413">
        <f>SUMIF('账项调整(期初)'!$E$5:$E$65536,REPLACEB(IF(OR(MID(TRIM($A32),2,1)="：",MID(TRIM($A32),2,1)="、"),REPLACEB(TRIM($A32),1,4,""),TRIM($A32)),1,6,""),'账项调整(期初)'!$J$5:$J$65536)</f>
        <v>0</v>
      </c>
      <c r="D32" s="413">
        <f>SUMIF('账项调整(期初)'!$H$5:$H$65536,REPLACEB(IF(OR(MID(TRIM($A32),2,1)="：",MID(TRIM($A32),2,1)="、"),REPLACEB(TRIM($A32),1,4,""),TRIM($A32)),1,6,""),'账项调整(期初)'!$J$5:$J$65536)</f>
        <v>0</v>
      </c>
      <c r="E32" s="413">
        <f>SUMIF('报表调整(期初)'!$E$5:$E$65536,REPLACEB(IF(OR(MID(TRIM($A32),2,1)="：",MID(TRIM($A32),2,1)="、"),REPLACEB(TRIM($A32),1,4,""),TRIM($A32)),1,6,""),'报表调整(期初)'!$J$5:$J$65536)</f>
        <v>0</v>
      </c>
      <c r="F32" s="413">
        <f>SUMIF('报表调整(期初)'!$H$5:$H$65536,REPLACEB(IF(OR(MID(TRIM($A32),2,1)="：",MID(TRIM($A32),2,1)="、"),REPLACEB(TRIM($A32),1,4,""),TRIM($A32)),1,6,""),'报表调整(期初)'!$J$5:$J$65536)</f>
        <v>0</v>
      </c>
      <c r="G32" s="413">
        <f t="shared" si="5"/>
        <v>0</v>
      </c>
      <c r="H32" s="413"/>
      <c r="I32" s="414">
        <f t="shared" si="0"/>
        <v>0</v>
      </c>
    </row>
    <row r="33" spans="1:9" ht="15" customHeight="1">
      <c r="A33" s="193" t="str">
        <f>报表格式!L32</f>
        <v xml:space="preserve">        （三）补贴收入</v>
      </c>
      <c r="B33" s="429">
        <f>期初核对PL!C33</f>
        <v>0</v>
      </c>
      <c r="C33" s="413">
        <f>SUMIF('账项调整(期初)'!$E$5:$E$65536,REPLACEB(IF(OR(MID(TRIM($A33),2,1)="：",MID(TRIM($A33),2,1)="、"),REPLACEB(TRIM($A33),1,4,""),TRIM($A33)),1,6,""),'账项调整(期初)'!$J$5:$J$65536)</f>
        <v>0</v>
      </c>
      <c r="D33" s="413">
        <f>SUMIF('账项调整(期初)'!$H$5:$H$65536,REPLACEB(IF(OR(MID(TRIM($A33),2,1)="：",MID(TRIM($A33),2,1)="、"),REPLACEB(TRIM($A33),1,4,""),TRIM($A33)),1,6,""),'账项调整(期初)'!$J$5:$J$65536)</f>
        <v>0</v>
      </c>
      <c r="E33" s="413">
        <f>SUMIF('报表调整(期初)'!$E$5:$E$65536,REPLACEB(IF(OR(MID(TRIM($A33),2,1)="：",MID(TRIM($A33),2,1)="、"),REPLACEB(TRIM($A33),1,4,""),TRIM($A33)),1,6,""),'报表调整(期初)'!$J$5:$J$65536)</f>
        <v>0</v>
      </c>
      <c r="F33" s="413">
        <f>SUMIF('报表调整(期初)'!$H$5:$H$65536,REPLACEB(IF(OR(MID(TRIM($A33),2,1)="：",MID(TRIM($A33),2,1)="、"),REPLACEB(TRIM($A33),1,4,""),TRIM($A33)),1,6,""),'报表调整(期初)'!$J$5:$J$65536)</f>
        <v>0</v>
      </c>
      <c r="G33" s="413">
        <f t="shared" si="5"/>
        <v>0</v>
      </c>
      <c r="H33" s="413"/>
      <c r="I33" s="414">
        <f t="shared" si="0"/>
        <v>0</v>
      </c>
    </row>
    <row r="34" spans="1:9" ht="15" customHeight="1">
      <c r="A34" s="193" t="str">
        <f>报表格式!L33</f>
        <v xml:space="preserve">             其中：补贴前亏损的企业补贴收入</v>
      </c>
      <c r="B34" s="429">
        <f>期初核对PL!C34</f>
        <v>0</v>
      </c>
      <c r="C34" s="429">
        <f>SUMIF('账项调整(期初)'!$F$5:$F$65536,IF(OR(MID(TRIM($A34),2,1)="：",MID(TRIM($A34),2,1)="、"),REPLACEB(TRIM($A34),1,4,""),TRIM($A34)),'账项调整(期初)'!$J$5:$J$65536)</f>
        <v>0</v>
      </c>
      <c r="D34" s="429">
        <f>SUMIF('账项调整(期初)'!$I$5:$I$65536,IF(OR(MID(TRIM($A34),2,1)="：",MID(TRIM($A34),2,1)="、"),REPLACEB(TRIM($A34),1,4,""),TRIM($A34)),'账项调整(期初)'!$J$5:$J$65536)</f>
        <v>0</v>
      </c>
      <c r="E34" s="429">
        <f>SUMIF('报表调整(期初)'!$F$5:$F$65536,IF(OR(MID(TRIM($A34),2,1)="：",MID(TRIM($A34),2,1)="、"),REPLACEB(TRIM($A34),1,4,""),TRIM($A34)),'报表调整(期初)'!$J$5:$J$65536)</f>
        <v>0</v>
      </c>
      <c r="F34" s="429">
        <f>SUMIF('报表调整(期初)'!$I$5:$I$65536,IF(OR(MID(TRIM($A34),2,1)="：",MID(TRIM($A34),2,1)="、"),REPLACEB(TRIM($A34),1,4,""),TRIM($A34)),'报表调整(期初)'!$J$5:$J$65536)</f>
        <v>0</v>
      </c>
      <c r="G34" s="413">
        <f t="shared" si="5"/>
        <v>0</v>
      </c>
      <c r="H34" s="413"/>
      <c r="I34" s="414">
        <f t="shared" si="0"/>
        <v>0</v>
      </c>
    </row>
    <row r="35" spans="1:9" ht="15" customHeight="1">
      <c r="A35" s="193" t="str">
        <f>报表格式!L34</f>
        <v xml:space="preserve">        （四）营业外收入</v>
      </c>
      <c r="B35" s="429">
        <f>期初核对PL!C35</f>
        <v>0</v>
      </c>
      <c r="C35" s="413">
        <f>SUMIF('账项调整(期初)'!$E$5:$E$65536,REPLACEB(IF(OR(MID(TRIM($A35),2,1)="：",MID(TRIM($A35),2,1)="、"),REPLACEB(TRIM($A35),1,4,""),TRIM($A35)),1,6,""),'账项调整(期初)'!$J$5:$J$65536)</f>
        <v>0</v>
      </c>
      <c r="D35" s="413">
        <f>SUMIF('账项调整(期初)'!$H$5:$H$65536,REPLACEB(IF(OR(MID(TRIM($A35),2,1)="：",MID(TRIM($A35),2,1)="、"),REPLACEB(TRIM($A35),1,4,""),TRIM($A35)),1,6,""),'账项调整(期初)'!$J$5:$J$65536)</f>
        <v>0</v>
      </c>
      <c r="E35" s="413">
        <f>SUMIF('报表调整(期初)'!$E$5:$E$65536,REPLACEB(IF(OR(MID(TRIM($A35),2,1)="：",MID(TRIM($A35),2,1)="、"),REPLACEB(TRIM($A35),1,4,""),TRIM($A35)),1,6,""),'报表调整(期初)'!$J$5:$J$65536)</f>
        <v>0</v>
      </c>
      <c r="F35" s="413">
        <f>SUMIF('报表调整(期初)'!$H$5:$H$65536,REPLACEB(IF(OR(MID(TRIM($A35),2,1)="：",MID(TRIM($A35),2,1)="、"),REPLACEB(TRIM($A35),1,4,""),TRIM($A35)),1,6,""),'报表调整(期初)'!$J$5:$J$65536)</f>
        <v>0</v>
      </c>
      <c r="G35" s="413">
        <f t="shared" si="5"/>
        <v>0</v>
      </c>
      <c r="H35" s="413"/>
      <c r="I35" s="414">
        <f t="shared" si="0"/>
        <v>0</v>
      </c>
    </row>
    <row r="36" spans="1:9" ht="15" customHeight="1">
      <c r="A36" s="193" t="str">
        <f>报表格式!L35</f>
        <v xml:space="preserve">             其中：处置固定资产净收益</v>
      </c>
      <c r="B36" s="429">
        <f>期初核对PL!C36</f>
        <v>0</v>
      </c>
      <c r="C36" s="429">
        <f>SUMIF('账项调整(期初)'!$F$5:$F$65536,IF(OR(MID(TRIM($A36),2,1)="：",MID(TRIM($A36),2,1)="、"),REPLACEB(TRIM($A36),1,4,""),TRIM($A36)),'账项调整(期初)'!$J$5:$J$65536)</f>
        <v>0</v>
      </c>
      <c r="D36" s="429">
        <f>SUMIF('账项调整(期初)'!$I$5:$I$65536,IF(OR(MID(TRIM($A36),2,1)="：",MID(TRIM($A36),2,1)="、"),REPLACEB(TRIM($A36),1,4,""),TRIM($A36)),'账项调整(期初)'!$J$5:$J$65536)</f>
        <v>0</v>
      </c>
      <c r="E36" s="429">
        <f>SUMIF('报表调整(期初)'!$F$5:$F$65536,IF(OR(MID(TRIM($A36),2,1)="：",MID(TRIM($A36),2,1)="、"),REPLACEB(TRIM($A36),1,4,""),TRIM($A36)),'报表调整(期初)'!$J$5:$J$65536)</f>
        <v>0</v>
      </c>
      <c r="F36" s="429">
        <f>SUMIF('报表调整(期初)'!$I$5:$I$65536,IF(OR(MID(TRIM($A36),2,1)="：",MID(TRIM($A36),2,1)="、"),REPLACEB(TRIM($A36),1,4,""),TRIM($A36)),'报表调整(期初)'!$J$5:$J$65536)</f>
        <v>0</v>
      </c>
      <c r="G36" s="413">
        <f t="shared" si="5"/>
        <v>0</v>
      </c>
      <c r="H36" s="413"/>
      <c r="I36" s="414">
        <f t="shared" si="0"/>
        <v>0</v>
      </c>
    </row>
    <row r="37" spans="1:9" ht="15" customHeight="1">
      <c r="A37" s="193" t="str">
        <f>报表格式!L36</f>
        <v xml:space="preserve">                   非货币性交易收益</v>
      </c>
      <c r="B37" s="429">
        <f>期初核对PL!C37</f>
        <v>0</v>
      </c>
      <c r="C37" s="429">
        <f>SUMIF('账项调整(期初)'!$F$5:$F$65536,IF(OR(MID(TRIM($A37),2,1)="：",MID(TRIM($A37),2,1)="、"),REPLACEB(TRIM($A37),1,4,""),TRIM($A37)),'账项调整(期初)'!$J$5:$J$65536)</f>
        <v>0</v>
      </c>
      <c r="D37" s="429">
        <f>SUMIF('账项调整(期初)'!$I$5:$I$65536,IF(OR(MID(TRIM($A37),2,1)="：",MID(TRIM($A37),2,1)="、"),REPLACEB(TRIM($A37),1,4,""),TRIM($A37)),'账项调整(期初)'!$J$5:$J$65536)</f>
        <v>0</v>
      </c>
      <c r="E37" s="429">
        <f>SUMIF('报表调整(期初)'!$F$5:$F$65536,IF(OR(MID(TRIM($A37),2,1)="：",MID(TRIM($A37),2,1)="、"),REPLACEB(TRIM($A37),1,4,""),TRIM($A37)),'报表调整(期初)'!$J$5:$J$65536)</f>
        <v>0</v>
      </c>
      <c r="F37" s="429">
        <f>SUMIF('报表调整(期初)'!$I$5:$I$65536,IF(OR(MID(TRIM($A37),2,1)="：",MID(TRIM($A37),2,1)="、"),REPLACEB(TRIM($A37),1,4,""),TRIM($A37)),'报表调整(期初)'!$J$5:$J$65536)</f>
        <v>0</v>
      </c>
      <c r="G37" s="413">
        <f t="shared" si="5"/>
        <v>0</v>
      </c>
      <c r="H37" s="413"/>
      <c r="I37" s="414">
        <f t="shared" si="0"/>
        <v>0</v>
      </c>
    </row>
    <row r="38" spans="1:9" ht="15" customHeight="1">
      <c r="A38" s="193" t="str">
        <f>报表格式!L37</f>
        <v xml:space="preserve">                   出售无形资产收益</v>
      </c>
      <c r="B38" s="429">
        <f>期初核对PL!C38</f>
        <v>0</v>
      </c>
      <c r="C38" s="429">
        <f>SUMIF('账项调整(期初)'!$F$5:$F$65536,IF(OR(MID(TRIM($A38),2,1)="：",MID(TRIM($A38),2,1)="、"),REPLACEB(TRIM($A38),1,4,""),TRIM($A38)),'账项调整(期初)'!$J$5:$J$65536)</f>
        <v>0</v>
      </c>
      <c r="D38" s="429">
        <f>SUMIF('账项调整(期初)'!$I$5:$I$65536,IF(OR(MID(TRIM($A38),2,1)="：",MID(TRIM($A38),2,1)="、"),REPLACEB(TRIM($A38),1,4,""),TRIM($A38)),'账项调整(期初)'!$J$5:$J$65536)</f>
        <v>0</v>
      </c>
      <c r="E38" s="429">
        <f>SUMIF('报表调整(期初)'!$F$5:$F$65536,IF(OR(MID(TRIM($A38),2,1)="：",MID(TRIM($A38),2,1)="、"),REPLACEB(TRIM($A38),1,4,""),TRIM($A38)),'报表调整(期初)'!$J$5:$J$65536)</f>
        <v>0</v>
      </c>
      <c r="F38" s="429">
        <f>SUMIF('报表调整(期初)'!$I$5:$I$65536,IF(OR(MID(TRIM($A38),2,1)="：",MID(TRIM($A38),2,1)="、"),REPLACEB(TRIM($A38),1,4,""),TRIM($A38)),'报表调整(期初)'!$J$5:$J$65536)</f>
        <v>0</v>
      </c>
      <c r="G38" s="413">
        <f t="shared" si="5"/>
        <v>0</v>
      </c>
      <c r="H38" s="413"/>
      <c r="I38" s="414">
        <f t="shared" si="0"/>
        <v>0</v>
      </c>
    </row>
    <row r="39" spans="1:9" ht="15" customHeight="1">
      <c r="A39" s="193" t="str">
        <f>报表格式!L38</f>
        <v xml:space="preserve">                   罚款净收入</v>
      </c>
      <c r="B39" s="429">
        <f>期初核对PL!C39</f>
        <v>0</v>
      </c>
      <c r="C39" s="429">
        <f>SUMIF('账项调整(期初)'!$F$5:$F$65536,IF(OR(MID(TRIM($A39),2,1)="：",MID(TRIM($A39),2,1)="、"),REPLACEB(TRIM($A39),1,4,""),TRIM($A39)),'账项调整(期初)'!$J$5:$J$65536)</f>
        <v>0</v>
      </c>
      <c r="D39" s="429">
        <f>SUMIF('账项调整(期初)'!$I$5:$I$65536,IF(OR(MID(TRIM($A39),2,1)="：",MID(TRIM($A39),2,1)="、"),REPLACEB(TRIM($A39),1,4,""),TRIM($A39)),'账项调整(期初)'!$J$5:$J$65536)</f>
        <v>0</v>
      </c>
      <c r="E39" s="429">
        <f>SUMIF('报表调整(期初)'!$F$5:$F$65536,IF(OR(MID(TRIM($A39),2,1)="：",MID(TRIM($A39),2,1)="、"),REPLACEB(TRIM($A39),1,4,""),TRIM($A39)),'报表调整(期初)'!$J$5:$J$65536)</f>
        <v>0</v>
      </c>
      <c r="F39" s="429">
        <f>SUMIF('报表调整(期初)'!$I$5:$I$65536,IF(OR(MID(TRIM($A39),2,1)="：",MID(TRIM($A39),2,1)="、"),REPLACEB(TRIM($A39),1,4,""),TRIM($A39)),'报表调整(期初)'!$J$5:$J$65536)</f>
        <v>0</v>
      </c>
      <c r="G39" s="413">
        <f t="shared" si="5"/>
        <v>0</v>
      </c>
      <c r="H39" s="413"/>
      <c r="I39" s="414">
        <f t="shared" si="0"/>
        <v>0</v>
      </c>
    </row>
    <row r="40" spans="1:9" ht="15" customHeight="1">
      <c r="A40" s="193" t="str">
        <f>报表格式!L39</f>
        <v xml:space="preserve">        （五）其他</v>
      </c>
      <c r="B40" s="429">
        <f>期初核对PL!C40</f>
        <v>0</v>
      </c>
      <c r="C40" s="413">
        <f>SUMIF('账项调整(期初)'!$E$5:$E$65536,REPLACEB(IF(OR(MID(TRIM($A40),2,1)="：",MID(TRIM($A40),2,1)="、"),REPLACEB(TRIM($A40),1,4,""),TRIM($A40)),1,6,""),'账项调整(期初)'!$J$5:$J$65536)</f>
        <v>0</v>
      </c>
      <c r="D40" s="413">
        <f>SUMIF('账项调整(期初)'!$H$5:$H$65536,REPLACEB(IF(OR(MID(TRIM($A40),2,1)="：",MID(TRIM($A40),2,1)="、"),REPLACEB(TRIM($A40),1,4,""),TRIM($A40)),1,6,""),'账项调整(期初)'!$J$5:$J$65536)</f>
        <v>0</v>
      </c>
      <c r="E40" s="413">
        <f>SUMIF('报表调整(期初)'!$E$5:$E$65536,REPLACEB(IF(OR(MID(TRIM($A40),2,1)="：",MID(TRIM($A40),2,1)="、"),REPLACEB(TRIM($A40),1,4,""),TRIM($A40)),1,6,""),'报表调整(期初)'!$J$5:$J$65536)</f>
        <v>0</v>
      </c>
      <c r="F40" s="413">
        <f>SUMIF('报表调整(期初)'!$H$5:$H$65536,REPLACEB(IF(OR(MID(TRIM($A40),2,1)="：",MID(TRIM($A40),2,1)="、"),REPLACEB(TRIM($A40),1,4,""),TRIM($A40)),1,6,""),'报表调整(期初)'!$J$5:$J$65536)</f>
        <v>0</v>
      </c>
      <c r="G40" s="413">
        <f t="shared" si="5"/>
        <v>0</v>
      </c>
      <c r="H40" s="413"/>
      <c r="I40" s="414">
        <f t="shared" ref="I40:I68" si="6">SUM(G40:H40)</f>
        <v>0</v>
      </c>
    </row>
    <row r="41" spans="1:9" ht="15" customHeight="1">
      <c r="A41" s="193" t="str">
        <f>报表格式!L40</f>
        <v xml:space="preserve">             其中：用以前年度含量工资结余弥补利润</v>
      </c>
      <c r="B41" s="429">
        <f>期初核对PL!C41</f>
        <v>0</v>
      </c>
      <c r="C41" s="429">
        <f>SUMIF('账项调整(期初)'!$F$5:$F$65536,IF(OR(MID(TRIM($A41),2,1)="：",MID(TRIM($A41),2,1)="、"),REPLACEB(TRIM($A41),1,4,""),TRIM($A41)),'账项调整(期初)'!$J$5:$J$65536)</f>
        <v>0</v>
      </c>
      <c r="D41" s="429">
        <f>SUMIF('账项调整(期初)'!$I$5:$I$65536,IF(OR(MID(TRIM($A41),2,1)="：",MID(TRIM($A41),2,1)="、"),REPLACEB(TRIM($A41),1,4,""),TRIM($A41)),'账项调整(期初)'!$J$5:$J$65536)</f>
        <v>0</v>
      </c>
      <c r="E41" s="429">
        <f>SUMIF('报表调整(期初)'!$F$5:$F$65536,IF(OR(MID(TRIM($A41),2,1)="：",MID(TRIM($A41),2,1)="、"),REPLACEB(TRIM($A41),1,4,""),TRIM($A41)),'报表调整(期初)'!$J$5:$J$65536)</f>
        <v>0</v>
      </c>
      <c r="F41" s="429">
        <f>SUMIF('报表调整(期初)'!$I$5:$I$65536,IF(OR(MID(TRIM($A41),2,1)="：",MID(TRIM($A41),2,1)="、"),REPLACEB(TRIM($A41),1,4,""),TRIM($A41)),'报表调整(期初)'!$J$5:$J$65536)</f>
        <v>0</v>
      </c>
      <c r="G41" s="413">
        <f t="shared" si="5"/>
        <v>0</v>
      </c>
      <c r="H41" s="413"/>
      <c r="I41" s="414">
        <f t="shared" si="6"/>
        <v>0</v>
      </c>
    </row>
    <row r="42" spans="1:9" ht="15" customHeight="1">
      <c r="A42" s="193" t="str">
        <f>报表格式!L41</f>
        <v xml:space="preserve">    减：（一）营业外支出</v>
      </c>
      <c r="B42" s="413">
        <f>期初核对PL!C42</f>
        <v>0</v>
      </c>
      <c r="C42" s="413">
        <f>SUMIF('账项调整(期初)'!$E$5:$E$65536,REPLACEB(IF(OR(MID(TRIM($A42),2,1)="：",MID(TRIM($A42),2,1)="、"),REPLACEB(TRIM($A42),1,4,""),TRIM($A42)),1,6,""),'账项调整(期初)'!$J$5:$J$65536)</f>
        <v>0</v>
      </c>
      <c r="D42" s="413">
        <f>SUMIF('账项调整(期初)'!$H$5:$H$65536,REPLACEB(IF(OR(MID(TRIM($A42),2,1)="：",MID(TRIM($A42),2,1)="、"),REPLACEB(TRIM($A42),1,4,""),TRIM($A42)),1,6,""),'账项调整(期初)'!$J$5:$J$65536)</f>
        <v>0</v>
      </c>
      <c r="E42" s="413">
        <f>SUMIF('报表调整(期初)'!$E$5:$E$65536,REPLACEB(IF(OR(MID(TRIM($A42),2,1)="：",MID(TRIM($A42),2,1)="、"),REPLACEB(TRIM($A42),1,4,""),TRIM($A42)),1,6,""),'报表调整(期初)'!$J$5:$J$65536)</f>
        <v>0</v>
      </c>
      <c r="F42" s="413">
        <f>SUMIF('报表调整(期初)'!$H$5:$H$65536,REPLACEB(IF(OR(MID(TRIM($A42),2,1)="：",MID(TRIM($A42),2,1)="、"),REPLACEB(TRIM($A42),1,4,""),TRIM($A42)),1,6,""),'报表调整(期初)'!$J$5:$J$65536)</f>
        <v>0</v>
      </c>
      <c r="G42" s="413">
        <f t="shared" ref="G42:G48" si="7">B42+C42+E42-D42-F42</f>
        <v>0</v>
      </c>
      <c r="H42" s="413"/>
      <c r="I42" s="414">
        <f t="shared" si="6"/>
        <v>0</v>
      </c>
    </row>
    <row r="43" spans="1:9" ht="15" customHeight="1">
      <c r="A43" s="193" t="str">
        <f>报表格式!L42</f>
        <v xml:space="preserve">             其中：处置固定资产净损失</v>
      </c>
      <c r="B43" s="413">
        <f>期初核对PL!C43</f>
        <v>0</v>
      </c>
      <c r="C43" s="429">
        <f>SUMIF('账项调整(期初)'!$F$5:$F$65536,IF(OR(MID(TRIM($A43),2,1)="：",MID(TRIM($A43),2,1)="、"),REPLACEB(TRIM($A43),1,4,""),TRIM($A43)),'账项调整(期初)'!$J$5:$J$65536)</f>
        <v>0</v>
      </c>
      <c r="D43" s="429">
        <f>SUMIF('账项调整(期初)'!$I$5:$I$65536,IF(OR(MID(TRIM($A43),2,1)="：",MID(TRIM($A43),2,1)="、"),REPLACEB(TRIM($A43),1,4,""),TRIM($A43)),'账项调整(期初)'!$J$5:$J$65536)</f>
        <v>0</v>
      </c>
      <c r="E43" s="429">
        <f>SUMIF('报表调整(期初)'!$F$5:$F$65536,IF(OR(MID(TRIM($A43),2,1)="：",MID(TRIM($A43),2,1)="、"),REPLACEB(TRIM($A43),1,4,""),TRIM($A43)),'报表调整(期初)'!$J$5:$J$65536)</f>
        <v>0</v>
      </c>
      <c r="F43" s="429">
        <f>SUMIF('报表调整(期初)'!$I$5:$I$65536,IF(OR(MID(TRIM($A43),2,1)="：",MID(TRIM($A43),2,1)="、"),REPLACEB(TRIM($A43),1,4,""),TRIM($A43)),'报表调整(期初)'!$J$5:$J$65536)</f>
        <v>0</v>
      </c>
      <c r="G43" s="413">
        <f t="shared" si="7"/>
        <v>0</v>
      </c>
      <c r="H43" s="413"/>
      <c r="I43" s="414">
        <f t="shared" si="6"/>
        <v>0</v>
      </c>
    </row>
    <row r="44" spans="1:9" ht="15" customHeight="1">
      <c r="A44" s="193" t="str">
        <f>报表格式!L43</f>
        <v xml:space="preserve">                   出售无形资产损失</v>
      </c>
      <c r="B44" s="413">
        <f>期初核对PL!C44</f>
        <v>0</v>
      </c>
      <c r="C44" s="429">
        <f>SUMIF('账项调整(期初)'!$F$5:$F$65536,IF(OR(MID(TRIM($A44),2,1)="：",MID(TRIM($A44),2,1)="、"),REPLACEB(TRIM($A44),1,4,""),TRIM($A44)),'账项调整(期初)'!$J$5:$J$65536)</f>
        <v>0</v>
      </c>
      <c r="D44" s="429">
        <f>SUMIF('账项调整(期初)'!$I$5:$I$65536,IF(OR(MID(TRIM($A44),2,1)="：",MID(TRIM($A44),2,1)="、"),REPLACEB(TRIM($A44),1,4,""),TRIM($A44)),'账项调整(期初)'!$J$5:$J$65536)</f>
        <v>0</v>
      </c>
      <c r="E44" s="429">
        <f>SUMIF('报表调整(期初)'!$F$5:$F$65536,IF(OR(MID(TRIM($A44),2,1)="：",MID(TRIM($A44),2,1)="、"),REPLACEB(TRIM($A44),1,4,""),TRIM($A44)),'报表调整(期初)'!$J$5:$J$65536)</f>
        <v>0</v>
      </c>
      <c r="F44" s="429">
        <f>SUMIF('报表调整(期初)'!$I$5:$I$65536,IF(OR(MID(TRIM($A44),2,1)="：",MID(TRIM($A44),2,1)="、"),REPLACEB(TRIM($A44),1,4,""),TRIM($A44)),'报表调整(期初)'!$J$5:$J$65536)</f>
        <v>0</v>
      </c>
      <c r="G44" s="413">
        <f t="shared" si="7"/>
        <v>0</v>
      </c>
      <c r="H44" s="413"/>
      <c r="I44" s="414">
        <f t="shared" si="6"/>
        <v>0</v>
      </c>
    </row>
    <row r="45" spans="1:9" ht="15" customHeight="1">
      <c r="A45" s="193" t="str">
        <f>报表格式!L44</f>
        <v xml:space="preserve">                   罚款支出</v>
      </c>
      <c r="B45" s="413">
        <f>期初核对PL!C45</f>
        <v>0</v>
      </c>
      <c r="C45" s="429">
        <f>SUMIF('账项调整(期初)'!$F$5:$F$65536,IF(OR(MID(TRIM($A45),2,1)="：",MID(TRIM($A45),2,1)="、"),REPLACEB(TRIM($A45),1,4,""),TRIM($A45)),'账项调整(期初)'!$J$5:$J$65536)</f>
        <v>0</v>
      </c>
      <c r="D45" s="429">
        <f>SUMIF('账项调整(期初)'!$I$5:$I$65536,IF(OR(MID(TRIM($A45),2,1)="：",MID(TRIM($A45),2,1)="、"),REPLACEB(TRIM($A45),1,4,""),TRIM($A45)),'账项调整(期初)'!$J$5:$J$65536)</f>
        <v>0</v>
      </c>
      <c r="E45" s="429">
        <f>SUMIF('报表调整(期初)'!$F$5:$F$65536,IF(OR(MID(TRIM($A45),2,1)="：",MID(TRIM($A45),2,1)="、"),REPLACEB(TRIM($A45),1,4,""),TRIM($A45)),'报表调整(期初)'!$J$5:$J$65536)</f>
        <v>0</v>
      </c>
      <c r="F45" s="429">
        <f>SUMIF('报表调整(期初)'!$I$5:$I$65536,IF(OR(MID(TRIM($A45),2,1)="：",MID(TRIM($A45),2,1)="、"),REPLACEB(TRIM($A45),1,4,""),TRIM($A45)),'报表调整(期初)'!$J$5:$J$65536)</f>
        <v>0</v>
      </c>
      <c r="G45" s="413">
        <f t="shared" si="7"/>
        <v>0</v>
      </c>
      <c r="H45" s="413"/>
      <c r="I45" s="414">
        <f t="shared" si="6"/>
        <v>0</v>
      </c>
    </row>
    <row r="46" spans="1:9" ht="15" customHeight="1">
      <c r="A46" s="193" t="str">
        <f>报表格式!L45</f>
        <v xml:space="preserve">                   捐赠支出</v>
      </c>
      <c r="B46" s="413">
        <f>期初核对PL!C46</f>
        <v>0</v>
      </c>
      <c r="C46" s="429">
        <f>SUMIF('账项调整(期初)'!$F$5:$F$65536,IF(OR(MID(TRIM($A46),2,1)="：",MID(TRIM($A46),2,1)="、"),REPLACEB(TRIM($A46),1,4,""),TRIM($A46)),'账项调整(期初)'!$J$5:$J$65536)</f>
        <v>0</v>
      </c>
      <c r="D46" s="429">
        <f>SUMIF('账项调整(期初)'!$I$5:$I$65536,IF(OR(MID(TRIM($A46),2,1)="：",MID(TRIM($A46),2,1)="、"),REPLACEB(TRIM($A46),1,4,""),TRIM($A46)),'账项调整(期初)'!$J$5:$J$65536)</f>
        <v>0</v>
      </c>
      <c r="E46" s="429">
        <f>SUMIF('报表调整(期初)'!$F$5:$F$65536,IF(OR(MID(TRIM($A46),2,1)="：",MID(TRIM($A46),2,1)="、"),REPLACEB(TRIM($A46),1,4,""),TRIM($A46)),'报表调整(期初)'!$J$5:$J$65536)</f>
        <v>0</v>
      </c>
      <c r="F46" s="429">
        <f>SUMIF('报表调整(期初)'!$I$5:$I$65536,IF(OR(MID(TRIM($A46),2,1)="：",MID(TRIM($A46),2,1)="、"),REPLACEB(TRIM($A46),1,4,""),TRIM($A46)),'报表调整(期初)'!$J$5:$J$65536)</f>
        <v>0</v>
      </c>
      <c r="G46" s="413">
        <f t="shared" si="7"/>
        <v>0</v>
      </c>
      <c r="H46" s="413"/>
      <c r="I46" s="414">
        <f t="shared" si="6"/>
        <v>0</v>
      </c>
    </row>
    <row r="47" spans="1:9" ht="15" customHeight="1">
      <c r="A47" s="193" t="str">
        <f>报表格式!L46</f>
        <v xml:space="preserve">        （二）其他支出</v>
      </c>
      <c r="B47" s="413">
        <f>期初核对PL!C47</f>
        <v>0</v>
      </c>
      <c r="C47" s="413">
        <f>SUMIF('账项调整(期初)'!$E$5:$E$65536,REPLACEB(IF(OR(MID(TRIM($A47),2,1)="：",MID(TRIM($A47),2,1)="、"),REPLACEB(TRIM($A47),1,4,""),TRIM($A47)),1,6,""),'账项调整(期初)'!$J$5:$J$65536)</f>
        <v>0</v>
      </c>
      <c r="D47" s="413">
        <f>SUMIF('账项调整(期初)'!$H$5:$H$65536,REPLACEB(IF(OR(MID(TRIM($A47),2,1)="：",MID(TRIM($A47),2,1)="、"),REPLACEB(TRIM($A47),1,4,""),TRIM($A47)),1,6,""),'账项调整(期初)'!$J$5:$J$65536)</f>
        <v>0</v>
      </c>
      <c r="E47" s="413">
        <f>SUMIF('报表调整(期初)'!$E$5:$E$65536,REPLACEB(IF(OR(MID(TRIM($A47),2,1)="：",MID(TRIM($A47),2,1)="、"),REPLACEB(TRIM($A47),1,4,""),TRIM($A47)),1,6,""),'报表调整(期初)'!$J$5:$J$65536)</f>
        <v>0</v>
      </c>
      <c r="F47" s="413">
        <f>SUMIF('报表调整(期初)'!$H$5:$H$65536,REPLACEB(IF(OR(MID(TRIM($A47),2,1)="：",MID(TRIM($A47),2,1)="、"),REPLACEB(TRIM($A47),1,4,""),TRIM($A47)),1,6,""),'报表调整(期初)'!$J$5:$J$65536)</f>
        <v>0</v>
      </c>
      <c r="G47" s="413">
        <f t="shared" si="7"/>
        <v>0</v>
      </c>
      <c r="H47" s="413"/>
      <c r="I47" s="414">
        <f t="shared" si="6"/>
        <v>0</v>
      </c>
    </row>
    <row r="48" spans="1:9" ht="15" customHeight="1">
      <c r="A48" s="193" t="str">
        <f>报表格式!L47</f>
        <v xml:space="preserve">             其中：结转的含量工资包干结余</v>
      </c>
      <c r="B48" s="413">
        <f>期初核对PL!C48</f>
        <v>0</v>
      </c>
      <c r="C48" s="429">
        <f>SUMIF('账项调整(期初)'!$F$5:$F$65536,IF(OR(MID(TRIM($A48),2,1)="：",MID(TRIM($A48),2,1)="、"),REPLACEB(TRIM($A48),1,4,""),TRIM($A48)),'账项调整(期初)'!$J$5:$J$65536)</f>
        <v>0</v>
      </c>
      <c r="D48" s="429">
        <f>SUMIF('账项调整(期初)'!$I$5:$I$65536,IF(OR(MID(TRIM($A48),2,1)="：",MID(TRIM($A48),2,1)="、"),REPLACEB(TRIM($A48),1,4,""),TRIM($A48)),'账项调整(期初)'!$J$5:$J$65536)</f>
        <v>0</v>
      </c>
      <c r="E48" s="429">
        <f>SUMIF('报表调整(期初)'!$F$5:$F$65536,IF(OR(MID(TRIM($A48),2,1)="：",MID(TRIM($A48),2,1)="、"),REPLACEB(TRIM($A48),1,4,""),TRIM($A48)),'报表调整(期初)'!$J$5:$J$65536)</f>
        <v>0</v>
      </c>
      <c r="F48" s="429">
        <f>SUMIF('报表调整(期初)'!$I$5:$I$65536,IF(OR(MID(TRIM($A48),2,1)="：",MID(TRIM($A48),2,1)="、"),REPLACEB(TRIM($A48),1,4,""),TRIM($A48)),'报表调整(期初)'!$J$5:$J$65536)</f>
        <v>0</v>
      </c>
      <c r="G48" s="413">
        <f t="shared" si="7"/>
        <v>0</v>
      </c>
      <c r="H48" s="413"/>
      <c r="I48" s="414">
        <f t="shared" si="6"/>
        <v>0</v>
      </c>
    </row>
    <row r="49" spans="1:9" ht="15" customHeight="1">
      <c r="A49" s="177" t="str">
        <f>报表格式!L48</f>
        <v>五、利润总额</v>
      </c>
      <c r="B49" s="415">
        <f t="shared" ref="B49:H49" si="8">B30+B31+B32+B33+B35+B40-B42-B47</f>
        <v>0</v>
      </c>
      <c r="C49" s="415">
        <f t="shared" si="8"/>
        <v>0</v>
      </c>
      <c r="D49" s="415">
        <f t="shared" si="8"/>
        <v>0</v>
      </c>
      <c r="E49" s="415">
        <f t="shared" si="8"/>
        <v>0</v>
      </c>
      <c r="F49" s="415">
        <f t="shared" si="8"/>
        <v>0</v>
      </c>
      <c r="G49" s="415">
        <f t="shared" si="8"/>
        <v>0</v>
      </c>
      <c r="H49" s="415">
        <f t="shared" si="8"/>
        <v>0</v>
      </c>
      <c r="I49" s="416">
        <f t="shared" si="6"/>
        <v>0</v>
      </c>
    </row>
    <row r="50" spans="1:9" ht="15" customHeight="1">
      <c r="A50" s="193" t="str">
        <f>报表格式!L49</f>
        <v xml:space="preserve">    减：所得税</v>
      </c>
      <c r="B50" s="413">
        <f>期初核对PL!C50</f>
        <v>0</v>
      </c>
      <c r="C50" s="413">
        <f>SUMIF('账项调整(期初)'!$E$5:$E$65536,IF(OR(MID(TRIM($A50),2,1)="：",MID(TRIM($A50),2,1)="、"),REPLACEB(TRIM($A50),1,4,""),TRIM($A50)),'账项调整(期初)'!$J$5:$J$65536)</f>
        <v>0</v>
      </c>
      <c r="D50" s="413">
        <f>SUMIF('账项调整(期初)'!$H$5:$H$65536,IF(OR(MID(TRIM($A50),2,1)="：",MID(TRIM($A50),2,1)="、"),REPLACEB(TRIM($A50),1,4,""),TRIM($A50)),'账项调整(期初)'!$J$5:$J$65536)</f>
        <v>0</v>
      </c>
      <c r="E50" s="413">
        <f>SUMIF('报表调整(期初)'!$E$5:$E$65536,IF(OR(MID(TRIM($A50),2,1)="：",MID(TRIM($A50),2,1)="、"),REPLACEB(TRIM($A50),1,4,""),TRIM($A50)),'报表调整(期初)'!$J$5:$J$65536)</f>
        <v>0</v>
      </c>
      <c r="F50" s="413">
        <f>SUMIF('报表调整(期初)'!$H$5:$H$65536,IF(OR(MID(TRIM($A50),2,1)="：",MID(TRIM($A50),2,1)="、"),REPLACEB(TRIM($A50),1,4,""),TRIM($A50)),'报表调整(期初)'!$J$5:$J$65536)</f>
        <v>0</v>
      </c>
      <c r="G50" s="413">
        <f>B50+C50+E50-D50-F50</f>
        <v>0</v>
      </c>
      <c r="H50" s="413"/>
      <c r="I50" s="414">
        <f t="shared" si="6"/>
        <v>0</v>
      </c>
    </row>
    <row r="51" spans="1:9" ht="15" customHeight="1">
      <c r="A51" s="193" t="str">
        <f>报表格式!L50</f>
        <v xml:space="preserve">       *少数股东损益</v>
      </c>
      <c r="B51" s="413">
        <f>期初核对PL!C51</f>
        <v>0</v>
      </c>
      <c r="C51" s="413">
        <f>SUMIF('账项调整(期初)'!$E$5:$E$65536,REPLACEB(IF(OR(MID(TRIM($A51),2,1)="：",MID(TRIM($A51),2,1)="、"),REPLACEB(TRIM($A51),1,4,""),TRIM($A51)),1,1,""),'账项调整(期初)'!$J$5:$J$65536)</f>
        <v>0</v>
      </c>
      <c r="D51" s="413">
        <f>SUMIF('账项调整(期初)'!$H$5:$H$65536,REPLACEB(IF(OR(MID(TRIM($A51),2,1)="：",MID(TRIM($A51),2,1)="、"),REPLACEB(TRIM($A51),1,4,""),TRIM($A51)),1,1,""),'账项调整(期初)'!$J$5:$J$65536)</f>
        <v>0</v>
      </c>
      <c r="E51" s="413">
        <f>SUMIF('报表调整(期初)'!$E$5:$E$65536,REPLACEB(IF(OR(MID(TRIM($A51),2,1)="：",MID(TRIM($A51),2,1)="、"),REPLACEB(TRIM($A51),1,4,""),TRIM($A51)),1,1,""),'报表调整(期初)'!$J$5:$J$65536)</f>
        <v>0</v>
      </c>
      <c r="F51" s="413">
        <f>SUMIF('报表调整(期初)'!$H$5:$H$65536,REPLACEB(IF(OR(MID(TRIM($A51),2,1)="：",MID(TRIM($A51),2,1)="、"),REPLACEB(TRIM($A51),1,4,""),TRIM($A51)),1,1,""),'报表调整(期初)'!$J$5:$J$65536)</f>
        <v>0</v>
      </c>
      <c r="G51" s="413">
        <f>B51+C51+E51-D51-F51</f>
        <v>0</v>
      </c>
      <c r="H51" s="413"/>
      <c r="I51" s="414">
        <f t="shared" si="6"/>
        <v>0</v>
      </c>
    </row>
    <row r="52" spans="1:9" ht="15" customHeight="1">
      <c r="A52" s="193" t="str">
        <f>报表格式!L51</f>
        <v xml:space="preserve">    加：*未确认的投资损失</v>
      </c>
      <c r="B52" s="413">
        <f>期初核对PL!C52</f>
        <v>0</v>
      </c>
      <c r="C52" s="413">
        <f>SUMIF('账项调整(期初)'!$E$5:$E$65536,REPLACEB(IF(OR(MID(TRIM($A52),2,1)="：",MID(TRIM($A52),2,1)="、"),REPLACEB(TRIM($A52),1,4,""),TRIM($A52)),1,1,""),'账项调整(期初)'!$J$5:$J$65536)</f>
        <v>0</v>
      </c>
      <c r="D52" s="413">
        <f>SUMIF('账项调整(期初)'!$H$5:$H$65536,REPLACEB(IF(OR(MID(TRIM($A52),2,1)="：",MID(TRIM($A52),2,1)="、"),REPLACEB(TRIM($A52),1,4,""),TRIM($A52)),1,1,""),'账项调整(期初)'!$J$5:$J$65536)</f>
        <v>0</v>
      </c>
      <c r="E52" s="413">
        <f>SUMIF('报表调整(期初)'!$E$5:$E$65536,REPLACEB(IF(OR(MID(TRIM($A52),2,1)="：",MID(TRIM($A52),2,1)="、"),REPLACEB(TRIM($A52),1,4,""),TRIM($A52)),1,1,""),'报表调整(期初)'!$J$5:$J$65536)</f>
        <v>0</v>
      </c>
      <c r="F52" s="413">
        <f>SUMIF('报表调整(期初)'!$H$5:$H$65536,REPLACEB(IF(OR(MID(TRIM($A52),2,1)="：",MID(TRIM($A52),2,1)="、"),REPLACEB(TRIM($A52),1,4,""),TRIM($A52)),1,1,""),'报表调整(期初)'!$J$5:$J$65536)</f>
        <v>0</v>
      </c>
      <c r="G52" s="413">
        <f>B52-C52-E52+D52+F52</f>
        <v>0</v>
      </c>
      <c r="H52" s="413"/>
      <c r="I52" s="414">
        <f t="shared" si="6"/>
        <v>0</v>
      </c>
    </row>
    <row r="53" spans="1:9" ht="15" customHeight="1">
      <c r="A53" s="177" t="str">
        <f>报表格式!L52</f>
        <v>六、净利润</v>
      </c>
      <c r="B53" s="415">
        <f t="shared" ref="B53:H53" si="9">B49-B50-B51+B52</f>
        <v>0</v>
      </c>
      <c r="C53" s="415">
        <f t="shared" si="9"/>
        <v>0</v>
      </c>
      <c r="D53" s="415">
        <f t="shared" si="9"/>
        <v>0</v>
      </c>
      <c r="E53" s="415">
        <f t="shared" si="9"/>
        <v>0</v>
      </c>
      <c r="F53" s="415">
        <f t="shared" si="9"/>
        <v>0</v>
      </c>
      <c r="G53" s="415">
        <f t="shared" si="9"/>
        <v>0</v>
      </c>
      <c r="H53" s="415">
        <f t="shared" si="9"/>
        <v>0</v>
      </c>
      <c r="I53" s="416">
        <f t="shared" si="6"/>
        <v>0</v>
      </c>
    </row>
    <row r="54" spans="1:9" ht="15" customHeight="1">
      <c r="A54" s="193" t="str">
        <f>报表格式!L53</f>
        <v xml:space="preserve">    加：（一）年初未分配利润</v>
      </c>
      <c r="B54" s="413">
        <f>期初核对PL!C54</f>
        <v>0</v>
      </c>
      <c r="C54" s="413">
        <f>SUMIF('账项调整(期初)'!$E$5:$E$65536,REPLACEB(IF(OR(MID(TRIM($A54),2,1)="：",MID(TRIM($A54),2,1)="、"),REPLACEB(TRIM($A54),1,4,""),TRIM($A54)),1,6,""),'账项调整(期初)'!$J$5:$J$65536)</f>
        <v>0</v>
      </c>
      <c r="D54" s="413">
        <f>SUMIF('账项调整(期初)'!$H$5:$H$65536,REPLACEB(IF(OR(MID(TRIM($A54),2,1)="：",MID(TRIM($A54),2,1)="、"),REPLACEB(TRIM($A54),1,4,""),TRIM($A54)),1,6,""),'账项调整(期初)'!$J$5:$J$65536)</f>
        <v>0</v>
      </c>
      <c r="E54" s="413">
        <f>SUMIF('报表调整(期初)'!$E$5:$E$65536,REPLACEB(IF(OR(MID(TRIM($A54),2,1)="：",MID(TRIM($A54),2,1)="、"),REPLACEB(TRIM($A54),1,4,""),TRIM($A54)),1,6,""),'报表调整(期初)'!$J$5:$J$65536)</f>
        <v>0</v>
      </c>
      <c r="F54" s="413">
        <f>SUMIF('报表调整(期初)'!$H$5:$H$65536,REPLACEB(IF(OR(MID(TRIM($A54),2,1)="：",MID(TRIM($A54),2,1)="、"),REPLACEB(TRIM($A54),1,4,""),TRIM($A54)),1,6,""),'报表调整(期初)'!$J$5:$J$65536)</f>
        <v>0</v>
      </c>
      <c r="G54" s="413">
        <f>B54-C54-E54+D54+F54</f>
        <v>0</v>
      </c>
      <c r="H54" s="413"/>
      <c r="I54" s="414">
        <f t="shared" si="6"/>
        <v>0</v>
      </c>
    </row>
    <row r="55" spans="1:9" ht="15" customHeight="1">
      <c r="A55" s="193" t="str">
        <f>报表格式!L54</f>
        <v xml:space="preserve">        （二）盈余公积补亏</v>
      </c>
      <c r="B55" s="413">
        <f>期初核对PL!C55</f>
        <v>0</v>
      </c>
      <c r="C55" s="413">
        <f>SUMIF('账项调整(期初)'!$E$5:$E$65536,REPLACEB(IF(OR(MID(TRIM($A55),2,1)="：",MID(TRIM($A55),2,1)="、"),REPLACEB(TRIM($A55),1,4,""),TRIM($A55)),1,6,""),'账项调整(期初)'!$J$5:$J$65536)</f>
        <v>0</v>
      </c>
      <c r="D55" s="413">
        <f>SUMIF('账项调整(期初)'!$H$5:$H$65536,REPLACEB(IF(OR(MID(TRIM($A55),2,1)="：",MID(TRIM($A55),2,1)="、"),REPLACEB(TRIM($A55),1,4,""),TRIM($A55)),1,6,""),'账项调整(期初)'!$J$5:$J$65536)</f>
        <v>0</v>
      </c>
      <c r="E55" s="413">
        <f>SUMIF('报表调整(期初)'!$E$5:$E$65536,REPLACEB(IF(OR(MID(TRIM($A55),2,1)="：",MID(TRIM($A55),2,1)="、"),REPLACEB(TRIM($A55),1,4,""),TRIM($A55)),1,6,""),'报表调整(期初)'!$J$5:$J$65536)</f>
        <v>0</v>
      </c>
      <c r="F55" s="413">
        <f>SUMIF('报表调整(期初)'!$H$5:$H$65536,REPLACEB(IF(OR(MID(TRIM($A55),2,1)="：",MID(TRIM($A55),2,1)="、"),REPLACEB(TRIM($A55),1,4,""),TRIM($A55)),1,6,""),'报表调整(期初)'!$J$5:$J$65536)</f>
        <v>0</v>
      </c>
      <c r="G55" s="413">
        <f>B55-C55-E55+D55+F55</f>
        <v>0</v>
      </c>
      <c r="H55" s="413"/>
      <c r="I55" s="414">
        <f t="shared" si="6"/>
        <v>0</v>
      </c>
    </row>
    <row r="56" spans="1:9" ht="15" customHeight="1">
      <c r="A56" s="659" t="str">
        <f>报表格式!L55</f>
        <v xml:space="preserve">        （三）其他调整因素</v>
      </c>
      <c r="B56" s="660">
        <f>期初核对PL!C56</f>
        <v>0</v>
      </c>
      <c r="C56" s="413">
        <f>SUMIF('账项调整(期初)'!$E$5:$E$65536,REPLACEB(IF(OR(MID(TRIM($A56),2,1)="：",MID(TRIM($A56),2,1)="、"),REPLACEB(TRIM($A56),1,4,""),TRIM($A56)),1,6,""),'账项调整(期初)'!$J$5:$J$65536)</f>
        <v>0</v>
      </c>
      <c r="D56" s="413">
        <f>SUMIF('账项调整(期初)'!$H$5:$H$65536,REPLACEB(IF(OR(MID(TRIM($A56),2,1)="：",MID(TRIM($A56),2,1)="、"),REPLACEB(TRIM($A56),1,4,""),TRIM($A56)),1,6,""),'账项调整(期初)'!$J$5:$J$65536)</f>
        <v>0</v>
      </c>
      <c r="E56" s="413">
        <f>SUMIF('报表调整(期初)'!$E$5:$E$65536,REPLACEB(IF(OR(MID(TRIM($A56),2,1)="：",MID(TRIM($A56),2,1)="、"),REPLACEB(TRIM($A56),1,4,""),TRIM($A56)),1,6,""),'报表调整(期初)'!$J$5:$J$65536)</f>
        <v>0</v>
      </c>
      <c r="F56" s="413">
        <f>SUMIF('报表调整(期初)'!$H$5:$H$65536,REPLACEB(IF(OR(MID(TRIM($A56),2,1)="：",MID(TRIM($A56),2,1)="、"),REPLACEB(TRIM($A56),1,4,""),TRIM($A56)),1,6,""),'报表调整(期初)'!$J$5:$J$65536)</f>
        <v>0</v>
      </c>
      <c r="G56" s="660">
        <f>B56-C56-E56+D56+F56</f>
        <v>0</v>
      </c>
      <c r="H56" s="660"/>
      <c r="I56" s="661">
        <f t="shared" si="6"/>
        <v>0</v>
      </c>
    </row>
    <row r="57" spans="1:9" ht="15" customHeight="1">
      <c r="A57" s="177" t="str">
        <f>报表格式!L56</f>
        <v>七、可供分配的利润</v>
      </c>
      <c r="B57" s="415">
        <f t="shared" ref="B57:H57" si="10">B53+B54+B55+B56</f>
        <v>0</v>
      </c>
      <c r="C57" s="415">
        <f t="shared" si="10"/>
        <v>0</v>
      </c>
      <c r="D57" s="415">
        <f t="shared" si="10"/>
        <v>0</v>
      </c>
      <c r="E57" s="415">
        <f t="shared" si="10"/>
        <v>0</v>
      </c>
      <c r="F57" s="415">
        <f t="shared" si="10"/>
        <v>0</v>
      </c>
      <c r="G57" s="415">
        <f t="shared" si="10"/>
        <v>0</v>
      </c>
      <c r="H57" s="415">
        <f t="shared" si="10"/>
        <v>0</v>
      </c>
      <c r="I57" s="416">
        <f t="shared" si="6"/>
        <v>0</v>
      </c>
    </row>
    <row r="58" spans="1:9" ht="15" customHeight="1">
      <c r="A58" s="193" t="str">
        <f>报表格式!L57</f>
        <v xml:space="preserve">    减：（一）提取法定盈余公积</v>
      </c>
      <c r="B58" s="413">
        <f>期初核对PL!C58</f>
        <v>0</v>
      </c>
      <c r="C58" s="421">
        <f>SUMIF('账项调整(期初)'!$E$5:$E$65536,REPLACEB(IF(OR(MID(TRIM($A58),2,1)="：",MID(TRIM($A58),2,1)="、"),REPLACEB(TRIM($A58),1,4,""),TRIM($A58)),1,6,""),'账项调整(期初)'!$J$5:$J$65536)</f>
        <v>0</v>
      </c>
      <c r="D58" s="421">
        <f>SUMIF('账项调整(期初)'!$H$5:$H$65536,REPLACEB(IF(OR(MID(TRIM($A58),2,1)="：",MID(TRIM($A58),2,1)="、"),REPLACEB(TRIM($A58),1,4,""),TRIM($A58)),1,6,""),'账项调整(期初)'!$J$5:$J$65536)</f>
        <v>0</v>
      </c>
      <c r="E58" s="421">
        <f>SUMIF('报表调整(期初)'!$E$5:$E$65536,REPLACEB(IF(OR(MID(TRIM($A58),2,1)="：",MID(TRIM($A58),2,1)="、"),REPLACEB(TRIM($A58),1,4,""),TRIM($A58)),1,6,""),'报表调整(期初)'!$J$5:$J$65536)</f>
        <v>0</v>
      </c>
      <c r="F58" s="421">
        <f>SUMIF('报表调整(期初)'!$H$5:$H$65536,REPLACEB(IF(OR(MID(TRIM($A58),2,1)="：",MID(TRIM($A58),2,1)="、"),REPLACEB(TRIM($A58),1,4,""),TRIM($A58)),1,6,""),'报表调整(期初)'!$J$5:$J$65536)</f>
        <v>0</v>
      </c>
      <c r="G58" s="421">
        <f t="shared" ref="G58:G66" si="11">B58+C58+E58-D58-F58</f>
        <v>0</v>
      </c>
      <c r="H58" s="421"/>
      <c r="I58" s="422">
        <f t="shared" si="6"/>
        <v>0</v>
      </c>
    </row>
    <row r="59" spans="1:9" ht="15" customHeight="1">
      <c r="A59" s="193" t="str">
        <f>报表格式!L58</f>
        <v xml:space="preserve">        （二）提取法定公益金</v>
      </c>
      <c r="B59" s="413">
        <f>期初核对PL!C59</f>
        <v>0</v>
      </c>
      <c r="C59" s="421">
        <f>SUMIF('账项调整(期初)'!$E$5:$E$65536,REPLACEB(IF(OR(MID(TRIM($A59),2,1)="：",MID(TRIM($A59),2,1)="、"),REPLACEB(TRIM($A59),1,4,""),TRIM($A59)),1,6,""),'账项调整(期初)'!$J$5:$J$65536)</f>
        <v>0</v>
      </c>
      <c r="D59" s="421">
        <f>SUMIF('账项调整(期初)'!$H$5:$H$65536,REPLACEB(IF(OR(MID(TRIM($A59),2,1)="：",MID(TRIM($A59),2,1)="、"),REPLACEB(TRIM($A59),1,4,""),TRIM($A59)),1,6,""),'账项调整(期初)'!$J$5:$J$65536)</f>
        <v>0</v>
      </c>
      <c r="E59" s="421">
        <f>SUMIF('报表调整(期初)'!$E$5:$E$65536,REPLACEB(IF(OR(MID(TRIM($A59),2,1)="：",MID(TRIM($A59),2,1)="、"),REPLACEB(TRIM($A59),1,4,""),TRIM($A59)),1,6,""),'报表调整(期初)'!$J$5:$J$65536)</f>
        <v>0</v>
      </c>
      <c r="F59" s="421">
        <f>SUMIF('报表调整(期初)'!$H$5:$H$65536,REPLACEB(IF(OR(MID(TRIM($A59),2,1)="：",MID(TRIM($A59),2,1)="、"),REPLACEB(TRIM($A59),1,4,""),TRIM($A59)),1,6,""),'报表调整(期初)'!$J$5:$J$65536)</f>
        <v>0</v>
      </c>
      <c r="G59" s="421">
        <f t="shared" si="11"/>
        <v>0</v>
      </c>
      <c r="H59" s="421"/>
      <c r="I59" s="422">
        <f t="shared" si="6"/>
        <v>0</v>
      </c>
    </row>
    <row r="60" spans="1:9" ht="15" customHeight="1">
      <c r="A60" s="193" t="str">
        <f>报表格式!L59</f>
        <v xml:space="preserve">        （三）提取职工奖励及福利基金</v>
      </c>
      <c r="B60" s="413">
        <f>期初核对PL!C60</f>
        <v>0</v>
      </c>
      <c r="C60" s="421">
        <f>SUMIF('账项调整(期初)'!$E$5:$E$65536,REPLACEB(IF(OR(MID(TRIM($A60),2,1)="：",MID(TRIM($A60),2,1)="、"),REPLACEB(TRIM($A60),1,4,""),TRIM($A60)),1,6,""),'账项调整(期初)'!$J$5:$J$65536)</f>
        <v>0</v>
      </c>
      <c r="D60" s="421">
        <f>SUMIF('账项调整(期初)'!$H$5:$H$65536,REPLACEB(IF(OR(MID(TRIM($A60),2,1)="：",MID(TRIM($A60),2,1)="、"),REPLACEB(TRIM($A60),1,4,""),TRIM($A60)),1,6,""),'账项调整(期初)'!$J$5:$J$65536)</f>
        <v>0</v>
      </c>
      <c r="E60" s="421">
        <f>SUMIF('报表调整(期初)'!$E$5:$E$65536,REPLACEB(IF(OR(MID(TRIM($A60),2,1)="：",MID(TRIM($A60),2,1)="、"),REPLACEB(TRIM($A60),1,4,""),TRIM($A60)),1,6,""),'报表调整(期初)'!$J$5:$J$65536)</f>
        <v>0</v>
      </c>
      <c r="F60" s="421">
        <f>SUMIF('报表调整(期初)'!$H$5:$H$65536,REPLACEB(IF(OR(MID(TRIM($A60),2,1)="：",MID(TRIM($A60),2,1)="、"),REPLACEB(TRIM($A60),1,4,""),TRIM($A60)),1,6,""),'报表调整(期初)'!$J$5:$J$65536)</f>
        <v>0</v>
      </c>
      <c r="G60" s="421">
        <f t="shared" si="11"/>
        <v>0</v>
      </c>
      <c r="H60" s="421"/>
      <c r="I60" s="422">
        <f t="shared" si="6"/>
        <v>0</v>
      </c>
    </row>
    <row r="61" spans="1:9" ht="15" customHeight="1">
      <c r="A61" s="193" t="str">
        <f>报表格式!L60</f>
        <v xml:space="preserve">        （四）提取储备基金</v>
      </c>
      <c r="B61" s="413">
        <f>期初核对PL!C61</f>
        <v>0</v>
      </c>
      <c r="C61" s="421">
        <f>SUMIF('账项调整(期初)'!$E$5:$E$65536,REPLACEB(IF(OR(MID(TRIM($A61),2,1)="：",MID(TRIM($A61),2,1)="、"),REPLACEB(TRIM($A61),1,4,""),TRIM($A61)),1,6,""),'账项调整(期初)'!$J$5:$J$65536)</f>
        <v>0</v>
      </c>
      <c r="D61" s="421">
        <f>SUMIF('账项调整(期初)'!$H$5:$H$65536,REPLACEB(IF(OR(MID(TRIM($A61),2,1)="：",MID(TRIM($A61),2,1)="、"),REPLACEB(TRIM($A61),1,4,""),TRIM($A61)),1,6,""),'账项调整(期初)'!$J$5:$J$65536)</f>
        <v>0</v>
      </c>
      <c r="E61" s="421">
        <f>SUMIF('报表调整(期初)'!$E$5:$E$65536,REPLACEB(IF(OR(MID(TRIM($A61),2,1)="：",MID(TRIM($A61),2,1)="、"),REPLACEB(TRIM($A61),1,4,""),TRIM($A61)),1,6,""),'报表调整(期初)'!$J$5:$J$65536)</f>
        <v>0</v>
      </c>
      <c r="F61" s="421">
        <f>SUMIF('报表调整(期初)'!$H$5:$H$65536,REPLACEB(IF(OR(MID(TRIM($A61),2,1)="：",MID(TRIM($A61),2,1)="、"),REPLACEB(TRIM($A61),1,4,""),TRIM($A61)),1,6,""),'报表调整(期初)'!$J$5:$J$65536)</f>
        <v>0</v>
      </c>
      <c r="G61" s="421">
        <f t="shared" si="11"/>
        <v>0</v>
      </c>
      <c r="H61" s="421"/>
      <c r="I61" s="422">
        <f t="shared" si="6"/>
        <v>0</v>
      </c>
    </row>
    <row r="62" spans="1:9" ht="15" customHeight="1">
      <c r="A62" s="193" t="str">
        <f>报表格式!L61</f>
        <v xml:space="preserve">        （五）提取企业发展基金 </v>
      </c>
      <c r="B62" s="413">
        <f>期初核对PL!C62</f>
        <v>0</v>
      </c>
      <c r="C62" s="421">
        <f>SUMIF('账项调整(期初)'!$E$5:$E$65536,REPLACEB(IF(OR(MID(TRIM($A62),2,1)="：",MID(TRIM($A62),2,1)="、"),REPLACEB(TRIM($A62),1,4,""),TRIM($A62)),1,6,""),'账项调整(期初)'!$J$5:$J$65536)</f>
        <v>0</v>
      </c>
      <c r="D62" s="421">
        <f>SUMIF('账项调整(期初)'!$H$5:$H$65536,REPLACEB(IF(OR(MID(TRIM($A62),2,1)="：",MID(TRIM($A62),2,1)="、"),REPLACEB(TRIM($A62),1,4,""),TRIM($A62)),1,6,""),'账项调整(期初)'!$J$5:$J$65536)</f>
        <v>0</v>
      </c>
      <c r="E62" s="421">
        <f>SUMIF('报表调整(期初)'!$E$5:$E$65536,REPLACEB(IF(OR(MID(TRIM($A62),2,1)="：",MID(TRIM($A62),2,1)="、"),REPLACEB(TRIM($A62),1,4,""),TRIM($A62)),1,6,""),'报表调整(期初)'!$J$5:$J$65536)</f>
        <v>0</v>
      </c>
      <c r="F62" s="421">
        <f>SUMIF('报表调整(期初)'!$H$5:$H$65536,REPLACEB(IF(OR(MID(TRIM($A62),2,1)="：",MID(TRIM($A62),2,1)="、"),REPLACEB(TRIM($A62),1,4,""),TRIM($A62)),1,6,""),'报表调整(期初)'!$J$5:$J$65536)</f>
        <v>0</v>
      </c>
      <c r="G62" s="421">
        <f t="shared" si="11"/>
        <v>0</v>
      </c>
      <c r="H62" s="421"/>
      <c r="I62" s="422">
        <f t="shared" si="6"/>
        <v>0</v>
      </c>
    </row>
    <row r="63" spans="1:9" ht="15" customHeight="1">
      <c r="A63" s="193" t="str">
        <f>报表格式!L62</f>
        <v xml:space="preserve">        （六）利润归还投资 </v>
      </c>
      <c r="B63" s="413">
        <f>期初核对PL!C63</f>
        <v>0</v>
      </c>
      <c r="C63" s="421">
        <f>SUMIF('账项调整(期初)'!$E$5:$E$65536,REPLACEB(IF(OR(MID(TRIM($A63),2,1)="：",MID(TRIM($A63),2,1)="、"),REPLACEB(TRIM($A63),1,4,""),TRIM($A63)),1,6,""),'账项调整(期初)'!$J$5:$J$65536)</f>
        <v>0</v>
      </c>
      <c r="D63" s="421">
        <f>SUMIF('账项调整(期初)'!$H$5:$H$65536,REPLACEB(IF(OR(MID(TRIM($A63),2,1)="：",MID(TRIM($A63),2,1)="、"),REPLACEB(TRIM($A63),1,4,""),TRIM($A63)),1,6,""),'账项调整(期初)'!$J$5:$J$65536)</f>
        <v>0</v>
      </c>
      <c r="E63" s="421">
        <f>SUMIF('报表调整(期初)'!$E$5:$E$65536,REPLACEB(IF(OR(MID(TRIM($A63),2,1)="：",MID(TRIM($A63),2,1)="、"),REPLACEB(TRIM($A63),1,4,""),TRIM($A63)),1,6,""),'报表调整(期初)'!$J$5:$J$65536)</f>
        <v>0</v>
      </c>
      <c r="F63" s="421">
        <f>SUMIF('报表调整(期初)'!$H$5:$H$65536,REPLACEB(IF(OR(MID(TRIM($A63),2,1)="：",MID(TRIM($A63),2,1)="、"),REPLACEB(TRIM($A63),1,4,""),TRIM($A63)),1,6,""),'报表调整(期初)'!$J$5:$J$65536)</f>
        <v>0</v>
      </c>
      <c r="G63" s="421">
        <f t="shared" si="11"/>
        <v>0</v>
      </c>
      <c r="H63" s="421"/>
      <c r="I63" s="422">
        <f t="shared" si="6"/>
        <v>0</v>
      </c>
    </row>
    <row r="64" spans="1:9" ht="15" customHeight="1">
      <c r="A64" s="193" t="str">
        <f>报表格式!L63</f>
        <v xml:space="preserve">        （七）补充流动资本</v>
      </c>
      <c r="B64" s="413">
        <f>期初核对PL!C64</f>
        <v>0</v>
      </c>
      <c r="C64" s="421">
        <f>SUMIF('账项调整(期初)'!$E$5:$E$65536,REPLACEB(IF(OR(MID(TRIM($A64),2,1)="：",MID(TRIM($A64),2,1)="、"),REPLACEB(TRIM($A64),1,4,""),TRIM($A64)),1,6,""),'账项调整(期初)'!$J$5:$J$65536)</f>
        <v>0</v>
      </c>
      <c r="D64" s="421">
        <f>SUMIF('账项调整(期初)'!$H$5:$H$65536,REPLACEB(IF(OR(MID(TRIM($A64),2,1)="：",MID(TRIM($A64),2,1)="、"),REPLACEB(TRIM($A64),1,4,""),TRIM($A64)),1,6,""),'账项调整(期初)'!$J$5:$J$65536)</f>
        <v>0</v>
      </c>
      <c r="E64" s="421">
        <f>SUMIF('报表调整(期初)'!$E$5:$E$65536,REPLACEB(IF(OR(MID(TRIM($A64),2,1)="：",MID(TRIM($A64),2,1)="、"),REPLACEB(TRIM($A64),1,4,""),TRIM($A64)),1,6,""),'报表调整(期初)'!$J$5:$J$65536)</f>
        <v>0</v>
      </c>
      <c r="F64" s="421">
        <f>SUMIF('报表调整(期初)'!$H$5:$H$65536,REPLACEB(IF(OR(MID(TRIM($A64),2,1)="：",MID(TRIM($A64),2,1)="、"),REPLACEB(TRIM($A64),1,4,""),TRIM($A64)),1,6,""),'报表调整(期初)'!$J$5:$J$65536)</f>
        <v>0</v>
      </c>
      <c r="G64" s="421">
        <f t="shared" si="11"/>
        <v>0</v>
      </c>
      <c r="H64" s="421"/>
      <c r="I64" s="422">
        <f t="shared" si="6"/>
        <v>0</v>
      </c>
    </row>
    <row r="65" spans="1:9" ht="15" customHeight="1">
      <c r="A65" s="193" t="str">
        <f>报表格式!L64</f>
        <v xml:space="preserve">        （八）单项留用的利润</v>
      </c>
      <c r="B65" s="413">
        <f>期初核对PL!C65</f>
        <v>0</v>
      </c>
      <c r="C65" s="421">
        <f>SUMIF('账项调整(期初)'!$E$5:$E$65536,REPLACEB(IF(OR(MID(TRIM($A65),2,1)="：",MID(TRIM($A65),2,1)="、"),REPLACEB(TRIM($A65),1,4,""),TRIM($A65)),1,6,""),'账项调整(期初)'!$J$5:$J$65536)</f>
        <v>0</v>
      </c>
      <c r="D65" s="421">
        <f>SUMIF('账项调整(期初)'!$H$5:$H$65536,REPLACEB(IF(OR(MID(TRIM($A65),2,1)="：",MID(TRIM($A65),2,1)="、"),REPLACEB(TRIM($A65),1,4,""),TRIM($A65)),1,6,""),'账项调整(期初)'!$J$5:$J$65536)</f>
        <v>0</v>
      </c>
      <c r="E65" s="421">
        <f>SUMIF('报表调整(期初)'!$E$5:$E$65536,REPLACEB(IF(OR(MID(TRIM($A65),2,1)="：",MID(TRIM($A65),2,1)="、"),REPLACEB(TRIM($A65),1,4,""),TRIM($A65)),1,6,""),'报表调整(期初)'!$J$5:$J$65536)</f>
        <v>0</v>
      </c>
      <c r="F65" s="421">
        <f>SUMIF('报表调整(期初)'!$H$5:$H$65536,REPLACEB(IF(OR(MID(TRIM($A65),2,1)="：",MID(TRIM($A65),2,1)="、"),REPLACEB(TRIM($A65),1,4,""),TRIM($A65)),1,6,""),'报表调整(期初)'!$J$5:$J$65536)</f>
        <v>0</v>
      </c>
      <c r="G65" s="421">
        <f t="shared" si="11"/>
        <v>0</v>
      </c>
      <c r="H65" s="421"/>
      <c r="I65" s="422">
        <f t="shared" si="6"/>
        <v>0</v>
      </c>
    </row>
    <row r="66" spans="1:9" ht="15" customHeight="1">
      <c r="A66" s="193" t="str">
        <f>报表格式!L65</f>
        <v xml:space="preserve">        （九）其他</v>
      </c>
      <c r="B66" s="413">
        <f>期初核对PL!C66</f>
        <v>0</v>
      </c>
      <c r="C66" s="421">
        <f>SUMIF('账项调整(期初)'!$E$5:$E$65536,REPLACEB(IF(OR(MID(TRIM($A66),2,1)="：",MID(TRIM($A66),2,1)="、"),REPLACEB(TRIM($A66),1,4,""),TRIM($A66)),1,6,""),'账项调整(期初)'!$J$5:$J$65536)</f>
        <v>0</v>
      </c>
      <c r="D66" s="421">
        <f>SUMIF('账项调整(期初)'!$H$5:$H$65536,REPLACEB(IF(OR(MID(TRIM($A66),2,1)="：",MID(TRIM($A66),2,1)="、"),REPLACEB(TRIM($A66),1,4,""),TRIM($A66)),1,6,""),'账项调整(期初)'!$J$5:$J$65536)</f>
        <v>0</v>
      </c>
      <c r="E66" s="421">
        <f>SUMIF('报表调整(期初)'!$E$5:$E$65536,REPLACEB(IF(OR(MID(TRIM($A66),2,1)="：",MID(TRIM($A66),2,1)="、"),REPLACEB(TRIM($A66),1,4,""),TRIM($A66)),1,6,""),'报表调整(期初)'!$J$5:$J$65536)</f>
        <v>0</v>
      </c>
      <c r="F66" s="421">
        <f>SUMIF('报表调整(期初)'!$H$5:$H$65536,REPLACEB(IF(OR(MID(TRIM($A66),2,1)="：",MID(TRIM($A66),2,1)="、"),REPLACEB(TRIM($A66),1,4,""),TRIM($A66)),1,6,""),'报表调整(期初)'!$J$5:$J$65536)</f>
        <v>0</v>
      </c>
      <c r="G66" s="421">
        <f t="shared" si="11"/>
        <v>0</v>
      </c>
      <c r="H66" s="421"/>
      <c r="I66" s="422">
        <f t="shared" si="6"/>
        <v>0</v>
      </c>
    </row>
    <row r="67" spans="1:9" ht="15" customHeight="1">
      <c r="A67" s="177" t="str">
        <f>报表格式!L66</f>
        <v>八、可供投资者分配的利润</v>
      </c>
      <c r="B67" s="415">
        <f t="shared" ref="B67:H67" si="12">B57-B58-B59-B60-B61-B62-B63-B64-B65-B66</f>
        <v>0</v>
      </c>
      <c r="C67" s="415">
        <f t="shared" si="12"/>
        <v>0</v>
      </c>
      <c r="D67" s="415">
        <f t="shared" si="12"/>
        <v>0</v>
      </c>
      <c r="E67" s="415">
        <f t="shared" si="12"/>
        <v>0</v>
      </c>
      <c r="F67" s="415">
        <f t="shared" si="12"/>
        <v>0</v>
      </c>
      <c r="G67" s="415">
        <f t="shared" si="12"/>
        <v>0</v>
      </c>
      <c r="H67" s="415">
        <f t="shared" si="12"/>
        <v>0</v>
      </c>
      <c r="I67" s="416">
        <f t="shared" si="6"/>
        <v>0</v>
      </c>
    </row>
    <row r="68" spans="1:9" ht="15" customHeight="1">
      <c r="A68" s="193" t="str">
        <f>报表格式!L67</f>
        <v xml:space="preserve">    减：（一）应付优先股股利</v>
      </c>
      <c r="B68" s="413">
        <f>期初核对PL!C68</f>
        <v>0</v>
      </c>
      <c r="C68" s="421">
        <f>SUMIF('账项调整(期初)'!$E$5:$E$65536,REPLACEB(IF(OR(MID(TRIM($A68),2,1)="：",MID(TRIM($A68),2,1)="、"),REPLACEB(TRIM($A68),1,4,""),TRIM($A68)),1,6,""),'账项调整(期初)'!$J$5:$J$65536)</f>
        <v>0</v>
      </c>
      <c r="D68" s="421">
        <f>SUMIF('账项调整(期初)'!$H$5:$H$65536,REPLACEB(IF(OR(MID(TRIM($A68),2,1)="：",MID(TRIM($A68),2,1)="、"),REPLACEB(TRIM($A68),1,4,""),TRIM($A68)),1,6,""),'账项调整(期初)'!$J$5:$J$65536)</f>
        <v>0</v>
      </c>
      <c r="E68" s="421">
        <f>SUMIF('报表调整(期初)'!$E$5:$E$65536,REPLACEB(IF(OR(MID(TRIM($A68),2,1)="：",MID(TRIM($A68),2,1)="、"),REPLACEB(TRIM($A68),1,4,""),TRIM($A68)),1,6,""),'报表调整(期初)'!$J$5:$J$65536)</f>
        <v>0</v>
      </c>
      <c r="F68" s="421">
        <f>SUMIF('报表调整(期初)'!$H$5:$H$65536,REPLACEB(IF(OR(MID(TRIM($A68),2,1)="：",MID(TRIM($A68),2,1)="、"),REPLACEB(TRIM($A68),1,4,""),TRIM($A68)),1,6,""),'报表调整(期初)'!$J$5:$J$65536)</f>
        <v>0</v>
      </c>
      <c r="G68" s="421">
        <f>B68+C68+E68-D68-F68</f>
        <v>0</v>
      </c>
      <c r="H68" s="421"/>
      <c r="I68" s="422">
        <f t="shared" si="6"/>
        <v>0</v>
      </c>
    </row>
    <row r="69" spans="1:9" ht="15" customHeight="1">
      <c r="A69" s="193" t="str">
        <f>报表格式!L68</f>
        <v xml:space="preserve">        （二）提取任意盈余公积</v>
      </c>
      <c r="B69" s="413">
        <f>期初核对PL!C69</f>
        <v>0</v>
      </c>
      <c r="C69" s="421">
        <f>SUMIF('账项调整(期初)'!$E$5:$E$65536,REPLACEB(IF(OR(MID(TRIM($A69),2,1)="：",MID(TRIM($A69),2,1)="、"),REPLACEB(TRIM($A69),1,4,""),TRIM($A69)),1,6,""),'账项调整(期初)'!$J$5:$J$65536)</f>
        <v>0</v>
      </c>
      <c r="D69" s="421">
        <f>SUMIF('账项调整(期初)'!$H$5:$H$65536,REPLACEB(IF(OR(MID(TRIM($A69),2,1)="：",MID(TRIM($A69),2,1)="、"),REPLACEB(TRIM($A69),1,4,""),TRIM($A69)),1,6,""),'账项调整(期初)'!$J$5:$J$65536)</f>
        <v>0</v>
      </c>
      <c r="E69" s="421">
        <f>SUMIF('报表调整(期初)'!$E$5:$E$65536,REPLACEB(IF(OR(MID(TRIM($A69),2,1)="：",MID(TRIM($A69),2,1)="、"),REPLACEB(TRIM($A69),1,4,""),TRIM($A69)),1,6,""),'报表调整(期初)'!$J$5:$J$65536)</f>
        <v>0</v>
      </c>
      <c r="F69" s="421">
        <f>SUMIF('报表调整(期初)'!$H$5:$H$65536,REPLACEB(IF(OR(MID(TRIM($A69),2,1)="：",MID(TRIM($A69),2,1)="、"),REPLACEB(TRIM($A69),1,4,""),TRIM($A69)),1,6,""),'报表调整(期初)'!$J$5:$J$65536)</f>
        <v>0</v>
      </c>
      <c r="G69" s="421">
        <f>B69+C69+E69-D69-F69</f>
        <v>0</v>
      </c>
      <c r="H69" s="421"/>
      <c r="I69" s="422">
        <f t="shared" ref="I69:I74" si="13">SUM(G69:H69)</f>
        <v>0</v>
      </c>
    </row>
    <row r="70" spans="1:9" ht="15" customHeight="1">
      <c r="A70" s="193" t="str">
        <f>报表格式!L69</f>
        <v xml:space="preserve">        （三）应付普通股股利（应付利润）</v>
      </c>
      <c r="B70" s="413">
        <f>期初核对PL!C70</f>
        <v>0</v>
      </c>
      <c r="C70" s="421">
        <f>SUMIF('账项调整(期初)'!$E$5:$E$65536,REPLACEB(IF(OR(MID(TRIM($A70),2,1)="：",MID(TRIM($A70),2,1)="、"),REPLACEB(TRIM($A70),1,4,""),TRIM($A70)),1,6,""),'账项调整(期初)'!$J$5:$J$65536)</f>
        <v>0</v>
      </c>
      <c r="D70" s="421">
        <f>SUMIF('账项调整(期初)'!$H$5:$H$65536,REPLACEB(IF(OR(MID(TRIM($A70),2,1)="：",MID(TRIM($A70),2,1)="、"),REPLACEB(TRIM($A70),1,4,""),TRIM($A70)),1,6,""),'账项调整(期初)'!$J$5:$J$65536)</f>
        <v>0</v>
      </c>
      <c r="E70" s="421">
        <f>SUMIF('报表调整(期初)'!$E$5:$E$65536,REPLACEB(IF(OR(MID(TRIM($A70),2,1)="：",MID(TRIM($A70),2,1)="、"),REPLACEB(TRIM($A70),1,4,""),TRIM($A70)),1,6,""),'报表调整(期初)'!$J$5:$J$65536)</f>
        <v>0</v>
      </c>
      <c r="F70" s="421">
        <f>SUMIF('报表调整(期初)'!$H$5:$H$65536,REPLACEB(IF(OR(MID(TRIM($A70),2,1)="：",MID(TRIM($A70),2,1)="、"),REPLACEB(TRIM($A70),1,4,""),TRIM($A70)),1,6,""),'报表调整(期初)'!$J$5:$J$65536)</f>
        <v>0</v>
      </c>
      <c r="G70" s="421">
        <f>B70+C70+E70-D70-F70</f>
        <v>0</v>
      </c>
      <c r="H70" s="421"/>
      <c r="I70" s="422">
        <f t="shared" si="13"/>
        <v>0</v>
      </c>
    </row>
    <row r="71" spans="1:9" ht="15" customHeight="1">
      <c r="A71" s="193" t="str">
        <f>报表格式!L70</f>
        <v xml:space="preserve">        （四）转作资本（股本）的普通股股利</v>
      </c>
      <c r="B71" s="413">
        <f>期初核对PL!C71</f>
        <v>0</v>
      </c>
      <c r="C71" s="421">
        <f>SUMIF('账项调整(期初)'!$E$5:$E$65536,REPLACEB(IF(OR(MID(TRIM($A71),2,1)="：",MID(TRIM($A71),2,1)="、"),REPLACEB(TRIM($A71),1,4,""),TRIM($A71)),1,6,""),'账项调整(期初)'!$J$5:$J$65536)</f>
        <v>0</v>
      </c>
      <c r="D71" s="421">
        <f>SUMIF('账项调整(期初)'!$H$5:$H$65536,REPLACEB(IF(OR(MID(TRIM($A71),2,1)="：",MID(TRIM($A71),2,1)="、"),REPLACEB(TRIM($A71),1,4,""),TRIM($A71)),1,6,""),'账项调整(期初)'!$J$5:$J$65536)</f>
        <v>0</v>
      </c>
      <c r="E71" s="421">
        <f>SUMIF('报表调整(期初)'!$E$5:$E$65536,REPLACEB(IF(OR(MID(TRIM($A71),2,1)="：",MID(TRIM($A71),2,1)="、"),REPLACEB(TRIM($A71),1,4,""),TRIM($A71)),1,6,""),'报表调整(期初)'!$J$5:$J$65536)</f>
        <v>0</v>
      </c>
      <c r="F71" s="421">
        <f>SUMIF('报表调整(期初)'!$H$5:$H$65536,REPLACEB(IF(OR(MID(TRIM($A71),2,1)="：",MID(TRIM($A71),2,1)="、"),REPLACEB(TRIM($A71),1,4,""),TRIM($A71)),1,6,""),'报表调整(期初)'!$J$5:$J$65536)</f>
        <v>0</v>
      </c>
      <c r="G71" s="421">
        <f>B71+C71+E71-D71-F71</f>
        <v>0</v>
      </c>
      <c r="H71" s="421"/>
      <c r="I71" s="422">
        <f t="shared" si="13"/>
        <v>0</v>
      </c>
    </row>
    <row r="72" spans="1:9" ht="15" customHeight="1">
      <c r="A72" s="193" t="str">
        <f>报表格式!L71</f>
        <v xml:space="preserve">        （五）其他</v>
      </c>
      <c r="B72" s="413">
        <f>期初核对PL!C72</f>
        <v>0</v>
      </c>
      <c r="C72" s="421">
        <f>SUMIF('账项调整(期初)'!$E$5:$E$65536,REPLACEB(IF(OR(MID(TRIM($A72),2,1)="：",MID(TRIM($A72),2,1)="、"),REPLACEB(TRIM($A72),1,4,""),TRIM($A72)),1,6,""),'账项调整(期初)'!$J$5:$J$65536)</f>
        <v>0</v>
      </c>
      <c r="D72" s="421">
        <f>SUMIF('账项调整(期初)'!$H$5:$H$65536,REPLACEB(IF(OR(MID(TRIM($A72),2,1)="：",MID(TRIM($A72),2,1)="、"),REPLACEB(TRIM($A72),1,4,""),TRIM($A72)),1,6,""),'账项调整(期初)'!$J$5:$J$65536)</f>
        <v>0</v>
      </c>
      <c r="E72" s="421">
        <f>SUMIF('报表调整(期初)'!$E$5:$E$65536,REPLACEB(IF(OR(MID(TRIM($A72),2,1)="：",MID(TRIM($A72),2,1)="、"),REPLACEB(TRIM($A72),1,4,""),TRIM($A72)),1,6,""),'报表调整(期初)'!$J$5:$J$65536)</f>
        <v>0</v>
      </c>
      <c r="F72" s="421">
        <f>SUMIF('报表调整(期初)'!$H$5:$H$65536,REPLACEB(IF(OR(MID(TRIM($A72),2,1)="：",MID(TRIM($A72),2,1)="、"),REPLACEB(TRIM($A72),1,4,""),TRIM($A72)),1,6,""),'报表调整(期初)'!$J$5:$J$65536)</f>
        <v>0</v>
      </c>
      <c r="G72" s="421">
        <f>B72+C72+E72-D72-F72</f>
        <v>0</v>
      </c>
      <c r="H72" s="421"/>
      <c r="I72" s="422">
        <f t="shared" si="13"/>
        <v>0</v>
      </c>
    </row>
    <row r="73" spans="1:9" ht="15" customHeight="1">
      <c r="A73" s="194" t="str">
        <f>报表格式!L72</f>
        <v>九、未分配利润</v>
      </c>
      <c r="B73" s="419">
        <f t="shared" ref="B73:H73" si="14">B67-B68-B69-B70-B71-B72</f>
        <v>0</v>
      </c>
      <c r="C73" s="419">
        <f t="shared" si="14"/>
        <v>0</v>
      </c>
      <c r="D73" s="419">
        <f t="shared" si="14"/>
        <v>0</v>
      </c>
      <c r="E73" s="419">
        <f t="shared" si="14"/>
        <v>0</v>
      </c>
      <c r="F73" s="419">
        <f t="shared" si="14"/>
        <v>0</v>
      </c>
      <c r="G73" s="419">
        <f t="shared" si="14"/>
        <v>0</v>
      </c>
      <c r="H73" s="419">
        <f t="shared" si="14"/>
        <v>0</v>
      </c>
      <c r="I73" s="420">
        <f t="shared" si="13"/>
        <v>0</v>
      </c>
    </row>
    <row r="74" spans="1:9" ht="15" customHeight="1">
      <c r="A74" s="193" t="str">
        <f>报表格式!L73</f>
        <v xml:space="preserve">    其中：应由以后年度税前利润弥补的亏损（以“+”号填列）</v>
      </c>
      <c r="B74" s="413">
        <f>期初核对PL!C74</f>
        <v>0</v>
      </c>
      <c r="C74" s="421"/>
      <c r="D74" s="421"/>
      <c r="E74" s="421"/>
      <c r="F74" s="421"/>
      <c r="G74" s="421"/>
      <c r="H74" s="421"/>
      <c r="I74" s="422">
        <f t="shared" si="13"/>
        <v>0</v>
      </c>
    </row>
    <row r="75" spans="1:9">
      <c r="A75" s="724"/>
      <c r="B75" s="725">
        <f>期初核对PL!C73</f>
        <v>0</v>
      </c>
      <c r="C75" s="726">
        <f>SUM(C6,C11,C13:C18,C20:C25,C29,C31:C33,C35,C40,C42,C47,C50:C52,C54:C56,C58:C66,C68:C72)</f>
        <v>0</v>
      </c>
      <c r="D75" s="726">
        <f>SUM(D6,D11,D13:D18,D20:D25,D29,D31:D33,D35,D40,D42,D47,D50:D52,D54:D56,D58:D66,D68:D72)</f>
        <v>0</v>
      </c>
      <c r="E75" s="726">
        <f>SUM(E6,E11,E13:E18,E20:E25,E29,E31:E33,E35,E40,E42,E47,E50:E52,E54:E56,E58:E66,E68:E72)</f>
        <v>0</v>
      </c>
      <c r="F75" s="726">
        <f>SUM(F6,F11,F13:F18,F20:F25,F29,F31:F33,F35,F40,F42,F47,F50:F52,F54:F56,F58:F66,F68:F72)</f>
        <v>0</v>
      </c>
      <c r="G75" s="726">
        <f>SUM(B75:F75)</f>
        <v>0</v>
      </c>
      <c r="H75" s="726">
        <v>0</v>
      </c>
      <c r="I75" s="726"/>
    </row>
    <row r="76" spans="1:9">
      <c r="A76" s="621"/>
      <c r="B76" s="622">
        <f>B73-B75</f>
        <v>0</v>
      </c>
      <c r="C76" s="623"/>
      <c r="D76" s="623"/>
      <c r="E76" s="623"/>
      <c r="F76" s="623"/>
      <c r="G76" s="622">
        <f>G73-G75</f>
        <v>0</v>
      </c>
      <c r="H76" s="623"/>
      <c r="I76" s="623"/>
    </row>
  </sheetData>
  <sheetProtection sheet="1" objects="1" scenarios="1" formatCells="0" formatColumns="0" formatRows="0" insertRows="0" autoFilter="0" pivotTables="0"/>
  <mergeCells count="5">
    <mergeCell ref="I4:I5"/>
    <mergeCell ref="A4:A5"/>
    <mergeCell ref="B4:B5"/>
    <mergeCell ref="C4:D4"/>
    <mergeCell ref="E4:F4"/>
  </mergeCells>
  <phoneticPr fontId="3" type="noConversion"/>
  <conditionalFormatting sqref="A4:A5">
    <cfRule type="cellIs" dxfId="4" priority="1" stopIfTrue="1" operator="equal">
      <formula>"报表未调平!"</formula>
    </cfRule>
  </conditionalFormatting>
  <printOptions horizontalCentered="1" verticalCentered="1"/>
  <pageMargins left="0.35433070866141736" right="0.35433070866141736" top="0.34" bottom="0.27" header="0.19685039370078741" footer="0.19685039370078741"/>
  <pageSetup paperSize="9" scale="63"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2"/>
  <sheetViews>
    <sheetView showZeros="0" workbookViewId="0">
      <pane xSplit="1" ySplit="4" topLeftCell="B110" activePane="bottomRight" state="frozen"/>
      <selection pane="topRight" activeCell="B1" sqref="B1"/>
      <selection pane="bottomLeft" activeCell="A5" sqref="A5"/>
      <selection pane="bottomRight" activeCell="A125" sqref="A125:F125"/>
    </sheetView>
  </sheetViews>
  <sheetFormatPr defaultColWidth="13.375" defaultRowHeight="20.25" customHeight="1"/>
  <cols>
    <col min="1" max="1" width="26.625" style="64" customWidth="1"/>
    <col min="2" max="2" width="9.25" style="66" customWidth="1"/>
    <col min="3" max="3" width="21.375" style="64" customWidth="1"/>
    <col min="4" max="4" width="2.625" style="64" customWidth="1"/>
    <col min="5" max="5" width="21.375" style="64" customWidth="1"/>
    <col min="6" max="6" width="2.625" style="64" customWidth="1"/>
    <col min="7" max="7" width="18.125" style="64" customWidth="1"/>
    <col min="8" max="8" width="19.125" style="64" bestFit="1" customWidth="1"/>
    <col min="9" max="16384" width="13.375" style="64"/>
  </cols>
  <sheetData>
    <row r="1" spans="1:8" ht="18.75">
      <c r="A1" s="954" t="s">
        <v>726</v>
      </c>
      <c r="B1" s="954"/>
      <c r="C1" s="954"/>
      <c r="D1" s="954"/>
      <c r="E1" s="954"/>
      <c r="F1" s="954"/>
    </row>
    <row r="2" spans="1:8" ht="13.5" customHeight="1">
      <c r="A2" s="195"/>
      <c r="B2" s="195"/>
      <c r="C2" s="666">
        <f>C61-C123</f>
        <v>0</v>
      </c>
      <c r="D2" s="666"/>
      <c r="E2" s="667">
        <f>E61-E123</f>
        <v>0</v>
      </c>
      <c r="F2" s="195"/>
    </row>
    <row r="3" spans="1:8" ht="14.25">
      <c r="A3" s="956" t="str">
        <f>IF(报表格式!G41="","    对不起，请到参数表中确定报表类型！",CONCATENATE(" 编制单位：",参数!D3))</f>
        <v xml:space="preserve"> 编制单位：</v>
      </c>
      <c r="B3" s="956"/>
      <c r="C3" s="956"/>
      <c r="D3" s="196"/>
      <c r="E3" s="197" t="str">
        <f>CONCATENATE("单位：",参数!$D$13)</f>
        <v>单位：人民币元</v>
      </c>
      <c r="F3" s="198"/>
    </row>
    <row r="4" spans="1:8" ht="14.25">
      <c r="A4" s="463" t="s">
        <v>727</v>
      </c>
      <c r="B4" s="463" t="s">
        <v>728</v>
      </c>
      <c r="C4" s="1024">
        <f>参数!D11</f>
        <v>39082</v>
      </c>
      <c r="D4" s="1024"/>
      <c r="E4" s="1024">
        <f>IF(YEAR(C4)/4=INT(YEAR(C4)/4),C4-366,C4-365)</f>
        <v>38717</v>
      </c>
      <c r="F4" s="1024"/>
      <c r="G4" s="67"/>
      <c r="H4" s="67"/>
    </row>
    <row r="5" spans="1:8" ht="14.25">
      <c r="A5" s="199" t="s">
        <v>220</v>
      </c>
      <c r="B5" s="200"/>
      <c r="C5" s="201"/>
      <c r="D5" s="202"/>
      <c r="E5" s="203"/>
      <c r="F5" s="202"/>
      <c r="G5" s="67"/>
      <c r="H5" s="67"/>
    </row>
    <row r="6" spans="1:8" ht="14.25">
      <c r="A6" s="199" t="str">
        <f>报表格式!B6</f>
        <v>货币资金</v>
      </c>
      <c r="B6" s="200"/>
      <c r="C6" s="303">
        <f>'TB资产(期初)'!I7</f>
        <v>0</v>
      </c>
      <c r="D6" s="304"/>
      <c r="E6" s="303"/>
      <c r="F6" s="202"/>
      <c r="G6" s="67"/>
      <c r="H6" s="67"/>
    </row>
    <row r="7" spans="1:8" ht="14.25">
      <c r="A7" s="199" t="str">
        <f>报表格式!B7</f>
        <v>短期投资</v>
      </c>
      <c r="B7" s="200"/>
      <c r="C7" s="303">
        <f>'TB资产(期初)'!I8</f>
        <v>0</v>
      </c>
      <c r="D7" s="304"/>
      <c r="E7" s="303"/>
      <c r="F7" s="202"/>
      <c r="G7" s="67"/>
      <c r="H7" s="67"/>
    </row>
    <row r="8" spans="1:8" ht="14.25">
      <c r="A8" s="199" t="str">
        <f>报表格式!B8</f>
        <v>应收票据</v>
      </c>
      <c r="B8" s="200"/>
      <c r="C8" s="303">
        <f>'TB资产(期初)'!I9</f>
        <v>0</v>
      </c>
      <c r="D8" s="305"/>
      <c r="E8" s="303"/>
      <c r="F8" s="204"/>
      <c r="G8" s="67"/>
      <c r="H8" s="67"/>
    </row>
    <row r="9" spans="1:8" ht="14.25">
      <c r="A9" s="199" t="str">
        <f>报表格式!B9</f>
        <v>应收股利</v>
      </c>
      <c r="B9" s="200"/>
      <c r="C9" s="303">
        <f>'TB资产(期初)'!I10</f>
        <v>0</v>
      </c>
      <c r="D9" s="305"/>
      <c r="E9" s="303"/>
      <c r="F9" s="204"/>
      <c r="G9" s="67"/>
      <c r="H9" s="67"/>
    </row>
    <row r="10" spans="1:8" ht="14.25">
      <c r="A10" s="199" t="str">
        <f>报表格式!B10</f>
        <v>应收利息</v>
      </c>
      <c r="B10" s="200"/>
      <c r="C10" s="303">
        <f>'TB资产(期初)'!I11</f>
        <v>0</v>
      </c>
      <c r="D10" s="305"/>
      <c r="E10" s="303"/>
      <c r="F10" s="204"/>
      <c r="G10" s="67"/>
      <c r="H10" s="67"/>
    </row>
    <row r="11" spans="1:8" ht="14.25">
      <c r="A11" s="199" t="str">
        <f>报表格式!B11</f>
        <v>应收账款</v>
      </c>
      <c r="B11" s="200"/>
      <c r="C11" s="303">
        <f>'TB资产(期初)'!I12</f>
        <v>0</v>
      </c>
      <c r="D11" s="305"/>
      <c r="E11" s="303"/>
      <c r="F11" s="204"/>
      <c r="G11" s="68"/>
      <c r="H11" s="67"/>
    </row>
    <row r="12" spans="1:8" ht="14.25">
      <c r="A12" s="199" t="str">
        <f>报表格式!B12</f>
        <v>其他应收款</v>
      </c>
      <c r="B12" s="200"/>
      <c r="C12" s="303">
        <f>'TB资产(期初)'!I13</f>
        <v>0</v>
      </c>
      <c r="D12" s="305"/>
      <c r="E12" s="303"/>
      <c r="F12" s="204"/>
      <c r="G12" s="67"/>
      <c r="H12" s="67"/>
    </row>
    <row r="13" spans="1:8" ht="14.25">
      <c r="A13" s="199" t="str">
        <f>报表格式!B13</f>
        <v>预付账款</v>
      </c>
      <c r="B13" s="200"/>
      <c r="C13" s="303">
        <f>'TB资产(期初)'!I14</f>
        <v>0</v>
      </c>
      <c r="D13" s="305"/>
      <c r="E13" s="303"/>
      <c r="F13" s="204"/>
      <c r="G13" s="67"/>
      <c r="H13" s="67"/>
    </row>
    <row r="14" spans="1:8" ht="14.25">
      <c r="A14" s="199" t="str">
        <f>报表格式!B14</f>
        <v>期货保证金</v>
      </c>
      <c r="B14" s="200"/>
      <c r="C14" s="303">
        <f>'TB资产(期初)'!I15</f>
        <v>0</v>
      </c>
      <c r="D14" s="305"/>
      <c r="E14" s="303"/>
      <c r="F14" s="204"/>
      <c r="G14" s="67"/>
      <c r="H14" s="67"/>
    </row>
    <row r="15" spans="1:8" ht="14.25">
      <c r="A15" s="199" t="str">
        <f>报表格式!B15</f>
        <v>应收补贴款</v>
      </c>
      <c r="B15" s="200"/>
      <c r="C15" s="303">
        <f>'TB资产(期初)'!I16</f>
        <v>0</v>
      </c>
      <c r="D15" s="305"/>
      <c r="E15" s="303"/>
      <c r="F15" s="204"/>
      <c r="G15" s="67"/>
      <c r="H15" s="67"/>
    </row>
    <row r="16" spans="1:8" ht="14.25">
      <c r="A16" s="199" t="str">
        <f>报表格式!B16</f>
        <v>应收出口退税</v>
      </c>
      <c r="B16" s="200"/>
      <c r="C16" s="303">
        <f>'TB资产(期初)'!I17</f>
        <v>0</v>
      </c>
      <c r="D16" s="305"/>
      <c r="E16" s="303"/>
      <c r="F16" s="204"/>
      <c r="G16" s="67"/>
      <c r="H16" s="67"/>
    </row>
    <row r="17" spans="1:8" ht="14.25">
      <c r="A17" s="199" t="str">
        <f>报表格式!B17</f>
        <v>存货</v>
      </c>
      <c r="B17" s="200"/>
      <c r="C17" s="303">
        <f>'TB资产(期初)'!I18</f>
        <v>0</v>
      </c>
      <c r="D17" s="305"/>
      <c r="E17" s="303"/>
      <c r="F17" s="204"/>
      <c r="G17" s="67"/>
      <c r="H17" s="67"/>
    </row>
    <row r="18" spans="1:8" ht="14.25">
      <c r="A18" s="199" t="str">
        <f>报表格式!B18</f>
        <v xml:space="preserve">  其中：原材料</v>
      </c>
      <c r="B18" s="200"/>
      <c r="C18" s="303">
        <f>'TB资产(期初)'!I19</f>
        <v>0</v>
      </c>
      <c r="D18" s="305"/>
      <c r="E18" s="303"/>
      <c r="F18" s="204"/>
      <c r="G18" s="67"/>
      <c r="H18" s="67"/>
    </row>
    <row r="19" spans="1:8" ht="14.25">
      <c r="A19" s="199" t="str">
        <f>报表格式!B19</f>
        <v xml:space="preserve">        库存商品（产成品）</v>
      </c>
      <c r="B19" s="200"/>
      <c r="C19" s="303">
        <f>'TB资产(期初)'!I20</f>
        <v>0</v>
      </c>
      <c r="D19" s="306"/>
      <c r="E19" s="303"/>
      <c r="F19" s="204"/>
      <c r="G19" s="67"/>
      <c r="H19" s="67"/>
    </row>
    <row r="20" spans="1:8" ht="14.25">
      <c r="A20" s="199" t="str">
        <f>报表格式!B20</f>
        <v>待摊费用</v>
      </c>
      <c r="B20" s="200"/>
      <c r="C20" s="303">
        <f>'TB资产(期初)'!I21</f>
        <v>0</v>
      </c>
      <c r="D20" s="306"/>
      <c r="E20" s="303"/>
      <c r="F20" s="204"/>
      <c r="G20" s="67"/>
      <c r="H20" s="67"/>
    </row>
    <row r="21" spans="1:8" ht="14.25">
      <c r="A21" s="199" t="str">
        <f>报表格式!B21</f>
        <v>待处理流动资产净损失</v>
      </c>
      <c r="B21" s="200"/>
      <c r="C21" s="303">
        <f>'TB资产(期初)'!I22</f>
        <v>0</v>
      </c>
      <c r="D21" s="306"/>
      <c r="E21" s="303"/>
      <c r="F21" s="204"/>
      <c r="G21" s="67"/>
      <c r="H21" s="67"/>
    </row>
    <row r="22" spans="1:8" ht="14.25">
      <c r="A22" s="199" t="str">
        <f>报表格式!B22</f>
        <v>一年内到期的长期债权投资</v>
      </c>
      <c r="B22" s="200"/>
      <c r="C22" s="303">
        <f>'TB资产(期初)'!I23</f>
        <v>0</v>
      </c>
      <c r="D22" s="306"/>
      <c r="E22" s="303"/>
      <c r="F22" s="204"/>
      <c r="G22" s="67"/>
      <c r="H22" s="67"/>
    </row>
    <row r="23" spans="1:8" ht="14.25">
      <c r="A23" s="199" t="str">
        <f>报表格式!B23</f>
        <v>其他流动资产</v>
      </c>
      <c r="B23" s="200"/>
      <c r="C23" s="303">
        <f>'TB资产(期初)'!I24</f>
        <v>0</v>
      </c>
      <c r="D23" s="306"/>
      <c r="E23" s="303"/>
      <c r="F23" s="204"/>
      <c r="G23" s="67"/>
      <c r="H23" s="67"/>
    </row>
    <row r="24" spans="1:8" ht="14.25">
      <c r="A24" s="462">
        <f>报表格式!B24</f>
        <v>0</v>
      </c>
      <c r="B24" s="200"/>
      <c r="C24" s="303">
        <f>'TB资产(期初)'!I25</f>
        <v>0</v>
      </c>
      <c r="D24" s="306"/>
      <c r="E24" s="303"/>
      <c r="F24" s="204"/>
      <c r="G24" s="67"/>
      <c r="H24" s="67"/>
    </row>
    <row r="25" spans="1:8" ht="14.25">
      <c r="A25" s="462">
        <f>报表格式!B25</f>
        <v>0</v>
      </c>
      <c r="B25" s="200"/>
      <c r="C25" s="303">
        <f>'TB资产(期初)'!I26</f>
        <v>0</v>
      </c>
      <c r="D25" s="306"/>
      <c r="E25" s="303"/>
      <c r="F25" s="204"/>
      <c r="G25" s="67"/>
      <c r="H25" s="67"/>
    </row>
    <row r="26" spans="1:8" s="69" customFormat="1" ht="14.25">
      <c r="A26" s="205" t="str">
        <f>报表格式!B26</f>
        <v>流动资产合计</v>
      </c>
      <c r="B26" s="200"/>
      <c r="C26" s="307">
        <f>SUM(C6:C25)-C18-C19</f>
        <v>0</v>
      </c>
      <c r="D26" s="308"/>
      <c r="E26" s="307">
        <f>SUM(E6:E25)-E18-E19</f>
        <v>0</v>
      </c>
      <c r="F26" s="206"/>
      <c r="G26" s="68"/>
      <c r="H26" s="68"/>
    </row>
    <row r="27" spans="1:8" ht="14.25">
      <c r="A27" s="199" t="str">
        <f>报表格式!B27</f>
        <v>长期投资</v>
      </c>
      <c r="B27" s="200"/>
      <c r="C27" s="303">
        <f>SUM(C28:C29)</f>
        <v>0</v>
      </c>
      <c r="D27" s="305"/>
      <c r="E27" s="303">
        <f>SUM(E28:E29)</f>
        <v>0</v>
      </c>
      <c r="F27" s="204"/>
      <c r="G27" s="67"/>
      <c r="H27" s="67"/>
    </row>
    <row r="28" spans="1:8" ht="14.25">
      <c r="A28" s="199" t="str">
        <f>报表格式!B28</f>
        <v xml:space="preserve">  其中：长期股权投资</v>
      </c>
      <c r="B28" s="200"/>
      <c r="C28" s="303">
        <f>'TB资产(期初)'!I29</f>
        <v>0</v>
      </c>
      <c r="D28" s="305"/>
      <c r="E28" s="303"/>
      <c r="F28" s="204"/>
      <c r="G28" s="67"/>
      <c r="H28" s="67"/>
    </row>
    <row r="29" spans="1:8" ht="14.25">
      <c r="A29" s="199" t="str">
        <f>报表格式!B29</f>
        <v xml:space="preserve">       长期债权投资</v>
      </c>
      <c r="B29" s="200"/>
      <c r="C29" s="303">
        <f>'TB资产(期初)'!I30</f>
        <v>0</v>
      </c>
      <c r="D29" s="305"/>
      <c r="E29" s="303"/>
      <c r="F29" s="204"/>
      <c r="G29" s="67"/>
      <c r="H29" s="67"/>
    </row>
    <row r="30" spans="1:8" ht="14.25">
      <c r="A30" s="199" t="str">
        <f>报表格式!B30</f>
        <v>*合并价差</v>
      </c>
      <c r="B30" s="200"/>
      <c r="C30" s="303">
        <f>'TB资产(期初)'!I31</f>
        <v>0</v>
      </c>
      <c r="D30" s="305"/>
      <c r="E30" s="303"/>
      <c r="F30" s="204"/>
      <c r="G30" s="67"/>
      <c r="H30" s="67"/>
    </row>
    <row r="31" spans="1:8" ht="14.25">
      <c r="A31" s="462">
        <f>报表格式!B31</f>
        <v>0</v>
      </c>
      <c r="B31" s="200"/>
      <c r="C31" s="303">
        <f>'TB资产(期初)'!I32</f>
        <v>0</v>
      </c>
      <c r="D31" s="305"/>
      <c r="E31" s="303"/>
      <c r="F31" s="204"/>
      <c r="G31" s="67"/>
      <c r="H31" s="67"/>
    </row>
    <row r="32" spans="1:8" ht="14.25">
      <c r="A32" s="462">
        <f>报表格式!B32</f>
        <v>0</v>
      </c>
      <c r="B32" s="200"/>
      <c r="C32" s="303">
        <f>'TB资产(期初)'!I33</f>
        <v>0</v>
      </c>
      <c r="D32" s="305"/>
      <c r="E32" s="303"/>
      <c r="F32" s="204"/>
      <c r="G32" s="67"/>
      <c r="H32" s="67"/>
    </row>
    <row r="33" spans="1:8" s="69" customFormat="1" ht="14.25">
      <c r="A33" s="205" t="str">
        <f>报表格式!B33</f>
        <v>长期投资合计</v>
      </c>
      <c r="B33" s="200"/>
      <c r="C33" s="307">
        <f>SUM(C27,C30:C32)</f>
        <v>0</v>
      </c>
      <c r="D33" s="309"/>
      <c r="E33" s="307">
        <f>SUM(E27,E30:E32)</f>
        <v>0</v>
      </c>
      <c r="F33" s="206"/>
      <c r="G33" s="68"/>
      <c r="H33" s="68"/>
    </row>
    <row r="34" spans="1:8" ht="14.25">
      <c r="A34" s="199" t="str">
        <f>报表格式!B34</f>
        <v>固定资产：</v>
      </c>
      <c r="B34" s="200"/>
      <c r="C34" s="303"/>
      <c r="D34" s="305"/>
      <c r="E34" s="303"/>
      <c r="F34" s="204"/>
      <c r="G34" s="67"/>
      <c r="H34" s="67"/>
    </row>
    <row r="35" spans="1:8" ht="14.25">
      <c r="A35" s="199" t="str">
        <f>报表格式!B35</f>
        <v>固定资产原价</v>
      </c>
      <c r="B35" s="200"/>
      <c r="C35" s="303">
        <f>'TB资产(期初)'!I36</f>
        <v>0</v>
      </c>
      <c r="D35" s="305"/>
      <c r="E35" s="303"/>
      <c r="F35" s="204"/>
      <c r="G35" s="67"/>
      <c r="H35" s="67"/>
    </row>
    <row r="36" spans="1:8" ht="14.25">
      <c r="A36" s="199" t="str">
        <f>报表格式!B36</f>
        <v xml:space="preserve">  减：累计折旧</v>
      </c>
      <c r="B36" s="200"/>
      <c r="C36" s="303">
        <f>'TB资产(期初)'!I37</f>
        <v>0</v>
      </c>
      <c r="D36" s="305"/>
      <c r="E36" s="303"/>
      <c r="F36" s="204"/>
      <c r="G36" s="67"/>
      <c r="H36" s="67"/>
    </row>
    <row r="37" spans="1:8" ht="14.25">
      <c r="A37" s="199" t="str">
        <f>报表格式!B37</f>
        <v>固定资产净值</v>
      </c>
      <c r="B37" s="200"/>
      <c r="C37" s="303">
        <f>C35-C36</f>
        <v>0</v>
      </c>
      <c r="D37" s="305"/>
      <c r="E37" s="303">
        <f>E35-E36</f>
        <v>0</v>
      </c>
      <c r="F37" s="204"/>
      <c r="G37" s="67"/>
      <c r="H37" s="67"/>
    </row>
    <row r="38" spans="1:8" ht="14.25">
      <c r="A38" s="199" t="str">
        <f>报表格式!B38</f>
        <v xml:space="preserve">  减：固定资产减值准备</v>
      </c>
      <c r="B38" s="200"/>
      <c r="C38" s="303">
        <f>'TB资产(期初)'!I39</f>
        <v>0</v>
      </c>
      <c r="D38" s="305"/>
      <c r="E38" s="303"/>
      <c r="F38" s="204"/>
      <c r="G38" s="67"/>
      <c r="H38" s="67"/>
    </row>
    <row r="39" spans="1:8" ht="14.25">
      <c r="A39" s="199" t="str">
        <f>报表格式!B39</f>
        <v>固定资产净额</v>
      </c>
      <c r="B39" s="207"/>
      <c r="C39" s="303">
        <f>C37-C38</f>
        <v>0</v>
      </c>
      <c r="D39" s="306"/>
      <c r="E39" s="303">
        <f>E37-E38</f>
        <v>0</v>
      </c>
      <c r="F39" s="204"/>
      <c r="G39" s="67"/>
      <c r="H39" s="67"/>
    </row>
    <row r="40" spans="1:8" ht="14.25">
      <c r="A40" s="199" t="str">
        <f>报表格式!B40</f>
        <v>工程物资</v>
      </c>
      <c r="B40" s="200"/>
      <c r="C40" s="303">
        <f>'TB资产(期初)'!I41</f>
        <v>0</v>
      </c>
      <c r="D40" s="305"/>
      <c r="E40" s="303"/>
      <c r="F40" s="204"/>
      <c r="G40" s="67"/>
      <c r="H40" s="67"/>
    </row>
    <row r="41" spans="1:8" ht="14.25">
      <c r="A41" s="199" t="str">
        <f>报表格式!B41</f>
        <v>在建工程</v>
      </c>
      <c r="B41" s="200"/>
      <c r="C41" s="303">
        <f>'TB资产(期初)'!I42</f>
        <v>0</v>
      </c>
      <c r="D41" s="305"/>
      <c r="E41" s="303"/>
      <c r="F41" s="204"/>
      <c r="G41" s="67"/>
      <c r="H41" s="67"/>
    </row>
    <row r="42" spans="1:8" ht="14.25">
      <c r="A42" s="199" t="str">
        <f>报表格式!B42</f>
        <v>固定资产清理</v>
      </c>
      <c r="B42" s="200"/>
      <c r="C42" s="303">
        <f>'TB资产(期初)'!I43</f>
        <v>0</v>
      </c>
      <c r="D42" s="310"/>
      <c r="E42" s="303"/>
      <c r="F42" s="204"/>
      <c r="G42" s="67"/>
      <c r="H42" s="67"/>
    </row>
    <row r="43" spans="1:8" ht="14.25">
      <c r="A43" s="199" t="str">
        <f>报表格式!B43</f>
        <v>待处理固定资产净损失</v>
      </c>
      <c r="B43" s="207"/>
      <c r="C43" s="303">
        <f>'TB资产(期初)'!I44</f>
        <v>0</v>
      </c>
      <c r="D43" s="311"/>
      <c r="E43" s="303"/>
      <c r="F43" s="204"/>
      <c r="G43" s="67"/>
      <c r="H43" s="67"/>
    </row>
    <row r="44" spans="1:8" ht="14.25">
      <c r="A44" s="462">
        <f>报表格式!B44</f>
        <v>0</v>
      </c>
      <c r="B44" s="207"/>
      <c r="C44" s="303">
        <f>'TB资产(期初)'!I45</f>
        <v>0</v>
      </c>
      <c r="D44" s="311"/>
      <c r="E44" s="303"/>
      <c r="F44" s="204"/>
      <c r="G44" s="67"/>
      <c r="H44" s="67"/>
    </row>
    <row r="45" spans="1:8" ht="14.25">
      <c r="A45" s="462">
        <f>报表格式!B45</f>
        <v>0</v>
      </c>
      <c r="B45" s="207"/>
      <c r="C45" s="303">
        <f>'TB资产(期初)'!I46</f>
        <v>0</v>
      </c>
      <c r="D45" s="311"/>
      <c r="E45" s="303"/>
      <c r="F45" s="204"/>
      <c r="G45" s="67"/>
      <c r="H45" s="67"/>
    </row>
    <row r="46" spans="1:8" s="69" customFormat="1" ht="14.25">
      <c r="A46" s="205" t="str">
        <f>报表格式!B46</f>
        <v>固定资产合计</v>
      </c>
      <c r="B46" s="207"/>
      <c r="C46" s="307">
        <f>SUM(C39:C45)</f>
        <v>0</v>
      </c>
      <c r="D46" s="308"/>
      <c r="E46" s="307">
        <f>SUM(E39:E45)</f>
        <v>0</v>
      </c>
      <c r="F46" s="206"/>
      <c r="G46" s="68"/>
      <c r="H46" s="68"/>
    </row>
    <row r="47" spans="1:8" ht="14.25">
      <c r="A47" s="199" t="str">
        <f>报表格式!B47</f>
        <v>无形资产及其他资产：</v>
      </c>
      <c r="B47" s="200"/>
      <c r="C47" s="303"/>
      <c r="D47" s="305"/>
      <c r="E47" s="303"/>
      <c r="F47" s="204"/>
      <c r="G47" s="67"/>
      <c r="H47" s="67"/>
    </row>
    <row r="48" spans="1:8" ht="14.25">
      <c r="A48" s="199" t="str">
        <f>报表格式!B48</f>
        <v>无形资产</v>
      </c>
      <c r="B48" s="200"/>
      <c r="C48" s="303">
        <f>'TB资产(期初)'!I49</f>
        <v>0</v>
      </c>
      <c r="D48" s="305"/>
      <c r="E48" s="303"/>
      <c r="F48" s="204"/>
      <c r="G48" s="67"/>
      <c r="H48" s="67"/>
    </row>
    <row r="49" spans="1:22" ht="14.25">
      <c r="A49" s="199" t="str">
        <f>报表格式!B49</f>
        <v xml:space="preserve">  其中：土地使用权</v>
      </c>
      <c r="B49" s="200"/>
      <c r="C49" s="303">
        <f>'TB资产(期初)'!I50</f>
        <v>0</v>
      </c>
      <c r="D49" s="305"/>
      <c r="E49" s="303"/>
      <c r="F49" s="204"/>
      <c r="G49" s="67"/>
      <c r="H49" s="67"/>
    </row>
    <row r="50" spans="1:22" ht="14.25">
      <c r="A50" s="199" t="str">
        <f>报表格式!B50</f>
        <v>长期待摊费用</v>
      </c>
      <c r="B50" s="200"/>
      <c r="C50" s="303">
        <f>'TB资产(期初)'!I51</f>
        <v>0</v>
      </c>
      <c r="D50" s="305"/>
      <c r="E50" s="303"/>
      <c r="F50" s="204"/>
      <c r="G50" s="67"/>
      <c r="H50" s="67"/>
    </row>
    <row r="51" spans="1:22" ht="14.25">
      <c r="A51" s="199" t="str">
        <f>报表格式!B51</f>
        <v xml:space="preserve">  其中：固定资产修理</v>
      </c>
      <c r="B51" s="200"/>
      <c r="C51" s="303">
        <f>'TB资产(期初)'!I52</f>
        <v>0</v>
      </c>
      <c r="D51" s="305"/>
      <c r="E51" s="303"/>
      <c r="F51" s="204"/>
      <c r="G51" s="67"/>
      <c r="H51" s="67"/>
    </row>
    <row r="52" spans="1:22" ht="14.25">
      <c r="A52" s="199" t="str">
        <f>报表格式!B52</f>
        <v xml:space="preserve">       固定资产改良支出</v>
      </c>
      <c r="B52" s="200"/>
      <c r="C52" s="303">
        <f>'TB资产(期初)'!I53</f>
        <v>0</v>
      </c>
      <c r="D52" s="305"/>
      <c r="E52" s="303"/>
      <c r="F52" s="204"/>
      <c r="G52" s="67"/>
      <c r="H52" s="67"/>
    </row>
    <row r="53" spans="1:22" ht="14.25">
      <c r="A53" s="199" t="str">
        <f>报表格式!B53</f>
        <v>股权分置流通权</v>
      </c>
      <c r="B53" s="200"/>
      <c r="C53" s="303">
        <f>'TB资产(期初)'!I54</f>
        <v>0</v>
      </c>
      <c r="D53" s="305"/>
      <c r="E53" s="303"/>
      <c r="F53" s="204"/>
      <c r="G53" s="67"/>
      <c r="H53" s="67"/>
    </row>
    <row r="54" spans="1:22" ht="14.25">
      <c r="A54" s="199" t="str">
        <f>报表格式!B54</f>
        <v>其他长期资产</v>
      </c>
      <c r="B54" s="200"/>
      <c r="C54" s="303">
        <f>'TB资产(期初)'!I55</f>
        <v>0</v>
      </c>
      <c r="D54" s="305"/>
      <c r="E54" s="303"/>
      <c r="F54" s="204"/>
      <c r="G54" s="67"/>
      <c r="H54" s="67"/>
    </row>
    <row r="55" spans="1:22" ht="14.25">
      <c r="A55" s="462" t="str">
        <f>报表格式!B55</f>
        <v xml:space="preserve">  其中：特准储备物资</v>
      </c>
      <c r="B55" s="200"/>
      <c r="C55" s="303">
        <f>'TB资产(期初)'!I56</f>
        <v>0</v>
      </c>
      <c r="D55" s="305"/>
      <c r="E55" s="303"/>
      <c r="F55" s="204"/>
      <c r="G55" s="67"/>
      <c r="H55" s="67"/>
    </row>
    <row r="56" spans="1:22" ht="11.25" customHeight="1">
      <c r="A56" s="462">
        <f>报表格式!B56</f>
        <v>0</v>
      </c>
      <c r="B56" s="200"/>
      <c r="C56" s="303">
        <f>'TB资产(期初)'!I57</f>
        <v>0</v>
      </c>
      <c r="D56" s="305"/>
      <c r="E56" s="303"/>
      <c r="F56" s="204"/>
      <c r="G56" s="67"/>
      <c r="H56" s="67"/>
    </row>
    <row r="57" spans="1:22" s="69" customFormat="1" ht="14.25">
      <c r="A57" s="205" t="str">
        <f>报表格式!B57</f>
        <v>无形资产及其他资产合计</v>
      </c>
      <c r="B57" s="200"/>
      <c r="C57" s="307">
        <f>SUM(C48,C50,C53:C54,C56)</f>
        <v>0</v>
      </c>
      <c r="D57" s="309"/>
      <c r="E57" s="307">
        <f>SUM(E48,E50,E53:E54,E56)</f>
        <v>0</v>
      </c>
      <c r="F57" s="206"/>
      <c r="G57" s="68"/>
      <c r="H57" s="68"/>
    </row>
    <row r="58" spans="1:22" ht="14.25">
      <c r="A58" s="199" t="str">
        <f>报表格式!B58</f>
        <v>递延税项：</v>
      </c>
      <c r="B58" s="200"/>
      <c r="C58" s="303"/>
      <c r="D58" s="305"/>
      <c r="E58" s="303"/>
      <c r="F58" s="204"/>
      <c r="G58" s="67"/>
      <c r="H58" s="67"/>
    </row>
    <row r="59" spans="1:22" ht="14.25">
      <c r="A59" s="199" t="str">
        <f>报表格式!B59</f>
        <v>递延税款借项</v>
      </c>
      <c r="B59" s="200"/>
      <c r="C59" s="303">
        <f>'TB资产(期初)'!I60</f>
        <v>0</v>
      </c>
      <c r="D59" s="305"/>
      <c r="E59" s="303"/>
      <c r="F59" s="204"/>
      <c r="G59" s="67"/>
      <c r="H59" s="67"/>
    </row>
    <row r="60" spans="1:22" ht="10.5" customHeight="1">
      <c r="A60" s="208">
        <f>报表格式!B60</f>
        <v>0</v>
      </c>
      <c r="B60" s="200"/>
      <c r="C60" s="303">
        <f>'TB资产(期初)'!I61</f>
        <v>0</v>
      </c>
      <c r="D60" s="305"/>
      <c r="E60" s="303"/>
      <c r="F60" s="204"/>
      <c r="G60" s="67"/>
      <c r="H60" s="67"/>
    </row>
    <row r="61" spans="1:22" s="69" customFormat="1" ht="15" thickBot="1">
      <c r="A61" s="209" t="str">
        <f>报表格式!B73</f>
        <v>资 产 总 计</v>
      </c>
      <c r="B61" s="210"/>
      <c r="C61" s="312">
        <f>C26+C33+C46+C57+C59+C60</f>
        <v>0</v>
      </c>
      <c r="D61" s="313"/>
      <c r="E61" s="312">
        <f>E26+E33+E46+E57+E59+E60</f>
        <v>0</v>
      </c>
      <c r="F61" s="211"/>
      <c r="G61" s="68"/>
      <c r="H61" s="68"/>
    </row>
    <row r="62" spans="1:22" s="111" customFormat="1" ht="12.75">
      <c r="A62" s="112" t="str">
        <f>CONCATENATE(参数!C4,参数!D4)</f>
        <v>法定代表人：</v>
      </c>
      <c r="B62" s="113" t="str">
        <f>CONCATENATE(参数!C5,参数!D5)</f>
        <v>财务负责人：</v>
      </c>
      <c r="C62" s="113"/>
      <c r="D62" s="105"/>
      <c r="E62" s="113" t="str">
        <f>CONCATENATE(参数!C6,参数!D6)</f>
        <v>会计主管：</v>
      </c>
      <c r="F62" s="105"/>
      <c r="G62" s="106"/>
      <c r="H62" s="106"/>
      <c r="I62" s="106"/>
      <c r="J62" s="106"/>
      <c r="K62" s="104"/>
      <c r="L62" s="107"/>
      <c r="M62" s="108"/>
      <c r="N62" s="108"/>
      <c r="O62" s="108"/>
      <c r="P62" s="108"/>
      <c r="Q62" s="109"/>
      <c r="R62" s="109"/>
      <c r="S62" s="109"/>
      <c r="T62" s="109"/>
      <c r="U62" s="110"/>
      <c r="V62" s="110"/>
    </row>
    <row r="63" spans="1:22" ht="18.75">
      <c r="A63" s="955" t="s">
        <v>296</v>
      </c>
      <c r="B63" s="955"/>
      <c r="C63" s="955"/>
      <c r="D63" s="955"/>
      <c r="E63" s="955"/>
      <c r="F63" s="955"/>
    </row>
    <row r="64" spans="1:22" ht="17.100000000000001" customHeight="1">
      <c r="A64" s="212"/>
      <c r="B64" s="212"/>
      <c r="C64" s="952"/>
      <c r="D64" s="952"/>
      <c r="E64" s="212"/>
      <c r="F64" s="212"/>
    </row>
    <row r="65" spans="1:6" ht="14.25">
      <c r="A65" s="953" t="str">
        <f>A3</f>
        <v xml:space="preserve"> 编制单位：</v>
      </c>
      <c r="B65" s="953"/>
      <c r="C65" s="953"/>
      <c r="D65" s="196"/>
      <c r="E65" s="197" t="str">
        <f>CONCATENATE("单位：",参数!$D$13)</f>
        <v>单位：人民币元</v>
      </c>
      <c r="F65" s="198"/>
    </row>
    <row r="66" spans="1:6" ht="14.25">
      <c r="A66" s="463" t="s">
        <v>729</v>
      </c>
      <c r="B66" s="463" t="s">
        <v>730</v>
      </c>
      <c r="C66" s="1024">
        <f>C4</f>
        <v>39082</v>
      </c>
      <c r="D66" s="1024"/>
      <c r="E66" s="1024">
        <f>E4</f>
        <v>38717</v>
      </c>
      <c r="F66" s="1024"/>
    </row>
    <row r="67" spans="1:6" ht="14.25">
      <c r="A67" s="199" t="str">
        <f>报表格式!G5</f>
        <v>流动负债：</v>
      </c>
      <c r="B67" s="200"/>
      <c r="C67" s="203"/>
      <c r="D67" s="204"/>
      <c r="E67" s="203"/>
      <c r="F67" s="213"/>
    </row>
    <row r="68" spans="1:6" ht="14.25">
      <c r="A68" s="214" t="str">
        <f>报表格式!G6</f>
        <v>短期借款</v>
      </c>
      <c r="B68" s="200"/>
      <c r="C68" s="303">
        <f>'TB负债(期初)'!I7</f>
        <v>0</v>
      </c>
      <c r="D68" s="305"/>
      <c r="E68" s="303"/>
      <c r="F68" s="215"/>
    </row>
    <row r="69" spans="1:6" ht="14.25">
      <c r="A69" s="214" t="str">
        <f>报表格式!G7</f>
        <v>应付票据</v>
      </c>
      <c r="B69" s="200"/>
      <c r="C69" s="303">
        <f>'TB负债(期初)'!I8</f>
        <v>0</v>
      </c>
      <c r="D69" s="305"/>
      <c r="E69" s="303"/>
      <c r="F69" s="215"/>
    </row>
    <row r="70" spans="1:6" ht="14.25">
      <c r="A70" s="214" t="str">
        <f>报表格式!G8</f>
        <v>应付账款</v>
      </c>
      <c r="B70" s="200"/>
      <c r="C70" s="303">
        <f>'TB负债(期初)'!I9</f>
        <v>0</v>
      </c>
      <c r="D70" s="305"/>
      <c r="E70" s="303"/>
      <c r="F70" s="215"/>
    </row>
    <row r="71" spans="1:6" ht="14.25">
      <c r="A71" s="214" t="str">
        <f>报表格式!G9</f>
        <v>预收账款</v>
      </c>
      <c r="B71" s="200"/>
      <c r="C71" s="303">
        <f>'TB负债(期初)'!I10</f>
        <v>0</v>
      </c>
      <c r="D71" s="305"/>
      <c r="E71" s="303"/>
      <c r="F71" s="215"/>
    </row>
    <row r="72" spans="1:6" ht="14.25">
      <c r="A72" s="214" t="str">
        <f>报表格式!G10</f>
        <v>应付工资</v>
      </c>
      <c r="B72" s="200"/>
      <c r="C72" s="303">
        <f>'TB负债(期初)'!I11</f>
        <v>0</v>
      </c>
      <c r="D72" s="305"/>
      <c r="E72" s="303"/>
      <c r="F72" s="215"/>
    </row>
    <row r="73" spans="1:6" ht="14.25">
      <c r="A73" s="214" t="str">
        <f>报表格式!G11</f>
        <v>应付福利费</v>
      </c>
      <c r="B73" s="200"/>
      <c r="C73" s="303">
        <f>'TB负债(期初)'!I12</f>
        <v>0</v>
      </c>
      <c r="D73" s="305"/>
      <c r="E73" s="303"/>
      <c r="F73" s="215"/>
    </row>
    <row r="74" spans="1:6" ht="14.25">
      <c r="A74" s="214" t="str">
        <f>报表格式!G12</f>
        <v>应付股利（利润）</v>
      </c>
      <c r="B74" s="200"/>
      <c r="C74" s="303">
        <f>'TB负债(期初)'!I13</f>
        <v>0</v>
      </c>
      <c r="D74" s="310"/>
      <c r="E74" s="303"/>
      <c r="F74" s="215"/>
    </row>
    <row r="75" spans="1:6" ht="14.25">
      <c r="A75" s="214" t="str">
        <f>报表格式!G13</f>
        <v>应付利息</v>
      </c>
      <c r="B75" s="200"/>
      <c r="C75" s="303">
        <f>'TB负债(期初)'!I14</f>
        <v>0</v>
      </c>
      <c r="D75" s="305"/>
      <c r="E75" s="303"/>
      <c r="F75" s="215"/>
    </row>
    <row r="76" spans="1:6" ht="14.25">
      <c r="A76" s="214" t="str">
        <f>报表格式!G14</f>
        <v>应交税金</v>
      </c>
      <c r="B76" s="200"/>
      <c r="C76" s="303">
        <f>'TB负债(期初)'!I15</f>
        <v>0</v>
      </c>
      <c r="D76" s="305"/>
      <c r="E76" s="303"/>
      <c r="F76" s="215"/>
    </row>
    <row r="77" spans="1:6" ht="14.25">
      <c r="A77" s="214" t="str">
        <f>报表格式!G15</f>
        <v>其他应交款</v>
      </c>
      <c r="B77" s="200"/>
      <c r="C77" s="303">
        <f>'TB负债(期初)'!I16</f>
        <v>0</v>
      </c>
      <c r="D77" s="305"/>
      <c r="E77" s="303"/>
      <c r="F77" s="215"/>
    </row>
    <row r="78" spans="1:6" ht="14.25">
      <c r="A78" s="214" t="str">
        <f>报表格式!G16</f>
        <v>其他应付款</v>
      </c>
      <c r="B78" s="200"/>
      <c r="C78" s="303">
        <f>'TB负债(期初)'!I17</f>
        <v>0</v>
      </c>
      <c r="D78" s="305"/>
      <c r="E78" s="303"/>
      <c r="F78" s="215"/>
    </row>
    <row r="79" spans="1:6" ht="14.25">
      <c r="A79" s="214" t="str">
        <f>报表格式!G17</f>
        <v>预提费用</v>
      </c>
      <c r="B79" s="200"/>
      <c r="C79" s="303">
        <f>'TB负债(期初)'!I18</f>
        <v>0</v>
      </c>
      <c r="D79" s="305"/>
      <c r="E79" s="303"/>
      <c r="F79" s="215"/>
    </row>
    <row r="80" spans="1:6" ht="14.25">
      <c r="A80" s="214" t="str">
        <f>报表格式!G18</f>
        <v>预计负债</v>
      </c>
      <c r="B80" s="200"/>
      <c r="C80" s="303">
        <f>'TB负债(期初)'!I19</f>
        <v>0</v>
      </c>
      <c r="D80" s="305"/>
      <c r="E80" s="303"/>
      <c r="F80" s="215"/>
    </row>
    <row r="81" spans="1:6" ht="14.25">
      <c r="A81" s="214" t="str">
        <f>报表格式!G19</f>
        <v>递延收益</v>
      </c>
      <c r="B81" s="200"/>
      <c r="C81" s="303">
        <f>'TB负债(期初)'!I20</f>
        <v>0</v>
      </c>
      <c r="D81" s="305"/>
      <c r="E81" s="303"/>
      <c r="F81" s="215"/>
    </row>
    <row r="82" spans="1:6" ht="14.25">
      <c r="A82" s="214" t="str">
        <f>报表格式!G20</f>
        <v>一年内到期的长期负债</v>
      </c>
      <c r="B82" s="200"/>
      <c r="C82" s="303">
        <f>'TB负债(期初)'!I21</f>
        <v>0</v>
      </c>
      <c r="D82" s="305"/>
      <c r="E82" s="303"/>
      <c r="F82" s="215"/>
    </row>
    <row r="83" spans="1:6" ht="14.25">
      <c r="A83" s="214" t="str">
        <f>报表格式!G21</f>
        <v>应付权证</v>
      </c>
      <c r="B83" s="200"/>
      <c r="C83" s="303">
        <f>'TB负债(期初)'!I22</f>
        <v>0</v>
      </c>
      <c r="D83" s="305"/>
      <c r="E83" s="303"/>
      <c r="F83" s="215"/>
    </row>
    <row r="84" spans="1:6" ht="14.25">
      <c r="A84" s="730" t="str">
        <f>报表格式!G22</f>
        <v>其他流动负债</v>
      </c>
      <c r="B84" s="200"/>
      <c r="C84" s="303">
        <f>'TB负债(期初)'!I23</f>
        <v>0</v>
      </c>
      <c r="D84" s="305"/>
      <c r="E84" s="303"/>
      <c r="F84" s="215"/>
    </row>
    <row r="85" spans="1:6" ht="14.25">
      <c r="A85" s="731">
        <f>报表格式!G23</f>
        <v>0</v>
      </c>
      <c r="B85" s="200"/>
      <c r="C85" s="303">
        <f>'TB负债(期初)'!I24</f>
        <v>0</v>
      </c>
      <c r="D85" s="305"/>
      <c r="E85" s="303"/>
      <c r="F85" s="215"/>
    </row>
    <row r="86" spans="1:6" ht="14.25">
      <c r="A86" s="731">
        <f>报表格式!G24</f>
        <v>0</v>
      </c>
      <c r="B86" s="200"/>
      <c r="C86" s="303">
        <f>'TB负债(期初)'!I25</f>
        <v>0</v>
      </c>
      <c r="D86" s="305"/>
      <c r="E86" s="303"/>
      <c r="F86" s="215"/>
    </row>
    <row r="87" spans="1:6" ht="14.25">
      <c r="A87" s="732" t="str">
        <f>报表格式!G25</f>
        <v>流动负债合计</v>
      </c>
      <c r="B87" s="200"/>
      <c r="C87" s="307">
        <f>SUM(C68:C86)</f>
        <v>0</v>
      </c>
      <c r="D87" s="309"/>
      <c r="E87" s="307">
        <f>SUM(E68:E86)</f>
        <v>0</v>
      </c>
      <c r="F87" s="217"/>
    </row>
    <row r="88" spans="1:6" ht="14.25">
      <c r="A88" s="214" t="str">
        <f>报表格式!G26</f>
        <v>长期负债：</v>
      </c>
      <c r="B88" s="200"/>
      <c r="C88" s="303"/>
      <c r="D88" s="305"/>
      <c r="E88" s="303"/>
      <c r="F88" s="215"/>
    </row>
    <row r="89" spans="1:6" ht="14.25">
      <c r="A89" s="214" t="str">
        <f>报表格式!G27</f>
        <v>长期借款</v>
      </c>
      <c r="B89" s="200"/>
      <c r="C89" s="303">
        <f>'TB负债(期初)'!I28</f>
        <v>0</v>
      </c>
      <c r="D89" s="305"/>
      <c r="E89" s="303"/>
      <c r="F89" s="215"/>
    </row>
    <row r="90" spans="1:6" ht="14.25">
      <c r="A90" s="214" t="str">
        <f>报表格式!G28</f>
        <v>应付债券</v>
      </c>
      <c r="B90" s="200"/>
      <c r="C90" s="303">
        <f>'TB负债(期初)'!I29</f>
        <v>0</v>
      </c>
      <c r="D90" s="305"/>
      <c r="E90" s="303"/>
      <c r="F90" s="215"/>
    </row>
    <row r="91" spans="1:6" ht="14.25">
      <c r="A91" s="214" t="str">
        <f>报表格式!G29</f>
        <v>长期应付款</v>
      </c>
      <c r="B91" s="200"/>
      <c r="C91" s="303">
        <f>'TB负债(期初)'!I30</f>
        <v>0</v>
      </c>
      <c r="D91" s="305"/>
      <c r="E91" s="303"/>
      <c r="F91" s="215"/>
    </row>
    <row r="92" spans="1:6" ht="14.25">
      <c r="A92" s="214" t="str">
        <f>报表格式!G30</f>
        <v>专项应付款</v>
      </c>
      <c r="B92" s="200"/>
      <c r="C92" s="303">
        <f>'TB负债(期初)'!I31</f>
        <v>0</v>
      </c>
      <c r="D92" s="305"/>
      <c r="E92" s="303"/>
      <c r="F92" s="215"/>
    </row>
    <row r="93" spans="1:6" ht="14.25">
      <c r="A93" s="214" t="str">
        <f>报表格式!G31</f>
        <v>其他长期负债</v>
      </c>
      <c r="B93" s="200"/>
      <c r="C93" s="303">
        <f>'TB负债(期初)'!I32</f>
        <v>0</v>
      </c>
      <c r="D93" s="305"/>
      <c r="E93" s="303"/>
      <c r="F93" s="215"/>
    </row>
    <row r="94" spans="1:6" ht="14.25">
      <c r="A94" s="214" t="str">
        <f>报表格式!G32</f>
        <v xml:space="preserve">  其中：特准储备资金</v>
      </c>
      <c r="B94" s="200"/>
      <c r="C94" s="303">
        <f>'TB负债(期初)'!I33</f>
        <v>0</v>
      </c>
      <c r="D94" s="310"/>
      <c r="E94" s="303"/>
      <c r="F94" s="215"/>
    </row>
    <row r="95" spans="1:6" ht="14.25">
      <c r="A95" s="464">
        <f>报表格式!G33</f>
        <v>0</v>
      </c>
      <c r="B95" s="200"/>
      <c r="C95" s="303">
        <f>'TB负债(期初)'!I34</f>
        <v>0</v>
      </c>
      <c r="D95" s="310"/>
      <c r="E95" s="303"/>
      <c r="F95" s="215"/>
    </row>
    <row r="96" spans="1:6" ht="14.25">
      <c r="A96" s="464">
        <f>报表格式!G34</f>
        <v>0</v>
      </c>
      <c r="B96" s="200"/>
      <c r="C96" s="303">
        <f>'TB负债(期初)'!I35</f>
        <v>0</v>
      </c>
      <c r="D96" s="310"/>
      <c r="E96" s="303"/>
      <c r="F96" s="215"/>
    </row>
    <row r="97" spans="1:6" ht="14.25">
      <c r="A97" s="216" t="str">
        <f>报表格式!G35</f>
        <v>长期负债合计</v>
      </c>
      <c r="B97" s="200"/>
      <c r="C97" s="307">
        <f>SUM(C89:C93)+SUM(C95:C96)</f>
        <v>0</v>
      </c>
      <c r="D97" s="309"/>
      <c r="E97" s="307">
        <f>SUM(E89:E93)+SUM(E95:E96)</f>
        <v>0</v>
      </c>
      <c r="F97" s="217"/>
    </row>
    <row r="98" spans="1:6" ht="14.25">
      <c r="A98" s="214" t="str">
        <f>报表格式!G36</f>
        <v>递延税项：</v>
      </c>
      <c r="B98" s="200"/>
      <c r="C98" s="303"/>
      <c r="D98" s="305"/>
      <c r="E98" s="303"/>
      <c r="F98" s="215"/>
    </row>
    <row r="99" spans="1:6" ht="14.25">
      <c r="A99" s="214" t="str">
        <f>报表格式!G37</f>
        <v>递延税款贷项</v>
      </c>
      <c r="B99" s="200"/>
      <c r="C99" s="303">
        <f>'TB负债(期初)'!I38</f>
        <v>0</v>
      </c>
      <c r="D99" s="305"/>
      <c r="E99" s="303"/>
      <c r="F99" s="215"/>
    </row>
    <row r="100" spans="1:6" ht="14.25">
      <c r="A100" s="216" t="str">
        <f>报表格式!G38</f>
        <v>负 债 合 计</v>
      </c>
      <c r="B100" s="207"/>
      <c r="C100" s="307">
        <f>C87+C97+C99</f>
        <v>0</v>
      </c>
      <c r="D100" s="308"/>
      <c r="E100" s="307">
        <f>E87+E97+E99</f>
        <v>0</v>
      </c>
      <c r="F100" s="217"/>
    </row>
    <row r="101" spans="1:6" ht="14.25">
      <c r="A101" s="214" t="str">
        <f>报表格式!G39</f>
        <v>*少数股东权益</v>
      </c>
      <c r="B101" s="200"/>
      <c r="C101" s="303">
        <f>'TB负债(期初)'!I40</f>
        <v>0</v>
      </c>
      <c r="D101" s="305"/>
      <c r="E101" s="303"/>
      <c r="F101" s="215"/>
    </row>
    <row r="102" spans="1:6" ht="14.25">
      <c r="A102" s="464">
        <f>报表格式!G40</f>
        <v>0</v>
      </c>
      <c r="B102" s="200"/>
      <c r="C102" s="303">
        <f>'TB负债(期初)'!I41</f>
        <v>0</v>
      </c>
      <c r="D102" s="305"/>
      <c r="E102" s="303"/>
      <c r="F102" s="215"/>
    </row>
    <row r="103" spans="1:6" ht="14.25">
      <c r="A103" s="214" t="str">
        <f>报表格式!G41</f>
        <v>所有者权益：</v>
      </c>
      <c r="B103" s="200"/>
      <c r="C103" s="303"/>
      <c r="D103" s="305"/>
      <c r="E103" s="303"/>
      <c r="F103" s="215"/>
    </row>
    <row r="104" spans="1:6" ht="14.25">
      <c r="A104" s="214" t="str">
        <f>报表格式!G42</f>
        <v>实收资本</v>
      </c>
      <c r="B104" s="200"/>
      <c r="C104" s="303">
        <f>'TB负债(期初)'!I43</f>
        <v>0</v>
      </c>
      <c r="D104" s="305"/>
      <c r="E104" s="303"/>
      <c r="F104" s="215"/>
    </row>
    <row r="105" spans="1:6" ht="14.25">
      <c r="A105" s="214" t="str">
        <f>报表格式!G43</f>
        <v xml:space="preserve"> 国家资本</v>
      </c>
      <c r="B105" s="200"/>
      <c r="C105" s="303">
        <f>'TB负债(期初)'!I44</f>
        <v>0</v>
      </c>
      <c r="D105" s="305"/>
      <c r="E105" s="303"/>
      <c r="F105" s="215"/>
    </row>
    <row r="106" spans="1:6" ht="14.25">
      <c r="A106" s="214" t="str">
        <f>报表格式!G44</f>
        <v xml:space="preserve"> 集体资本</v>
      </c>
      <c r="B106" s="200"/>
      <c r="C106" s="303">
        <f>'TB负债(期初)'!I45</f>
        <v>0</v>
      </c>
      <c r="D106" s="305"/>
      <c r="E106" s="303"/>
      <c r="F106" s="215"/>
    </row>
    <row r="107" spans="1:6" ht="14.25">
      <c r="A107" s="214" t="str">
        <f>报表格式!G45</f>
        <v xml:space="preserve"> 法人资本</v>
      </c>
      <c r="B107" s="200"/>
      <c r="C107" s="303">
        <f>'TB负债(期初)'!I46</f>
        <v>0</v>
      </c>
      <c r="D107" s="305"/>
      <c r="E107" s="303"/>
      <c r="F107" s="215"/>
    </row>
    <row r="108" spans="1:6" ht="14.25">
      <c r="A108" s="214" t="str">
        <f>报表格式!G46</f>
        <v xml:space="preserve">   其中：国有法人资本</v>
      </c>
      <c r="B108" s="200"/>
      <c r="C108" s="303">
        <f>'TB负债(期初)'!I47</f>
        <v>0</v>
      </c>
      <c r="D108" s="305"/>
      <c r="E108" s="303"/>
      <c r="F108" s="215"/>
    </row>
    <row r="109" spans="1:6" ht="14.25">
      <c r="A109" s="214" t="str">
        <f>报表格式!G47</f>
        <v xml:space="preserve">         集体法人资本</v>
      </c>
      <c r="B109" s="200"/>
      <c r="C109" s="303">
        <f>'TB负债(期初)'!I48</f>
        <v>0</v>
      </c>
      <c r="D109" s="305"/>
      <c r="E109" s="303"/>
      <c r="F109" s="215"/>
    </row>
    <row r="110" spans="1:6" ht="14.25">
      <c r="A110" s="214" t="str">
        <f>报表格式!G48</f>
        <v xml:space="preserve"> 个人资本</v>
      </c>
      <c r="B110" s="200"/>
      <c r="C110" s="303">
        <f>'TB负债(期初)'!I49</f>
        <v>0</v>
      </c>
      <c r="D110" s="305"/>
      <c r="E110" s="303"/>
      <c r="F110" s="215"/>
    </row>
    <row r="111" spans="1:6" ht="14.25">
      <c r="A111" s="214" t="str">
        <f>报表格式!G49</f>
        <v xml:space="preserve"> 外商资本</v>
      </c>
      <c r="B111" s="200"/>
      <c r="C111" s="303">
        <f>'TB负债(期初)'!I50</f>
        <v>0</v>
      </c>
      <c r="D111" s="305"/>
      <c r="E111" s="303"/>
      <c r="F111" s="215"/>
    </row>
    <row r="112" spans="1:6" ht="14.25">
      <c r="A112" s="214" t="str">
        <f>报表格式!G50</f>
        <v>资本公积</v>
      </c>
      <c r="B112" s="200"/>
      <c r="C112" s="303">
        <f>'TB负债(期初)'!I51</f>
        <v>0</v>
      </c>
      <c r="D112" s="305"/>
      <c r="E112" s="303"/>
      <c r="F112" s="215"/>
    </row>
    <row r="113" spans="1:256" ht="14.25">
      <c r="A113" s="214" t="str">
        <f>报表格式!G51</f>
        <v>盈余公积</v>
      </c>
      <c r="B113" s="200"/>
      <c r="C113" s="303">
        <f>'TB负债(期初)'!I52</f>
        <v>0</v>
      </c>
      <c r="D113" s="305"/>
      <c r="E113" s="303"/>
      <c r="F113" s="215"/>
    </row>
    <row r="114" spans="1:256" ht="14.25">
      <c r="A114" s="214" t="str">
        <f>报表格式!G52</f>
        <v xml:space="preserve">  其中：法定公益金</v>
      </c>
      <c r="B114" s="200"/>
      <c r="C114" s="303">
        <f>'TB负债(期初)'!I53</f>
        <v>0</v>
      </c>
      <c r="D114" s="305"/>
      <c r="E114" s="303"/>
      <c r="F114" s="215"/>
    </row>
    <row r="115" spans="1:256" ht="14.25">
      <c r="A115" s="214" t="str">
        <f>报表格式!G53</f>
        <v>*未确认的投资损失（以“-”号填列）</v>
      </c>
      <c r="B115" s="200"/>
      <c r="C115" s="303">
        <f>'TB负债(期初)'!I54</f>
        <v>0</v>
      </c>
      <c r="D115" s="305"/>
      <c r="E115" s="303"/>
      <c r="F115" s="215"/>
    </row>
    <row r="116" spans="1:256" ht="14.25">
      <c r="A116" s="214" t="str">
        <f>报表格式!G54</f>
        <v>未分配利润</v>
      </c>
      <c r="B116" s="200"/>
      <c r="C116" s="303">
        <f>'TB负债(期初)'!I55</f>
        <v>0</v>
      </c>
      <c r="D116" s="305"/>
      <c r="E116" s="303"/>
      <c r="F116" s="215"/>
    </row>
    <row r="117" spans="1:256" ht="14.25">
      <c r="A117" s="214" t="str">
        <f>报表格式!G55</f>
        <v xml:space="preserve">  其中：现金股利</v>
      </c>
      <c r="B117" s="200"/>
      <c r="C117" s="303">
        <f>'TB负债(期初)'!I56</f>
        <v>0</v>
      </c>
      <c r="D117" s="305"/>
      <c r="E117" s="303"/>
      <c r="F117" s="215"/>
    </row>
    <row r="118" spans="1:256" ht="14.25">
      <c r="A118" s="214" t="str">
        <f>报表格式!G56</f>
        <v>外币报表折算差额</v>
      </c>
      <c r="B118" s="200"/>
      <c r="C118" s="303">
        <f>'TB负债(期初)'!I57</f>
        <v>0</v>
      </c>
      <c r="D118" s="305"/>
      <c r="E118" s="303"/>
      <c r="F118" s="215"/>
    </row>
    <row r="119" spans="1:256" ht="14.25">
      <c r="A119" s="464">
        <f>报表格式!G57</f>
        <v>0</v>
      </c>
      <c r="B119" s="207"/>
      <c r="C119" s="303">
        <f>'TB负债(期初)'!I58</f>
        <v>0</v>
      </c>
      <c r="D119" s="305"/>
      <c r="E119" s="303"/>
      <c r="F119" s="215"/>
    </row>
    <row r="120" spans="1:256" ht="14.25">
      <c r="A120" s="216" t="str">
        <f>报表格式!G58</f>
        <v>所有者权益小计</v>
      </c>
      <c r="B120" s="207"/>
      <c r="C120" s="307">
        <f>SUM(C104,C112,C113,C115,C116,C118:C119)</f>
        <v>0</v>
      </c>
      <c r="D120" s="309"/>
      <c r="E120" s="307">
        <f>SUM(E104,E112,E113,E115,E116,E118:E119)</f>
        <v>0</v>
      </c>
      <c r="F120" s="206"/>
    </row>
    <row r="121" spans="1:256" ht="14.25">
      <c r="A121" s="214" t="str">
        <f>报表格式!G59</f>
        <v>减：未处理资产损失</v>
      </c>
      <c r="B121" s="207"/>
      <c r="C121" s="307">
        <f>'TB负债(期初)'!I60</f>
        <v>0</v>
      </c>
      <c r="D121" s="309"/>
      <c r="E121" s="307"/>
      <c r="F121" s="206"/>
    </row>
    <row r="122" spans="1:256" ht="14.25">
      <c r="A122" s="711" t="str">
        <f>报表格式!G60</f>
        <v>所有者权益合计(剔除未处理资产损失后的金额)</v>
      </c>
      <c r="B122" s="207"/>
      <c r="C122" s="307">
        <f>C120-C121</f>
        <v>0</v>
      </c>
      <c r="D122" s="309"/>
      <c r="E122" s="307">
        <f>E120-E121</f>
        <v>0</v>
      </c>
      <c r="F122" s="206"/>
    </row>
    <row r="123" spans="1:256" ht="15" thickBot="1">
      <c r="A123" s="218" t="str">
        <f>报表格式!G73</f>
        <v>负债及所有者权益合计</v>
      </c>
      <c r="B123" s="219"/>
      <c r="C123" s="314">
        <f>C100+C101+C102+C122</f>
        <v>0</v>
      </c>
      <c r="D123" s="315"/>
      <c r="E123" s="316">
        <f>E100+E101+E102+E122</f>
        <v>0</v>
      </c>
      <c r="F123" s="220"/>
    </row>
    <row r="124" spans="1:256" ht="14.25">
      <c r="A124" s="112" t="str">
        <f>CONCATENATE(参数!C4,参数!D4)</f>
        <v>法定代表人：</v>
      </c>
      <c r="B124" s="113" t="str">
        <f>CONCATENATE(参数!C5,参数!D5)</f>
        <v>财务负责人：</v>
      </c>
      <c r="C124" s="113"/>
      <c r="D124" s="105"/>
      <c r="E124" s="113" t="str">
        <f>CONCATENATE(参数!C6,参数!D6)</f>
        <v>会计主管：</v>
      </c>
      <c r="F124" s="105"/>
    </row>
    <row r="125" spans="1:256" ht="17.100000000000001" customHeight="1">
      <c r="A125" s="1023"/>
      <c r="B125" s="1023"/>
      <c r="C125" s="1023"/>
      <c r="D125" s="1023"/>
      <c r="E125" s="1023"/>
      <c r="F125" s="1023"/>
    </row>
    <row r="126" spans="1:256" s="111" customFormat="1" ht="12.75">
      <c r="A126" s="828" t="s">
        <v>958</v>
      </c>
      <c r="B126" s="884"/>
      <c r="C126" s="835">
        <f>C61-C123</f>
        <v>0</v>
      </c>
      <c r="D126" s="828"/>
      <c r="E126" s="835">
        <f>E61-E123</f>
        <v>0</v>
      </c>
      <c r="F126" s="73"/>
      <c r="G126" s="106"/>
      <c r="H126" s="106"/>
      <c r="I126" s="106"/>
      <c r="J126" s="106"/>
      <c r="K126" s="104"/>
      <c r="L126" s="107"/>
      <c r="M126" s="108"/>
      <c r="N126" s="108"/>
      <c r="O126" s="108"/>
      <c r="P126" s="108"/>
      <c r="Q126" s="109"/>
      <c r="R126" s="109"/>
      <c r="S126" s="109"/>
      <c r="T126" s="109"/>
      <c r="U126" s="110"/>
      <c r="V126" s="110"/>
    </row>
    <row r="127" spans="1:256" ht="14.25">
      <c r="A127" s="828" t="s">
        <v>959</v>
      </c>
      <c r="B127" s="884"/>
      <c r="C127" s="835">
        <f>C116-'审定PL(上期)'!C72</f>
        <v>0</v>
      </c>
      <c r="D127" s="828"/>
      <c r="E127" s="835">
        <f>E116-'审定PL(上期)'!E72</f>
        <v>0</v>
      </c>
      <c r="F127" s="73"/>
      <c r="G127" s="70"/>
      <c r="H127" s="1022"/>
      <c r="I127" s="1022"/>
      <c r="J127" s="1022"/>
      <c r="K127" s="71"/>
      <c r="L127" s="72"/>
      <c r="M127" s="70"/>
      <c r="N127" s="1022"/>
      <c r="O127" s="1022"/>
      <c r="P127" s="1022"/>
      <c r="Q127" s="71"/>
      <c r="R127" s="72"/>
      <c r="S127" s="70"/>
      <c r="T127" s="1022"/>
      <c r="U127" s="1022"/>
      <c r="V127" s="1022"/>
      <c r="W127" s="71"/>
      <c r="X127" s="72"/>
      <c r="Y127" s="70"/>
      <c r="Z127" s="1022"/>
      <c r="AA127" s="1022"/>
      <c r="AB127" s="1022"/>
      <c r="AC127" s="71"/>
      <c r="AD127" s="72"/>
      <c r="AE127" s="70"/>
      <c r="AF127" s="1022"/>
      <c r="AG127" s="1022"/>
      <c r="AH127" s="1022"/>
      <c r="AI127" s="71"/>
      <c r="AJ127" s="72"/>
      <c r="AK127" s="70"/>
      <c r="AL127" s="1022"/>
      <c r="AM127" s="1022"/>
      <c r="AN127" s="1022"/>
      <c r="AO127" s="71"/>
      <c r="AP127" s="72"/>
      <c r="AQ127" s="70"/>
      <c r="AR127" s="1022"/>
      <c r="AS127" s="1022"/>
      <c r="AT127" s="1022"/>
      <c r="AU127" s="71"/>
      <c r="AV127" s="72"/>
      <c r="AW127" s="70"/>
      <c r="AX127" s="1022"/>
      <c r="AY127" s="1022"/>
      <c r="AZ127" s="1022"/>
      <c r="BA127" s="71"/>
      <c r="BB127" s="72"/>
      <c r="BC127" s="70"/>
      <c r="BD127" s="1022"/>
      <c r="BE127" s="1022"/>
      <c r="BF127" s="1022"/>
      <c r="BG127" s="71"/>
      <c r="BH127" s="72"/>
      <c r="BI127" s="70"/>
      <c r="BJ127" s="1022"/>
      <c r="BK127" s="1022"/>
      <c r="BL127" s="1022"/>
      <c r="BM127" s="71"/>
      <c r="BN127" s="72"/>
      <c r="BO127" s="70"/>
      <c r="BP127" s="1022"/>
      <c r="BQ127" s="1022"/>
      <c r="BR127" s="1022"/>
      <c r="BS127" s="71"/>
      <c r="BT127" s="72"/>
      <c r="BU127" s="70"/>
      <c r="BV127" s="1022"/>
      <c r="BW127" s="1022"/>
      <c r="BX127" s="1022"/>
      <c r="BY127" s="71"/>
      <c r="BZ127" s="72"/>
      <c r="CA127" s="70"/>
      <c r="CB127" s="1022"/>
      <c r="CC127" s="1022"/>
      <c r="CD127" s="1022"/>
      <c r="CE127" s="71"/>
      <c r="CF127" s="72"/>
      <c r="CG127" s="70"/>
      <c r="CH127" s="1022"/>
      <c r="CI127" s="1022"/>
      <c r="CJ127" s="1022"/>
      <c r="CK127" s="71"/>
      <c r="CL127" s="72"/>
      <c r="CM127" s="70"/>
      <c r="CN127" s="1022"/>
      <c r="CO127" s="1022"/>
      <c r="CP127" s="1022"/>
      <c r="CQ127" s="71"/>
      <c r="CR127" s="72"/>
      <c r="CS127" s="70"/>
      <c r="CT127" s="1022"/>
      <c r="CU127" s="1022"/>
      <c r="CV127" s="1022"/>
      <c r="CW127" s="71"/>
      <c r="CX127" s="72"/>
      <c r="CY127" s="70"/>
      <c r="CZ127" s="1022"/>
      <c r="DA127" s="1022"/>
      <c r="DB127" s="1022"/>
      <c r="DC127" s="71"/>
      <c r="DD127" s="72"/>
      <c r="DE127" s="70"/>
      <c r="DF127" s="1022"/>
      <c r="DG127" s="1022"/>
      <c r="DH127" s="1022"/>
      <c r="DI127" s="71"/>
      <c r="DJ127" s="72"/>
      <c r="DK127" s="70"/>
      <c r="DL127" s="1022"/>
      <c r="DM127" s="1022"/>
      <c r="DN127" s="1022"/>
      <c r="DO127" s="71"/>
      <c r="DP127" s="72"/>
      <c r="DQ127" s="70"/>
      <c r="DR127" s="1022"/>
      <c r="DS127" s="1022"/>
      <c r="DT127" s="1022"/>
      <c r="DU127" s="71"/>
      <c r="DV127" s="72"/>
      <c r="DW127" s="70"/>
      <c r="DX127" s="1022"/>
      <c r="DY127" s="1022"/>
      <c r="DZ127" s="1022"/>
      <c r="EA127" s="71"/>
      <c r="EB127" s="72"/>
      <c r="EC127" s="70"/>
      <c r="ED127" s="1022"/>
      <c r="EE127" s="1022"/>
      <c r="EF127" s="1022"/>
      <c r="EG127" s="71"/>
      <c r="EH127" s="72"/>
      <c r="EI127" s="70"/>
      <c r="EJ127" s="1022"/>
      <c r="EK127" s="1022"/>
      <c r="EL127" s="1022"/>
      <c r="EM127" s="71"/>
      <c r="EN127" s="72"/>
      <c r="EO127" s="70"/>
      <c r="EP127" s="1022"/>
      <c r="EQ127" s="1022"/>
      <c r="ER127" s="1022"/>
      <c r="ES127" s="71"/>
      <c r="ET127" s="72"/>
      <c r="EU127" s="70"/>
      <c r="EV127" s="1022"/>
      <c r="EW127" s="1022"/>
      <c r="EX127" s="1022"/>
      <c r="EY127" s="71"/>
      <c r="EZ127" s="72"/>
      <c r="FA127" s="70"/>
      <c r="FB127" s="1022"/>
      <c r="FC127" s="1022"/>
      <c r="FD127" s="1022"/>
      <c r="FE127" s="71"/>
      <c r="FF127" s="72"/>
      <c r="FG127" s="70"/>
      <c r="FH127" s="1022"/>
      <c r="FI127" s="1022"/>
      <c r="FJ127" s="1022"/>
      <c r="FK127" s="71"/>
      <c r="FL127" s="72"/>
      <c r="FM127" s="70"/>
      <c r="FN127" s="1022"/>
      <c r="FO127" s="1022"/>
      <c r="FP127" s="1022"/>
      <c r="FQ127" s="71"/>
      <c r="FR127" s="72"/>
      <c r="FS127" s="70"/>
      <c r="FT127" s="1022"/>
      <c r="FU127" s="1022"/>
      <c r="FV127" s="1022"/>
      <c r="FW127" s="71"/>
      <c r="FX127" s="72"/>
      <c r="FY127" s="70"/>
      <c r="FZ127" s="1022"/>
      <c r="GA127" s="1022"/>
      <c r="GB127" s="1022"/>
      <c r="GC127" s="71"/>
      <c r="GD127" s="72"/>
      <c r="GE127" s="70"/>
      <c r="GF127" s="1022"/>
      <c r="GG127" s="1022"/>
      <c r="GH127" s="1022"/>
      <c r="GI127" s="71"/>
      <c r="GJ127" s="72"/>
      <c r="GK127" s="70"/>
      <c r="GL127" s="1022"/>
      <c r="GM127" s="1022"/>
      <c r="GN127" s="1022"/>
      <c r="GO127" s="71"/>
      <c r="GP127" s="72"/>
      <c r="GQ127" s="70"/>
      <c r="GR127" s="1022"/>
      <c r="GS127" s="1022"/>
      <c r="GT127" s="1022"/>
      <c r="GU127" s="71"/>
      <c r="GV127" s="72"/>
      <c r="GW127" s="70"/>
      <c r="GX127" s="1022"/>
      <c r="GY127" s="1022"/>
      <c r="GZ127" s="1022"/>
      <c r="HA127" s="71"/>
      <c r="HB127" s="72"/>
      <c r="HC127" s="70"/>
      <c r="HD127" s="1022"/>
      <c r="HE127" s="1022"/>
      <c r="HF127" s="1022"/>
      <c r="HG127" s="71"/>
      <c r="HH127" s="72"/>
      <c r="HI127" s="70"/>
      <c r="HJ127" s="1022"/>
      <c r="HK127" s="1022"/>
      <c r="HL127" s="1022"/>
      <c r="HM127" s="71"/>
      <c r="HN127" s="72"/>
      <c r="HO127" s="70"/>
      <c r="HP127" s="1022"/>
      <c r="HQ127" s="1022"/>
      <c r="HR127" s="1022"/>
      <c r="HS127" s="71"/>
      <c r="HT127" s="72"/>
      <c r="HU127" s="70"/>
      <c r="HV127" s="1022"/>
      <c r="HW127" s="1022"/>
      <c r="HX127" s="1022"/>
      <c r="HY127" s="71"/>
      <c r="HZ127" s="72"/>
      <c r="IA127" s="70"/>
      <c r="IB127" s="1022"/>
      <c r="IC127" s="1022"/>
      <c r="ID127" s="1022"/>
      <c r="IE127" s="71"/>
      <c r="IF127" s="72"/>
      <c r="IG127" s="70"/>
      <c r="IH127" s="1022"/>
      <c r="II127" s="1022"/>
      <c r="IJ127" s="1022"/>
      <c r="IK127" s="71"/>
      <c r="IL127" s="72"/>
      <c r="IM127" s="70"/>
      <c r="IN127" s="1022"/>
      <c r="IO127" s="1022"/>
      <c r="IP127" s="1022"/>
      <c r="IQ127" s="71"/>
      <c r="IR127" s="72"/>
      <c r="IS127" s="70"/>
      <c r="IT127" s="1022"/>
      <c r="IU127" s="1022"/>
      <c r="IV127" s="1022"/>
    </row>
    <row r="128" spans="1:256" s="74" customFormat="1" ht="12.75">
      <c r="A128" s="828" t="s">
        <v>952</v>
      </c>
      <c r="B128" s="884"/>
      <c r="C128" s="835"/>
      <c r="D128" s="828"/>
      <c r="E128" s="835">
        <f>审定PL!C54-审定PL!E73</f>
        <v>0</v>
      </c>
      <c r="F128" s="73"/>
    </row>
    <row r="129" spans="1:6" s="74" customFormat="1" ht="20.25" customHeight="1">
      <c r="A129" s="73"/>
      <c r="B129" s="75"/>
      <c r="C129" s="76"/>
      <c r="D129" s="76"/>
      <c r="E129" s="76"/>
      <c r="F129" s="73"/>
    </row>
    <row r="130" spans="1:6" s="74" customFormat="1" ht="20.25" customHeight="1">
      <c r="A130" s="73"/>
      <c r="B130" s="75"/>
      <c r="C130" s="76"/>
      <c r="D130" s="76"/>
      <c r="E130" s="76"/>
      <c r="F130" s="73"/>
    </row>
    <row r="131" spans="1:6" s="74" customFormat="1" ht="20.25" customHeight="1">
      <c r="A131" s="77"/>
      <c r="B131" s="78"/>
      <c r="C131" s="77"/>
      <c r="D131" s="77"/>
      <c r="E131" s="77"/>
      <c r="F131" s="77"/>
    </row>
    <row r="132" spans="1:6" s="74" customFormat="1" ht="20.25" customHeight="1">
      <c r="A132" s="79"/>
      <c r="B132" s="78"/>
      <c r="C132" s="77"/>
      <c r="D132" s="77"/>
      <c r="E132" s="77"/>
      <c r="F132" s="77"/>
    </row>
  </sheetData>
  <sheetProtection formatCells="0" insertRows="0" autoFilter="0" pivotTables="0"/>
  <mergeCells count="52">
    <mergeCell ref="A1:F1"/>
    <mergeCell ref="C4:D4"/>
    <mergeCell ref="E4:F4"/>
    <mergeCell ref="A63:F63"/>
    <mergeCell ref="A3:C3"/>
    <mergeCell ref="A125:F125"/>
    <mergeCell ref="H127:J127"/>
    <mergeCell ref="C64:D64"/>
    <mergeCell ref="C66:D66"/>
    <mergeCell ref="E66:F66"/>
    <mergeCell ref="A65:C65"/>
    <mergeCell ref="AL127:AN127"/>
    <mergeCell ref="AR127:AT127"/>
    <mergeCell ref="AX127:AZ127"/>
    <mergeCell ref="BD127:BF127"/>
    <mergeCell ref="N127:P127"/>
    <mergeCell ref="T127:V127"/>
    <mergeCell ref="Z127:AB127"/>
    <mergeCell ref="AF127:AH127"/>
    <mergeCell ref="CH127:CJ127"/>
    <mergeCell ref="CN127:CP127"/>
    <mergeCell ref="CT127:CV127"/>
    <mergeCell ref="CZ127:DB127"/>
    <mergeCell ref="BJ127:BL127"/>
    <mergeCell ref="BP127:BR127"/>
    <mergeCell ref="BV127:BX127"/>
    <mergeCell ref="CB127:CD127"/>
    <mergeCell ref="HJ127:HL127"/>
    <mergeCell ref="EP127:ER127"/>
    <mergeCell ref="EV127:EX127"/>
    <mergeCell ref="DF127:DH127"/>
    <mergeCell ref="DL127:DN127"/>
    <mergeCell ref="DR127:DT127"/>
    <mergeCell ref="DX127:DZ127"/>
    <mergeCell ref="ED127:EF127"/>
    <mergeCell ref="EJ127:EL127"/>
    <mergeCell ref="FZ127:GB127"/>
    <mergeCell ref="GF127:GH127"/>
    <mergeCell ref="GL127:GN127"/>
    <mergeCell ref="GR127:GT127"/>
    <mergeCell ref="GX127:GZ127"/>
    <mergeCell ref="HD127:HF127"/>
    <mergeCell ref="IT127:IV127"/>
    <mergeCell ref="HV127:HX127"/>
    <mergeCell ref="IB127:ID127"/>
    <mergeCell ref="IH127:IJ127"/>
    <mergeCell ref="IN127:IP127"/>
    <mergeCell ref="FB127:FD127"/>
    <mergeCell ref="FH127:FJ127"/>
    <mergeCell ref="FN127:FP127"/>
    <mergeCell ref="FT127:FV127"/>
    <mergeCell ref="HP127:HR127"/>
  </mergeCells>
  <phoneticPr fontId="3" type="noConversion"/>
  <conditionalFormatting sqref="A65:C65 A3:C3">
    <cfRule type="cellIs" dxfId="3" priority="1" stopIfTrue="1" operator="equal">
      <formula>"            对不起，请到参数表中确定报表类型！"</formula>
    </cfRule>
    <cfRule type="cellIs" dxfId="2" priority="2" stopIfTrue="1" operator="equal">
      <formula>"对不起，试用期已到，请查看系统信息，并与作者联系。"</formula>
    </cfRule>
  </conditionalFormatting>
  <printOptions horizontalCentered="1" verticalCentered="1"/>
  <pageMargins left="0.59055118110236227" right="0.39370078740157483" top="0.28999999999999998" bottom="0.27" header="0.22" footer="0.33"/>
  <pageSetup paperSize="9" scale="85" fitToHeight="2" orientation="portrait" horizontalDpi="360" r:id="rId1"/>
  <headerFooter alignWithMargins="0"/>
  <rowBreaks count="1" manualBreakCount="1">
    <brk id="62" max="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85"/>
  <sheetViews>
    <sheetView showZeros="0" workbookViewId="0">
      <pane xSplit="1" ySplit="4" topLeftCell="B5" activePane="bottomRight" state="frozen"/>
      <selection pane="topRight" activeCell="B1" sqref="B1"/>
      <selection pane="bottomLeft" activeCell="A5" sqref="A5"/>
      <selection pane="bottomRight" activeCell="E5" sqref="E5"/>
    </sheetView>
  </sheetViews>
  <sheetFormatPr defaultColWidth="14.5" defaultRowHeight="14.25"/>
  <cols>
    <col min="1" max="1" width="43.625" style="80" customWidth="1"/>
    <col min="2" max="2" width="7.25" style="81" bestFit="1" customWidth="1"/>
    <col min="3" max="3" width="19.5" style="80" customWidth="1"/>
    <col min="4" max="4" width="2.375" style="80" customWidth="1"/>
    <col min="5" max="5" width="16.125" style="80" bestFit="1" customWidth="1"/>
    <col min="6" max="6" width="2.375" style="80" customWidth="1"/>
    <col min="7" max="16384" width="14.5" style="80"/>
  </cols>
  <sheetData>
    <row r="1" spans="1:6" ht="18.75">
      <c r="A1" s="962" t="s">
        <v>731</v>
      </c>
      <c r="B1" s="962"/>
      <c r="C1" s="962"/>
      <c r="D1" s="962"/>
      <c r="E1" s="962"/>
      <c r="F1" s="962"/>
    </row>
    <row r="2" spans="1:6" ht="9.75" customHeight="1">
      <c r="A2" s="221"/>
      <c r="B2" s="221"/>
      <c r="C2" s="221"/>
      <c r="D2" s="221"/>
      <c r="E2" s="665">
        <f>ROUND(E72-C53,2)</f>
        <v>0</v>
      </c>
      <c r="F2" s="221"/>
    </row>
    <row r="3" spans="1:6">
      <c r="A3" s="956" t="str">
        <f>IF(报表格式!G41="","    对不起，请到参数表中确定报表类型！",CONCATENATE(" 编制单位：",参数!D3))</f>
        <v xml:space="preserve"> 编制单位：</v>
      </c>
      <c r="B3" s="956"/>
      <c r="C3" s="956"/>
      <c r="D3" s="222"/>
      <c r="E3" s="223" t="str">
        <f>CONCATENATE("单位：",参数!$D$13)</f>
        <v>单位：人民币元</v>
      </c>
      <c r="F3" s="224"/>
    </row>
    <row r="4" spans="1:6" s="82" customFormat="1" ht="12.75">
      <c r="A4" s="225" t="s">
        <v>134</v>
      </c>
      <c r="B4" s="226" t="s">
        <v>732</v>
      </c>
      <c r="C4" s="1025" t="str">
        <f>参数!D9</f>
        <v>2006年度</v>
      </c>
      <c r="D4" s="1025"/>
      <c r="E4" s="1025" t="str">
        <f>(LEFT(C4,4)-1)&amp;"年度"</f>
        <v>2005年度</v>
      </c>
      <c r="F4" s="1025"/>
    </row>
    <row r="5" spans="1:6" s="82" customFormat="1" ht="12.75">
      <c r="A5" s="227" t="str">
        <f>报表格式!L5</f>
        <v>一、主营业务收入</v>
      </c>
      <c r="B5" s="228"/>
      <c r="C5" s="307">
        <f>'TB损益(期初)'!I6</f>
        <v>0</v>
      </c>
      <c r="D5" s="309"/>
      <c r="E5" s="307"/>
      <c r="F5" s="230"/>
    </row>
    <row r="6" spans="1:6" s="82" customFormat="1" ht="12.75">
      <c r="A6" s="231" t="str">
        <f>报表格式!L6</f>
        <v xml:space="preserve">    其中：进口产品（商品）销售收入</v>
      </c>
      <c r="B6" s="228"/>
      <c r="C6" s="303">
        <f>'TB损益(期初)'!I7</f>
        <v>0</v>
      </c>
      <c r="D6" s="305"/>
      <c r="E6" s="303"/>
      <c r="F6" s="230"/>
    </row>
    <row r="7" spans="1:6" s="82" customFormat="1" ht="12.75">
      <c r="A7" s="231" t="str">
        <f>报表格式!L7</f>
        <v xml:space="preserve">          出口产品（商品）销售收入</v>
      </c>
      <c r="B7" s="228"/>
      <c r="C7" s="303">
        <f>'TB损益(期初)'!I8</f>
        <v>0</v>
      </c>
      <c r="D7" s="305"/>
      <c r="E7" s="303"/>
      <c r="F7" s="230"/>
    </row>
    <row r="8" spans="1:6" s="82" customFormat="1" ht="12.75">
      <c r="A8" s="231" t="str">
        <f>报表格式!L8</f>
        <v xml:space="preserve">    减：折扣与折让</v>
      </c>
      <c r="B8" s="228"/>
      <c r="C8" s="303">
        <f>'TB损益(期初)'!I9</f>
        <v>0</v>
      </c>
      <c r="D8" s="305"/>
      <c r="E8" s="303"/>
      <c r="F8" s="230"/>
    </row>
    <row r="9" spans="1:6" s="82" customFormat="1" ht="12.75">
      <c r="A9" s="227" t="str">
        <f>报表格式!L9</f>
        <v>二、主营业务收入净额</v>
      </c>
      <c r="B9" s="228"/>
      <c r="C9" s="307">
        <f>C5-C8</f>
        <v>0</v>
      </c>
      <c r="D9" s="309"/>
      <c r="E9" s="307">
        <f>E5-E8</f>
        <v>0</v>
      </c>
      <c r="F9" s="230"/>
    </row>
    <row r="10" spans="1:6" s="82" customFormat="1" ht="12.75">
      <c r="A10" s="231" t="str">
        <f>报表格式!L10</f>
        <v xml:space="preserve">    减：（一）主营业务成本</v>
      </c>
      <c r="B10" s="228"/>
      <c r="C10" s="303">
        <f>'TB损益(期初)'!I11</f>
        <v>0</v>
      </c>
      <c r="D10" s="305"/>
      <c r="E10" s="303"/>
      <c r="F10" s="230"/>
    </row>
    <row r="11" spans="1:6" s="82" customFormat="1" ht="12.75">
      <c r="A11" s="231" t="str">
        <f>报表格式!L11</f>
        <v xml:space="preserve">              其中：出口产品（商品）销售成本</v>
      </c>
      <c r="B11" s="228"/>
      <c r="C11" s="303">
        <f>'TB损益(期初)'!I12</f>
        <v>0</v>
      </c>
      <c r="D11" s="305"/>
      <c r="E11" s="303"/>
      <c r="F11" s="230"/>
    </row>
    <row r="12" spans="1:6" s="82" customFormat="1" ht="12.75">
      <c r="A12" s="231" t="str">
        <f>报表格式!L12</f>
        <v xml:space="preserve">        （二）主营业务税金及附加</v>
      </c>
      <c r="B12" s="228"/>
      <c r="C12" s="303">
        <f>'TB损益(期初)'!I13</f>
        <v>0</v>
      </c>
      <c r="D12" s="305"/>
      <c r="E12" s="303"/>
      <c r="F12" s="230"/>
    </row>
    <row r="13" spans="1:6" s="82" customFormat="1" ht="12.75">
      <c r="A13" s="231" t="str">
        <f>报表格式!L13</f>
        <v xml:space="preserve">        （三）经营费用</v>
      </c>
      <c r="B13" s="228"/>
      <c r="C13" s="303">
        <f>'TB损益(期初)'!I14</f>
        <v>0</v>
      </c>
      <c r="D13" s="305"/>
      <c r="E13" s="303"/>
      <c r="F13" s="230"/>
    </row>
    <row r="14" spans="1:6" s="82" customFormat="1" ht="12.75">
      <c r="A14" s="231" t="str">
        <f>报表格式!L14</f>
        <v xml:space="preserve">        （四）其他</v>
      </c>
      <c r="B14" s="228"/>
      <c r="C14" s="303">
        <f>'TB损益(期初)'!I15</f>
        <v>0</v>
      </c>
      <c r="D14" s="305"/>
      <c r="E14" s="303"/>
      <c r="F14" s="230"/>
    </row>
    <row r="15" spans="1:6" s="82" customFormat="1" ht="12.75">
      <c r="A15" s="231" t="str">
        <f>报表格式!L15</f>
        <v xml:space="preserve">    加：（一）递延收益</v>
      </c>
      <c r="B15" s="228"/>
      <c r="C15" s="303">
        <f>'TB损益(期初)'!I16</f>
        <v>0</v>
      </c>
      <c r="D15" s="305"/>
      <c r="E15" s="303"/>
      <c r="F15" s="230"/>
    </row>
    <row r="16" spans="1:6" s="82" customFormat="1" ht="12.75">
      <c r="A16" s="231" t="str">
        <f>报表格式!L16</f>
        <v xml:space="preserve">        （二）代购代销收入</v>
      </c>
      <c r="B16" s="228"/>
      <c r="C16" s="303">
        <f>'TB损益(期初)'!I17</f>
        <v>0</v>
      </c>
      <c r="D16" s="305"/>
      <c r="E16" s="303"/>
      <c r="F16" s="230"/>
    </row>
    <row r="17" spans="1:6" s="82" customFormat="1" ht="12.75">
      <c r="A17" s="231" t="str">
        <f>报表格式!L17</f>
        <v xml:space="preserve">        （三）其他</v>
      </c>
      <c r="B17" s="228"/>
      <c r="C17" s="303">
        <f>'TB损益(期初)'!I18</f>
        <v>0</v>
      </c>
      <c r="D17" s="305"/>
      <c r="E17" s="303"/>
      <c r="F17" s="230"/>
    </row>
    <row r="18" spans="1:6" s="82" customFormat="1" ht="12.75">
      <c r="A18" s="227" t="str">
        <f>报表格式!L18</f>
        <v>三、主营业务利润</v>
      </c>
      <c r="B18" s="228"/>
      <c r="C18" s="307">
        <f>C9-C10-C12-C13-C14+C15+C16+C17</f>
        <v>0</v>
      </c>
      <c r="D18" s="309"/>
      <c r="E18" s="307">
        <f>E9-E10-E12-E13-E14+E15+E16+E17</f>
        <v>0</v>
      </c>
      <c r="F18" s="229"/>
    </row>
    <row r="19" spans="1:6" s="82" customFormat="1" ht="12.75">
      <c r="A19" s="231" t="str">
        <f>报表格式!L19</f>
        <v xml:space="preserve">    加：其他业务利润</v>
      </c>
      <c r="B19" s="228"/>
      <c r="C19" s="303">
        <f>'TB损益(期初)'!I20</f>
        <v>0</v>
      </c>
      <c r="D19" s="305"/>
      <c r="E19" s="303"/>
      <c r="F19" s="230"/>
    </row>
    <row r="20" spans="1:6" s="82" customFormat="1" ht="12.75">
      <c r="A20" s="231" t="str">
        <f>报表格式!L20</f>
        <v xml:space="preserve">    减：（一）营业费用</v>
      </c>
      <c r="B20" s="228"/>
      <c r="C20" s="303">
        <f>'TB损益(期初)'!I21</f>
        <v>0</v>
      </c>
      <c r="D20" s="305"/>
      <c r="E20" s="303"/>
      <c r="F20" s="230"/>
    </row>
    <row r="21" spans="1:6" s="82" customFormat="1" ht="12.75">
      <c r="A21" s="231" t="str">
        <f>报表格式!L21</f>
        <v xml:space="preserve">        （二）管理费用</v>
      </c>
      <c r="B21" s="228"/>
      <c r="C21" s="303">
        <f>'TB损益(期初)'!I22</f>
        <v>0</v>
      </c>
      <c r="D21" s="305"/>
      <c r="E21" s="303"/>
      <c r="F21" s="230"/>
    </row>
    <row r="22" spans="1:6" s="82" customFormat="1" ht="12.75">
      <c r="A22" s="231" t="str">
        <f>报表格式!L22</f>
        <v xml:space="preserve">         其中：业务招待费</v>
      </c>
      <c r="B22" s="228"/>
      <c r="C22" s="303">
        <f>'TB损益(期初)'!I23</f>
        <v>0</v>
      </c>
      <c r="D22" s="305"/>
      <c r="E22" s="303"/>
      <c r="F22" s="230"/>
    </row>
    <row r="23" spans="1:6" s="82" customFormat="1" ht="12.75">
      <c r="A23" s="231" t="str">
        <f>报表格式!L23</f>
        <v xml:space="preserve">               研究与开发费</v>
      </c>
      <c r="B23" s="228"/>
      <c r="C23" s="303">
        <f>'TB损益(期初)'!I24</f>
        <v>0</v>
      </c>
      <c r="D23" s="305"/>
      <c r="E23" s="303"/>
      <c r="F23" s="230"/>
    </row>
    <row r="24" spans="1:6" s="82" customFormat="1" ht="12.75">
      <c r="A24" s="231" t="str">
        <f>报表格式!L24</f>
        <v xml:space="preserve">        （三）财务费用</v>
      </c>
      <c r="B24" s="228"/>
      <c r="C24" s="303">
        <f>'TB损益(期初)'!I25</f>
        <v>0</v>
      </c>
      <c r="D24" s="305"/>
      <c r="E24" s="303"/>
      <c r="F24" s="230"/>
    </row>
    <row r="25" spans="1:6" s="82" customFormat="1" ht="12.75">
      <c r="A25" s="231" t="str">
        <f>报表格式!L25</f>
        <v xml:space="preserve">         其中：利息支出</v>
      </c>
      <c r="B25" s="228"/>
      <c r="C25" s="303">
        <f>'TB损益(期初)'!I26</f>
        <v>0</v>
      </c>
      <c r="D25" s="305"/>
      <c r="E25" s="303"/>
      <c r="F25" s="230"/>
    </row>
    <row r="26" spans="1:6" s="82" customFormat="1" ht="12.75">
      <c r="A26" s="231" t="str">
        <f>报表格式!L26</f>
        <v xml:space="preserve">               利息收入</v>
      </c>
      <c r="B26" s="228"/>
      <c r="C26" s="303">
        <f>'TB损益(期初)'!I27</f>
        <v>0</v>
      </c>
      <c r="D26" s="305"/>
      <c r="E26" s="303"/>
      <c r="F26" s="230"/>
    </row>
    <row r="27" spans="1:6" s="82" customFormat="1" ht="12.75">
      <c r="A27" s="231" t="str">
        <f>报表格式!L27</f>
        <v xml:space="preserve">               汇兑净损失</v>
      </c>
      <c r="B27" s="228"/>
      <c r="C27" s="303">
        <f>'TB损益(期初)'!I28</f>
        <v>0</v>
      </c>
      <c r="D27" s="305"/>
      <c r="E27" s="303"/>
      <c r="F27" s="230"/>
    </row>
    <row r="28" spans="1:6" s="82" customFormat="1" ht="12.75">
      <c r="A28" s="231" t="str">
        <f>报表格式!L28</f>
        <v xml:space="preserve">        （四）其他</v>
      </c>
      <c r="B28" s="228"/>
      <c r="C28" s="303">
        <f>'TB损益(期初)'!I29</f>
        <v>0</v>
      </c>
      <c r="D28" s="305"/>
      <c r="E28" s="303"/>
      <c r="F28" s="230"/>
    </row>
    <row r="29" spans="1:6" s="82" customFormat="1" ht="12.75">
      <c r="A29" s="227" t="str">
        <f>报表格式!L29</f>
        <v>四、营业利润</v>
      </c>
      <c r="B29" s="228"/>
      <c r="C29" s="307">
        <f>C18+C19-C20-C21-C24-C28</f>
        <v>0</v>
      </c>
      <c r="D29" s="309"/>
      <c r="E29" s="307">
        <f>E18+E19-E20-E21-E24-E28</f>
        <v>0</v>
      </c>
      <c r="F29" s="229"/>
    </row>
    <row r="30" spans="1:6" s="82" customFormat="1" ht="12.75">
      <c r="A30" s="231" t="str">
        <f>报表格式!L30</f>
        <v xml:space="preserve">    加：（一）投资收益</v>
      </c>
      <c r="B30" s="228"/>
      <c r="C30" s="303">
        <f>'TB损益(期初)'!I31</f>
        <v>0</v>
      </c>
      <c r="D30" s="305"/>
      <c r="E30" s="303"/>
      <c r="F30" s="230"/>
    </row>
    <row r="31" spans="1:6" s="82" customFormat="1" ht="12.75">
      <c r="A31" s="231" t="str">
        <f>报表格式!L31</f>
        <v xml:space="preserve">        （二）期货收益</v>
      </c>
      <c r="B31" s="228"/>
      <c r="C31" s="303">
        <f>'TB损益(期初)'!I32</f>
        <v>0</v>
      </c>
      <c r="D31" s="305"/>
      <c r="E31" s="303"/>
      <c r="F31" s="230"/>
    </row>
    <row r="32" spans="1:6" s="82" customFormat="1" ht="12.75">
      <c r="A32" s="231" t="str">
        <f>报表格式!L32</f>
        <v xml:space="preserve">        （三）补贴收入</v>
      </c>
      <c r="B32" s="228"/>
      <c r="C32" s="303">
        <f>'TB损益(期初)'!I33</f>
        <v>0</v>
      </c>
      <c r="D32" s="305"/>
      <c r="E32" s="303"/>
      <c r="F32" s="230"/>
    </row>
    <row r="33" spans="1:6" s="82" customFormat="1" ht="12.75">
      <c r="A33" s="231" t="str">
        <f>报表格式!L33</f>
        <v xml:space="preserve">             其中：补贴前亏损的企业补贴收入</v>
      </c>
      <c r="B33" s="228"/>
      <c r="C33" s="303">
        <f>'TB损益(期初)'!I34</f>
        <v>0</v>
      </c>
      <c r="D33" s="305"/>
      <c r="E33" s="303"/>
      <c r="F33" s="230"/>
    </row>
    <row r="34" spans="1:6" s="82" customFormat="1" ht="12.75">
      <c r="A34" s="231" t="str">
        <f>报表格式!L34</f>
        <v xml:space="preserve">        （四）营业外收入</v>
      </c>
      <c r="B34" s="228"/>
      <c r="C34" s="303">
        <f>'TB损益(期初)'!I35</f>
        <v>0</v>
      </c>
      <c r="D34" s="305"/>
      <c r="E34" s="303"/>
      <c r="F34" s="230"/>
    </row>
    <row r="35" spans="1:6" s="82" customFormat="1" ht="12.75">
      <c r="A35" s="231" t="str">
        <f>报表格式!L35</f>
        <v xml:space="preserve">             其中：处置固定资产净收益</v>
      </c>
      <c r="B35" s="228"/>
      <c r="C35" s="303">
        <f>'TB损益(期初)'!I36</f>
        <v>0</v>
      </c>
      <c r="D35" s="305"/>
      <c r="E35" s="303"/>
      <c r="F35" s="230"/>
    </row>
    <row r="36" spans="1:6" s="82" customFormat="1" ht="12.75">
      <c r="A36" s="231" t="str">
        <f>报表格式!L36</f>
        <v xml:space="preserve">                   非货币性交易收益</v>
      </c>
      <c r="B36" s="228"/>
      <c r="C36" s="303">
        <f>'TB损益(期初)'!I37</f>
        <v>0</v>
      </c>
      <c r="D36" s="305"/>
      <c r="E36" s="303"/>
      <c r="F36" s="230"/>
    </row>
    <row r="37" spans="1:6" s="82" customFormat="1" ht="12.75">
      <c r="A37" s="231" t="str">
        <f>报表格式!L37</f>
        <v xml:space="preserve">                   出售无形资产收益</v>
      </c>
      <c r="B37" s="228"/>
      <c r="C37" s="303">
        <f>'TB损益(期初)'!I38</f>
        <v>0</v>
      </c>
      <c r="D37" s="305"/>
      <c r="E37" s="303"/>
      <c r="F37" s="230"/>
    </row>
    <row r="38" spans="1:6" s="82" customFormat="1" ht="12.75">
      <c r="A38" s="231" t="str">
        <f>报表格式!L38</f>
        <v xml:space="preserve">                   罚款净收入</v>
      </c>
      <c r="B38" s="228"/>
      <c r="C38" s="303">
        <f>'TB损益(期初)'!I39</f>
        <v>0</v>
      </c>
      <c r="D38" s="305"/>
      <c r="E38" s="303"/>
      <c r="F38" s="230"/>
    </row>
    <row r="39" spans="1:6" s="82" customFormat="1" ht="12.75">
      <c r="A39" s="231" t="str">
        <f>报表格式!L39</f>
        <v xml:space="preserve">        （五）其他</v>
      </c>
      <c r="B39" s="228"/>
      <c r="C39" s="303">
        <f>'TB损益(期初)'!I40</f>
        <v>0</v>
      </c>
      <c r="D39" s="305"/>
      <c r="E39" s="303"/>
      <c r="F39" s="230"/>
    </row>
    <row r="40" spans="1:6" s="82" customFormat="1" ht="12.75">
      <c r="A40" s="231" t="str">
        <f>报表格式!L40</f>
        <v xml:space="preserve">             其中：用以前年度含量工资结余弥补利润</v>
      </c>
      <c r="B40" s="228"/>
      <c r="C40" s="303">
        <f>'TB损益(期初)'!I41</f>
        <v>0</v>
      </c>
      <c r="D40" s="305"/>
      <c r="E40" s="303"/>
      <c r="F40" s="230"/>
    </row>
    <row r="41" spans="1:6" s="82" customFormat="1" ht="12.75">
      <c r="A41" s="231" t="str">
        <f>报表格式!L41</f>
        <v xml:space="preserve">    减：（一）营业外支出</v>
      </c>
      <c r="B41" s="228"/>
      <c r="C41" s="303">
        <f>'TB损益(期初)'!I42</f>
        <v>0</v>
      </c>
      <c r="D41" s="305"/>
      <c r="E41" s="303"/>
      <c r="F41" s="230"/>
    </row>
    <row r="42" spans="1:6" s="82" customFormat="1" ht="12.75">
      <c r="A42" s="231" t="str">
        <f>报表格式!L42</f>
        <v xml:space="preserve">             其中：处置固定资产净损失</v>
      </c>
      <c r="B42" s="228"/>
      <c r="C42" s="303">
        <f>'TB损益(期初)'!I43</f>
        <v>0</v>
      </c>
      <c r="D42" s="305"/>
      <c r="E42" s="303"/>
      <c r="F42" s="230"/>
    </row>
    <row r="43" spans="1:6" s="82" customFormat="1" ht="12.75">
      <c r="A43" s="231" t="str">
        <f>报表格式!L43</f>
        <v xml:space="preserve">                   出售无形资产损失</v>
      </c>
      <c r="B43" s="228"/>
      <c r="C43" s="303">
        <f>'TB损益(期初)'!I44</f>
        <v>0</v>
      </c>
      <c r="D43" s="305"/>
      <c r="E43" s="303"/>
      <c r="F43" s="230"/>
    </row>
    <row r="44" spans="1:6" s="82" customFormat="1" ht="12.75">
      <c r="A44" s="231" t="str">
        <f>报表格式!L44</f>
        <v xml:space="preserve">                   罚款支出</v>
      </c>
      <c r="B44" s="228"/>
      <c r="C44" s="303">
        <f>'TB损益(期初)'!I45</f>
        <v>0</v>
      </c>
      <c r="D44" s="305"/>
      <c r="E44" s="303"/>
      <c r="F44" s="230"/>
    </row>
    <row r="45" spans="1:6" s="82" customFormat="1" ht="12.75">
      <c r="A45" s="231" t="str">
        <f>报表格式!L45</f>
        <v xml:space="preserve">                   捐赠支出</v>
      </c>
      <c r="B45" s="228"/>
      <c r="C45" s="303">
        <f>'TB损益(期初)'!I46</f>
        <v>0</v>
      </c>
      <c r="D45" s="305"/>
      <c r="E45" s="303"/>
      <c r="F45" s="230"/>
    </row>
    <row r="46" spans="1:6" s="82" customFormat="1" ht="12.75">
      <c r="A46" s="231" t="str">
        <f>报表格式!L46</f>
        <v xml:space="preserve">        （二）其他支出</v>
      </c>
      <c r="B46" s="228"/>
      <c r="C46" s="303">
        <f>'TB损益(期初)'!I47</f>
        <v>0</v>
      </c>
      <c r="D46" s="305"/>
      <c r="E46" s="303"/>
      <c r="F46" s="230"/>
    </row>
    <row r="47" spans="1:6" s="82" customFormat="1" ht="12.75">
      <c r="A47" s="231" t="str">
        <f>报表格式!L47</f>
        <v xml:space="preserve">             其中：结转的含量工资包干结余</v>
      </c>
      <c r="B47" s="228"/>
      <c r="C47" s="303">
        <f>'TB损益(期初)'!I48</f>
        <v>0</v>
      </c>
      <c r="D47" s="305"/>
      <c r="E47" s="303"/>
      <c r="F47" s="230"/>
    </row>
    <row r="48" spans="1:6" s="82" customFormat="1" ht="12.75">
      <c r="A48" s="227" t="str">
        <f>报表格式!L48</f>
        <v>五、利润总额</v>
      </c>
      <c r="B48" s="228"/>
      <c r="C48" s="307">
        <f>C29+C30+C31+C32+C34+C39-C41-C46</f>
        <v>0</v>
      </c>
      <c r="D48" s="309"/>
      <c r="E48" s="307">
        <f>E29+E30+E31+E32+E34+E39-E41-E46</f>
        <v>0</v>
      </c>
      <c r="F48" s="229"/>
    </row>
    <row r="49" spans="1:6" s="82" customFormat="1" ht="12.75">
      <c r="A49" s="231" t="str">
        <f>报表格式!L49</f>
        <v xml:space="preserve">    减：所得税</v>
      </c>
      <c r="B49" s="228"/>
      <c r="C49" s="303">
        <f>'TB损益(期初)'!I50</f>
        <v>0</v>
      </c>
      <c r="D49" s="305"/>
      <c r="E49" s="303"/>
      <c r="F49" s="230"/>
    </row>
    <row r="50" spans="1:6" s="82" customFormat="1" ht="12.75">
      <c r="A50" s="231" t="str">
        <f>报表格式!L50</f>
        <v xml:space="preserve">       *少数股东损益</v>
      </c>
      <c r="B50" s="228"/>
      <c r="C50" s="303">
        <f>'TB损益(期初)'!I51</f>
        <v>0</v>
      </c>
      <c r="D50" s="305"/>
      <c r="E50" s="303"/>
      <c r="F50" s="230"/>
    </row>
    <row r="51" spans="1:6" s="82" customFormat="1" ht="12.75">
      <c r="A51" s="231" t="str">
        <f>报表格式!L51</f>
        <v xml:space="preserve">    加：*未确认的投资损失</v>
      </c>
      <c r="B51" s="228"/>
      <c r="C51" s="303">
        <f>'TB损益(期初)'!I52</f>
        <v>0</v>
      </c>
      <c r="D51" s="305"/>
      <c r="E51" s="303"/>
      <c r="F51" s="230"/>
    </row>
    <row r="52" spans="1:6" s="82" customFormat="1" ht="12.75">
      <c r="A52" s="227" t="str">
        <f>报表格式!L52</f>
        <v>六、净利润</v>
      </c>
      <c r="B52" s="228"/>
      <c r="C52" s="307">
        <f>C48-C49-C50+C51</f>
        <v>0</v>
      </c>
      <c r="D52" s="309"/>
      <c r="E52" s="307">
        <f>E48-E49-E50+E51</f>
        <v>0</v>
      </c>
      <c r="F52" s="229"/>
    </row>
    <row r="53" spans="1:6" s="82" customFormat="1" ht="12.75">
      <c r="A53" s="231" t="str">
        <f>报表格式!L53</f>
        <v xml:space="preserve">    加：（一）年初未分配利润</v>
      </c>
      <c r="B53" s="228"/>
      <c r="C53" s="303">
        <f>'TB损益(期初)'!I54</f>
        <v>0</v>
      </c>
      <c r="D53" s="305"/>
      <c r="E53" s="303"/>
      <c r="F53" s="230"/>
    </row>
    <row r="54" spans="1:6" s="82" customFormat="1" ht="12.75">
      <c r="A54" s="231" t="str">
        <f>报表格式!L54</f>
        <v xml:space="preserve">        （二）盈余公积补亏</v>
      </c>
      <c r="B54" s="228"/>
      <c r="C54" s="303">
        <f>'TB损益(期初)'!I55</f>
        <v>0</v>
      </c>
      <c r="D54" s="305"/>
      <c r="E54" s="303"/>
      <c r="F54" s="230"/>
    </row>
    <row r="55" spans="1:6" s="82" customFormat="1" ht="12.75">
      <c r="A55" s="231" t="str">
        <f>报表格式!L55</f>
        <v xml:space="preserve">        （三）其他调整因素</v>
      </c>
      <c r="B55" s="228"/>
      <c r="C55" s="303">
        <f>'TB损益(期初)'!I56</f>
        <v>0</v>
      </c>
      <c r="D55" s="305"/>
      <c r="E55" s="303"/>
      <c r="F55" s="230"/>
    </row>
    <row r="56" spans="1:6" s="82" customFormat="1" ht="12.75">
      <c r="A56" s="227" t="str">
        <f>报表格式!L56</f>
        <v>七、可供分配的利润</v>
      </c>
      <c r="B56" s="228"/>
      <c r="C56" s="307">
        <f>C52+C53+C54+C55</f>
        <v>0</v>
      </c>
      <c r="D56" s="309"/>
      <c r="E56" s="307">
        <f>E52+E53+E54+E55</f>
        <v>0</v>
      </c>
      <c r="F56" s="229"/>
    </row>
    <row r="57" spans="1:6" s="82" customFormat="1" ht="12.75">
      <c r="A57" s="231" t="str">
        <f>报表格式!L57</f>
        <v xml:space="preserve">    减：（一）提取法定盈余公积</v>
      </c>
      <c r="B57" s="228"/>
      <c r="C57" s="303">
        <f>'TB损益(期初)'!I58</f>
        <v>0</v>
      </c>
      <c r="D57" s="305"/>
      <c r="E57" s="303"/>
      <c r="F57" s="230"/>
    </row>
    <row r="58" spans="1:6" s="82" customFormat="1" ht="12.75">
      <c r="A58" s="231" t="str">
        <f>报表格式!L58</f>
        <v xml:space="preserve">        （二）提取法定公益金</v>
      </c>
      <c r="B58" s="228"/>
      <c r="C58" s="303">
        <f>'TB损益(期初)'!I59</f>
        <v>0</v>
      </c>
      <c r="D58" s="305"/>
      <c r="E58" s="303"/>
      <c r="F58" s="230"/>
    </row>
    <row r="59" spans="1:6" s="82" customFormat="1" ht="12.75">
      <c r="A59" s="231" t="str">
        <f>报表格式!L59</f>
        <v xml:space="preserve">        （三）提取职工奖励及福利基金</v>
      </c>
      <c r="B59" s="228"/>
      <c r="C59" s="303">
        <f>'TB损益(期初)'!I60</f>
        <v>0</v>
      </c>
      <c r="D59" s="305"/>
      <c r="E59" s="303"/>
      <c r="F59" s="230"/>
    </row>
    <row r="60" spans="1:6" s="82" customFormat="1" ht="12.75">
      <c r="A60" s="231" t="str">
        <f>报表格式!L60</f>
        <v xml:space="preserve">        （四）提取储备基金</v>
      </c>
      <c r="B60" s="228"/>
      <c r="C60" s="303">
        <f>'TB损益(期初)'!I61</f>
        <v>0</v>
      </c>
      <c r="D60" s="305"/>
      <c r="E60" s="303"/>
      <c r="F60" s="230"/>
    </row>
    <row r="61" spans="1:6" s="82" customFormat="1" ht="12.75">
      <c r="A61" s="231" t="str">
        <f>报表格式!L61</f>
        <v xml:space="preserve">        （五）提取企业发展基金 </v>
      </c>
      <c r="B61" s="228"/>
      <c r="C61" s="303">
        <f>'TB损益(期初)'!I62</f>
        <v>0</v>
      </c>
      <c r="D61" s="305"/>
      <c r="E61" s="303"/>
      <c r="F61" s="230"/>
    </row>
    <row r="62" spans="1:6" s="82" customFormat="1" ht="12.75">
      <c r="A62" s="231" t="str">
        <f>报表格式!L62</f>
        <v xml:space="preserve">        （六）利润归还投资 </v>
      </c>
      <c r="B62" s="228"/>
      <c r="C62" s="303">
        <f>'TB损益(期初)'!I63</f>
        <v>0</v>
      </c>
      <c r="D62" s="305"/>
      <c r="E62" s="303"/>
      <c r="F62" s="230"/>
    </row>
    <row r="63" spans="1:6" s="82" customFormat="1" ht="12.75">
      <c r="A63" s="231" t="str">
        <f>报表格式!L63</f>
        <v xml:space="preserve">        （七）补充流动资本</v>
      </c>
      <c r="B63" s="228"/>
      <c r="C63" s="303">
        <f>'TB损益(期初)'!I64</f>
        <v>0</v>
      </c>
      <c r="D63" s="305"/>
      <c r="E63" s="303"/>
      <c r="F63" s="230"/>
    </row>
    <row r="64" spans="1:6" s="82" customFormat="1" ht="12.75">
      <c r="A64" s="231" t="str">
        <f>报表格式!L64</f>
        <v xml:space="preserve">        （八）单项留用的利润</v>
      </c>
      <c r="B64" s="228"/>
      <c r="C64" s="303">
        <f>'TB损益(期初)'!I65</f>
        <v>0</v>
      </c>
      <c r="D64" s="305"/>
      <c r="E64" s="303"/>
      <c r="F64" s="230"/>
    </row>
    <row r="65" spans="1:6" s="82" customFormat="1" ht="12.75">
      <c r="A65" s="231" t="str">
        <f>报表格式!L65</f>
        <v xml:space="preserve">        （九）其他</v>
      </c>
      <c r="B65" s="228"/>
      <c r="C65" s="303">
        <f>'TB损益(期初)'!I66</f>
        <v>0</v>
      </c>
      <c r="D65" s="305"/>
      <c r="E65" s="303"/>
      <c r="F65" s="230"/>
    </row>
    <row r="66" spans="1:6" s="82" customFormat="1" ht="12.75">
      <c r="A66" s="227" t="str">
        <f>报表格式!L66</f>
        <v>八、可供投资者分配的利润</v>
      </c>
      <c r="B66" s="228"/>
      <c r="C66" s="307">
        <f>C56-C57-C58-C59-C60-C61-C62-C63-C64-C65</f>
        <v>0</v>
      </c>
      <c r="D66" s="309"/>
      <c r="E66" s="307">
        <f>E56-E57-E58-E59-E60-E61-E62-E63-E64-E65</f>
        <v>0</v>
      </c>
      <c r="F66" s="229"/>
    </row>
    <row r="67" spans="1:6" s="82" customFormat="1" ht="12.75">
      <c r="A67" s="231" t="str">
        <f>报表格式!L67</f>
        <v xml:space="preserve">    减：（一）应付优先股股利</v>
      </c>
      <c r="B67" s="228"/>
      <c r="C67" s="303">
        <f>'TB损益(期初)'!I68</f>
        <v>0</v>
      </c>
      <c r="D67" s="305"/>
      <c r="E67" s="303"/>
      <c r="F67" s="230"/>
    </row>
    <row r="68" spans="1:6" s="82" customFormat="1" ht="12.75">
      <c r="A68" s="231" t="str">
        <f>报表格式!L68</f>
        <v xml:space="preserve">        （二）提取任意盈余公积</v>
      </c>
      <c r="B68" s="228"/>
      <c r="C68" s="303">
        <f>'TB损益(期初)'!I69</f>
        <v>0</v>
      </c>
      <c r="D68" s="305"/>
      <c r="E68" s="303"/>
      <c r="F68" s="230"/>
    </row>
    <row r="69" spans="1:6" s="82" customFormat="1" ht="12.75">
      <c r="A69" s="231" t="str">
        <f>报表格式!L69</f>
        <v xml:space="preserve">        （三）应付普通股股利（应付利润）</v>
      </c>
      <c r="B69" s="228"/>
      <c r="C69" s="303">
        <f>'TB损益(期初)'!I70</f>
        <v>0</v>
      </c>
      <c r="D69" s="305"/>
      <c r="E69" s="303"/>
      <c r="F69" s="230"/>
    </row>
    <row r="70" spans="1:6" s="82" customFormat="1" ht="12.75">
      <c r="A70" s="231" t="str">
        <f>报表格式!L70</f>
        <v xml:space="preserve">        （四）转作资本（股本）的普通股股利</v>
      </c>
      <c r="B70" s="228"/>
      <c r="C70" s="303">
        <f>'TB损益(期初)'!I71</f>
        <v>0</v>
      </c>
      <c r="D70" s="305"/>
      <c r="E70" s="303"/>
      <c r="F70" s="230"/>
    </row>
    <row r="71" spans="1:6" s="82" customFormat="1" ht="12.75">
      <c r="A71" s="231" t="str">
        <f>报表格式!L71</f>
        <v xml:space="preserve">        （五）其他</v>
      </c>
      <c r="B71" s="228"/>
      <c r="C71" s="303">
        <f>'TB损益(期初)'!I72</f>
        <v>0</v>
      </c>
      <c r="D71" s="305"/>
      <c r="E71" s="303"/>
      <c r="F71" s="230"/>
    </row>
    <row r="72" spans="1:6" s="82" customFormat="1" ht="12.75">
      <c r="A72" s="227" t="str">
        <f>报表格式!L72</f>
        <v>九、未分配利润</v>
      </c>
      <c r="B72" s="228"/>
      <c r="C72" s="307">
        <f>C66-C67-C68-C69-C70-C71</f>
        <v>0</v>
      </c>
      <c r="D72" s="309"/>
      <c r="E72" s="307">
        <f>E66-E67-E68-E69-E70-E71</f>
        <v>0</v>
      </c>
      <c r="F72" s="229"/>
    </row>
    <row r="73" spans="1:6" s="82" customFormat="1" ht="12.75">
      <c r="A73" s="232" t="str">
        <f>报表格式!L73</f>
        <v xml:space="preserve">    其中：应由以后年度税前利润弥补的亏损（以“+”号填列）</v>
      </c>
      <c r="B73" s="233"/>
      <c r="C73" s="328">
        <f>'TB损益(期初)'!I74</f>
        <v>0</v>
      </c>
      <c r="D73" s="329"/>
      <c r="E73" s="328"/>
      <c r="F73" s="234"/>
    </row>
    <row r="74" spans="1:6" s="82" customFormat="1" ht="5.25" customHeight="1">
      <c r="A74" s="130"/>
      <c r="B74" s="83"/>
    </row>
    <row r="75" spans="1:6" s="82" customFormat="1" ht="12">
      <c r="A75" s="131" t="s">
        <v>163</v>
      </c>
      <c r="B75" s="83"/>
    </row>
    <row r="76" spans="1:6" s="82" customFormat="1" ht="12.75">
      <c r="A76" s="129" t="s">
        <v>134</v>
      </c>
      <c r="B76" s="129" t="s">
        <v>732</v>
      </c>
      <c r="C76" s="961" t="str">
        <f>C4</f>
        <v>2006年度</v>
      </c>
      <c r="D76" s="961"/>
      <c r="E76" s="961" t="str">
        <f>E4</f>
        <v>2005年度</v>
      </c>
      <c r="F76" s="961"/>
    </row>
    <row r="77" spans="1:6" s="82" customFormat="1" ht="12.75">
      <c r="A77" s="132" t="s">
        <v>842</v>
      </c>
      <c r="B77" s="127"/>
      <c r="C77" s="317"/>
      <c r="D77" s="318"/>
      <c r="E77" s="317"/>
      <c r="F77" s="318"/>
    </row>
    <row r="78" spans="1:6" s="82" customFormat="1" ht="12.75">
      <c r="A78" s="132" t="s">
        <v>843</v>
      </c>
      <c r="B78" s="127"/>
      <c r="C78" s="319"/>
      <c r="D78" s="318"/>
      <c r="E78" s="319"/>
      <c r="F78" s="318"/>
    </row>
    <row r="79" spans="1:6" s="82" customFormat="1" ht="12.75">
      <c r="A79" s="132" t="s">
        <v>844</v>
      </c>
      <c r="B79" s="127"/>
      <c r="C79" s="319"/>
      <c r="D79" s="318"/>
      <c r="E79" s="319"/>
      <c r="F79" s="318"/>
    </row>
    <row r="80" spans="1:6" s="82" customFormat="1" ht="12.75">
      <c r="A80" s="132" t="s">
        <v>845</v>
      </c>
      <c r="B80" s="127"/>
      <c r="C80" s="319"/>
      <c r="D80" s="318"/>
      <c r="E80" s="319"/>
      <c r="F80" s="318"/>
    </row>
    <row r="81" spans="1:22" s="82" customFormat="1" ht="12.75">
      <c r="A81" s="132" t="s">
        <v>846</v>
      </c>
      <c r="B81" s="127"/>
      <c r="C81" s="319"/>
      <c r="D81" s="318"/>
      <c r="E81" s="319"/>
      <c r="F81" s="318"/>
    </row>
    <row r="82" spans="1:22" s="82" customFormat="1" ht="12.75">
      <c r="A82" s="133" t="s">
        <v>847</v>
      </c>
      <c r="B82" s="128"/>
      <c r="C82" s="320"/>
      <c r="D82" s="321"/>
      <c r="E82" s="320"/>
      <c r="F82" s="321"/>
    </row>
    <row r="83" spans="1:22" s="82" customFormat="1" ht="6.75" customHeight="1">
      <c r="B83" s="83"/>
    </row>
    <row r="84" spans="1:22" s="111" customFormat="1" ht="17.100000000000001" customHeight="1">
      <c r="A84" s="112" t="str">
        <f>CONCATENATE(参数!C4,参数!D4,"                           ",参数!C5,参数!D5)</f>
        <v>法定代表人：                           财务负责人：</v>
      </c>
      <c r="B84" s="113"/>
      <c r="C84" s="113"/>
      <c r="D84" s="105"/>
      <c r="E84" s="113" t="str">
        <f>CONCATENATE(参数!C6,参数!D6)</f>
        <v>会计主管：</v>
      </c>
      <c r="F84" s="105"/>
      <c r="G84" s="106"/>
      <c r="H84" s="106"/>
      <c r="I84" s="106"/>
      <c r="J84" s="106"/>
      <c r="K84" s="104"/>
      <c r="L84" s="107"/>
      <c r="M84" s="108"/>
      <c r="N84" s="108"/>
      <c r="O84" s="108"/>
      <c r="P84" s="108"/>
      <c r="Q84" s="109"/>
      <c r="R84" s="109"/>
      <c r="S84" s="109"/>
      <c r="T84" s="109"/>
      <c r="U84" s="110"/>
      <c r="V84" s="110"/>
    </row>
    <row r="85" spans="1:22" s="82" customFormat="1" ht="12">
      <c r="B85" s="83"/>
    </row>
  </sheetData>
  <sheetProtection formatCells="0" insertRows="0" autoFilter="0" pivotTables="0"/>
  <mergeCells count="6">
    <mergeCell ref="C76:D76"/>
    <mergeCell ref="E76:F76"/>
    <mergeCell ref="A1:F1"/>
    <mergeCell ref="A3:C3"/>
    <mergeCell ref="C4:D4"/>
    <mergeCell ref="E4:F4"/>
  </mergeCells>
  <phoneticPr fontId="9" type="noConversion"/>
  <conditionalFormatting sqref="A3:C3">
    <cfRule type="cellIs" dxfId="1" priority="1" stopIfTrue="1" operator="equal">
      <formula>"            对不起，请到参数表中确定报表类型！"</formula>
    </cfRule>
    <cfRule type="cellIs" dxfId="0" priority="2" stopIfTrue="1" operator="equal">
      <formula>"对不起，试用期已到，请查看系统信息，并与作者联系。"</formula>
    </cfRule>
  </conditionalFormatting>
  <printOptions horizontalCentered="1" verticalCentered="1"/>
  <pageMargins left="0.59055118110236227" right="0.47244094488188981" top="0.32" bottom="0.31" header="0.23" footer="0.2"/>
  <pageSetup paperSize="9" scale="72" orientation="portrait" horizontalDpi="360"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4"/>
  <sheetViews>
    <sheetView topLeftCell="A73" zoomScaleNormal="100" workbookViewId="0">
      <selection activeCell="A89" sqref="A89"/>
    </sheetView>
  </sheetViews>
  <sheetFormatPr defaultColWidth="16.375" defaultRowHeight="14.1" customHeight="1"/>
  <cols>
    <col min="1" max="1" width="55.625" style="84" customWidth="1"/>
    <col min="2" max="2" width="12.875" style="100" customWidth="1"/>
    <col min="3" max="3" width="25" style="84" customWidth="1"/>
    <col min="4" max="4" width="11" style="84" customWidth="1"/>
    <col min="5" max="5" width="12.875" style="84" customWidth="1"/>
    <col min="6" max="16384" width="16.375" style="84"/>
  </cols>
  <sheetData>
    <row r="1" spans="1:3" ht="29.25" customHeight="1">
      <c r="A1" s="940" t="s">
        <v>733</v>
      </c>
      <c r="B1" s="940"/>
      <c r="C1" s="940"/>
    </row>
    <row r="2" spans="1:3" ht="24" customHeight="1">
      <c r="A2" s="967" t="str">
        <f>参数!D9</f>
        <v>2006年度</v>
      </c>
      <c r="B2" s="967"/>
      <c r="C2" s="967"/>
    </row>
    <row r="3" spans="1:3" s="65" customFormat="1" ht="20.25" customHeight="1">
      <c r="A3" s="291" t="str">
        <f>IF(报表格式!G41="","    对不起，请到参数表中确定报表类型！",CONCATENATE(" 编制单位：",参数!D3))</f>
        <v xml:space="preserve"> 编制单位：</v>
      </c>
      <c r="B3" s="85"/>
      <c r="C3" s="292" t="str">
        <f>CONCATENATE("单位：",参数!$D$13)</f>
        <v>单位：人民币元</v>
      </c>
    </row>
    <row r="4" spans="1:3" s="65" customFormat="1" ht="14.1" customHeight="1">
      <c r="A4" s="938" t="s">
        <v>278</v>
      </c>
      <c r="B4" s="938" t="s">
        <v>728</v>
      </c>
      <c r="C4" s="941" t="s">
        <v>734</v>
      </c>
    </row>
    <row r="5" spans="1:3" s="65" customFormat="1" ht="14.1" customHeight="1">
      <c r="A5" s="939"/>
      <c r="B5" s="939"/>
      <c r="C5" s="942"/>
    </row>
    <row r="6" spans="1:3" s="65" customFormat="1" ht="18" customHeight="1">
      <c r="A6" s="86" t="s">
        <v>735</v>
      </c>
      <c r="B6" s="87"/>
      <c r="C6" s="322"/>
    </row>
    <row r="7" spans="1:3" s="65" customFormat="1" ht="18" customHeight="1">
      <c r="A7" s="88" t="s">
        <v>736</v>
      </c>
      <c r="B7" s="89"/>
      <c r="C7" s="143"/>
    </row>
    <row r="8" spans="1:3" s="65" customFormat="1" ht="18" customHeight="1">
      <c r="A8" s="90" t="s">
        <v>299</v>
      </c>
      <c r="B8" s="89"/>
      <c r="C8" s="143"/>
    </row>
    <row r="9" spans="1:3" s="65" customFormat="1" ht="18" customHeight="1">
      <c r="A9" s="88" t="s">
        <v>279</v>
      </c>
      <c r="B9" s="89"/>
      <c r="C9" s="143"/>
    </row>
    <row r="10" spans="1:3" s="65" customFormat="1" ht="18" customHeight="1">
      <c r="A10" s="88" t="s">
        <v>280</v>
      </c>
      <c r="B10" s="89"/>
      <c r="C10" s="143">
        <f>SUM(C7:C9)</f>
        <v>0</v>
      </c>
    </row>
    <row r="11" spans="1:3" s="65" customFormat="1" ht="18" customHeight="1">
      <c r="A11" s="88" t="s">
        <v>281</v>
      </c>
      <c r="B11" s="89"/>
      <c r="C11" s="143"/>
    </row>
    <row r="12" spans="1:3" s="65" customFormat="1" ht="18" customHeight="1">
      <c r="A12" s="88" t="s">
        <v>282</v>
      </c>
      <c r="B12" s="89"/>
      <c r="C12" s="143"/>
    </row>
    <row r="13" spans="1:3" s="65" customFormat="1" ht="18" customHeight="1">
      <c r="A13" s="88" t="s">
        <v>737</v>
      </c>
      <c r="B13" s="89"/>
      <c r="C13" s="143"/>
    </row>
    <row r="14" spans="1:3" s="65" customFormat="1" ht="18" customHeight="1">
      <c r="A14" s="88" t="s">
        <v>283</v>
      </c>
      <c r="B14" s="91"/>
      <c r="C14" s="143"/>
    </row>
    <row r="15" spans="1:3" s="65" customFormat="1" ht="18" customHeight="1">
      <c r="A15" s="88" t="s">
        <v>284</v>
      </c>
      <c r="B15" s="89"/>
      <c r="C15" s="143">
        <f>C11+C12+C13+C14</f>
        <v>0</v>
      </c>
    </row>
    <row r="16" spans="1:3" s="93" customFormat="1" ht="18" customHeight="1">
      <c r="A16" s="86" t="s">
        <v>738</v>
      </c>
      <c r="B16" s="92"/>
      <c r="C16" s="141">
        <f>C10-C15</f>
        <v>0</v>
      </c>
    </row>
    <row r="17" spans="1:3" s="65" customFormat="1" ht="18" customHeight="1">
      <c r="A17" s="94"/>
      <c r="B17" s="89"/>
      <c r="C17" s="323"/>
    </row>
    <row r="18" spans="1:3" s="93" customFormat="1" ht="18" customHeight="1">
      <c r="A18" s="86" t="s">
        <v>739</v>
      </c>
      <c r="B18" s="92"/>
      <c r="C18" s="324"/>
    </row>
    <row r="19" spans="1:3" s="65" customFormat="1" ht="18" customHeight="1">
      <c r="A19" s="88" t="s">
        <v>740</v>
      </c>
      <c r="B19" s="89"/>
      <c r="C19" s="143"/>
    </row>
    <row r="20" spans="1:3" s="65" customFormat="1" ht="18" customHeight="1">
      <c r="A20" s="88" t="s">
        <v>852</v>
      </c>
      <c r="B20" s="89"/>
      <c r="C20" s="143"/>
    </row>
    <row r="21" spans="1:3" s="65" customFormat="1" ht="18" customHeight="1">
      <c r="A21" s="88" t="s">
        <v>741</v>
      </c>
      <c r="B21" s="89"/>
      <c r="C21" s="143"/>
    </row>
    <row r="22" spans="1:3" s="65" customFormat="1" ht="18" customHeight="1">
      <c r="A22" s="88" t="s">
        <v>742</v>
      </c>
      <c r="B22" s="89"/>
      <c r="C22" s="143"/>
    </row>
    <row r="23" spans="1:3" s="65" customFormat="1" ht="18" customHeight="1">
      <c r="A23" s="88" t="s">
        <v>285</v>
      </c>
      <c r="B23" s="89"/>
      <c r="C23" s="143"/>
    </row>
    <row r="24" spans="1:3" s="65" customFormat="1" ht="18" customHeight="1">
      <c r="A24" s="88" t="s">
        <v>280</v>
      </c>
      <c r="B24" s="89"/>
      <c r="C24" s="143">
        <f>SUM(C19:C23)-C20</f>
        <v>0</v>
      </c>
    </row>
    <row r="25" spans="1:3" s="65" customFormat="1" ht="18" customHeight="1">
      <c r="A25" s="88" t="s">
        <v>743</v>
      </c>
      <c r="B25" s="89"/>
      <c r="C25" s="143"/>
    </row>
    <row r="26" spans="1:3" s="65" customFormat="1" ht="18" customHeight="1">
      <c r="A26" s="88" t="s">
        <v>744</v>
      </c>
      <c r="B26" s="89"/>
      <c r="C26" s="143"/>
    </row>
    <row r="27" spans="1:3" s="65" customFormat="1" ht="18" customHeight="1">
      <c r="A27" s="88" t="s">
        <v>853</v>
      </c>
      <c r="B27" s="89"/>
      <c r="C27" s="143"/>
    </row>
    <row r="28" spans="1:3" s="65" customFormat="1" ht="18" customHeight="1">
      <c r="A28" s="88" t="s">
        <v>286</v>
      </c>
      <c r="B28" s="89"/>
      <c r="C28" s="143"/>
    </row>
    <row r="29" spans="1:3" s="65" customFormat="1" ht="18" customHeight="1">
      <c r="A29" s="88" t="s">
        <v>284</v>
      </c>
      <c r="B29" s="89"/>
      <c r="C29" s="143">
        <f>SUM(C25:C28)-C27</f>
        <v>0</v>
      </c>
    </row>
    <row r="30" spans="1:3" s="93" customFormat="1" ht="18" customHeight="1">
      <c r="A30" s="86" t="s">
        <v>287</v>
      </c>
      <c r="B30" s="92"/>
      <c r="C30" s="142">
        <f>C24-C29</f>
        <v>0</v>
      </c>
    </row>
    <row r="31" spans="1:3" s="65" customFormat="1" ht="18" customHeight="1">
      <c r="A31" s="94"/>
      <c r="B31" s="89"/>
      <c r="C31" s="323"/>
    </row>
    <row r="32" spans="1:3" s="93" customFormat="1" ht="18" customHeight="1">
      <c r="A32" s="86" t="s">
        <v>745</v>
      </c>
      <c r="B32" s="92"/>
      <c r="C32" s="324"/>
    </row>
    <row r="33" spans="1:22" s="65" customFormat="1" ht="18" customHeight="1">
      <c r="A33" s="88" t="s">
        <v>746</v>
      </c>
      <c r="B33" s="89"/>
      <c r="C33" s="143"/>
    </row>
    <row r="34" spans="1:22" s="65" customFormat="1" ht="18" customHeight="1">
      <c r="A34" s="88" t="s">
        <v>288</v>
      </c>
      <c r="B34" s="89"/>
      <c r="C34" s="143"/>
    </row>
    <row r="35" spans="1:22" s="65" customFormat="1" ht="18" customHeight="1">
      <c r="A35" s="88" t="s">
        <v>289</v>
      </c>
      <c r="B35" s="89"/>
      <c r="C35" s="143"/>
    </row>
    <row r="36" spans="1:22" s="65" customFormat="1" ht="18" customHeight="1">
      <c r="A36" s="88" t="s">
        <v>280</v>
      </c>
      <c r="B36" s="89"/>
      <c r="C36" s="143">
        <f>SUM(C33:C35)</f>
        <v>0</v>
      </c>
    </row>
    <row r="37" spans="1:22" s="65" customFormat="1" ht="18" customHeight="1">
      <c r="A37" s="88" t="s">
        <v>290</v>
      </c>
      <c r="B37" s="89"/>
      <c r="C37" s="143"/>
    </row>
    <row r="38" spans="1:22" s="65" customFormat="1" ht="18" customHeight="1">
      <c r="A38" s="88" t="s">
        <v>747</v>
      </c>
      <c r="B38" s="89"/>
      <c r="C38" s="143"/>
    </row>
    <row r="39" spans="1:22" s="65" customFormat="1" ht="18" customHeight="1">
      <c r="A39" s="88" t="s">
        <v>291</v>
      </c>
      <c r="B39" s="89"/>
      <c r="C39" s="143"/>
    </row>
    <row r="40" spans="1:22" s="65" customFormat="1" ht="18" customHeight="1">
      <c r="A40" s="88" t="s">
        <v>284</v>
      </c>
      <c r="B40" s="89"/>
      <c r="C40" s="325">
        <f>C37+C38+C39</f>
        <v>0</v>
      </c>
    </row>
    <row r="41" spans="1:22" s="93" customFormat="1" ht="18" customHeight="1">
      <c r="A41" s="86" t="s">
        <v>292</v>
      </c>
      <c r="B41" s="92"/>
      <c r="C41" s="141">
        <f>C36-C40</f>
        <v>0</v>
      </c>
    </row>
    <row r="42" spans="1:22" s="65" customFormat="1" ht="18" customHeight="1">
      <c r="A42" s="94"/>
      <c r="B42" s="89"/>
      <c r="C42" s="323"/>
    </row>
    <row r="43" spans="1:22" s="65" customFormat="1" ht="18" customHeight="1">
      <c r="A43" s="86" t="s">
        <v>293</v>
      </c>
      <c r="B43" s="89"/>
      <c r="C43" s="142"/>
    </row>
    <row r="44" spans="1:22" s="65" customFormat="1" ht="18" customHeight="1">
      <c r="A44" s="88"/>
      <c r="B44" s="89"/>
      <c r="C44" s="323"/>
    </row>
    <row r="45" spans="1:22" s="93" customFormat="1" ht="18" customHeight="1">
      <c r="A45" s="95" t="s">
        <v>25</v>
      </c>
      <c r="B45" s="96"/>
      <c r="C45" s="326">
        <f>C16+C30+C41+C43</f>
        <v>0</v>
      </c>
    </row>
    <row r="46" spans="1:22" s="93" customFormat="1" ht="18" customHeight="1">
      <c r="A46" s="97"/>
      <c r="B46" s="98"/>
      <c r="C46" s="99"/>
    </row>
    <row r="47" spans="1:22" s="111" customFormat="1" ht="17.100000000000001" customHeight="1">
      <c r="A47" s="112" t="str">
        <f>CONCATENATE(参数!C4,参数!D4,"                       ",参数!C5,参数!D5)</f>
        <v>法定代表人：                       财务负责人：</v>
      </c>
      <c r="B47" s="113"/>
      <c r="C47" s="113" t="str">
        <f>CONCATENATE(参数!C6,参数!D6)</f>
        <v>会计主管：</v>
      </c>
      <c r="D47" s="105"/>
      <c r="E47" s="113"/>
      <c r="F47" s="105"/>
      <c r="G47" s="106"/>
      <c r="H47" s="106"/>
      <c r="I47" s="106"/>
      <c r="J47" s="106"/>
      <c r="K47" s="104"/>
      <c r="L47" s="107"/>
      <c r="M47" s="108"/>
      <c r="N47" s="108"/>
      <c r="O47" s="108"/>
      <c r="P47" s="108"/>
      <c r="Q47" s="109"/>
      <c r="R47" s="109"/>
      <c r="S47" s="109"/>
      <c r="T47" s="109"/>
      <c r="U47" s="110"/>
      <c r="V47" s="110"/>
    </row>
    <row r="50" spans="1:3" ht="21.75" customHeight="1">
      <c r="A50" s="940" t="s">
        <v>748</v>
      </c>
      <c r="B50" s="940"/>
      <c r="C50" s="940"/>
    </row>
    <row r="51" spans="1:3" ht="21.75" customHeight="1">
      <c r="A51" s="968" t="str">
        <f>A2</f>
        <v>2006年度</v>
      </c>
      <c r="B51" s="968"/>
      <c r="C51" s="968"/>
    </row>
    <row r="52" spans="1:3" ht="21.75" customHeight="1">
      <c r="A52" s="65" t="str">
        <f>IF(报表格式!G41="","    对不起，请到参数表中确定报表类型！",CONCATENATE(" 编制单位：",参数!D3))</f>
        <v xml:space="preserve"> 编制单位：</v>
      </c>
      <c r="B52" s="65"/>
      <c r="C52" s="101" t="str">
        <f>CONCATENATE("单位：",参数!$D$13)</f>
        <v>单位：人民币元</v>
      </c>
    </row>
    <row r="53" spans="1:3" ht="13.5">
      <c r="A53" s="936" t="s">
        <v>749</v>
      </c>
      <c r="B53" s="936" t="s">
        <v>750</v>
      </c>
      <c r="C53" s="938" t="s">
        <v>751</v>
      </c>
    </row>
    <row r="54" spans="1:3" ht="13.5">
      <c r="A54" s="937"/>
      <c r="B54" s="937"/>
      <c r="C54" s="939"/>
    </row>
    <row r="55" spans="1:3" ht="21.75" customHeight="1">
      <c r="A55" s="86" t="s">
        <v>752</v>
      </c>
      <c r="B55" s="89"/>
      <c r="C55" s="322"/>
    </row>
    <row r="56" spans="1:3" ht="21.75" customHeight="1">
      <c r="A56" s="86" t="s">
        <v>753</v>
      </c>
      <c r="B56" s="89"/>
      <c r="C56" s="142"/>
    </row>
    <row r="57" spans="1:3" ht="21.75" customHeight="1">
      <c r="A57" s="88" t="s">
        <v>315</v>
      </c>
      <c r="B57" s="89"/>
      <c r="C57" s="143"/>
    </row>
    <row r="58" spans="1:3" ht="21.75" customHeight="1">
      <c r="A58" s="88" t="s">
        <v>834</v>
      </c>
      <c r="B58" s="89"/>
      <c r="C58" s="143"/>
    </row>
    <row r="59" spans="1:3" ht="21.75" customHeight="1">
      <c r="A59" s="88" t="s">
        <v>835</v>
      </c>
      <c r="B59" s="89"/>
      <c r="C59" s="322"/>
    </row>
    <row r="60" spans="1:3" ht="21.75" customHeight="1">
      <c r="A60" s="88" t="s">
        <v>754</v>
      </c>
      <c r="B60" s="89"/>
      <c r="C60" s="143"/>
    </row>
    <row r="61" spans="1:3" ht="21.75" customHeight="1">
      <c r="A61" s="88" t="s">
        <v>755</v>
      </c>
      <c r="B61" s="89"/>
      <c r="C61" s="322"/>
    </row>
    <row r="62" spans="1:3" ht="21.75" customHeight="1">
      <c r="A62" s="88" t="s">
        <v>756</v>
      </c>
      <c r="B62" s="89"/>
      <c r="C62" s="322"/>
    </row>
    <row r="63" spans="1:3" ht="21.75" customHeight="1">
      <c r="A63" s="88" t="s">
        <v>757</v>
      </c>
      <c r="B63" s="89"/>
      <c r="C63" s="143"/>
    </row>
    <row r="64" spans="1:3" ht="21.75" customHeight="1">
      <c r="A64" s="90" t="s">
        <v>758</v>
      </c>
      <c r="B64" s="89"/>
      <c r="C64" s="143"/>
    </row>
    <row r="65" spans="1:3" ht="21.75" customHeight="1">
      <c r="A65" s="90" t="s">
        <v>759</v>
      </c>
      <c r="B65" s="89"/>
      <c r="C65" s="143"/>
    </row>
    <row r="66" spans="1:3" ht="21.75" customHeight="1">
      <c r="A66" s="90" t="s">
        <v>760</v>
      </c>
      <c r="B66" s="89"/>
      <c r="C66" s="143"/>
    </row>
    <row r="67" spans="1:3" ht="21.75" customHeight="1">
      <c r="A67" s="90" t="s">
        <v>323</v>
      </c>
      <c r="B67" s="89"/>
      <c r="C67" s="143"/>
    </row>
    <row r="68" spans="1:3" ht="21.75" customHeight="1">
      <c r="A68" s="90" t="s">
        <v>761</v>
      </c>
      <c r="B68" s="89"/>
      <c r="C68" s="143"/>
    </row>
    <row r="69" spans="1:3" ht="21.75" customHeight="1">
      <c r="A69" s="90" t="s">
        <v>762</v>
      </c>
      <c r="B69" s="89"/>
      <c r="C69" s="143"/>
    </row>
    <row r="70" spans="1:3" ht="21.75" customHeight="1">
      <c r="A70" s="90" t="s">
        <v>326</v>
      </c>
      <c r="B70" s="89"/>
      <c r="C70" s="143"/>
    </row>
    <row r="71" spans="1:3" ht="21.75" customHeight="1">
      <c r="A71" s="90" t="s">
        <v>763</v>
      </c>
      <c r="B71" s="89"/>
      <c r="C71" s="143"/>
    </row>
    <row r="72" spans="1:3" ht="21.75" customHeight="1">
      <c r="A72" s="90" t="s">
        <v>328</v>
      </c>
      <c r="B72" s="89"/>
      <c r="C72" s="143"/>
    </row>
    <row r="73" spans="1:3" ht="21.75" customHeight="1">
      <c r="A73" s="90" t="s">
        <v>764</v>
      </c>
      <c r="B73" s="89"/>
      <c r="C73" s="322"/>
    </row>
    <row r="74" spans="1:3" ht="21.75" customHeight="1">
      <c r="A74" s="86" t="s">
        <v>765</v>
      </c>
      <c r="B74" s="89"/>
      <c r="C74" s="142">
        <f>SUM(C56:C57,-C58,C59:C73)</f>
        <v>0</v>
      </c>
    </row>
    <row r="75" spans="1:3" ht="21.75" customHeight="1">
      <c r="A75" s="102"/>
      <c r="B75" s="89"/>
      <c r="C75" s="322"/>
    </row>
    <row r="76" spans="1:3" ht="21.75" customHeight="1">
      <c r="A76" s="103" t="s">
        <v>331</v>
      </c>
      <c r="B76" s="89"/>
      <c r="C76" s="322"/>
    </row>
    <row r="77" spans="1:3" ht="21.75" customHeight="1">
      <c r="A77" s="102" t="s">
        <v>332</v>
      </c>
      <c r="B77" s="89"/>
      <c r="C77" s="322"/>
    </row>
    <row r="78" spans="1:3" ht="21.75" customHeight="1">
      <c r="A78" s="102" t="s">
        <v>333</v>
      </c>
      <c r="B78" s="89"/>
      <c r="C78" s="322"/>
    </row>
    <row r="79" spans="1:3" ht="21.75" customHeight="1">
      <c r="A79" s="102" t="s">
        <v>766</v>
      </c>
      <c r="B79" s="89"/>
      <c r="C79" s="322"/>
    </row>
    <row r="80" spans="1:3" ht="21.75" customHeight="1">
      <c r="A80" s="103"/>
      <c r="B80" s="92"/>
      <c r="C80" s="142"/>
    </row>
    <row r="81" spans="1:22" ht="21.75" customHeight="1">
      <c r="A81" s="86" t="s">
        <v>767</v>
      </c>
      <c r="B81" s="89"/>
      <c r="C81" s="323"/>
    </row>
    <row r="82" spans="1:22" ht="21.75" customHeight="1">
      <c r="A82" s="88" t="s">
        <v>336</v>
      </c>
      <c r="B82" s="89"/>
      <c r="C82" s="322">
        <f>'审定BS(上期)'!C6</f>
        <v>0</v>
      </c>
    </row>
    <row r="83" spans="1:22" ht="21.75" customHeight="1">
      <c r="A83" s="88" t="s">
        <v>768</v>
      </c>
      <c r="B83" s="89"/>
      <c r="C83" s="322">
        <f>'审定BS(上期)'!E6</f>
        <v>0</v>
      </c>
    </row>
    <row r="84" spans="1:22" ht="21.75" customHeight="1">
      <c r="A84" s="88" t="s">
        <v>769</v>
      </c>
      <c r="B84" s="89"/>
      <c r="C84" s="322"/>
    </row>
    <row r="85" spans="1:22" ht="21.75" customHeight="1">
      <c r="A85" s="88" t="s">
        <v>339</v>
      </c>
      <c r="B85" s="89"/>
      <c r="C85" s="322"/>
    </row>
    <row r="86" spans="1:22" ht="21.75" customHeight="1">
      <c r="A86" s="95" t="s">
        <v>340</v>
      </c>
      <c r="B86" s="96"/>
      <c r="C86" s="327">
        <f>C82-C83+C84-C85</f>
        <v>0</v>
      </c>
    </row>
    <row r="87" spans="1:22" ht="14.25" customHeight="1">
      <c r="A87" s="97"/>
      <c r="B87" s="98"/>
      <c r="C87" s="37"/>
    </row>
    <row r="88" spans="1:22" s="111" customFormat="1" ht="17.100000000000001" customHeight="1">
      <c r="A88" s="112" t="str">
        <f>CONCATENATE(参数!C4,参数!D4,"                       ",参数!C5,参数!D5)</f>
        <v>法定代表人：                       财务负责人：</v>
      </c>
      <c r="B88" s="113"/>
      <c r="C88" s="113" t="str">
        <f>CONCATENATE(参数!C6,参数!D6)</f>
        <v>会计主管：</v>
      </c>
      <c r="D88" s="105"/>
      <c r="E88" s="113"/>
      <c r="F88" s="105"/>
      <c r="G88" s="106"/>
      <c r="H88" s="106"/>
      <c r="I88" s="106"/>
      <c r="J88" s="106"/>
      <c r="K88" s="104"/>
      <c r="L88" s="107"/>
      <c r="M88" s="108"/>
      <c r="N88" s="108"/>
      <c r="O88" s="108"/>
      <c r="P88" s="108"/>
      <c r="Q88" s="109"/>
      <c r="R88" s="109"/>
      <c r="S88" s="109"/>
      <c r="T88" s="109"/>
      <c r="U88" s="110"/>
      <c r="V88" s="110"/>
    </row>
    <row r="90" spans="1:22" ht="14.1" customHeight="1">
      <c r="A90" s="879" t="s">
        <v>945</v>
      </c>
      <c r="B90" s="880"/>
      <c r="C90" s="881">
        <f>C16-C74</f>
        <v>0</v>
      </c>
    </row>
    <row r="91" spans="1:22" ht="14.1" customHeight="1">
      <c r="A91" s="879" t="s">
        <v>946</v>
      </c>
      <c r="B91" s="880"/>
      <c r="C91" s="881">
        <f>C45-C86</f>
        <v>0</v>
      </c>
    </row>
    <row r="92" spans="1:22" ht="14.1" customHeight="1">
      <c r="A92" s="882" t="s">
        <v>949</v>
      </c>
      <c r="B92" s="883"/>
      <c r="C92" s="881">
        <f>C83-'审定BS(上期)'!E6</f>
        <v>0</v>
      </c>
    </row>
    <row r="93" spans="1:22" ht="14.1" customHeight="1">
      <c r="A93" s="882" t="s">
        <v>950</v>
      </c>
      <c r="B93" s="883"/>
      <c r="C93" s="881">
        <f>C82-'审定BS(上期)'!C6</f>
        <v>0</v>
      </c>
    </row>
    <row r="94" spans="1:22" ht="14.1" customHeight="1">
      <c r="A94" s="882" t="s">
        <v>957</v>
      </c>
      <c r="B94" s="883"/>
      <c r="C94" s="881">
        <f>C56-'审定PL(上期)'!C52</f>
        <v>0</v>
      </c>
    </row>
  </sheetData>
  <mergeCells count="10">
    <mergeCell ref="A1:C1"/>
    <mergeCell ref="C4:C5"/>
    <mergeCell ref="A2:C2"/>
    <mergeCell ref="A50:C50"/>
    <mergeCell ref="A51:C51"/>
    <mergeCell ref="A53:A54"/>
    <mergeCell ref="B53:B54"/>
    <mergeCell ref="C53:C54"/>
    <mergeCell ref="A4:A5"/>
    <mergeCell ref="B4:B5"/>
  </mergeCells>
  <phoneticPr fontId="77" type="noConversion"/>
  <printOptions horizontalCentered="1" verticalCentered="1"/>
  <pageMargins left="0.47244094488188981" right="0.35433070866141736" top="0" bottom="0" header="0.51181102362204722" footer="0.51181102362204722"/>
  <pageSetup paperSize="9" scale="85" orientation="portrait" horizontalDpi="360" r:id="rId1"/>
  <headerFooter alignWithMargins="0"/>
  <rowBreaks count="1" manualBreakCount="1">
    <brk id="49"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36</vt:i4>
      </vt:variant>
      <vt:variant>
        <vt:lpstr>命名范围</vt:lpstr>
      </vt:variant>
      <vt:variant>
        <vt:i4>34</vt:i4>
      </vt:variant>
    </vt:vector>
  </HeadingPairs>
  <TitlesOfParts>
    <vt:vector size="70" baseType="lpstr">
      <vt:lpstr>说明</vt:lpstr>
      <vt:lpstr>参数</vt:lpstr>
      <vt:lpstr>报表格式</vt:lpstr>
      <vt:lpstr>未审BS</vt:lpstr>
      <vt:lpstr>未审PL</vt:lpstr>
      <vt:lpstr>未审CF</vt:lpstr>
      <vt:lpstr>期初核对BS</vt:lpstr>
      <vt:lpstr>期初核对PL</vt:lpstr>
      <vt:lpstr>账项调整</vt:lpstr>
      <vt:lpstr>报表调整</vt:lpstr>
      <vt:lpstr> </vt:lpstr>
      <vt:lpstr>CF调整</vt:lpstr>
      <vt:lpstr>TB资产</vt:lpstr>
      <vt:lpstr>TB负债</vt:lpstr>
      <vt:lpstr>TB损益</vt:lpstr>
      <vt:lpstr>审定BS</vt:lpstr>
      <vt:lpstr>审定PL</vt:lpstr>
      <vt:lpstr>审定CF</vt:lpstr>
      <vt:lpstr>未审横向BS</vt:lpstr>
      <vt:lpstr>未审横向PL</vt:lpstr>
      <vt:lpstr>未审纵向BS</vt:lpstr>
      <vt:lpstr>未审纵向PL</vt:lpstr>
      <vt:lpstr>未审比率分析</vt:lpstr>
      <vt:lpstr>已审横向BS</vt:lpstr>
      <vt:lpstr>已审横向PL</vt:lpstr>
      <vt:lpstr>已审纵向BS</vt:lpstr>
      <vt:lpstr>已审纵向PL</vt:lpstr>
      <vt:lpstr>已审比率分析</vt:lpstr>
      <vt:lpstr>账项调整(期初)</vt:lpstr>
      <vt:lpstr>报表调整(期初)</vt:lpstr>
      <vt:lpstr>TB资产(期初)</vt:lpstr>
      <vt:lpstr>TB负债(期初)</vt:lpstr>
      <vt:lpstr>TB损益(期初)</vt:lpstr>
      <vt:lpstr>审定BS(上期)</vt:lpstr>
      <vt:lpstr>审定PL(上期)</vt:lpstr>
      <vt:lpstr>审定CF(上期)</vt:lpstr>
      <vt:lpstr>TB负债!Print_Area</vt:lpstr>
      <vt:lpstr>'TB负债(期初)'!Print_Area</vt:lpstr>
      <vt:lpstr>TB损益!Print_Area</vt:lpstr>
      <vt:lpstr>'TB损益(期初)'!Print_Area</vt:lpstr>
      <vt:lpstr>TB资产!Print_Area</vt:lpstr>
      <vt:lpstr>'TB资产(期初)'!Print_Area</vt:lpstr>
      <vt:lpstr>报表调整!Print_Area</vt:lpstr>
      <vt:lpstr>'报表调整(期初)'!Print_Area</vt:lpstr>
      <vt:lpstr>参数!Print_Area</vt:lpstr>
      <vt:lpstr>期初核对BS!Print_Area</vt:lpstr>
      <vt:lpstr>审定BS!Print_Area</vt:lpstr>
      <vt:lpstr>'审定BS(上期)'!Print_Area</vt:lpstr>
      <vt:lpstr>审定CF!Print_Area</vt:lpstr>
      <vt:lpstr>'审定CF(上期)'!Print_Area</vt:lpstr>
      <vt:lpstr>审定PL!Print_Area</vt:lpstr>
      <vt:lpstr>未审BS!Print_Area</vt:lpstr>
      <vt:lpstr>未审CF!Print_Area</vt:lpstr>
      <vt:lpstr>未审PL!Print_Area</vt:lpstr>
      <vt:lpstr>未审比率分析!Print_Area</vt:lpstr>
      <vt:lpstr>未审纵向PL!Print_Area</vt:lpstr>
      <vt:lpstr>已审比率分析!Print_Area</vt:lpstr>
      <vt:lpstr>已审纵向BS!Print_Area</vt:lpstr>
      <vt:lpstr>'账项调整(期初)'!Print_Area</vt:lpstr>
      <vt:lpstr>TB负债!Print_Titles</vt:lpstr>
      <vt:lpstr>'TB负债(期初)'!Print_Titles</vt:lpstr>
      <vt:lpstr>TB损益!Print_Titles</vt:lpstr>
      <vt:lpstr>'TB损益(期初)'!Print_Titles</vt:lpstr>
      <vt:lpstr>TB资产!Print_Titles</vt:lpstr>
      <vt:lpstr>'TB资产(期初)'!Print_Titles</vt:lpstr>
      <vt:lpstr>报表格式!Print_Titles</vt:lpstr>
      <vt:lpstr>期初核对BS!Print_Titles</vt:lpstr>
      <vt:lpstr>未审CF!Print_Titles</vt:lpstr>
      <vt:lpstr>未审比率分析!Print_Titles</vt:lpstr>
      <vt:lpstr>已审比率分析!Print_Titles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1</cp:lastModifiedBy>
  <cp:lastPrinted>2007-12-16T07:23:28Z</cp:lastPrinted>
  <dcterms:created xsi:type="dcterms:W3CDTF">2000-02-14T12:03:30Z</dcterms:created>
  <dcterms:modified xsi:type="dcterms:W3CDTF">2023-08-14T08:48:36Z</dcterms:modified>
</cp:coreProperties>
</file>