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showInkAnnotation="0" codeName="ThisWorkbook"/>
  <mc:AlternateContent xmlns:mc="http://schemas.openxmlformats.org/markup-compatibility/2006">
    <mc:Choice Requires="x15">
      <x15ac:absPath xmlns:x15ac="http://schemas.microsoft.com/office/spreadsheetml/2010/11/ac" url="C:\Users\us38222\Documents\AMSG\GTSP\"/>
    </mc:Choice>
  </mc:AlternateContent>
  <xr:revisionPtr revIDLastSave="0" documentId="13_ncr:1_{A4B1C513-69DA-471C-960B-E9F03BA0D120}" xr6:coauthVersionLast="47" xr6:coauthVersionMax="47" xr10:uidLastSave="{00000000-0000-0000-0000-000000000000}"/>
  <workbookProtection workbookAlgorithmName="SHA-512" workbookHashValue="i+bv2AANtysizr1ncXtUA2Wo9LKdsF6sEe9Xzs/nym+LlO/JOSjT1rFnknVUv35g3rbmezVRgdeBoug+orzvCA==" workbookSaltValue="v0bf3+3rWfoBVTAe4T0pZg==" workbookSpinCount="100000" lockStructure="1"/>
  <bookViews>
    <workbookView xWindow="28680" yWindow="-120" windowWidth="29040" windowHeight="15990" tabRatio="802" firstSheet="6" activeTab="6" xr2:uid="{00000000-000D-0000-FFFF-FFFF00000000}"/>
  </bookViews>
  <sheets>
    <sheet name="GTI-Column-Mapping" sheetId="35" state="veryHidden" r:id="rId1"/>
    <sheet name="Instructions" sheetId="39" state="veryHidden" r:id="rId2"/>
    <sheet name="Summary" sheetId="2" state="veryHidden" r:id="rId3"/>
    <sheet name="Statistical Template" sheetId="64" state="hidden" r:id="rId4"/>
    <sheet name="Non-StatisticalTemplate" sheetId="65" state="hidden" r:id="rId5"/>
    <sheet name="Drop" sheetId="3" state="hidden" r:id="rId6"/>
    <sheet name="START" sheetId="36" r:id="rId7"/>
    <sheet name="GT_Custom" sheetId="14" state="hidden" r:id="rId8"/>
  </sheets>
  <functionGroups builtInGroupCount="19"/>
  <externalReferences>
    <externalReference r:id="rId9"/>
  </externalReferences>
  <definedNames>
    <definedName name="_sheetScratch_A_1" hidden="1">'[1]Content Translation'!$A$3</definedName>
    <definedName name="_sheetScratch_A_10" hidden="1">'[1]Content Translation'!$A$12</definedName>
    <definedName name="_sheetScratch_A_11" hidden="1">'[1]Content Translation'!$A$13</definedName>
    <definedName name="_sheetScratch_A_12" hidden="1">'[1]Content Translation'!$A$14</definedName>
    <definedName name="_sheetScratch_A_13" hidden="1">'[1]Content Translation'!$A$15</definedName>
    <definedName name="_sheetScratch_A_14" hidden="1">'[1]Content Translation'!$A$16</definedName>
    <definedName name="_sheetScratch_A_15" hidden="1">'[1]Content Translation'!$A$17</definedName>
    <definedName name="_sheetScratch_A_16" hidden="1">'[1]Content Translation'!$A$18</definedName>
    <definedName name="_sheetScratch_A_17" hidden="1">'[1]Content Translation'!$A$19</definedName>
    <definedName name="_sheetScratch_A_18" hidden="1">'[1]Content Translation'!$A$20</definedName>
    <definedName name="_sheetScratch_A_19" hidden="1">'[1]Content Translation'!$A$21</definedName>
    <definedName name="_sheetScratch_A_2" hidden="1">'[1]Content Translation'!$A$4</definedName>
    <definedName name="_sheetScratch_A_20" hidden="1">'[1]Content Translation'!$A$22</definedName>
    <definedName name="_sheetScratch_A_21" hidden="1">'[1]Content Translation'!$A$23</definedName>
    <definedName name="_sheetScratch_A_22" hidden="1">'[1]Content Translation'!$A$24</definedName>
    <definedName name="_sheetScratch_A_23" hidden="1">'[1]Content Translation'!$A$25</definedName>
    <definedName name="_sheetScratch_A_24" hidden="1">'[1]Content Translation'!$A$26</definedName>
    <definedName name="_sheetScratch_A_25" hidden="1">'[1]Content Translation'!$A$27</definedName>
    <definedName name="_sheetScratch_A_26" hidden="1">'[1]Content Translation'!$A$28</definedName>
    <definedName name="_sheetScratch_A_27" hidden="1">'[1]Content Translation'!$A$29</definedName>
    <definedName name="_sheetScratch_A_28" hidden="1">'[1]Content Translation'!$A$30</definedName>
    <definedName name="_sheetScratch_A_29" hidden="1">'[1]Content Translation'!$A$31</definedName>
    <definedName name="_sheetScratch_A_3" hidden="1">'[1]Content Translation'!$A$5</definedName>
    <definedName name="_sheetScratch_A_30" hidden="1">'[1]Content Translation'!$A$32</definedName>
    <definedName name="_sheetScratch_A_31" hidden="1">'[1]Content Translation'!$A$33</definedName>
    <definedName name="_sheetScratch_A_4" hidden="1">'[1]Content Translation'!$A$6</definedName>
    <definedName name="_sheetScratch_A_5" hidden="1">'[1]Content Translation'!$A$7</definedName>
    <definedName name="_sheetScratch_A_6" hidden="1">'[1]Content Translation'!$A$8</definedName>
    <definedName name="_sheetScratch_A_7" hidden="1">'[1]Content Translation'!$A$9</definedName>
    <definedName name="_sheetScratch_A_8" hidden="1">'[1]Content Translation'!$A$10</definedName>
    <definedName name="_sheetScratch_A_9" hidden="1">'[1]Content Translation'!$A$11</definedName>
    <definedName name="ADA">Drop!$A$58:$A$59</definedName>
    <definedName name="Assertions">Drop!$A$27:$A$33</definedName>
    <definedName name="Context">Drop!$A$17:$A$19</definedName>
    <definedName name="ControlReliance">Drop!$A$43:$A$46</definedName>
    <definedName name="dropError11">Drop!$A$229</definedName>
    <definedName name="dropError12">Drop!$A$230</definedName>
    <definedName name="dropError13">Drop!$A$231</definedName>
    <definedName name="Engagement">Summary!$G$3</definedName>
    <definedName name="Environnements">Drop!$A$16:$A$19</definedName>
    <definedName name="Extent">Drop!$A$22:$A$24</definedName>
    <definedName name="extentNonStat">Drop!$A$23</definedName>
    <definedName name="extentStat">Drop!$A$22</definedName>
    <definedName name="Increased_Engagement_Risk">Summary!$D$7</definedName>
    <definedName name="InherentRisk">Drop!$A$37:$A$39</definedName>
    <definedName name="Listed_Entity">Summary!$D$5</definedName>
    <definedName name="NatureOfPop">Drop!$A$125:$A$127</definedName>
    <definedName name="NonStat_Selection_Method" localSheetId="4">'Non-StatisticalTemplate'!$Y$10:$AB$10</definedName>
    <definedName name="OtherEvidence">Drop!$A$52:$A$54</definedName>
    <definedName name="Performance_Materiality">Summary!$D$10</definedName>
    <definedName name="Scoping_Unit">Summary!$G$5</definedName>
    <definedName name="Scoping_Unit_Value">Summary!$G$7</definedName>
    <definedName name="SelectionMethods">Drop!$A$62:$A$64</definedName>
    <definedName name="Stat_Verify_all_inputs" localSheetId="3">'Statistical Template'!$AA$43</definedName>
    <definedName name="tabNonStatistical">Drop!$A$200</definedName>
    <definedName name="tabNumbers">Drop!$A$203:$A$212</definedName>
    <definedName name="tabStatistical">Drop!$A$199</definedName>
    <definedName name="tabSummary">Drop!$A$198</definedName>
    <definedName name="YesNo">Drop!$A$13:$A$14</definedName>
    <definedName name="YesNoApp">Drop!$A$246:$A$247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24" i="64" l="1"/>
  <c r="AA36" i="65"/>
  <c r="L4" i="65"/>
  <c r="L4" i="64"/>
  <c r="E5" i="2"/>
  <c r="E7" i="2"/>
  <c r="AG29" i="65" l="1"/>
  <c r="AG28" i="65"/>
  <c r="AG29" i="64" l="1"/>
  <c r="AG28" i="64"/>
  <c r="B48" i="65"/>
  <c r="B45" i="65"/>
  <c r="W43" i="65"/>
  <c r="S43" i="65"/>
  <c r="B43" i="65"/>
  <c r="B41" i="65"/>
  <c r="B39" i="65"/>
  <c r="S37" i="65"/>
  <c r="K37" i="65"/>
  <c r="AA35" i="65" s="1"/>
  <c r="B37" i="65"/>
  <c r="AG36" i="65"/>
  <c r="H45" i="65" s="1"/>
  <c r="S36" i="65"/>
  <c r="AG35" i="65"/>
  <c r="S35" i="65"/>
  <c r="K35" i="65"/>
  <c r="H35" i="65"/>
  <c r="E35" i="65"/>
  <c r="D35" i="65"/>
  <c r="AG34" i="65"/>
  <c r="D41" i="65" s="1"/>
  <c r="B33" i="65"/>
  <c r="AG30" i="65"/>
  <c r="B30" i="65"/>
  <c r="AG26" i="65"/>
  <c r="AA26" i="65"/>
  <c r="H26" i="65"/>
  <c r="D26" i="65"/>
  <c r="AA25" i="65"/>
  <c r="H25" i="65"/>
  <c r="C25" i="65"/>
  <c r="AA24" i="65"/>
  <c r="H24" i="65"/>
  <c r="C24" i="65"/>
  <c r="AB23" i="65"/>
  <c r="E23" i="65"/>
  <c r="D23" i="65"/>
  <c r="H22" i="65"/>
  <c r="B22" i="65"/>
  <c r="AG21" i="65"/>
  <c r="AG23" i="65" s="1"/>
  <c r="H21" i="65"/>
  <c r="H20" i="65"/>
  <c r="B20" i="65"/>
  <c r="AG19" i="65"/>
  <c r="L27" i="65" s="1"/>
  <c r="H19" i="65"/>
  <c r="B19" i="65"/>
  <c r="AG18" i="65"/>
  <c r="S18" i="65"/>
  <c r="M18" i="65"/>
  <c r="H18" i="65"/>
  <c r="B18" i="65"/>
  <c r="S16" i="65"/>
  <c r="H16" i="65"/>
  <c r="B16" i="65"/>
  <c r="B13" i="65"/>
  <c r="S12" i="65"/>
  <c r="N12" i="65"/>
  <c r="B12" i="65"/>
  <c r="AI11" i="65"/>
  <c r="AK11" i="65" s="1"/>
  <c r="K11" i="65"/>
  <c r="B11" i="65"/>
  <c r="S10" i="65"/>
  <c r="B10" i="65"/>
  <c r="H9" i="65"/>
  <c r="S8" i="65"/>
  <c r="H8" i="65"/>
  <c r="B8" i="65"/>
  <c r="AG5" i="65"/>
  <c r="L5" i="65"/>
  <c r="K5" i="65"/>
  <c r="D5" i="65"/>
  <c r="C5" i="65"/>
  <c r="K4" i="65"/>
  <c r="D4" i="65"/>
  <c r="AG8" i="65" s="1"/>
  <c r="AG9" i="65" s="1"/>
  <c r="C4" i="65"/>
  <c r="C3" i="65"/>
  <c r="B65" i="64"/>
  <c r="Q59" i="64"/>
  <c r="I58" i="64"/>
  <c r="S57" i="64"/>
  <c r="C57" i="64"/>
  <c r="L56" i="64"/>
  <c r="AI57" i="64" s="1"/>
  <c r="J56" i="64"/>
  <c r="H56" i="64"/>
  <c r="L55" i="64"/>
  <c r="AK56" i="64" s="1"/>
  <c r="J55" i="64"/>
  <c r="H55" i="64"/>
  <c r="L54" i="64"/>
  <c r="AI55" i="64" s="1"/>
  <c r="J54" i="64"/>
  <c r="H54" i="64"/>
  <c r="L53" i="64"/>
  <c r="AK54" i="64" s="1"/>
  <c r="J53" i="64"/>
  <c r="H53" i="64"/>
  <c r="L52" i="64"/>
  <c r="AI53" i="64" s="1"/>
  <c r="J52" i="64"/>
  <c r="H52" i="64"/>
  <c r="L51" i="64"/>
  <c r="AI52" i="64" s="1"/>
  <c r="J51" i="64"/>
  <c r="H51" i="64"/>
  <c r="L50" i="64"/>
  <c r="AK51" i="64" s="1"/>
  <c r="J50" i="64"/>
  <c r="H50" i="64"/>
  <c r="L49" i="64"/>
  <c r="AI50" i="64" s="1"/>
  <c r="J49" i="64"/>
  <c r="H49" i="64"/>
  <c r="L48" i="64"/>
  <c r="AK49" i="64" s="1"/>
  <c r="J48" i="64"/>
  <c r="H48" i="64"/>
  <c r="L47" i="64"/>
  <c r="AK48" i="64" s="1"/>
  <c r="J47" i="64"/>
  <c r="H47" i="64"/>
  <c r="L46" i="64"/>
  <c r="AI47" i="64" s="1"/>
  <c r="J46" i="64"/>
  <c r="H46" i="64"/>
  <c r="L45" i="64"/>
  <c r="AK46" i="64" s="1"/>
  <c r="J45" i="64"/>
  <c r="H45" i="64"/>
  <c r="L44" i="64"/>
  <c r="AI45" i="64" s="1"/>
  <c r="J44" i="64"/>
  <c r="H44" i="64"/>
  <c r="W43" i="64"/>
  <c r="S43" i="64"/>
  <c r="L43" i="64"/>
  <c r="AI44" i="64" s="1"/>
  <c r="J43" i="64"/>
  <c r="H43" i="64"/>
  <c r="L42" i="64"/>
  <c r="AK43" i="64" s="1"/>
  <c r="J42" i="64"/>
  <c r="H42" i="64"/>
  <c r="S41" i="64"/>
  <c r="L41" i="64"/>
  <c r="AK42" i="64" s="1"/>
  <c r="J41" i="64"/>
  <c r="H41" i="64"/>
  <c r="L40" i="64"/>
  <c r="AK41" i="64" s="1"/>
  <c r="J40" i="64"/>
  <c r="H40" i="64"/>
  <c r="L39" i="64"/>
  <c r="AK40" i="64" s="1"/>
  <c r="J39" i="64"/>
  <c r="H39" i="64"/>
  <c r="AF38" i="64"/>
  <c r="AF39" i="64" s="1"/>
  <c r="AF40" i="64" s="1"/>
  <c r="AF41" i="64" s="1"/>
  <c r="AF42" i="64" s="1"/>
  <c r="AF43" i="64" s="1"/>
  <c r="AF44" i="64" s="1"/>
  <c r="AF45" i="64" s="1"/>
  <c r="AF46" i="64" s="1"/>
  <c r="AF47" i="64" s="1"/>
  <c r="AF48" i="64" s="1"/>
  <c r="AF49" i="64" s="1"/>
  <c r="AF50" i="64" s="1"/>
  <c r="AF51" i="64" s="1"/>
  <c r="AF52" i="64" s="1"/>
  <c r="AF53" i="64" s="1"/>
  <c r="AF54" i="64" s="1"/>
  <c r="AF55" i="64" s="1"/>
  <c r="AF56" i="64" s="1"/>
  <c r="AF57" i="64" s="1"/>
  <c r="H38" i="64"/>
  <c r="J38" i="64" s="1"/>
  <c r="S37" i="64"/>
  <c r="H37" i="64"/>
  <c r="J37" i="64" s="1"/>
  <c r="O36" i="64"/>
  <c r="L36" i="64"/>
  <c r="S35" i="64"/>
  <c r="L35" i="64"/>
  <c r="J35" i="64"/>
  <c r="H35" i="64"/>
  <c r="E35" i="64"/>
  <c r="D35" i="64"/>
  <c r="C35" i="64"/>
  <c r="S33" i="64"/>
  <c r="B33" i="64"/>
  <c r="AG30" i="64"/>
  <c r="B30" i="64"/>
  <c r="AG26" i="64"/>
  <c r="AA26" i="64"/>
  <c r="H26" i="64"/>
  <c r="D26" i="64"/>
  <c r="AA25" i="64"/>
  <c r="H25" i="64"/>
  <c r="C25" i="64"/>
  <c r="AA24" i="64"/>
  <c r="H24" i="64"/>
  <c r="C24" i="64"/>
  <c r="AB23" i="64"/>
  <c r="E23" i="64"/>
  <c r="D23" i="64"/>
  <c r="H22" i="64"/>
  <c r="B22" i="64"/>
  <c r="H21" i="64"/>
  <c r="AG20" i="64"/>
  <c r="L27" i="64" s="1"/>
  <c r="H20" i="64"/>
  <c r="B20" i="64"/>
  <c r="H19" i="64"/>
  <c r="B19" i="64"/>
  <c r="AG18" i="64"/>
  <c r="S18" i="64"/>
  <c r="M18" i="64"/>
  <c r="H18" i="64"/>
  <c r="B18" i="64"/>
  <c r="S16" i="64"/>
  <c r="H16" i="64"/>
  <c r="B16" i="64"/>
  <c r="B13" i="64"/>
  <c r="S12" i="64"/>
  <c r="B12" i="64"/>
  <c r="AI11" i="64"/>
  <c r="AK11" i="64" s="1"/>
  <c r="K11" i="64"/>
  <c r="B11" i="64"/>
  <c r="S10" i="64"/>
  <c r="B10" i="64"/>
  <c r="H9" i="64"/>
  <c r="S8" i="64"/>
  <c r="H8" i="64"/>
  <c r="B8" i="64"/>
  <c r="AG5" i="64"/>
  <c r="L5" i="64"/>
  <c r="O22" i="64" s="1"/>
  <c r="K5" i="64"/>
  <c r="D5" i="64"/>
  <c r="C5" i="64"/>
  <c r="K4" i="64"/>
  <c r="D4" i="64"/>
  <c r="AG8" i="64" s="1"/>
  <c r="AG9" i="64" s="1"/>
  <c r="AG11" i="64" s="1"/>
  <c r="C4" i="64"/>
  <c r="C3" i="64"/>
  <c r="A163" i="3"/>
  <c r="A143" i="3"/>
  <c r="A141" i="3"/>
  <c r="A138" i="3"/>
  <c r="A129" i="3"/>
  <c r="A119" i="3"/>
  <c r="A111" i="3"/>
  <c r="A107" i="3"/>
  <c r="B7" i="36"/>
  <c r="B5" i="36"/>
  <c r="O22" i="65" l="1"/>
  <c r="H23" i="65" s="1" a="1"/>
  <c r="H23" i="65" s="1"/>
  <c r="AG14" i="65"/>
  <c r="AG11" i="65"/>
  <c r="AG15" i="65"/>
  <c r="AG6" i="65"/>
  <c r="AG7" i="65" s="1"/>
  <c r="AG10" i="65"/>
  <c r="AG12" i="65"/>
  <c r="N27" i="65"/>
  <c r="O24" i="65"/>
  <c r="E41" i="65"/>
  <c r="E45" i="65" s="1"/>
  <c r="D45" i="65"/>
  <c r="B28" i="65" a="1"/>
  <c r="B28" i="65" s="1"/>
  <c r="H23" i="64" a="1"/>
  <c r="H23" i="64" s="1"/>
  <c r="O24" i="64"/>
  <c r="AG14" i="64"/>
  <c r="AG15" i="64"/>
  <c r="AG12" i="64"/>
  <c r="AG10" i="64"/>
  <c r="H27" i="64"/>
  <c r="B28" i="64" a="1"/>
  <c r="B28" i="64" s="1"/>
  <c r="AG6" i="64"/>
  <c r="AG7" i="64" s="1"/>
  <c r="H57" i="64"/>
  <c r="AA35" i="64" s="1"/>
  <c r="AK44" i="64"/>
  <c r="AJ11" i="65"/>
  <c r="AJ12" i="65"/>
  <c r="H27" i="65"/>
  <c r="E26" i="65"/>
  <c r="AK47" i="64"/>
  <c r="AK52" i="64"/>
  <c r="AK57" i="64"/>
  <c r="AI41" i="64"/>
  <c r="AK55" i="64"/>
  <c r="E26" i="64"/>
  <c r="AI48" i="64"/>
  <c r="AK50" i="64"/>
  <c r="AI56" i="64"/>
  <c r="AI43" i="64"/>
  <c r="AK45" i="64"/>
  <c r="AI51" i="64"/>
  <c r="AK53" i="64"/>
  <c r="AJ11" i="64"/>
  <c r="AI40" i="64"/>
  <c r="AI42" i="64"/>
  <c r="AI46" i="64"/>
  <c r="AI54" i="64"/>
  <c r="AI49" i="64"/>
  <c r="K45" i="65" l="1"/>
  <c r="AG20" i="65"/>
  <c r="AG16" i="65"/>
  <c r="AG17" i="65" s="1"/>
  <c r="L25" i="65" s="1"/>
  <c r="AG21" i="64"/>
  <c r="AG16" i="64"/>
  <c r="U43" i="64" s="1"/>
  <c r="AG24" i="65"/>
  <c r="L26" i="65" l="1" a="1"/>
  <c r="L26" i="65" s="1"/>
  <c r="AG25" i="65" s="1" a="1"/>
  <c r="AG25" i="65" s="1"/>
  <c r="U43" i="65"/>
  <c r="AG38" i="65" s="1"/>
  <c r="S38" i="65" s="1"/>
  <c r="AG17" i="64"/>
  <c r="AG53" i="64" s="1"/>
  <c r="B31" i="65" l="1" a="1"/>
  <c r="B31" i="65" s="1"/>
  <c r="L26" i="64" a="1"/>
  <c r="L26" i="64" s="1"/>
  <c r="Y12" i="65" a="1"/>
  <c r="Y12" i="65" s="1"/>
  <c r="AG55" i="64"/>
  <c r="AG51" i="64"/>
  <c r="AG54" i="64"/>
  <c r="AH54" i="64" s="1"/>
  <c r="AG45" i="64"/>
  <c r="AG40" i="64"/>
  <c r="AG52" i="64"/>
  <c r="AH53" i="64" s="1"/>
  <c r="AG44" i="64"/>
  <c r="AG50" i="64"/>
  <c r="AG47" i="64"/>
  <c r="AG38" i="64"/>
  <c r="AG41" i="64"/>
  <c r="AG43" i="64"/>
  <c r="AG42" i="64"/>
  <c r="AG39" i="64"/>
  <c r="L25" i="64"/>
  <c r="AG49" i="64"/>
  <c r="AG46" i="64"/>
  <c r="AG37" i="64"/>
  <c r="AG57" i="64"/>
  <c r="AG48" i="64"/>
  <c r="AG56" i="64"/>
  <c r="N26" i="64"/>
  <c r="AG25" i="64" l="1" a="1"/>
  <c r="AG25" i="64" s="1"/>
  <c r="Y12" i="64" s="1" a="1"/>
  <c r="Y12" i="64" s="1"/>
  <c r="O50" i="64" s="1"/>
  <c r="B31" i="64" a="1"/>
  <c r="B31" i="64" s="1"/>
  <c r="AH46" i="64"/>
  <c r="AH48" i="64"/>
  <c r="L37" i="64"/>
  <c r="L38" i="64"/>
  <c r="AH47" i="64"/>
  <c r="AH40" i="64"/>
  <c r="AH56" i="64"/>
  <c r="AH41" i="64"/>
  <c r="AH45" i="64"/>
  <c r="AH55" i="64"/>
  <c r="AH52" i="64"/>
  <c r="AH43" i="64"/>
  <c r="AH38" i="64"/>
  <c r="AH42" i="64"/>
  <c r="AH49" i="64"/>
  <c r="AH50" i="64"/>
  <c r="AH39" i="64"/>
  <c r="AH51" i="64"/>
  <c r="AH44" i="64"/>
  <c r="AH57" i="64"/>
  <c r="O45" i="64" l="1"/>
  <c r="AG35" i="64"/>
  <c r="AL69" i="64" s="1"/>
  <c r="O41" i="64"/>
  <c r="O38" i="64"/>
  <c r="O39" i="64"/>
  <c r="O42" i="64"/>
  <c r="O48" i="64"/>
  <c r="O51" i="64"/>
  <c r="O56" i="64"/>
  <c r="O46" i="64"/>
  <c r="O44" i="64"/>
  <c r="O40" i="64"/>
  <c r="O37" i="64"/>
  <c r="O52" i="64"/>
  <c r="O54" i="64"/>
  <c r="O43" i="64"/>
  <c r="O47" i="64"/>
  <c r="O49" i="64"/>
  <c r="O53" i="64"/>
  <c r="O55" i="64"/>
  <c r="AI39" i="64"/>
  <c r="AK39" i="64"/>
  <c r="AI38" i="64"/>
  <c r="L57" i="64"/>
  <c r="AL60" i="64" s="1"/>
  <c r="AK38" i="64"/>
  <c r="AL64" i="64" l="1"/>
  <c r="O57" i="64"/>
  <c r="L58" i="64" s="1"/>
  <c r="AA37" i="64" s="1"/>
  <c r="AJ40" i="64"/>
  <c r="AL40" i="64" s="1"/>
  <c r="AJ51" i="64"/>
  <c r="AL51" i="64" s="1"/>
  <c r="AJ47" i="64"/>
  <c r="AL47" i="64" s="1"/>
  <c r="AJ48" i="64"/>
  <c r="AL48" i="64" s="1"/>
  <c r="AJ52" i="64"/>
  <c r="AL52" i="64" s="1"/>
  <c r="AJ55" i="64"/>
  <c r="AL55" i="64" s="1"/>
  <c r="AJ41" i="64"/>
  <c r="AL41" i="64" s="1"/>
  <c r="AJ38" i="64"/>
  <c r="AL38" i="64" s="1"/>
  <c r="AJ49" i="64"/>
  <c r="AL49" i="64" s="1"/>
  <c r="AJ57" i="64"/>
  <c r="AL57" i="64" s="1"/>
  <c r="AJ44" i="64"/>
  <c r="AL44" i="64" s="1"/>
  <c r="AJ53" i="64"/>
  <c r="AL53" i="64" s="1"/>
  <c r="AJ46" i="64"/>
  <c r="AL46" i="64" s="1"/>
  <c r="AJ50" i="64"/>
  <c r="AL50" i="64" s="1"/>
  <c r="AJ54" i="64"/>
  <c r="AL54" i="64" s="1"/>
  <c r="AJ42" i="64"/>
  <c r="AL42" i="64" s="1"/>
  <c r="AJ45" i="64"/>
  <c r="AL45" i="64" s="1"/>
  <c r="AJ43" i="64"/>
  <c r="AL43" i="64" s="1"/>
  <c r="AJ56" i="64"/>
  <c r="AL56" i="64" s="1"/>
  <c r="AJ39" i="64"/>
  <c r="AL39" i="64" s="1"/>
  <c r="AL71" i="64" l="1"/>
  <c r="AG33" i="64"/>
  <c r="H61" i="64" s="1"/>
  <c r="AL59" i="64"/>
  <c r="AL61" i="64" s="1"/>
  <c r="AL65" i="64" s="1"/>
  <c r="AL66" i="64" s="1"/>
  <c r="AA41" i="64" s="1"/>
  <c r="G44" i="3"/>
  <c r="G43" i="3"/>
  <c r="AL70" i="64" l="1"/>
  <c r="AL72" i="64" s="1"/>
  <c r="AL73" i="64" s="1"/>
  <c r="AG77" i="64" s="1"/>
  <c r="F59" i="3"/>
  <c r="F58" i="3"/>
  <c r="D33" i="3"/>
  <c r="D32" i="3"/>
  <c r="D31" i="3"/>
  <c r="D30" i="3"/>
  <c r="D29" i="3"/>
  <c r="D28" i="3"/>
  <c r="D27" i="3"/>
  <c r="F54" i="3"/>
  <c r="F53" i="3"/>
  <c r="F52" i="3"/>
  <c r="F46" i="3"/>
  <c r="F45" i="3"/>
  <c r="F44" i="3"/>
  <c r="F43" i="3"/>
  <c r="F39" i="3"/>
  <c r="F38" i="3"/>
  <c r="F37" i="3"/>
  <c r="A200" i="3"/>
  <c r="F13" i="2" s="1"/>
  <c r="A199" i="3"/>
  <c r="F15" i="2" s="1"/>
  <c r="A198" i="3"/>
  <c r="E3" i="2"/>
  <c r="B2" i="2"/>
  <c r="F22" i="2"/>
  <c r="F21" i="2"/>
  <c r="F20" i="2"/>
  <c r="F19" i="2"/>
  <c r="F18" i="2"/>
  <c r="F17" i="2"/>
  <c r="F16" i="2"/>
  <c r="F12" i="2"/>
  <c r="C23" i="2"/>
  <c r="E12" i="2"/>
  <c r="D12" i="2"/>
  <c r="C12" i="2"/>
  <c r="C11" i="2"/>
  <c r="C10" i="2"/>
  <c r="C7" i="2"/>
  <c r="C5" i="2"/>
  <c r="C3" i="2"/>
  <c r="D23" i="2"/>
  <c r="AG74" i="64" l="1"/>
  <c r="AA43" i="64"/>
  <c r="AG75" i="64"/>
  <c r="F14" i="2"/>
  <c r="AG76" i="64" l="1"/>
  <c r="S60" i="64" s="1"/>
  <c r="AG78" i="64"/>
  <c r="S62" i="64" s="1"/>
  <c r="S58"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Kosinski, Kacper</author>
  </authors>
  <commentList>
    <comment ref="D5" authorId="0" shapeId="0" xr:uid="{BBEE58D4-EDED-4B2D-98E8-4AB14A72A8C3}">
      <text>
        <r>
          <rPr>
            <sz val="9"/>
            <color indexed="81"/>
            <rFont val="Tahoma"/>
            <family val="2"/>
          </rPr>
          <t xml:space="preserve">Firm policy requires audit risk to be set at 5%_x000D_
for audit engagements performed under PCAOB_x000D_
standards and audit engagements of depository_x000D_
and lending institutions.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Kosinski, Kacper</author>
  </authors>
  <commentList>
    <comment ref="AA43" authorId="0" shapeId="0" xr:uid="{F833B84A-6D0E-4299-A76C-AB463E804A40}">
      <text>
        <r>
          <rPr>
            <sz val="9"/>
            <color indexed="81"/>
            <rFont val="Tahoma"/>
            <family val="2"/>
          </rPr>
          <t>Guidance: This is the Upper Limit on Precision.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Kosinski, Kacper</author>
  </authors>
  <commentList>
    <comment ref="Y10" authorId="0" shapeId="0" xr:uid="{653B9C90-352D-486B-8A4C-16FADC86AC04}">
      <text>
        <r>
          <rPr>
            <sz val="9"/>
            <color indexed="81"/>
            <rFont val="Tahoma"/>
            <family val="2"/>
          </rPr>
          <t>Guidance:_x000D_
Systematic - The population is divided by the_x000D_
sample size to give a sampling interval. Having_x000D_
determined a starting point, every Nth sampling_x000D_
unit thereafter is selected._x000D_
_x000D_
Random - Sampling units are selected using_x000D_
random number generators, such as those included_x000D_
in IDEA._x000D_
_x000D_
Haphazard - Sampling units are selected without_x000D_
following a structured technique, avoiding any_x000D_
conscious bias or predictability.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tj23</author>
    <author>Thomas Duncan</author>
  </authors>
  <commentList>
    <comment ref="B16" authorId="0" shapeId="0" xr:uid="{00000000-0006-0000-0400-000001000000}">
      <text>
        <r>
          <rPr>
            <sz val="9"/>
            <color indexed="81"/>
            <rFont val="Tahoma"/>
            <family val="2"/>
          </rPr>
          <t xml:space="preserve">No longer editable
</t>
        </r>
      </text>
    </comment>
    <comment ref="A26" authorId="0" shapeId="0" xr:uid="{00000000-0006-0000-0400-000002000000}">
      <text>
        <r>
          <rPr>
            <b/>
            <sz val="9"/>
            <color indexed="81"/>
            <rFont val="Tahoma"/>
            <family val="2"/>
          </rPr>
          <t xml:space="preserve"> *** DO NOT change order of assertions, but wording CAN be changed***</t>
        </r>
      </text>
    </comment>
    <comment ref="E223" authorId="1" shapeId="0" xr:uid="{00000000-0006-0000-0400-000003000000}">
      <text>
        <r>
          <rPr>
            <b/>
            <sz val="9"/>
            <color indexed="81"/>
            <rFont val="Tahoma"/>
            <family val="2"/>
          </rPr>
          <t>Percentage that will create message</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<sst xmlns="http://schemas.openxmlformats.org/spreadsheetml/2006/main" count="545" uniqueCount="308">
  <si>
    <t>Cycle</t>
  </si>
  <si>
    <t>Value</t>
  </si>
  <si>
    <t xml:space="preserve">Population </t>
  </si>
  <si>
    <t>Name</t>
  </si>
  <si>
    <t>Extent</t>
  </si>
  <si>
    <t>Sampling - statistical</t>
  </si>
  <si>
    <t>Yes</t>
  </si>
  <si>
    <t>No</t>
  </si>
  <si>
    <t>Step 1 - Determine the objective of the test</t>
  </si>
  <si>
    <t>Step 4 - Determine the sample size</t>
  </si>
  <si>
    <t>Extent of Control Reliance</t>
  </si>
  <si>
    <t>None</t>
  </si>
  <si>
    <t>Sample size</t>
  </si>
  <si>
    <t>Selection method used</t>
  </si>
  <si>
    <t>Random (IDEA only)</t>
  </si>
  <si>
    <t>Haphazard</t>
  </si>
  <si>
    <t>Step 5 - Select the sample</t>
  </si>
  <si>
    <t>Step 7 - Evaluate the sample results</t>
  </si>
  <si>
    <t>Qualitative</t>
  </si>
  <si>
    <t>Quantitative</t>
  </si>
  <si>
    <t>Projected</t>
  </si>
  <si>
    <t>Book value</t>
  </si>
  <si>
    <t>Audit value</t>
  </si>
  <si>
    <t>Tainting</t>
  </si>
  <si>
    <t>Sampling interval</t>
  </si>
  <si>
    <t>Misstatement</t>
  </si>
  <si>
    <t>Total</t>
  </si>
  <si>
    <t>Context</t>
  </si>
  <si>
    <t>YesNo</t>
  </si>
  <si>
    <t>InherentRisk</t>
  </si>
  <si>
    <t>ControlReliance</t>
  </si>
  <si>
    <t>Completeness</t>
  </si>
  <si>
    <t>DataSet</t>
  </si>
  <si>
    <t>OtherEvidence</t>
  </si>
  <si>
    <t>Step 3 - Sampling technique</t>
  </si>
  <si>
    <t>Statistical Sampling</t>
  </si>
  <si>
    <t>Determine if audit risk is 5%</t>
  </si>
  <si>
    <t>Based on check above, returns value of audit risk</t>
  </si>
  <si>
    <t>Factor - Other tests of details</t>
  </si>
  <si>
    <t>Factor - Inherent Risk</t>
  </si>
  <si>
    <t>Factor - Control</t>
  </si>
  <si>
    <t>Factor - Analytical Procedure</t>
  </si>
  <si>
    <t>Factors</t>
  </si>
  <si>
    <t>Returns the context number of determining factors</t>
  </si>
  <si>
    <t>Context # (see above)</t>
  </si>
  <si>
    <r>
      <t>Designed Sampling</t>
    </r>
    <r>
      <rPr>
        <u/>
        <sz val="10"/>
        <color theme="1"/>
        <rFont val="Arial"/>
        <family val="2"/>
      </rPr>
      <t xml:space="preserve"> Detection</t>
    </r>
    <r>
      <rPr>
        <sz val="10"/>
        <color theme="1"/>
        <rFont val="Arial"/>
        <family val="2"/>
      </rPr>
      <t xml:space="preserve"> Risk</t>
    </r>
  </si>
  <si>
    <r>
      <t xml:space="preserve">Designed Sampling </t>
    </r>
    <r>
      <rPr>
        <u/>
        <sz val="10"/>
        <color theme="1"/>
        <rFont val="Arial"/>
        <family val="2"/>
      </rPr>
      <t xml:space="preserve">Confidence </t>
    </r>
    <r>
      <rPr>
        <sz val="10"/>
        <color theme="1"/>
        <rFont val="Arial"/>
        <family val="2"/>
      </rPr>
      <t>Level</t>
    </r>
  </si>
  <si>
    <t>SelectionMethods</t>
  </si>
  <si>
    <t>Determine population to be used for sampling</t>
  </si>
  <si>
    <t>Checks if there are key items</t>
  </si>
  <si>
    <t>Projected misstatement</t>
  </si>
  <si>
    <t>(Factual)</t>
  </si>
  <si>
    <t>(Total projected)</t>
  </si>
  <si>
    <t>The total precision is:</t>
  </si>
  <si>
    <t>There is a</t>
  </si>
  <si>
    <t>chance that the recorded amount is overstated by more than</t>
  </si>
  <si>
    <t>Number of overstatement</t>
  </si>
  <si>
    <t>Basic precision (interval x factor for 0)</t>
  </si>
  <si>
    <t>Projected misstatement with incremental allowance</t>
  </si>
  <si>
    <t>Total Projected (BV under interval) with Incremental Allowance</t>
  </si>
  <si>
    <t>Less projected BV under interval)</t>
  </si>
  <si>
    <t>Incremental allowance</t>
  </si>
  <si>
    <t>Total precision (allowance for sampling risk)</t>
  </si>
  <si>
    <t>Basic precision</t>
  </si>
  <si>
    <t>+ incremental allowance for sampling risk</t>
  </si>
  <si>
    <t>Upper Limit on Precision/mistatement</t>
  </si>
  <si>
    <t>+ total Projected with incremental allowance (BV under interval)</t>
  </si>
  <si>
    <t>+ actual misstatement(BV over interval)</t>
  </si>
  <si>
    <t>Summary of results</t>
  </si>
  <si>
    <t>Total value</t>
  </si>
  <si>
    <t>Incremental</t>
  </si>
  <si>
    <t>Results:</t>
  </si>
  <si>
    <t>Factual misstatement in the sample:</t>
  </si>
  <si>
    <t>Reference working paper where testing is documented:</t>
  </si>
  <si>
    <t>Step 8 - Document the results of the procedure</t>
  </si>
  <si>
    <t>(1) Verifies if ULP is &lt; TE</t>
  </si>
  <si>
    <t xml:space="preserve">(2) Verifies if ULP minus factual misstatement is lower than TE. </t>
  </si>
  <si>
    <t>Verifies if (1) is False and (2) is True</t>
  </si>
  <si>
    <t xml:space="preserve">(3) Verifies if ULP minus total projected misstatement is lower than TE. </t>
  </si>
  <si>
    <t>Non-Statistical Sampling</t>
  </si>
  <si>
    <t>Listed?:</t>
  </si>
  <si>
    <t>Entity with increased risk?:</t>
  </si>
  <si>
    <t>Book value sample items</t>
  </si>
  <si>
    <t>Stratum 1</t>
  </si>
  <si>
    <t>Stratum 2</t>
  </si>
  <si>
    <t>Verifies if stratified and returns the factor</t>
  </si>
  <si>
    <t>Verifies if factual + projected is over TE</t>
  </si>
  <si>
    <t>Sufficient evidence was obtained to achieve the sample objective.</t>
  </si>
  <si>
    <t>Verifies if Projected is over Expected</t>
  </si>
  <si>
    <t xml:space="preserve">The amount of </t>
  </si>
  <si>
    <t>Misstatements noted</t>
  </si>
  <si>
    <t>Rank</t>
  </si>
  <si>
    <t>Int Proj</t>
  </si>
  <si>
    <t>With tainting</t>
  </si>
  <si>
    <t>No tainting</t>
  </si>
  <si>
    <t>Extent is NOT sampling</t>
  </si>
  <si>
    <t>Analytical procedures</t>
  </si>
  <si>
    <t>Evidence provided by:</t>
  </si>
  <si>
    <t>Describe procedures</t>
  </si>
  <si>
    <t>Checks if analytical OR OSP is different from "none"</t>
  </si>
  <si>
    <t>Summary</t>
  </si>
  <si>
    <t>Total number of items</t>
  </si>
  <si>
    <t>Absolute</t>
  </si>
  <si>
    <t>Absolute value of ULP</t>
  </si>
  <si>
    <t>Verifies if large understatement (more than 100%)</t>
  </si>
  <si>
    <t>Verifies if value in 1st stratum</t>
  </si>
  <si>
    <t>Interval</t>
  </si>
  <si>
    <t>Minimum extent of 5</t>
  </si>
  <si>
    <t>MUS is not designed to detect understatements. Determine whether using MUS remains appropriate.</t>
  </si>
  <si>
    <t>Name of population:</t>
  </si>
  <si>
    <t>Applicable sampling plan</t>
  </si>
  <si>
    <t>Sampling - non statistical</t>
  </si>
  <si>
    <t>*Bolded term is name of dataset</t>
  </si>
  <si>
    <t>Original text</t>
  </si>
  <si>
    <t>Context Number</t>
  </si>
  <si>
    <t>Assertions</t>
  </si>
  <si>
    <t>Static text</t>
  </si>
  <si>
    <t>Steps</t>
  </si>
  <si>
    <t>Header</t>
  </si>
  <si>
    <t>Projected misstatement (report to the document where misstatements are accumulated):</t>
  </si>
  <si>
    <t>** Enter translated text in the gold cells</t>
  </si>
  <si>
    <t>Reliance on controls</t>
  </si>
  <si>
    <t>Step 2 - Define and analyze the population</t>
  </si>
  <si>
    <t>Designed Confidence Level</t>
  </si>
  <si>
    <t>Total misstatements noted</t>
  </si>
  <si>
    <t>Misstatement rate</t>
  </si>
  <si>
    <t>Total book value of the population</t>
  </si>
  <si>
    <t>should be reported to the document where misstatements are accumulated.</t>
  </si>
  <si>
    <t>C1</t>
  </si>
  <si>
    <t>Custom 1</t>
  </si>
  <si>
    <t>C2</t>
  </si>
  <si>
    <t>Custom 2</t>
  </si>
  <si>
    <t>C3</t>
  </si>
  <si>
    <t>Custom 3</t>
  </si>
  <si>
    <t>C4</t>
  </si>
  <si>
    <t>Custom 4</t>
  </si>
  <si>
    <t>C5</t>
  </si>
  <si>
    <t>Custom 5</t>
  </si>
  <si>
    <t>C6</t>
  </si>
  <si>
    <t>Custom 6</t>
  </si>
  <si>
    <t>C7</t>
  </si>
  <si>
    <t>Custom 7</t>
  </si>
  <si>
    <t>C8</t>
  </si>
  <si>
    <t>Custom 8</t>
  </si>
  <si>
    <t>Assertion being tested</t>
  </si>
  <si>
    <t>Step 6 - Test the sampled items</t>
  </si>
  <si>
    <t>Messaging/Conditional text</t>
  </si>
  <si>
    <t>Statistical</t>
  </si>
  <si>
    <t>Non-Statistical</t>
  </si>
  <si>
    <t>Tab Names</t>
  </si>
  <si>
    <t>Numbers</t>
  </si>
  <si>
    <t>Elevated</t>
  </si>
  <si>
    <t>Performance Materiality</t>
  </si>
  <si>
    <t>Engagement name</t>
  </si>
  <si>
    <t>Scoped Item</t>
  </si>
  <si>
    <t>Rights and Obligations</t>
  </si>
  <si>
    <t>Existence</t>
  </si>
  <si>
    <t>Occurrence</t>
  </si>
  <si>
    <t>Accuracy</t>
  </si>
  <si>
    <t>Presentation</t>
  </si>
  <si>
    <t>Other / Material Only</t>
  </si>
  <si>
    <t>Extended test of controls</t>
  </si>
  <si>
    <t>Verify if Inherent Risk is Other/Material Only</t>
  </si>
  <si>
    <t>Link to Test Tab</t>
  </si>
  <si>
    <t>Normal</t>
  </si>
  <si>
    <t>Other tests of details</t>
  </si>
  <si>
    <t>Less extensive</t>
  </si>
  <si>
    <t>More extensive</t>
  </si>
  <si>
    <t>Testing Controls</t>
  </si>
  <si>
    <t>Error Messages</t>
  </si>
  <si>
    <t>Large understatements were noted. These may lead to projections that are invalid or inconclusive. In particular, it might not be appropriate to offset (net) understatements and overstatements. The engagement may perform other tests to  determine whether there is a risk that understatements were not detected.</t>
  </si>
  <si>
    <t>Inherent risk assessment</t>
  </si>
  <si>
    <t>Operating</t>
  </si>
  <si>
    <t>Design</t>
  </si>
  <si>
    <t>Valuation and allocation</t>
  </si>
  <si>
    <t>Verify all inputs</t>
  </si>
  <si>
    <t>Lowest % for Expected Error before Warning Message</t>
  </si>
  <si>
    <t>Systematic not chosen so an interval is not applicable</t>
  </si>
  <si>
    <t>The sample results support the conclusion that the population is not misstated by more than performance materiality.</t>
  </si>
  <si>
    <t>The conclusion that the population is not misstated by more than performance materiality is NOT supported.</t>
  </si>
  <si>
    <t>The upper limit on precision minus the factual misstatement is below performance materiality. The sample results would support the conclusion if the entity records the factual misstatement.</t>
  </si>
  <si>
    <t>The upper limit on precision minus the projected misstatement is below performance materiality. The sample results would support the conclusion if the entity records the projected misstatement. This option is ONLY valid if the projected misstatement is the best estimate of the total misstatement in the population.</t>
  </si>
  <si>
    <t>The conclusion that the population is not misstated by more than performance materiality is NOT supported because projected misstatement exceeds expected misstatement. Take appropriate actions as needed.</t>
  </si>
  <si>
    <t>Expected error is set to a low value. Verify that this value is appropriate.</t>
  </si>
  <si>
    <t>Verifies if value in 2nd stratum</t>
  </si>
  <si>
    <t>Verifies if value in significant</t>
  </si>
  <si>
    <t>The calculated % is 0 or less - minimum extent is sufficient</t>
  </si>
  <si>
    <t>Systematic / Interval</t>
  </si>
  <si>
    <t>No relevant / applicable assertions chosen</t>
  </si>
  <si>
    <t>No control reliance selected</t>
  </si>
  <si>
    <t>Tolerable misstatement:</t>
  </si>
  <si>
    <t>Not applicable / relevant</t>
  </si>
  <si>
    <t>Key</t>
  </si>
  <si>
    <t>System driven or calculated value</t>
  </si>
  <si>
    <t>Required user selection for sample determination</t>
  </si>
  <si>
    <t>Additional user input field</t>
  </si>
  <si>
    <t>Minimum extent - no interval</t>
  </si>
  <si>
    <t>Absolute Value</t>
  </si>
  <si>
    <t>The total value of the specific items identified represents a large proportion of the total population.  An extent other than sampling may be more efficient and effective.</t>
  </si>
  <si>
    <t>High value or key items that will be tested separately:</t>
  </si>
  <si>
    <t>Plus high value and key items identified</t>
  </si>
  <si>
    <t>Related to high value or key items?</t>
  </si>
  <si>
    <t>High value or key items</t>
  </si>
  <si>
    <t>Testing less than 100% of the population?</t>
  </si>
  <si>
    <t>What is the amount of the population being tested (in absolute value)?</t>
  </si>
  <si>
    <t>Absolute value of the population</t>
  </si>
  <si>
    <t>Verifies if stratified or selection method statistical</t>
  </si>
  <si>
    <t>Key items greater or equal to amounts being sampled</t>
  </si>
  <si>
    <t>Key items represent a large portion of value being tested</t>
  </si>
  <si>
    <t>The total value of the specific items cannot be greater than or equal to the population value being sampled</t>
  </si>
  <si>
    <t>YOU MUST ENABLE MACROS TO USE THIS WORKBOOK</t>
  </si>
  <si>
    <t>ADA</t>
  </si>
  <si>
    <t>Factor - ADA</t>
  </si>
  <si>
    <t>Guidance</t>
  </si>
  <si>
    <t>Applicable sampling plan:</t>
  </si>
  <si>
    <t>Applicable ssampling plan:</t>
  </si>
  <si>
    <t>Audit data analytics</t>
  </si>
  <si>
    <t>Guidance:
Systematic - The population is divided by the sample size to give a sampling interval. Having determined a starting point, every Nth sampling unit thereafter is selected.
Random - Sampling units are selected using random number generators, such as those included in IDEA.
Haphazard - Sampling units are selected without following a structured technique, avoiding any conscious bias or predictability.</t>
  </si>
  <si>
    <t>Guidance: This is the Upper Limit on Precision.</t>
  </si>
  <si>
    <t>Population subject to sampling</t>
  </si>
  <si>
    <t>Projected misstatement must be in descending order (higher to lower)</t>
  </si>
  <si>
    <t>Understatement limit before warning displayed</t>
  </si>
  <si>
    <t>Heading for legend in stat sheet</t>
  </si>
  <si>
    <t>Legend</t>
  </si>
  <si>
    <t>Instructions - Sample calculator</t>
  </si>
  <si>
    <t>Scoped item:</t>
  </si>
  <si>
    <t>Inherent risk:</t>
  </si>
  <si>
    <t>Increased engagement risk:</t>
  </si>
  <si>
    <t>Name:</t>
  </si>
  <si>
    <t>Absolute value:</t>
  </si>
  <si>
    <t>Extent:</t>
  </si>
  <si>
    <t>Individual sample size and evaluation tabs</t>
  </si>
  <si>
    <t>Value of the population:</t>
  </si>
  <si>
    <t>Selection method used:</t>
  </si>
  <si>
    <t>Non stat guidance for stratification:</t>
  </si>
  <si>
    <t>Yes - applicable</t>
  </si>
  <si>
    <t>YesNoApp</t>
  </si>
  <si>
    <t>No - not applicable</t>
  </si>
  <si>
    <t>Use of macros: This template has numerous macros. The execution of a macro purges the actions that can be undone using the "Undo" button or using the keyboard shortcut CTRL+Z. Users are encouraged to save this document frequently as a precautionary measure.
***Do not add, delete, hide or unhide any rows or columns in this workbook when entering and revising information, as this will break macros contained in the workbook.***</t>
  </si>
  <si>
    <t>Stratified</t>
  </si>
  <si>
    <t>Homogenous</t>
  </si>
  <si>
    <t>Not stratified</t>
  </si>
  <si>
    <t>Nature of the population?</t>
  </si>
  <si>
    <t>Adjusted aggregate misstatement $</t>
  </si>
  <si>
    <t>Warning - Amount being sampled is less than or equal to PM.</t>
  </si>
  <si>
    <t>Member firms establish criteria for determining those engagements that are considered “high-risk,” which may include listed entities with substantial operations and subject to regulatory or other risk</t>
  </si>
  <si>
    <t>In addition to listed entities with substantial operations and those subject to regulatory or other risk, member firms may consider the following criteria for high-risk:
   • Public interest entities (as defined within their local jurisdiction)
   • Engagements with increased regulatory risk
   • New audit engagements (Initial audits and new to the member firm)
   • Financial institutions
   • Those entities where there is significant doubt on the entities’ ability to continue as a going concern</t>
  </si>
  <si>
    <t>GTSP</t>
  </si>
  <si>
    <t>Limited</t>
  </si>
  <si>
    <t xml:space="preserve">These translations are placed here for context. </t>
  </si>
  <si>
    <t>Extended</t>
  </si>
  <si>
    <t>Expected Aggregate Misstatement</t>
  </si>
  <si>
    <t>Does the entity meet any other criteria established by the firm (if applicable)?</t>
  </si>
  <si>
    <t>Is the entity a higher risk listed entity?</t>
  </si>
  <si>
    <t>Scoped Item (Absolute Value)</t>
  </si>
  <si>
    <t>Control reliance DO NOT EDIT</t>
  </si>
  <si>
    <t>Key items are negative</t>
  </si>
  <si>
    <t>High value or key items cannot be negative</t>
  </si>
  <si>
    <t>Nature of reliance on controls</t>
  </si>
  <si>
    <t>Extent of reliance on controls</t>
  </si>
  <si>
    <t>Start sheet messages</t>
  </si>
  <si>
    <r>
      <t xml:space="preserve">If this is the only visible worksheet </t>
    </r>
    <r>
      <rPr>
        <b/>
        <u/>
        <sz val="11"/>
        <rFont val="Calibri"/>
        <family val="2"/>
        <scheme val="minor"/>
      </rPr>
      <t>and macros have been enabled</t>
    </r>
    <r>
      <rPr>
        <sz val="11"/>
        <rFont val="Calibri"/>
        <family val="2"/>
        <scheme val="minor"/>
      </rPr>
      <t>, it is generally due to one of the following situations:
1. Upon opening the workbook and enabling macros, the worksheet does not disappear and the remaining worksheets in the workbook do not appear. 
2. Upon attempting to close the workbook when auto-save is turned on, 'Cancel' has been selected in a resulting message box due to an interruption of the auto-save process. 
If either of these situations arise, save and close all open Excel file and re-open the workbook.</t>
    </r>
  </si>
  <si>
    <r>
      <t xml:space="preserve">If this is the only visible worksheet and </t>
    </r>
    <r>
      <rPr>
        <b/>
        <u/>
        <sz val="11"/>
        <rFont val="Calibri"/>
        <family val="2"/>
        <scheme val="minor"/>
      </rPr>
      <t>macros have been enabled</t>
    </r>
    <r>
      <rPr>
        <sz val="11"/>
        <rFont val="Calibri"/>
        <family val="2"/>
        <scheme val="minor"/>
      </rPr>
      <t>, it is generally due to one of the following situations:
1. Upon opening the workbook and enabling macros, the worksheet does not disappear and the remaining worksheets in the workbook do not appear. 
2. Upon attempting to close the workbook when auto-save is turned on, 'Cancel' has been selected in a resulting message box due to an interruption of the auto-save process. 
If either of these situations arise, save and close all open Excel file and re-open the workbook.</t>
    </r>
  </si>
  <si>
    <t>Expected error is set to a high value. Verify that this value is appropriate.</t>
  </si>
  <si>
    <t>Expected error value inappropriate.</t>
  </si>
  <si>
    <t>High % for Expected Error before Warning Message</t>
  </si>
  <si>
    <t>High % for Expected Error before Error</t>
  </si>
  <si>
    <t>Checks if Expected Aggregate Misstatement % is 95%+</t>
  </si>
  <si>
    <t>Instructional Note: This template is an Excel macro enabled spreadsheet, which uses information entered by the engagement team to determine the sample size. 
Based on the sample size determined and test of details performed, the template also evaluates the results.</t>
  </si>
  <si>
    <t>Control reliance:</t>
  </si>
  <si>
    <t>Selected performance materiality:</t>
  </si>
  <si>
    <t>Key items that will be tested separately:</t>
  </si>
  <si>
    <r>
      <rPr>
        <b/>
        <sz val="10"/>
        <color theme="1"/>
        <rFont val="Arial"/>
        <family val="2"/>
      </rPr>
      <t>Purpose:</t>
    </r>
    <r>
      <rPr>
        <sz val="10"/>
        <color theme="1"/>
        <rFont val="Arial"/>
        <family val="2"/>
      </rPr>
      <t xml:space="preserve"> the purpose of this tab is for the engagement to enter the sampling needed for the scoped item. Many of the initial fields will populate from the prior tab. </t>
    </r>
  </si>
  <si>
    <r>
      <rPr>
        <b/>
        <sz val="10"/>
        <color theme="1"/>
        <rFont val="Arial"/>
        <family val="2"/>
      </rPr>
      <t>How to:</t>
    </r>
    <r>
      <rPr>
        <sz val="10"/>
        <color theme="1"/>
        <rFont val="Arial"/>
        <family val="2"/>
      </rPr>
      <t xml:space="preserve"> Enter the information or select the applicable drop-down from the cells shaded for engagement team editing</t>
    </r>
  </si>
  <si>
    <r>
      <rPr>
        <b/>
        <sz val="10"/>
        <color theme="1"/>
        <rFont val="Arial"/>
        <family val="2"/>
      </rPr>
      <t xml:space="preserve">Purpose: </t>
    </r>
    <r>
      <rPr>
        <sz val="10"/>
        <color theme="1"/>
        <rFont val="Arial"/>
        <family val="2"/>
      </rPr>
      <t xml:space="preserve">the purposes of these tabs are to provide the sample size determination and evaluation for the individual tests being performed. </t>
    </r>
  </si>
  <si>
    <r>
      <rPr>
        <b/>
        <sz val="10"/>
        <color theme="1"/>
        <rFont val="Arial"/>
        <family val="2"/>
      </rPr>
      <t xml:space="preserve">How to: </t>
    </r>
    <r>
      <rPr>
        <sz val="10"/>
        <color theme="1"/>
        <rFont val="Arial"/>
        <family val="2"/>
      </rPr>
      <t>Enter the applicable information into the open fields without other edits to the tab.</t>
    </r>
  </si>
  <si>
    <t xml:space="preserve">The engagement team will determine a sample size sufficient to reduce sampling risk to an acceptably low level. Other substantive procedures performed, directed toward the same assertion, may allow using a lower confidence level in audit sampling.
The engagement team makes a subjective assessment of the evidence provided by such additional substantive procedures and determines whether it is "more extensive" or "less extensive".
</t>
  </si>
  <si>
    <t xml:space="preserve">The engagement team selects items for the sample in such a way that each sampling unit in the population has a chance of selection.
There are many methods of selecting samples. The methods used in GTSP are as follows:
Statistical sampling
Systematic (interval) – The number of sampling units in the population is divided by the sample size to give a sampling interval. Having determined a starting point, every Nth sampling unit thereafter is selected. Although the starting point may be determined haphazardly, the sample is more likely to be truly random if it is determined by use of a computerized random number generator or random number tables. When using systematic selection, it is important that the population not be structured in such a way that the sampling interval corresponds with a particular pattern in the population. Possible solutions to this risk include randomizing the population.
If the recorded amount is several times larger than the sampling interval, the amount might be selected more than once. If that happens, it is appropriate to ignore the repeat selection and consider the amount only once when evaluating the sample results.
Non statistical
Systematic (interval) – See above.
Random – Sampling units are selected using random number generators or tables (for example, those included in IDEA).
Haphazard – Sampling units are selected without following a structured technique, avoiding any conscious bias or predictability (for example, avoiding difficult to locate items, or always choosing or avoiding the first or last entries on a page), so all items in the population have a chance of selection.
</t>
  </si>
  <si>
    <t xml:space="preserve">Stratification is the process of dividing a population into subpopulations, each of which is a group of sampling units which have similar characteristics (often monetary value). Stratification reduces the overall variation that may exist in the population and minimize the effect of the variation within each group. Each group into which the population has been subdivided is called a stratum. Separate samples are selected from each stratum and the results for all strata are grouped in reaching an overall conclusion about the population.
When the variability in the population is not extreme, a method for stratifying the population that is both efficient and effective may be to use two strata and set the boundary between the two strata as the mean of the population. The upper stratum is all items greater than the mean, and the lower stratum is all items lower than the mean. Value-based selection is emulated by selecting roughly 1/3 of sample from items in the lower stratum and 2/3 from items in the upper stratum.
It is not necessary to ‘actively’ stratify the population when:
-	using a systematic selection with a monetary interval (using the interval will automatically stratify the population)
-	the population is homogenous (that is, the population comprises items of similar value). Determining whether a population is homogenous is a matter of judgment.
When the variability in the population is extreme, it may be appropriate to discuss the best approach with appropriate firm personnel.
</t>
  </si>
  <si>
    <t xml:space="preserve">Select the inherent risk for the relevant or applicable assertion being tested using sampling
</t>
  </si>
  <si>
    <t xml:space="preserve">Select the control reliance approach. If limited, normal, or extended tests of controls are performed, select "operating" from the drop-down. If only design effectiveness is assessed and a walkthrough performed, select "none" from the drop-down. 
</t>
  </si>
  <si>
    <t xml:space="preserve">The population is the entire set of data from which a sample is selected and about which the auditor wishes to draw conclusions. Sample results can be projected only to the population from which the sample was selected. When using dollar-based selection, only items with a positive value can be selected. It may therefore be necessary to segregate items with a zero or negative value into a separate population for testing. Such a population may be tested by means other than sampling, or, if sampling is used, an item-based selection (not proportional to size) can be used.
</t>
  </si>
  <si>
    <t xml:space="preserve">Enter the engagement name.
</t>
  </si>
  <si>
    <t xml:space="preserve">Enter the name of the scoped item that will be sampled and the absolute dollar value of that scoped item
</t>
  </si>
  <si>
    <t xml:space="preserve">This field is for the selected performance materiality that will be used in consideration of the sample. It may be the same performance materiality for the entire engagement or it may be a lower performance materiality selected by the engagement team. 
</t>
  </si>
  <si>
    <t xml:space="preserve">Enter the name of the population being sampled
</t>
  </si>
  <si>
    <t>NatureOfPop Drop Down</t>
  </si>
  <si>
    <t>Refer to guidance for sampling interval when population is stratified</t>
  </si>
  <si>
    <t>Absolute tested value cannot be less than zero or greater than value of population.</t>
  </si>
  <si>
    <t>Is the entity a higher risk or listed entity?</t>
  </si>
  <si>
    <t>Listed / Higher Risk?:</t>
  </si>
  <si>
    <t>High Confidence (Other Criteria)?:</t>
  </si>
  <si>
    <t>Other / Material Only / Applicable Assertion</t>
  </si>
  <si>
    <t>Firm policy does not permit the use of limited tests of controls for a financial statement only audit performed under PCAOB standards. 
Firm policy requires the engagement team to submit an Audit Quality Risk Notification (AQRN) for audit engagements performed under AICPA standards where limited tests of controls are planned. The AQRN notifies the PPD and the AMSG.</t>
  </si>
  <si>
    <t>*These two cells must have different values</t>
  </si>
  <si>
    <t>You are using a minimum extent that cannot be statistically evaluated. If errors are detected, evaluate whether the risk assessment remains appropriate and whether sufficient audit evidence was obtained to achieve the sample objective.</t>
  </si>
  <si>
    <t>You are using the minimum extent. If errors are detected, evaluate whether the risk assessment remains appropriate and whether sufficient audit evidence was obtained to achieve the sample objective.</t>
  </si>
  <si>
    <t>Minimum extent of 5 due to negative designed confidence level</t>
  </si>
  <si>
    <t>Verifies if (1) is False and (3) is True</t>
  </si>
  <si>
    <t>For all other audit engagements, firm policy requires audit risk to be set at no more than 10%. However, for initial audit engagements (including reaudits), firm policy requires the engagement team to discuss with the PPD when the team plans to set audit risk at greater than 5%. The nature of the entity and the engagement team’s client acceptance procedures, including inquiries of the predecessor auditor and review of their workpapers, may influence the engagement team’s professional judgments related to setting audit risk in an initial audit engagement (including a reaudit).</t>
  </si>
  <si>
    <t>Please enter a positive value representing the absolute value of the scoped item.</t>
  </si>
  <si>
    <t>October 2022</t>
  </si>
  <si>
    <t>Getting started: To start using the template, enable editing. Then, complete the Summary tab using the following guidance.</t>
  </si>
  <si>
    <t xml:space="preserve">Enter the absolute value of the population being sampled. This amount includes all items regardless of whether they are considered key items that will be tested separately. Additionally, more than one population can be included in a single Excel GTSP, but all populations included have to be associated with the same scoped item. For example:
•	Two populations of inventory associated with the same SCOT+ may be included in a single Excel GTSP.
•	A population of accounts receivable - domestic and a population of accounts receivable - international associated with a different SCOT+, for example because they have different inherent risk levels, would be included in different Excel GTSP templates.
It may be appropriate to discuss the most appropriate sampling approach with appropriate firm personnel in certain cases, such as when the expected understatements are significant in number or when a large percentage of understatements (taintings) are expected. This is because other sampling approaches than those used in GTSP may be more appropriate (for example, classical variables sampling).
</t>
  </si>
  <si>
    <t xml:space="preserve">Select the extent of the procedures that will be performed including a statistical sample or non-statistical sample. Statistical sampling is an approach to sampling that has the following characteristics: (i) random selection of the sample items; and (ii) the use of probability theory to evaluate sample results, including measurement of sampling risk. A sampling approach that does not have characteristics (i) and (ii) is considered non-statistical sampling. The decision whether to use a statistical or non-statistical sampling approach is a matter for the auditor's judgment and is often a matter of effectiveness and efficiency. However, the facts and circumstances may be such that only a non-statistical approach is practicable. This may be the case, for example, when item-based selection has to be used, such as when the entity has a periodic inventory system and it is not possible to obtain the details of the population in dollar value.
“Extent is not sampling” is selected when the scoped item included more than one population, and the extent of testing is not sampling for one (or more) of the population.
</t>
  </si>
  <si>
    <t xml:space="preserve">Some characteristics, such as the amounts of the individual items in a population, may vary significantly. Accounting populations tend to include a few very large amounts, a number of moderately large amounts, and a large number of small amounts.
The engagement team uses judgment to determine which items, if any, individually represent higher risk of misstatement (sometimes referred to as higher risk items or key items). These items are often separated and individually tested (100% testing). The results of testing these items will not be projected on the entire population as they are deemed to not be representative. The remainder of the population may then be tested using audit sampling or other techniques, as appropriate.
Items representing a higher risk of misstatement may be identified based on factors that are either:
•	Quantitative (based on size) - For example, items larger than performance materiality or that are clear outliers in the population. Note that systematic selection automatically results in items over the sampling interval being selected.
•	Qualitative – For example, items presenting a higher risk of misstatement due to error or fraud, such as transactions with related parties or denominated in a foreign currency (depending on the objective of the test).
</t>
  </si>
  <si>
    <t xml:space="preserve">Firm policy requires audit risk to be set at 5% for audit engagements performed under PCAOB standards and audit engagements of depository and lending institutions. </t>
  </si>
  <si>
    <t>Firm policy requires audit risk to be set at 5% for audit engagements performed under PCAOB standards and audit engagements of depository and lending intuitions.
For all other audit engagements, firm policy requires audit risk to be set at no more than 10%. However, for initial audit engagements (including reaudits), firm policy requires the engagement team to discuss with the PPD when the team plans to set audit risk at greater than 5%. The nature of the entity and the engagement team’s client acceptance procedures, including inquiries of the predecessor auditor and review of their workpapers, may influence the engagement team’s professional judgments related to setting audit risk in an initial audit engagement (including a reaudit).
Audit risk is based on the circumstances of the entire engagement (not an individual account, cycle or area of the audit). Audit risk is one of the factors that determines the confidence level achieved when using GTSP. With no other factors considered, the initial sample confidence level is the direct inverse of the audit risk (audit risk of 10% equals a confidence level of 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</si>
</sst>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 #,##0.00_)\ _$_ ;_ * \(#,##0.00\)\ _$_ ;_ * &quot;-&quot;??_)\ _$_ ;_ @_ "/>
    <numFmt numFmtId="165" formatCode="_ * #,##0_)\ _$_ ;_ * \(#,##0\)\ _$_ ;_ * &quot;-&quot;??_)\ _$_ ;_ @_ "/>
    <numFmt numFmtId="166" formatCode="_ * #,##0.0_)\ _$_ ;_ * \(#,##0.0\)\ _$_ ;_ * &quot;-&quot;??_)\ _$_ ;_ @_ "/>
    <numFmt numFmtId="167" formatCode="0.0%"/>
    <numFmt numFmtId="168" formatCode="0.0"/>
  </numFmts>
  <fonts count="38" x14ac:knownFonts="1">
    <font>
      <sz val="11"/>
      <color theme="1"/>
      <name val="Calibri"/>
      <family val="2"/>
      <scheme val="minor"/>
    </font>
    <font>
      <sz val="11"/>
      <color theme="1"/>
      <name val="Calibri"/>
      <family val="2"/>
      <scheme val="minor"/>
    </font>
    <font>
      <sz val="10"/>
      <name val="Arial"/>
      <family val="2"/>
    </font>
    <font>
      <sz val="10"/>
      <color theme="0"/>
      <name val="Arial"/>
      <family val="2"/>
    </font>
    <font>
      <b/>
      <sz val="10"/>
      <color theme="0"/>
      <name val="Arial"/>
      <family val="2"/>
    </font>
    <font>
      <b/>
      <sz val="10"/>
      <color theme="1"/>
      <name val="Arial"/>
      <family val="2"/>
    </font>
    <font>
      <b/>
      <sz val="11"/>
      <color theme="1"/>
      <name val="Calibri"/>
      <family val="2"/>
      <scheme val="minor"/>
    </font>
    <font>
      <sz val="10"/>
      <color theme="1"/>
      <name val="Arial"/>
      <family val="2"/>
    </font>
    <font>
      <b/>
      <sz val="10"/>
      <color rgb="FFFF0000"/>
      <name val="Arial"/>
      <family val="2"/>
    </font>
    <font>
      <sz val="10"/>
      <color rgb="FFFF0000"/>
      <name val="Arial"/>
      <family val="2"/>
    </font>
    <font>
      <b/>
      <sz val="10"/>
      <name val="Arial"/>
      <family val="2"/>
    </font>
    <font>
      <sz val="9"/>
      <color indexed="81"/>
      <name val="Tahoma"/>
      <family val="2"/>
    </font>
    <font>
      <b/>
      <sz val="9"/>
      <color indexed="81"/>
      <name val="Tahoma"/>
      <family val="2"/>
    </font>
    <font>
      <b/>
      <sz val="11"/>
      <color rgb="FFFF0000"/>
      <name val="Calibri"/>
      <family val="2"/>
      <scheme val="minor"/>
    </font>
    <font>
      <b/>
      <sz val="12"/>
      <color theme="0"/>
      <name val="Arial"/>
      <family val="2"/>
    </font>
    <font>
      <u/>
      <sz val="10"/>
      <color theme="1"/>
      <name val="Arial"/>
      <family val="2"/>
    </font>
    <font>
      <sz val="11"/>
      <color theme="9"/>
      <name val="Calibri"/>
      <family val="2"/>
      <scheme val="minor"/>
    </font>
    <font>
      <i/>
      <sz val="10"/>
      <color theme="1"/>
      <name val="Arial"/>
      <family val="2"/>
    </font>
    <font>
      <sz val="10"/>
      <color theme="8"/>
      <name val="Arial"/>
      <family val="2"/>
    </font>
    <font>
      <b/>
      <sz val="10"/>
      <color rgb="FF4472C4"/>
      <name val="Arial"/>
      <family val="2"/>
    </font>
    <font>
      <u/>
      <sz val="11"/>
      <color theme="10"/>
      <name val="Calibri"/>
      <family val="2"/>
      <scheme val="minor"/>
    </font>
    <font>
      <u/>
      <sz val="10"/>
      <color theme="10"/>
      <name val="Arial"/>
      <family val="2"/>
    </font>
    <font>
      <b/>
      <sz val="11"/>
      <name val="Calibri"/>
      <family val="2"/>
      <scheme val="minor"/>
    </font>
    <font>
      <sz val="11"/>
      <name val="Calibri"/>
      <family val="2"/>
      <scheme val="minor"/>
    </font>
    <font>
      <sz val="9"/>
      <color theme="1"/>
      <name val="Arial"/>
      <family val="2"/>
    </font>
    <font>
      <sz val="11"/>
      <color theme="0"/>
      <name val="Calibri"/>
      <family val="2"/>
      <scheme val="minor"/>
    </font>
    <font>
      <b/>
      <u/>
      <sz val="16"/>
      <color theme="10"/>
      <name val="Calibri"/>
      <family val="2"/>
      <scheme val="minor"/>
    </font>
    <font>
      <b/>
      <sz val="10"/>
      <color theme="8"/>
      <name val="Arial"/>
      <family val="2"/>
    </font>
    <font>
      <b/>
      <sz val="11"/>
      <color rgb="FFFF0000"/>
      <name val="Arial"/>
      <family val="2"/>
    </font>
    <font>
      <b/>
      <u/>
      <sz val="10"/>
      <color theme="1"/>
      <name val="Arial"/>
      <family val="2"/>
    </font>
    <font>
      <b/>
      <sz val="12"/>
      <color rgb="FFFF0000"/>
      <name val="Arial"/>
      <family val="2"/>
    </font>
    <font>
      <b/>
      <sz val="15"/>
      <color theme="1"/>
      <name val="Arial"/>
      <family val="2"/>
    </font>
    <font>
      <b/>
      <sz val="11"/>
      <color theme="1"/>
      <name val="Arial"/>
      <family val="2"/>
    </font>
    <font>
      <b/>
      <sz val="16"/>
      <color rgb="FF4F2D7F"/>
      <name val="Arial"/>
      <family val="2"/>
    </font>
    <font>
      <sz val="10"/>
      <color rgb="FF000000"/>
      <name val="Arial"/>
      <family val="2"/>
    </font>
    <font>
      <sz val="8"/>
      <color theme="1"/>
      <name val="Arial"/>
      <family val="2"/>
    </font>
    <font>
      <b/>
      <sz val="12"/>
      <color theme="1"/>
      <name val="Arial"/>
      <family val="2"/>
    </font>
    <font>
      <b/>
      <u/>
      <sz val="11"/>
      <name val="Calibri"/>
      <family val="2"/>
      <scheme val="minor"/>
    </font>
  </fonts>
  <fills count="18">
    <fill>
      <patternFill patternType="none"/>
    </fill>
    <fill>
      <patternFill patternType="gray125"/>
    </fill>
    <fill>
      <patternFill patternType="solid">
        <fgColor theme="0"/>
        <bgColor indexed="64"/>
      </patternFill>
    </fill>
    <fill>
      <patternFill patternType="solid">
        <fgColor rgb="FF4F2D7F"/>
        <bgColor indexed="64"/>
      </patternFill>
    </fill>
    <fill>
      <patternFill patternType="solid">
        <fgColor theme="0"/>
        <bgColor auto="1"/>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CCCCFF"/>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rgb="FFF2F2F2"/>
        <bgColor indexed="64"/>
      </patternFill>
    </fill>
    <fill>
      <patternFill patternType="solid">
        <fgColor theme="7" tint="0.79998168889431442"/>
        <bgColor indexed="64"/>
      </patternFill>
    </fill>
    <fill>
      <patternFill patternType="solid">
        <fgColor rgb="FFFFF2CC"/>
        <bgColor indexed="64"/>
      </patternFill>
    </fill>
    <fill>
      <patternFill patternType="solid">
        <fgColor rgb="FFD9D9D9"/>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
      <patternFill patternType="lightDown">
        <bgColor theme="0" tint="-0.14996795556505021"/>
      </patternFill>
    </fill>
  </fills>
  <borders count="41">
    <border>
      <left/>
      <right/>
      <top/>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style="thin">
        <color auto="1"/>
      </top>
      <bottom style="thin">
        <color auto="1"/>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thin">
        <color auto="1"/>
      </left>
      <right style="medium">
        <color indexed="64"/>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theme="0"/>
      </top>
      <bottom style="thin">
        <color theme="0"/>
      </bottom>
      <diagonal/>
    </border>
    <border>
      <left style="thin">
        <color indexed="64"/>
      </left>
      <right style="thin">
        <color theme="0"/>
      </right>
      <top style="thin">
        <color theme="0"/>
      </top>
      <bottom style="thin">
        <color theme="0"/>
      </bottom>
      <diagonal/>
    </border>
    <border>
      <left style="thin">
        <color theme="0"/>
      </left>
      <right/>
      <top/>
      <bottom/>
      <diagonal/>
    </border>
    <border>
      <left style="thin">
        <color theme="0"/>
      </left>
      <right style="thin">
        <color indexed="64"/>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style="thin">
        <color indexed="64"/>
      </right>
      <top style="thin">
        <color rgb="FFFF0000"/>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s>
  <cellStyleXfs count="6">
    <xf numFmtId="0" fontId="0" fillId="0" borderId="0"/>
    <xf numFmtId="16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0" fontId="20" fillId="0" borderId="0" applyNumberFormat="0" applyFill="0" applyBorder="0" applyAlignment="0" applyProtection="0"/>
    <xf numFmtId="0" fontId="1" fillId="0" borderId="0"/>
  </cellStyleXfs>
  <cellXfs count="611">
    <xf numFmtId="0" fontId="0" fillId="0" borderId="0" xfId="0"/>
    <xf numFmtId="0" fontId="7" fillId="2" borderId="0" xfId="0" applyFont="1" applyFill="1" applyBorder="1" applyProtection="1"/>
    <xf numFmtId="0" fontId="7" fillId="0" borderId="0" xfId="0" applyFont="1" applyBorder="1" applyProtection="1"/>
    <xf numFmtId="0" fontId="7" fillId="0" borderId="0" xfId="0" applyFont="1"/>
    <xf numFmtId="0" fontId="7" fillId="0" borderId="0" xfId="0" applyFont="1" applyFill="1" applyBorder="1" applyProtection="1"/>
    <xf numFmtId="0" fontId="7" fillId="0" borderId="0" xfId="0" applyFont="1" applyBorder="1"/>
    <xf numFmtId="0" fontId="7" fillId="0" borderId="0" xfId="0" quotePrefix="1" applyFont="1"/>
    <xf numFmtId="0" fontId="7" fillId="0" borderId="0" xfId="0" applyFont="1" applyAlignment="1">
      <alignment horizontal="center"/>
    </xf>
    <xf numFmtId="0" fontId="0" fillId="0" borderId="0" xfId="0"/>
    <xf numFmtId="0" fontId="0" fillId="0" borderId="0" xfId="0" quotePrefix="1"/>
    <xf numFmtId="0" fontId="6" fillId="0" borderId="0" xfId="0" applyFont="1"/>
    <xf numFmtId="0" fontId="0" fillId="0" borderId="0" xfId="0" quotePrefix="1" applyFont="1"/>
    <xf numFmtId="0" fontId="2" fillId="2" borderId="0" xfId="0" applyFont="1" applyFill="1" applyBorder="1" applyProtection="1"/>
    <xf numFmtId="0" fontId="7" fillId="3" borderId="0" xfId="0" applyFont="1" applyFill="1" applyBorder="1"/>
    <xf numFmtId="0" fontId="4" fillId="3" borderId="0" xfId="0" applyFont="1" applyFill="1" applyBorder="1"/>
    <xf numFmtId="0" fontId="5" fillId="0" borderId="0" xfId="0" applyFont="1"/>
    <xf numFmtId="9" fontId="7" fillId="0" borderId="0" xfId="2" applyFont="1" applyAlignment="1">
      <alignment horizontal="center"/>
    </xf>
    <xf numFmtId="9" fontId="7" fillId="0" borderId="0" xfId="2" applyFont="1" applyBorder="1" applyAlignment="1">
      <alignment horizontal="center"/>
    </xf>
    <xf numFmtId="9" fontId="7" fillId="0" borderId="0" xfId="0" applyNumberFormat="1" applyFont="1" applyAlignment="1">
      <alignment horizontal="center"/>
    </xf>
    <xf numFmtId="165" fontId="7" fillId="0" borderId="0" xfId="0" applyNumberFormat="1" applyFont="1"/>
    <xf numFmtId="0" fontId="7" fillId="0" borderId="0" xfId="0" applyFont="1" applyFill="1" applyAlignment="1">
      <alignment horizontal="center"/>
    </xf>
    <xf numFmtId="0" fontId="7" fillId="4" borderId="0" xfId="0" applyFont="1" applyFill="1" applyBorder="1" applyProtection="1"/>
    <xf numFmtId="0" fontId="8" fillId="3" borderId="3" xfId="0" applyFont="1" applyFill="1" applyBorder="1" applyAlignment="1" applyProtection="1">
      <alignment vertical="center" wrapText="1"/>
    </xf>
    <xf numFmtId="0" fontId="3" fillId="3" borderId="3" xfId="0" applyFont="1" applyFill="1" applyBorder="1" applyProtection="1"/>
    <xf numFmtId="0" fontId="2" fillId="3" borderId="3" xfId="0" applyFont="1" applyFill="1" applyBorder="1" applyProtection="1"/>
    <xf numFmtId="0" fontId="2" fillId="3" borderId="4" xfId="0" applyFont="1" applyFill="1" applyBorder="1" applyProtection="1"/>
    <xf numFmtId="0" fontId="7" fillId="3" borderId="5" xfId="0" applyFont="1" applyFill="1" applyBorder="1"/>
    <xf numFmtId="0" fontId="7" fillId="3" borderId="6" xfId="0" applyFont="1" applyFill="1" applyBorder="1"/>
    <xf numFmtId="0" fontId="7" fillId="3" borderId="7" xfId="0" applyFont="1" applyFill="1" applyBorder="1"/>
    <xf numFmtId="0" fontId="7" fillId="3" borderId="8" xfId="0" applyFont="1" applyFill="1" applyBorder="1"/>
    <xf numFmtId="0" fontId="7" fillId="3" borderId="9" xfId="0" applyFont="1" applyFill="1" applyBorder="1"/>
    <xf numFmtId="0" fontId="0" fillId="3" borderId="0" xfId="0" applyFill="1"/>
    <xf numFmtId="0" fontId="7" fillId="0" borderId="13" xfId="0" applyFont="1" applyBorder="1" applyAlignment="1">
      <alignment horizontal="center"/>
    </xf>
    <xf numFmtId="0" fontId="7" fillId="0" borderId="13" xfId="0" applyFont="1" applyBorder="1"/>
    <xf numFmtId="9" fontId="7" fillId="0" borderId="13" xfId="2" applyFont="1" applyBorder="1" applyAlignment="1">
      <alignment horizontal="center"/>
    </xf>
    <xf numFmtId="9" fontId="7" fillId="0" borderId="13" xfId="2" applyFont="1" applyBorder="1" applyAlignment="1">
      <alignment horizontal="left"/>
    </xf>
    <xf numFmtId="9" fontId="7" fillId="0" borderId="13" xfId="0" applyNumberFormat="1" applyFont="1" applyBorder="1" applyAlignment="1">
      <alignment horizontal="center"/>
    </xf>
    <xf numFmtId="165" fontId="7" fillId="0" borderId="13" xfId="0" applyNumberFormat="1" applyFont="1" applyBorder="1"/>
    <xf numFmtId="0" fontId="7" fillId="0" borderId="13" xfId="0" applyFont="1" applyFill="1" applyBorder="1" applyAlignment="1">
      <alignment horizontal="center"/>
    </xf>
    <xf numFmtId="0" fontId="7" fillId="6" borderId="0" xfId="0" applyFont="1" applyFill="1" applyBorder="1" applyProtection="1">
      <protection hidden="1"/>
    </xf>
    <xf numFmtId="0" fontId="17" fillId="6" borderId="0" xfId="0" quotePrefix="1" applyFont="1" applyFill="1" applyBorder="1" applyAlignment="1" applyProtection="1">
      <alignment horizontal="right"/>
      <protection hidden="1"/>
    </xf>
    <xf numFmtId="0" fontId="7" fillId="2" borderId="0" xfId="0" applyFont="1" applyFill="1" applyBorder="1" applyProtection="1">
      <protection hidden="1"/>
    </xf>
    <xf numFmtId="0" fontId="7" fillId="0" borderId="0" xfId="0" applyFont="1" applyBorder="1" applyProtection="1">
      <protection hidden="1"/>
    </xf>
    <xf numFmtId="0" fontId="7" fillId="0" borderId="0" xfId="0" applyFont="1" applyProtection="1">
      <protection hidden="1"/>
    </xf>
    <xf numFmtId="0" fontId="5" fillId="0" borderId="0" xfId="0" applyFont="1" applyProtection="1">
      <protection hidden="1"/>
    </xf>
    <xf numFmtId="0" fontId="2" fillId="2" borderId="0" xfId="0" applyFont="1" applyFill="1" applyBorder="1" applyProtection="1">
      <protection hidden="1"/>
    </xf>
    <xf numFmtId="0" fontId="14" fillId="3" borderId="2" xfId="0" applyFont="1" applyFill="1" applyBorder="1" applyAlignment="1" applyProtection="1">
      <alignment vertical="center"/>
      <protection hidden="1"/>
    </xf>
    <xf numFmtId="0" fontId="8" fillId="3" borderId="3" xfId="0" applyFont="1" applyFill="1" applyBorder="1" applyAlignment="1" applyProtection="1">
      <alignment vertical="center" wrapText="1"/>
      <protection hidden="1"/>
    </xf>
    <xf numFmtId="0" fontId="3" fillId="3" borderId="3" xfId="0" applyFont="1" applyFill="1" applyBorder="1" applyProtection="1">
      <protection hidden="1"/>
    </xf>
    <xf numFmtId="0" fontId="2" fillId="3" borderId="3" xfId="0" applyFont="1" applyFill="1" applyBorder="1" applyProtection="1">
      <protection hidden="1"/>
    </xf>
    <xf numFmtId="0" fontId="2" fillId="3" borderId="4" xfId="0" applyFont="1" applyFill="1" applyBorder="1" applyProtection="1">
      <protection hidden="1"/>
    </xf>
    <xf numFmtId="0" fontId="7" fillId="0" borderId="13" xfId="0" applyFont="1" applyBorder="1" applyProtection="1">
      <protection hidden="1"/>
    </xf>
    <xf numFmtId="0" fontId="7" fillId="4" borderId="0" xfId="0" applyFont="1" applyFill="1" applyBorder="1" applyProtection="1">
      <protection hidden="1"/>
    </xf>
    <xf numFmtId="0" fontId="14" fillId="3" borderId="5" xfId="0" applyFont="1" applyFill="1" applyBorder="1" applyAlignment="1" applyProtection="1">
      <alignment vertical="center"/>
      <protection hidden="1"/>
    </xf>
    <xf numFmtId="0" fontId="8" fillId="3" borderId="0" xfId="0" applyFont="1" applyFill="1" applyBorder="1" applyAlignment="1" applyProtection="1">
      <alignment vertical="center" wrapText="1"/>
      <protection hidden="1"/>
    </xf>
    <xf numFmtId="0" fontId="4" fillId="3" borderId="0" xfId="0" quotePrefix="1" applyFont="1" applyFill="1" applyBorder="1" applyAlignment="1" applyProtection="1">
      <alignment horizontal="right" vertical="center"/>
      <protection hidden="1"/>
    </xf>
    <xf numFmtId="0" fontId="3" fillId="3" borderId="0" xfId="0" applyFont="1" applyFill="1" applyBorder="1" applyProtection="1">
      <protection hidden="1"/>
    </xf>
    <xf numFmtId="0" fontId="4" fillId="3" borderId="0" xfId="0" applyFont="1" applyFill="1" applyBorder="1" applyAlignment="1" applyProtection="1">
      <alignment horizontal="right" vertical="center"/>
      <protection hidden="1"/>
    </xf>
    <xf numFmtId="0" fontId="4" fillId="3" borderId="0" xfId="0" applyFont="1" applyFill="1" applyBorder="1" applyAlignment="1" applyProtection="1">
      <alignment vertical="center"/>
      <protection hidden="1"/>
    </xf>
    <xf numFmtId="0" fontId="7" fillId="3" borderId="0" xfId="0" applyFont="1" applyFill="1" applyBorder="1" applyProtection="1">
      <protection hidden="1"/>
    </xf>
    <xf numFmtId="0" fontId="7" fillId="3" borderId="6" xfId="0" applyFont="1" applyFill="1" applyBorder="1" applyProtection="1">
      <protection hidden="1"/>
    </xf>
    <xf numFmtId="0" fontId="8" fillId="3" borderId="5" xfId="0" applyFont="1" applyFill="1" applyBorder="1" applyAlignment="1" applyProtection="1">
      <alignment vertical="center" wrapText="1"/>
      <protection hidden="1"/>
    </xf>
    <xf numFmtId="0" fontId="7" fillId="3" borderId="5" xfId="0" applyFont="1" applyFill="1" applyBorder="1" applyProtection="1">
      <protection hidden="1"/>
    </xf>
    <xf numFmtId="9" fontId="7" fillId="0" borderId="0" xfId="2" applyFont="1" applyAlignment="1" applyProtection="1">
      <alignment horizontal="center"/>
      <protection hidden="1"/>
    </xf>
    <xf numFmtId="0" fontId="7" fillId="3" borderId="7" xfId="0" applyFont="1" applyFill="1" applyBorder="1" applyProtection="1">
      <protection hidden="1"/>
    </xf>
    <xf numFmtId="0" fontId="7" fillId="3" borderId="8" xfId="0" applyFont="1" applyFill="1" applyBorder="1" applyProtection="1">
      <protection hidden="1"/>
    </xf>
    <xf numFmtId="0" fontId="7" fillId="3" borderId="9" xfId="0" applyFont="1" applyFill="1" applyBorder="1" applyProtection="1">
      <protection hidden="1"/>
    </xf>
    <xf numFmtId="0" fontId="7" fillId="0" borderId="0" xfId="0" applyFont="1" applyAlignment="1" applyProtection="1">
      <alignment horizontal="center"/>
      <protection hidden="1"/>
    </xf>
    <xf numFmtId="0" fontId="7" fillId="0" borderId="0" xfId="0" applyFont="1" applyFill="1" applyBorder="1" applyProtection="1">
      <protection hidden="1"/>
    </xf>
    <xf numFmtId="0" fontId="5" fillId="0" borderId="0" xfId="0" applyFont="1" applyFill="1" applyBorder="1" applyAlignment="1" applyProtection="1">
      <alignment vertical="center"/>
      <protection hidden="1"/>
    </xf>
    <xf numFmtId="9" fontId="7" fillId="0" borderId="13" xfId="2" applyFont="1" applyBorder="1" applyAlignment="1" applyProtection="1">
      <alignment horizontal="center"/>
      <protection hidden="1"/>
    </xf>
    <xf numFmtId="0" fontId="10" fillId="8" borderId="10" xfId="0" quotePrefix="1" applyFont="1" applyFill="1" applyBorder="1" applyProtection="1">
      <protection hidden="1"/>
    </xf>
    <xf numFmtId="0" fontId="2" fillId="8" borderId="11" xfId="0" applyFont="1" applyFill="1" applyBorder="1" applyProtection="1">
      <protection hidden="1"/>
    </xf>
    <xf numFmtId="0" fontId="2" fillId="8" borderId="12" xfId="0" applyFont="1" applyFill="1" applyBorder="1" applyProtection="1">
      <protection hidden="1"/>
    </xf>
    <xf numFmtId="0" fontId="5" fillId="8" borderId="10" xfId="0" quotePrefix="1" applyFont="1" applyFill="1" applyBorder="1" applyProtection="1">
      <protection hidden="1"/>
    </xf>
    <xf numFmtId="0" fontId="7" fillId="8" borderId="11" xfId="0" applyFont="1" applyFill="1" applyBorder="1" applyProtection="1">
      <protection hidden="1"/>
    </xf>
    <xf numFmtId="0" fontId="7" fillId="8" borderId="12" xfId="0" applyFont="1" applyFill="1" applyBorder="1" applyProtection="1">
      <protection hidden="1"/>
    </xf>
    <xf numFmtId="9" fontId="7" fillId="0" borderId="0" xfId="2" applyFont="1" applyBorder="1" applyAlignment="1" applyProtection="1">
      <alignment horizontal="center"/>
      <protection hidden="1"/>
    </xf>
    <xf numFmtId="0" fontId="10" fillId="6" borderId="2" xfId="0" quotePrefix="1" applyFont="1" applyFill="1" applyBorder="1" applyProtection="1">
      <protection hidden="1"/>
    </xf>
    <xf numFmtId="0" fontId="2" fillId="6" borderId="3" xfId="0" applyFont="1" applyFill="1" applyBorder="1" applyProtection="1">
      <protection hidden="1"/>
    </xf>
    <xf numFmtId="0" fontId="2" fillId="6" borderId="4" xfId="0" applyFont="1" applyFill="1" applyBorder="1" applyProtection="1">
      <protection hidden="1"/>
    </xf>
    <xf numFmtId="0" fontId="5" fillId="6" borderId="5" xfId="0" quotePrefix="1" applyFont="1" applyFill="1" applyBorder="1" applyProtection="1">
      <protection hidden="1"/>
    </xf>
    <xf numFmtId="0" fontId="7" fillId="6" borderId="6" xfId="0" applyFont="1" applyFill="1" applyBorder="1" applyProtection="1">
      <protection hidden="1"/>
    </xf>
    <xf numFmtId="0" fontId="7" fillId="6" borderId="5" xfId="0" applyFont="1" applyFill="1" applyBorder="1" applyProtection="1">
      <protection hidden="1"/>
    </xf>
    <xf numFmtId="9" fontId="7" fillId="0" borderId="13" xfId="2" applyFont="1" applyBorder="1" applyAlignment="1" applyProtection="1">
      <alignment horizontal="left"/>
      <protection hidden="1"/>
    </xf>
    <xf numFmtId="0" fontId="7" fillId="6" borderId="7" xfId="0" applyFont="1" applyFill="1" applyBorder="1" applyProtection="1">
      <protection hidden="1"/>
    </xf>
    <xf numFmtId="0" fontId="7" fillId="6" borderId="8" xfId="0" applyFont="1" applyFill="1" applyBorder="1" applyProtection="1">
      <protection hidden="1"/>
    </xf>
    <xf numFmtId="0" fontId="7" fillId="6" borderId="9" xfId="0" applyFont="1" applyFill="1" applyBorder="1" applyProtection="1">
      <protection hidden="1"/>
    </xf>
    <xf numFmtId="9" fontId="7" fillId="0" borderId="0" xfId="0" applyNumberFormat="1" applyFont="1" applyAlignment="1" applyProtection="1">
      <alignment horizontal="center"/>
      <protection hidden="1"/>
    </xf>
    <xf numFmtId="0" fontId="7" fillId="0" borderId="3" xfId="0" quotePrefix="1" applyFont="1" applyFill="1" applyBorder="1" applyProtection="1">
      <protection hidden="1"/>
    </xf>
    <xf numFmtId="0" fontId="7" fillId="0" borderId="3" xfId="0" applyFont="1" applyFill="1" applyBorder="1" applyProtection="1">
      <protection hidden="1"/>
    </xf>
    <xf numFmtId="165" fontId="7" fillId="0" borderId="0" xfId="0" applyNumberFormat="1" applyFont="1" applyProtection="1">
      <protection hidden="1"/>
    </xf>
    <xf numFmtId="0" fontId="5" fillId="8" borderId="10" xfId="0" applyFont="1" applyFill="1" applyBorder="1" applyProtection="1">
      <protection hidden="1"/>
    </xf>
    <xf numFmtId="9" fontId="7" fillId="0" borderId="13" xfId="0" applyNumberFormat="1" applyFont="1" applyBorder="1" applyAlignment="1" applyProtection="1">
      <alignment horizontal="center"/>
      <protection hidden="1"/>
    </xf>
    <xf numFmtId="0" fontId="5" fillId="6" borderId="2" xfId="0" quotePrefix="1" applyFont="1" applyFill="1" applyBorder="1" applyProtection="1">
      <protection hidden="1"/>
    </xf>
    <xf numFmtId="0" fontId="7" fillId="6" borderId="3" xfId="0" applyFont="1" applyFill="1" applyBorder="1" applyProtection="1">
      <protection hidden="1"/>
    </xf>
    <xf numFmtId="0" fontId="7" fillId="6" borderId="4" xfId="0" applyFont="1" applyFill="1" applyBorder="1" applyProtection="1">
      <protection hidden="1"/>
    </xf>
    <xf numFmtId="0" fontId="7" fillId="10" borderId="3" xfId="0" applyFont="1" applyFill="1" applyBorder="1" applyProtection="1">
      <protection hidden="1"/>
    </xf>
    <xf numFmtId="0" fontId="7" fillId="10" borderId="4" xfId="0" applyFont="1" applyFill="1" applyBorder="1" applyProtection="1">
      <protection hidden="1"/>
    </xf>
    <xf numFmtId="165" fontId="7" fillId="0" borderId="13" xfId="0" applyNumberFormat="1" applyFont="1" applyBorder="1" applyProtection="1">
      <protection hidden="1"/>
    </xf>
    <xf numFmtId="0" fontId="7" fillId="6" borderId="6" xfId="0" applyFont="1" applyFill="1" applyBorder="1" applyAlignment="1" applyProtection="1">
      <protection hidden="1"/>
    </xf>
    <xf numFmtId="0" fontId="9" fillId="0" borderId="0" xfId="0" applyFont="1" applyBorder="1" applyProtection="1">
      <protection hidden="1"/>
    </xf>
    <xf numFmtId="0" fontId="5" fillId="6" borderId="5" xfId="0" applyFont="1" applyFill="1" applyBorder="1" applyAlignment="1" applyProtection="1">
      <alignment vertical="center"/>
      <protection hidden="1"/>
    </xf>
    <xf numFmtId="0" fontId="7" fillId="6" borderId="0" xfId="0" applyFont="1" applyFill="1" applyBorder="1" applyAlignment="1" applyProtection="1">
      <alignment vertical="center"/>
      <protection hidden="1"/>
    </xf>
    <xf numFmtId="0" fontId="9" fillId="6" borderId="8" xfId="0" applyFont="1" applyFill="1" applyBorder="1" applyProtection="1">
      <protection hidden="1"/>
    </xf>
    <xf numFmtId="0" fontId="9" fillId="6" borderId="9" xfId="0" applyFont="1" applyFill="1" applyBorder="1" applyProtection="1">
      <protection hidden="1"/>
    </xf>
    <xf numFmtId="0" fontId="7" fillId="0" borderId="0" xfId="0" quotePrefix="1" applyFont="1" applyBorder="1" applyProtection="1">
      <protection hidden="1"/>
    </xf>
    <xf numFmtId="0" fontId="7" fillId="6" borderId="0" xfId="0" applyFont="1" applyFill="1" applyBorder="1" applyAlignment="1" applyProtection="1">
      <alignment horizontal="center"/>
      <protection hidden="1"/>
    </xf>
    <xf numFmtId="0" fontId="7" fillId="6" borderId="6" xfId="0" applyFont="1" applyFill="1" applyBorder="1" applyAlignment="1" applyProtection="1">
      <alignment horizontal="center"/>
      <protection hidden="1"/>
    </xf>
    <xf numFmtId="0" fontId="7" fillId="9" borderId="0" xfId="0" applyFont="1" applyFill="1" applyProtection="1">
      <protection hidden="1"/>
    </xf>
    <xf numFmtId="0" fontId="7" fillId="6" borderId="0" xfId="0" applyFont="1" applyFill="1" applyBorder="1" applyAlignment="1" applyProtection="1">
      <alignment wrapText="1"/>
      <protection hidden="1"/>
    </xf>
    <xf numFmtId="0" fontId="7" fillId="6" borderId="0" xfId="0" applyFont="1" applyFill="1" applyBorder="1" applyAlignment="1" applyProtection="1">
      <protection hidden="1"/>
    </xf>
    <xf numFmtId="0" fontId="7" fillId="9" borderId="13" xfId="0" applyFont="1" applyFill="1" applyBorder="1" applyAlignment="1" applyProtection="1">
      <alignment horizontal="center"/>
      <protection hidden="1"/>
    </xf>
    <xf numFmtId="165" fontId="7" fillId="9" borderId="13" xfId="0" applyNumberFormat="1" applyFont="1" applyFill="1" applyBorder="1" applyAlignment="1" applyProtection="1">
      <alignment horizontal="center"/>
      <protection hidden="1"/>
    </xf>
    <xf numFmtId="43" fontId="7" fillId="9" borderId="13" xfId="0" applyNumberFormat="1" applyFont="1" applyFill="1" applyBorder="1" applyProtection="1">
      <protection hidden="1"/>
    </xf>
    <xf numFmtId="43" fontId="7" fillId="0" borderId="0" xfId="0" applyNumberFormat="1" applyFont="1" applyProtection="1">
      <protection hidden="1"/>
    </xf>
    <xf numFmtId="0" fontId="7" fillId="6" borderId="5" xfId="0" applyFont="1" applyFill="1" applyBorder="1" applyAlignment="1" applyProtection="1">
      <alignment wrapText="1"/>
      <protection hidden="1"/>
    </xf>
    <xf numFmtId="0" fontId="9" fillId="6" borderId="0" xfId="0" applyFont="1" applyFill="1" applyBorder="1" applyAlignment="1" applyProtection="1">
      <alignment wrapText="1"/>
      <protection hidden="1"/>
    </xf>
    <xf numFmtId="0" fontId="9" fillId="6" borderId="6" xfId="0" applyFont="1" applyFill="1" applyBorder="1" applyAlignment="1" applyProtection="1">
      <alignment wrapText="1"/>
      <protection hidden="1"/>
    </xf>
    <xf numFmtId="0" fontId="7" fillId="0" borderId="0" xfId="0" quotePrefix="1" applyFont="1" applyProtection="1">
      <protection hidden="1"/>
    </xf>
    <xf numFmtId="0" fontId="17" fillId="6" borderId="6" xfId="0" quotePrefix="1" applyFont="1" applyFill="1" applyBorder="1" applyAlignment="1" applyProtection="1">
      <alignment horizontal="right"/>
      <protection hidden="1"/>
    </xf>
    <xf numFmtId="0" fontId="8" fillId="6" borderId="0" xfId="0" applyFont="1" applyFill="1" applyBorder="1" applyAlignment="1" applyProtection="1">
      <protection hidden="1"/>
    </xf>
    <xf numFmtId="0" fontId="7" fillId="0" borderId="8" xfId="0" applyFont="1" applyBorder="1" applyProtection="1">
      <protection hidden="1"/>
    </xf>
    <xf numFmtId="0" fontId="0" fillId="0" borderId="0" xfId="0" applyProtection="1">
      <protection hidden="1"/>
    </xf>
    <xf numFmtId="0" fontId="0" fillId="0" borderId="0" xfId="0" quotePrefix="1" applyProtection="1">
      <protection hidden="1"/>
    </xf>
    <xf numFmtId="0" fontId="5" fillId="7" borderId="11" xfId="0" applyFont="1" applyFill="1" applyBorder="1" applyProtection="1">
      <protection hidden="1"/>
    </xf>
    <xf numFmtId="0" fontId="5" fillId="7" borderId="12" xfId="0" applyFont="1" applyFill="1" applyBorder="1" applyProtection="1">
      <protection hidden="1"/>
    </xf>
    <xf numFmtId="0" fontId="6" fillId="0" borderId="0" xfId="0" applyFont="1" applyProtection="1">
      <protection hidden="1"/>
    </xf>
    <xf numFmtId="0" fontId="0" fillId="0" borderId="0" xfId="0" quotePrefix="1" applyFont="1" applyProtection="1">
      <protection hidden="1"/>
    </xf>
    <xf numFmtId="165" fontId="7" fillId="0" borderId="13" xfId="1" applyNumberFormat="1" applyFont="1" applyBorder="1" applyProtection="1">
      <protection hidden="1"/>
    </xf>
    <xf numFmtId="0" fontId="9" fillId="6" borderId="5" xfId="0" applyFont="1" applyFill="1" applyBorder="1" applyProtection="1">
      <protection hidden="1"/>
    </xf>
    <xf numFmtId="0" fontId="5" fillId="6" borderId="0" xfId="0" applyFont="1" applyFill="1" applyBorder="1" applyAlignment="1" applyProtection="1">
      <protection hidden="1"/>
    </xf>
    <xf numFmtId="0" fontId="7" fillId="6" borderId="0" xfId="0" applyFont="1" applyFill="1" applyBorder="1" applyAlignment="1" applyProtection="1">
      <alignment horizontal="right"/>
      <protection hidden="1"/>
    </xf>
    <xf numFmtId="165" fontId="7" fillId="6" borderId="6" xfId="1" applyNumberFormat="1" applyFont="1" applyFill="1" applyBorder="1" applyAlignment="1" applyProtection="1">
      <protection hidden="1"/>
    </xf>
    <xf numFmtId="0" fontId="5" fillId="6" borderId="0" xfId="0" applyFont="1" applyFill="1" applyBorder="1" applyAlignment="1" applyProtection="1">
      <alignment vertical="center"/>
      <protection hidden="1"/>
    </xf>
    <xf numFmtId="0" fontId="7" fillId="6" borderId="5" xfId="0" applyFont="1" applyFill="1" applyBorder="1" applyAlignment="1" applyProtection="1">
      <protection hidden="1"/>
    </xf>
    <xf numFmtId="0" fontId="7" fillId="6" borderId="6" xfId="0" applyFont="1" applyFill="1" applyBorder="1" applyAlignment="1" applyProtection="1">
      <alignment wrapText="1"/>
      <protection hidden="1"/>
    </xf>
    <xf numFmtId="0" fontId="7" fillId="6" borderId="5" xfId="0" quotePrefix="1" applyFont="1" applyFill="1" applyBorder="1" applyAlignment="1" applyProtection="1">
      <protection hidden="1"/>
    </xf>
    <xf numFmtId="9" fontId="7" fillId="6" borderId="0" xfId="2" applyFont="1" applyFill="1" applyBorder="1" applyAlignment="1" applyProtection="1">
      <protection hidden="1"/>
    </xf>
    <xf numFmtId="165" fontId="7" fillId="6" borderId="0" xfId="1" applyNumberFormat="1" applyFont="1" applyFill="1" applyBorder="1" applyAlignment="1" applyProtection="1">
      <protection hidden="1"/>
    </xf>
    <xf numFmtId="165" fontId="7" fillId="6" borderId="0" xfId="3" applyNumberFormat="1" applyFont="1" applyFill="1" applyBorder="1" applyAlignment="1" applyProtection="1">
      <protection hidden="1"/>
    </xf>
    <xf numFmtId="165" fontId="7" fillId="6" borderId="0" xfId="1" applyNumberFormat="1" applyFont="1" applyFill="1" applyBorder="1" applyProtection="1">
      <protection hidden="1"/>
    </xf>
    <xf numFmtId="0" fontId="5" fillId="8" borderId="11" xfId="0" applyFont="1" applyFill="1" applyBorder="1" applyProtection="1">
      <protection hidden="1"/>
    </xf>
    <xf numFmtId="0" fontId="5" fillId="8" borderId="12" xfId="0" applyFont="1" applyFill="1" applyBorder="1" applyProtection="1">
      <protection hidden="1"/>
    </xf>
    <xf numFmtId="0" fontId="7" fillId="6" borderId="0" xfId="0" applyFont="1" applyFill="1" applyBorder="1" applyAlignment="1" applyProtection="1">
      <alignment vertical="top"/>
      <protection hidden="1"/>
    </xf>
    <xf numFmtId="0" fontId="23" fillId="11" borderId="13" xfId="0" applyFont="1" applyFill="1" applyBorder="1" applyAlignment="1" applyProtection="1">
      <alignment horizontal="left"/>
      <protection locked="0"/>
    </xf>
    <xf numFmtId="0" fontId="0" fillId="0" borderId="0" xfId="0" applyProtection="1"/>
    <xf numFmtId="0" fontId="25" fillId="0" borderId="0" xfId="0" applyFont="1" applyProtection="1">
      <protection hidden="1"/>
    </xf>
    <xf numFmtId="0" fontId="23" fillId="11" borderId="13" xfId="0" applyFont="1" applyFill="1" applyBorder="1" applyAlignment="1" applyProtection="1">
      <alignment horizontal="left" vertical="top" wrapText="1"/>
      <protection locked="0"/>
    </xf>
    <xf numFmtId="0" fontId="23" fillId="5" borderId="13" xfId="0" applyFont="1" applyFill="1" applyBorder="1" applyAlignment="1" applyProtection="1">
      <alignment horizontal="left"/>
      <protection hidden="1"/>
    </xf>
    <xf numFmtId="165" fontId="7" fillId="3" borderId="0" xfId="1" applyNumberFormat="1" applyFont="1" applyFill="1" applyBorder="1"/>
    <xf numFmtId="165" fontId="7" fillId="3" borderId="8" xfId="1" applyNumberFormat="1" applyFont="1" applyFill="1" applyBorder="1"/>
    <xf numFmtId="165" fontId="7" fillId="0" borderId="0" xfId="1" applyNumberFormat="1" applyFont="1" applyBorder="1"/>
    <xf numFmtId="0" fontId="7" fillId="6" borderId="18" xfId="0" applyFont="1" applyFill="1" applyBorder="1" applyAlignment="1" applyProtection="1">
      <alignment horizontal="right" vertical="center"/>
      <protection hidden="1"/>
    </xf>
    <xf numFmtId="0" fontId="7" fillId="6" borderId="5" xfId="0" quotePrefix="1"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6" borderId="5" xfId="0" applyFont="1" applyFill="1" applyBorder="1" applyAlignment="1" applyProtection="1">
      <alignment vertical="center"/>
      <protection hidden="1"/>
    </xf>
    <xf numFmtId="0" fontId="7" fillId="0" borderId="13" xfId="0" applyFont="1" applyBorder="1" applyAlignment="1" applyProtection="1">
      <alignment horizontal="center"/>
      <protection hidden="1"/>
    </xf>
    <xf numFmtId="0" fontId="5" fillId="7" borderId="10" xfId="0" quotePrefix="1" applyFont="1" applyFill="1" applyBorder="1" applyProtection="1">
      <protection hidden="1"/>
    </xf>
    <xf numFmtId="168" fontId="7" fillId="0" borderId="13" xfId="0" applyNumberFormat="1" applyFont="1" applyBorder="1" applyAlignment="1">
      <alignment horizontal="center"/>
    </xf>
    <xf numFmtId="0" fontId="7" fillId="0" borderId="0" xfId="0" applyFont="1" applyBorder="1" applyAlignment="1">
      <alignment vertical="center"/>
    </xf>
    <xf numFmtId="0" fontId="7" fillId="0" borderId="0" xfId="0" applyFont="1" applyAlignment="1">
      <alignment vertical="center"/>
    </xf>
    <xf numFmtId="0" fontId="7" fillId="0" borderId="0" xfId="0" applyFont="1" applyAlignment="1" applyProtection="1">
      <alignment vertical="center"/>
      <protection hidden="1"/>
    </xf>
    <xf numFmtId="0" fontId="7" fillId="0" borderId="13" xfId="0" applyFont="1" applyBorder="1" applyAlignment="1" applyProtection="1">
      <alignment vertical="center"/>
      <protection hidden="1"/>
    </xf>
    <xf numFmtId="165" fontId="7" fillId="0" borderId="13" xfId="1" applyNumberFormat="1" applyFont="1" applyFill="1" applyBorder="1"/>
    <xf numFmtId="0" fontId="13" fillId="0" borderId="0" xfId="0" applyFont="1" applyProtection="1">
      <protection hidden="1"/>
    </xf>
    <xf numFmtId="0" fontId="0" fillId="0" borderId="0" xfId="0" applyFont="1" applyProtection="1">
      <protection hidden="1"/>
    </xf>
    <xf numFmtId="0" fontId="13" fillId="0" borderId="0" xfId="0" quotePrefix="1" applyFont="1" applyProtection="1">
      <protection hidden="1"/>
    </xf>
    <xf numFmtId="0" fontId="0" fillId="11" borderId="13" xfId="0" applyFont="1" applyFill="1" applyBorder="1" applyProtection="1">
      <protection hidden="1"/>
    </xf>
    <xf numFmtId="0" fontId="22" fillId="5" borderId="13" xfId="0" applyFont="1" applyFill="1" applyBorder="1" applyProtection="1">
      <protection hidden="1"/>
    </xf>
    <xf numFmtId="0" fontId="22" fillId="5" borderId="13" xfId="0" quotePrefix="1" applyFont="1" applyFill="1" applyBorder="1" applyProtection="1">
      <protection hidden="1"/>
    </xf>
    <xf numFmtId="0" fontId="22" fillId="5" borderId="27" xfId="0" applyFont="1" applyFill="1" applyBorder="1" applyProtection="1">
      <protection hidden="1"/>
    </xf>
    <xf numFmtId="0" fontId="23" fillId="5" borderId="13" xfId="0" applyFont="1" applyFill="1" applyBorder="1" applyProtection="1">
      <protection hidden="1"/>
    </xf>
    <xf numFmtId="0" fontId="16" fillId="0" borderId="0" xfId="0" quotePrefix="1" applyFont="1" applyProtection="1">
      <protection hidden="1"/>
    </xf>
    <xf numFmtId="0" fontId="23" fillId="5" borderId="13" xfId="0" applyFont="1" applyFill="1" applyBorder="1" applyAlignment="1" applyProtection="1">
      <alignment horizontal="center"/>
      <protection hidden="1"/>
    </xf>
    <xf numFmtId="9" fontId="23" fillId="5" borderId="13" xfId="2" applyFont="1" applyFill="1" applyBorder="1" applyProtection="1">
      <protection hidden="1"/>
    </xf>
    <xf numFmtId="0" fontId="22" fillId="5" borderId="0" xfId="0" applyFont="1" applyFill="1" applyProtection="1">
      <protection hidden="1"/>
    </xf>
    <xf numFmtId="0" fontId="0" fillId="5" borderId="27" xfId="0" applyFont="1" applyFill="1" applyBorder="1" applyAlignment="1" applyProtection="1">
      <alignment horizontal="center"/>
      <protection hidden="1"/>
    </xf>
    <xf numFmtId="0" fontId="22" fillId="5" borderId="27" xfId="0" quotePrefix="1" applyFont="1" applyFill="1" applyBorder="1" applyProtection="1">
      <protection hidden="1"/>
    </xf>
    <xf numFmtId="0" fontId="22" fillId="5" borderId="13" xfId="0" quotePrefix="1" applyFont="1" applyFill="1" applyBorder="1" applyAlignment="1" applyProtection="1">
      <alignment wrapText="1"/>
      <protection hidden="1"/>
    </xf>
    <xf numFmtId="9" fontId="0" fillId="5" borderId="13" xfId="2" applyFont="1" applyFill="1" applyBorder="1" applyAlignment="1" applyProtection="1">
      <alignment wrapText="1"/>
      <protection hidden="1"/>
    </xf>
    <xf numFmtId="0" fontId="0" fillId="0" borderId="0" xfId="0" applyFont="1" applyAlignment="1" applyProtection="1">
      <alignment wrapText="1"/>
      <protection hidden="1"/>
    </xf>
    <xf numFmtId="0" fontId="4" fillId="3" borderId="33" xfId="0" applyFont="1" applyFill="1" applyBorder="1" applyAlignment="1" applyProtection="1">
      <alignment horizontal="right" vertical="center"/>
      <protection hidden="1"/>
    </xf>
    <xf numFmtId="0" fontId="4" fillId="3" borderId="0" xfId="0" applyFont="1" applyFill="1" applyBorder="1" applyAlignment="1">
      <alignment horizontal="right" vertical="center"/>
    </xf>
    <xf numFmtId="0" fontId="7" fillId="3" borderId="0" xfId="0" applyFont="1" applyFill="1" applyBorder="1" applyAlignment="1">
      <alignment vertical="center"/>
    </xf>
    <xf numFmtId="0" fontId="7" fillId="9" borderId="30" xfId="0" applyFont="1" applyFill="1" applyBorder="1" applyProtection="1">
      <protection hidden="1"/>
    </xf>
    <xf numFmtId="0" fontId="7" fillId="0" borderId="0" xfId="0" applyFont="1" applyAlignment="1" applyProtection="1">
      <alignment horizontal="right" vertical="center"/>
      <protection hidden="1"/>
    </xf>
    <xf numFmtId="0" fontId="29" fillId="0" borderId="0" xfId="0" applyFont="1" applyProtection="1">
      <protection hidden="1"/>
    </xf>
    <xf numFmtId="0" fontId="7" fillId="7" borderId="27" xfId="0" applyFont="1" applyFill="1" applyBorder="1" applyProtection="1">
      <protection hidden="1"/>
    </xf>
    <xf numFmtId="0" fontId="7" fillId="0" borderId="38" xfId="0" applyFont="1" applyBorder="1" applyProtection="1">
      <protection hidden="1"/>
    </xf>
    <xf numFmtId="0" fontId="5" fillId="10" borderId="2" xfId="0" quotePrefix="1" applyFont="1" applyFill="1" applyBorder="1" applyProtection="1">
      <protection hidden="1"/>
    </xf>
    <xf numFmtId="0" fontId="7" fillId="0" borderId="13" xfId="0" applyFont="1" applyBorder="1" applyAlignment="1">
      <alignment wrapText="1"/>
    </xf>
    <xf numFmtId="0" fontId="7" fillId="0" borderId="13" xfId="0" applyFont="1" applyBorder="1" applyAlignment="1" applyProtection="1">
      <alignment wrapText="1"/>
      <protection hidden="1"/>
    </xf>
    <xf numFmtId="0" fontId="31" fillId="2" borderId="0" xfId="5" applyFont="1" applyFill="1"/>
    <xf numFmtId="0" fontId="1" fillId="2" borderId="0" xfId="5" applyFill="1"/>
    <xf numFmtId="0" fontId="0" fillId="11" borderId="0" xfId="0" applyFont="1" applyFill="1" applyBorder="1" applyProtection="1">
      <protection hidden="1"/>
    </xf>
    <xf numFmtId="0" fontId="23" fillId="12" borderId="13" xfId="0" applyFont="1" applyFill="1" applyBorder="1" applyAlignment="1" applyProtection="1">
      <alignment vertical="top" wrapText="1"/>
      <protection hidden="1"/>
    </xf>
    <xf numFmtId="0" fontId="23" fillId="13" borderId="13" xfId="0" quotePrefix="1" applyFont="1" applyFill="1" applyBorder="1" applyAlignment="1" applyProtection="1">
      <alignment vertical="top" wrapText="1"/>
      <protection hidden="1"/>
    </xf>
    <xf numFmtId="0" fontId="0" fillId="0" borderId="0" xfId="0" applyFont="1" applyFill="1" applyProtection="1">
      <protection hidden="1"/>
    </xf>
    <xf numFmtId="0" fontId="22" fillId="0" borderId="0" xfId="0" applyFont="1" applyFill="1" applyBorder="1" applyProtection="1">
      <protection hidden="1"/>
    </xf>
    <xf numFmtId="0" fontId="22" fillId="0" borderId="0" xfId="0" quotePrefix="1" applyFont="1" applyFill="1" applyBorder="1" applyProtection="1">
      <protection hidden="1"/>
    </xf>
    <xf numFmtId="0" fontId="23" fillId="11" borderId="21" xfId="0" applyFont="1" applyFill="1" applyBorder="1" applyAlignment="1" applyProtection="1">
      <alignment horizontal="left" vertical="top" wrapText="1"/>
      <protection locked="0"/>
    </xf>
    <xf numFmtId="0" fontId="7" fillId="6" borderId="6" xfId="0" quotePrefix="1" applyFont="1" applyFill="1" applyBorder="1" applyAlignment="1" applyProtection="1">
      <alignment horizontal="left"/>
      <protection hidden="1"/>
    </xf>
    <xf numFmtId="0" fontId="23" fillId="11" borderId="21" xfId="0" applyFont="1" applyFill="1" applyBorder="1" applyAlignment="1" applyProtection="1">
      <alignment horizontal="left" vertical="top" wrapText="1"/>
      <protection locked="0"/>
    </xf>
    <xf numFmtId="0" fontId="23" fillId="11" borderId="1" xfId="0" applyFont="1" applyFill="1" applyBorder="1" applyAlignment="1" applyProtection="1">
      <alignment horizontal="left" vertical="top" wrapText="1"/>
      <protection locked="0"/>
    </xf>
    <xf numFmtId="0" fontId="23" fillId="11" borderId="26" xfId="0" applyFont="1" applyFill="1" applyBorder="1" applyAlignment="1" applyProtection="1">
      <alignment horizontal="left" vertical="top" wrapText="1"/>
      <protection locked="0"/>
    </xf>
    <xf numFmtId="0" fontId="0" fillId="5" borderId="21" xfId="0" applyFont="1" applyFill="1" applyBorder="1" applyAlignment="1" applyProtection="1">
      <alignment horizontal="left"/>
      <protection hidden="1"/>
    </xf>
    <xf numFmtId="0" fontId="0" fillId="5" borderId="1" xfId="0" applyFont="1" applyFill="1" applyBorder="1" applyAlignment="1" applyProtection="1">
      <alignment horizontal="left"/>
      <protection hidden="1"/>
    </xf>
    <xf numFmtId="0" fontId="0" fillId="5" borderId="26" xfId="0" applyFont="1" applyFill="1" applyBorder="1" applyAlignment="1" applyProtection="1">
      <alignment horizontal="left"/>
      <protection hidden="1"/>
    </xf>
    <xf numFmtId="0" fontId="7" fillId="6" borderId="5" xfId="0" quotePrefix="1" applyFont="1" applyFill="1" applyBorder="1" applyAlignment="1" applyProtection="1">
      <alignment horizontal="left"/>
      <protection hidden="1"/>
    </xf>
    <xf numFmtId="0" fontId="7" fillId="6" borderId="0" xfId="0" quotePrefix="1" applyFont="1" applyFill="1" applyBorder="1" applyAlignment="1" applyProtection="1">
      <alignment horizontal="left"/>
      <protection hidden="1"/>
    </xf>
    <xf numFmtId="9" fontId="23" fillId="11" borderId="13" xfId="0" applyNumberFormat="1" applyFont="1" applyFill="1" applyBorder="1" applyAlignment="1" applyProtection="1">
      <alignment horizontal="left" vertical="top" wrapText="1"/>
      <protection locked="0"/>
    </xf>
    <xf numFmtId="9" fontId="32" fillId="0" borderId="0" xfId="0" applyNumberFormat="1" applyFont="1" applyBorder="1" applyAlignment="1" applyProtection="1">
      <alignment horizontal="center" vertical="center"/>
      <protection hidden="1"/>
    </xf>
    <xf numFmtId="9" fontId="5" fillId="0" borderId="0" xfId="0" applyNumberFormat="1" applyFont="1" applyBorder="1" applyAlignment="1" applyProtection="1">
      <alignment horizontal="center" vertical="center"/>
      <protection hidden="1"/>
    </xf>
    <xf numFmtId="0" fontId="7" fillId="6" borderId="0" xfId="0" applyFont="1" applyFill="1" applyProtection="1">
      <protection hidden="1"/>
    </xf>
    <xf numFmtId="0" fontId="7" fillId="6" borderId="7" xfId="0" applyFont="1" applyFill="1" applyBorder="1" applyAlignment="1" applyProtection="1">
      <alignment vertical="center"/>
      <protection hidden="1"/>
    </xf>
    <xf numFmtId="0" fontId="7" fillId="6" borderId="8" xfId="0" applyFont="1" applyFill="1" applyBorder="1" applyAlignment="1" applyProtection="1">
      <alignment vertical="center"/>
      <protection hidden="1"/>
    </xf>
    <xf numFmtId="0" fontId="7" fillId="6" borderId="18" xfId="0" applyFont="1" applyFill="1" applyBorder="1" applyAlignment="1" applyProtection="1">
      <alignment vertical="center"/>
      <protection hidden="1"/>
    </xf>
    <xf numFmtId="0" fontId="7" fillId="0" borderId="5" xfId="0" applyFont="1" applyBorder="1" applyProtection="1">
      <protection hidden="1"/>
    </xf>
    <xf numFmtId="0" fontId="0" fillId="0" borderId="0" xfId="0" applyFont="1" applyAlignment="1" applyProtection="1">
      <protection hidden="1"/>
    </xf>
    <xf numFmtId="0" fontId="7" fillId="6" borderId="5" xfId="0" quotePrefix="1" applyFont="1" applyFill="1" applyBorder="1" applyAlignment="1" applyProtection="1">
      <alignment horizontal="left" wrapText="1"/>
      <protection hidden="1"/>
    </xf>
    <xf numFmtId="1" fontId="5" fillId="6" borderId="0" xfId="2" applyNumberFormat="1" applyFont="1" applyFill="1" applyBorder="1" applyAlignment="1" applyProtection="1">
      <alignment horizontal="right" vertical="center" wrapText="1"/>
      <protection hidden="1"/>
    </xf>
    <xf numFmtId="0" fontId="7" fillId="6" borderId="0" xfId="0" applyFont="1" applyFill="1" applyBorder="1" applyAlignment="1">
      <alignment wrapText="1"/>
    </xf>
    <xf numFmtId="37" fontId="7" fillId="6" borderId="6" xfId="0" applyNumberFormat="1" applyFont="1" applyFill="1" applyBorder="1" applyAlignment="1" applyProtection="1">
      <alignment horizontal="center"/>
    </xf>
    <xf numFmtId="1" fontId="10" fillId="6" borderId="0" xfId="0" applyNumberFormat="1" applyFont="1" applyFill="1" applyBorder="1" applyAlignment="1" applyProtection="1">
      <alignment horizontal="right" vertical="center"/>
      <protection hidden="1"/>
    </xf>
    <xf numFmtId="0" fontId="7" fillId="6" borderId="0" xfId="0" quotePrefix="1" applyFont="1" applyFill="1" applyBorder="1" applyAlignment="1" applyProtection="1">
      <alignment horizontal="left" wrapText="1"/>
      <protection hidden="1"/>
    </xf>
    <xf numFmtId="37" fontId="7" fillId="6" borderId="0" xfId="1" applyNumberFormat="1" applyFont="1" applyFill="1" applyBorder="1" applyAlignment="1" applyProtection="1">
      <alignment horizontal="center"/>
    </xf>
    <xf numFmtId="37" fontId="7" fillId="6" borderId="6" xfId="1" applyNumberFormat="1" applyFont="1" applyFill="1" applyBorder="1" applyAlignment="1" applyProtection="1">
      <alignment horizontal="center"/>
    </xf>
    <xf numFmtId="0" fontId="10" fillId="6" borderId="5" xfId="0" applyFont="1" applyFill="1" applyBorder="1" applyAlignment="1" applyProtection="1">
      <alignment vertical="center"/>
      <protection hidden="1"/>
    </xf>
    <xf numFmtId="0" fontId="7" fillId="15" borderId="13" xfId="0" applyFont="1" applyFill="1" applyBorder="1" applyAlignment="1">
      <alignment vertical="center"/>
    </xf>
    <xf numFmtId="0" fontId="7" fillId="15" borderId="13" xfId="0" applyFont="1" applyFill="1" applyBorder="1" applyAlignment="1">
      <alignment vertical="top" wrapText="1"/>
    </xf>
    <xf numFmtId="0" fontId="7" fillId="15" borderId="13" xfId="0" applyFont="1" applyFill="1" applyBorder="1"/>
    <xf numFmtId="0" fontId="10" fillId="6" borderId="0" xfId="0" applyFont="1" applyFill="1" applyBorder="1" applyAlignment="1" applyProtection="1">
      <alignment horizontal="left" vertical="center" wrapText="1"/>
      <protection hidden="1"/>
    </xf>
    <xf numFmtId="0" fontId="7" fillId="6" borderId="0" xfId="0" applyFont="1" applyFill="1" applyBorder="1" applyAlignment="1" applyProtection="1">
      <alignment horizontal="right" vertical="center"/>
      <protection hidden="1"/>
    </xf>
    <xf numFmtId="0" fontId="7" fillId="6" borderId="16" xfId="0" applyFont="1" applyFill="1" applyBorder="1" applyProtection="1">
      <protection hidden="1"/>
    </xf>
    <xf numFmtId="0" fontId="7" fillId="6" borderId="23" xfId="0" applyFont="1" applyFill="1" applyBorder="1" applyProtection="1">
      <protection hidden="1"/>
    </xf>
    <xf numFmtId="0" fontId="6" fillId="5" borderId="21" xfId="0" applyFont="1" applyFill="1" applyBorder="1" applyAlignment="1" applyProtection="1">
      <alignment horizontal="left"/>
      <protection hidden="1"/>
    </xf>
    <xf numFmtId="0" fontId="6" fillId="5" borderId="1" xfId="0" applyFont="1" applyFill="1" applyBorder="1" applyAlignment="1" applyProtection="1">
      <alignment horizontal="left"/>
      <protection hidden="1"/>
    </xf>
    <xf numFmtId="0" fontId="6" fillId="5" borderId="26" xfId="0" applyFont="1" applyFill="1" applyBorder="1" applyAlignment="1" applyProtection="1">
      <alignment horizontal="left"/>
      <protection hidden="1"/>
    </xf>
    <xf numFmtId="0" fontId="36" fillId="2" borderId="0" xfId="5" applyFont="1" applyFill="1"/>
    <xf numFmtId="0" fontId="23" fillId="5" borderId="13" xfId="0" applyFont="1" applyFill="1" applyBorder="1" applyAlignment="1" applyProtection="1">
      <alignment horizontal="left" vertical="top" wrapText="1"/>
      <protection hidden="1"/>
    </xf>
    <xf numFmtId="0" fontId="33" fillId="0" borderId="0" xfId="0" applyFont="1"/>
    <xf numFmtId="0" fontId="0" fillId="0" borderId="0" xfId="0" applyAlignment="1" applyProtection="1">
      <alignment wrapText="1"/>
      <protection locked="0"/>
    </xf>
    <xf numFmtId="0" fontId="0" fillId="0" borderId="0" xfId="0" applyProtection="1">
      <protection locked="0"/>
    </xf>
    <xf numFmtId="0" fontId="7" fillId="0" borderId="0" xfId="0" applyFont="1" applyProtection="1">
      <protection locked="0"/>
    </xf>
    <xf numFmtId="0" fontId="7" fillId="0" borderId="0" xfId="0" applyFont="1" applyAlignment="1" applyProtection="1">
      <alignment wrapText="1"/>
      <protection locked="0"/>
    </xf>
    <xf numFmtId="0" fontId="7" fillId="0" borderId="18" xfId="0" applyFont="1" applyBorder="1" applyAlignment="1" applyProtection="1">
      <alignment vertical="top" wrapText="1"/>
      <protection locked="0"/>
    </xf>
    <xf numFmtId="0" fontId="7" fillId="0" borderId="17" xfId="0" applyFont="1" applyFill="1" applyBorder="1" applyAlignment="1" applyProtection="1">
      <alignment vertical="top" wrapText="1"/>
      <protection locked="0"/>
    </xf>
    <xf numFmtId="0" fontId="7" fillId="16" borderId="13" xfId="0" applyFont="1" applyFill="1" applyBorder="1" applyAlignment="1" applyProtection="1">
      <alignment vertical="top" wrapText="1"/>
      <protection locked="0"/>
    </xf>
    <xf numFmtId="0" fontId="7" fillId="0" borderId="13" xfId="0" applyFont="1" applyBorder="1" applyAlignment="1" applyProtection="1">
      <alignment vertical="top" wrapText="1"/>
      <protection locked="0"/>
    </xf>
    <xf numFmtId="0" fontId="34" fillId="0" borderId="13" xfId="0" applyFont="1" applyBorder="1" applyAlignment="1">
      <alignment vertical="top" wrapText="1"/>
    </xf>
    <xf numFmtId="165" fontId="7" fillId="0" borderId="21" xfId="1" applyNumberFormat="1" applyFont="1" applyFill="1" applyBorder="1" applyAlignment="1" applyProtection="1">
      <alignment horizontal="center"/>
      <protection locked="0"/>
    </xf>
    <xf numFmtId="165" fontId="7" fillId="6" borderId="0" xfId="1" applyNumberFormat="1" applyFont="1" applyFill="1" applyBorder="1" applyAlignment="1" applyProtection="1">
      <alignment horizontal="center"/>
      <protection locked="0"/>
    </xf>
    <xf numFmtId="165" fontId="7" fillId="7" borderId="13" xfId="1" applyNumberFormat="1" applyFont="1" applyFill="1" applyBorder="1" applyAlignment="1" applyProtection="1">
      <alignment horizontal="center"/>
      <protection hidden="1"/>
    </xf>
    <xf numFmtId="0" fontId="7" fillId="5" borderId="13" xfId="0" applyFont="1" applyFill="1" applyBorder="1" applyAlignment="1" applyProtection="1">
      <alignment horizontal="center"/>
      <protection hidden="1"/>
    </xf>
    <xf numFmtId="0" fontId="10" fillId="6" borderId="0" xfId="0" applyFont="1" applyFill="1" applyBorder="1" applyAlignment="1" applyProtection="1">
      <alignment vertical="center" wrapText="1"/>
      <protection hidden="1"/>
    </xf>
    <xf numFmtId="3" fontId="7" fillId="0" borderId="21" xfId="0" applyNumberFormat="1" applyFont="1" applyBorder="1" applyAlignment="1" applyProtection="1">
      <alignment horizontal="center"/>
      <protection locked="0"/>
    </xf>
    <xf numFmtId="0" fontId="7" fillId="5" borderId="21" xfId="0" applyFont="1" applyFill="1" applyBorder="1" applyAlignment="1" applyProtection="1">
      <alignment horizontal="center"/>
      <protection hidden="1"/>
    </xf>
    <xf numFmtId="0" fontId="2" fillId="6" borderId="5" xfId="0" quotePrefix="1" applyFont="1" applyFill="1" applyBorder="1" applyAlignment="1" applyProtection="1">
      <alignment horizontal="left" vertical="center" wrapText="1"/>
      <protection hidden="1"/>
    </xf>
    <xf numFmtId="0" fontId="2" fillId="6" borderId="0" xfId="0" quotePrefix="1" applyFont="1" applyFill="1" applyBorder="1" applyAlignment="1" applyProtection="1">
      <alignment horizontal="left" vertical="center" wrapText="1"/>
      <protection hidden="1"/>
    </xf>
    <xf numFmtId="37" fontId="2" fillId="6" borderId="0" xfId="1" applyNumberFormat="1" applyFont="1" applyFill="1" applyBorder="1" applyAlignment="1" applyProtection="1">
      <alignment horizontal="center" vertical="center" wrapText="1"/>
      <protection locked="0"/>
    </xf>
    <xf numFmtId="37" fontId="2" fillId="6" borderId="6" xfId="1" applyNumberFormat="1" applyFont="1" applyFill="1" applyBorder="1" applyAlignment="1" applyProtection="1">
      <alignment horizontal="center" vertical="center" wrapText="1"/>
      <protection locked="0"/>
    </xf>
    <xf numFmtId="0" fontId="2" fillId="6" borderId="9" xfId="0" applyFont="1" applyFill="1" applyBorder="1" applyAlignment="1" applyProtection="1">
      <alignment horizontal="center"/>
      <protection hidden="1"/>
    </xf>
    <xf numFmtId="0" fontId="7" fillId="6" borderId="5" xfId="0" quotePrefix="1" applyFont="1" applyFill="1" applyBorder="1" applyAlignment="1" applyProtection="1">
      <alignment horizontal="center"/>
      <protection hidden="1"/>
    </xf>
    <xf numFmtId="0" fontId="7" fillId="6" borderId="5" xfId="0" applyFont="1" applyFill="1" applyBorder="1" applyAlignment="1" applyProtection="1">
      <alignment horizontal="center"/>
      <protection hidden="1"/>
    </xf>
    <xf numFmtId="0" fontId="23" fillId="17" borderId="13" xfId="0" applyFont="1" applyFill="1" applyBorder="1" applyProtection="1">
      <protection hidden="1"/>
    </xf>
    <xf numFmtId="0" fontId="6" fillId="5" borderId="21" xfId="0" applyFont="1" applyFill="1" applyBorder="1" applyAlignment="1" applyProtection="1">
      <alignment vertical="top"/>
      <protection hidden="1"/>
    </xf>
    <xf numFmtId="165" fontId="5" fillId="5" borderId="21" xfId="1" applyNumberFormat="1" applyFont="1" applyFill="1" applyBorder="1" applyAlignment="1">
      <alignment horizontal="center"/>
    </xf>
    <xf numFmtId="165" fontId="7" fillId="0" borderId="21" xfId="1" applyNumberFormat="1" applyFont="1" applyFill="1" applyBorder="1" applyAlignment="1" applyProtection="1">
      <alignment horizontal="center"/>
      <protection locked="0"/>
    </xf>
    <xf numFmtId="0" fontId="7" fillId="0" borderId="21" xfId="0" applyFont="1" applyFill="1" applyBorder="1" applyAlignment="1" applyProtection="1">
      <alignment horizontal="left"/>
      <protection locked="0"/>
    </xf>
    <xf numFmtId="0" fontId="2" fillId="7" borderId="0" xfId="0" applyFont="1" applyFill="1" applyBorder="1" applyAlignment="1">
      <alignment horizontal="center" vertical="center"/>
    </xf>
    <xf numFmtId="0" fontId="7" fillId="0" borderId="21" xfId="0" quotePrefix="1" applyFont="1" applyFill="1" applyBorder="1" applyAlignment="1" applyProtection="1">
      <alignment horizontal="left"/>
      <protection locked="0"/>
    </xf>
    <xf numFmtId="0" fontId="7" fillId="0" borderId="21" xfId="0" applyFont="1" applyFill="1" applyBorder="1" applyAlignment="1" applyProtection="1">
      <alignment horizontal="center"/>
      <protection locked="0"/>
    </xf>
    <xf numFmtId="0" fontId="7" fillId="15" borderId="13" xfId="0" applyFont="1" applyFill="1" applyBorder="1" applyProtection="1">
      <protection hidden="1"/>
    </xf>
    <xf numFmtId="0" fontId="2" fillId="6" borderId="6" xfId="0" applyFont="1" applyFill="1" applyBorder="1" applyProtection="1">
      <protection hidden="1"/>
    </xf>
    <xf numFmtId="165" fontId="7" fillId="0" borderId="13" xfId="3" applyNumberFormat="1" applyFont="1" applyFill="1" applyBorder="1" applyAlignment="1" applyProtection="1">
      <alignment horizontal="center"/>
      <protection locked="0"/>
    </xf>
    <xf numFmtId="0" fontId="24" fillId="6" borderId="0" xfId="0" applyFont="1" applyFill="1" applyBorder="1" applyProtection="1">
      <protection hidden="1"/>
    </xf>
    <xf numFmtId="0" fontId="7" fillId="0" borderId="13" xfId="0" applyFont="1" applyBorder="1" applyAlignment="1" applyProtection="1">
      <alignment horizontal="center" vertical="center" wrapText="1"/>
      <protection locked="0"/>
    </xf>
    <xf numFmtId="0" fontId="7" fillId="0" borderId="13" xfId="0" applyFont="1" applyBorder="1" applyAlignment="1" applyProtection="1">
      <alignment horizontal="center" vertical="center"/>
      <protection locked="0"/>
    </xf>
    <xf numFmtId="0" fontId="2" fillId="6" borderId="0" xfId="0" quotePrefix="1" applyFont="1" applyFill="1" applyBorder="1" applyAlignment="1" applyProtection="1">
      <alignment vertical="center" wrapText="1"/>
      <protection hidden="1"/>
    </xf>
    <xf numFmtId="0" fontId="7" fillId="14" borderId="21" xfId="0" quotePrefix="1" applyFont="1" applyFill="1" applyBorder="1" applyAlignment="1" applyProtection="1">
      <alignment wrapText="1"/>
      <protection hidden="1"/>
    </xf>
    <xf numFmtId="0" fontId="7" fillId="6" borderId="13" xfId="0" quotePrefix="1" applyFont="1" applyFill="1" applyBorder="1" applyAlignment="1" applyProtection="1">
      <alignment horizontal="left"/>
      <protection hidden="1"/>
    </xf>
    <xf numFmtId="10" fontId="7" fillId="7" borderId="13" xfId="2" applyNumberFormat="1" applyFont="1" applyFill="1" applyBorder="1" applyAlignment="1" applyProtection="1">
      <alignment horizontal="center"/>
      <protection hidden="1"/>
    </xf>
    <xf numFmtId="10" fontId="7" fillId="6" borderId="0" xfId="2" applyNumberFormat="1" applyFont="1" applyFill="1" applyBorder="1" applyAlignment="1" applyProtection="1">
      <alignment horizontal="center"/>
    </xf>
    <xf numFmtId="37" fontId="7" fillId="2" borderId="13" xfId="1" applyNumberFormat="1" applyFont="1" applyFill="1" applyBorder="1" applyAlignment="1" applyProtection="1">
      <protection locked="0"/>
    </xf>
    <xf numFmtId="165" fontId="7" fillId="7" borderId="13" xfId="1" applyNumberFormat="1" applyFont="1" applyFill="1" applyBorder="1" applyAlignment="1" applyProtection="1">
      <alignment horizontal="center" vertical="center"/>
    </xf>
    <xf numFmtId="165" fontId="7" fillId="2" borderId="13" xfId="1" applyNumberFormat="1" applyFont="1" applyFill="1" applyBorder="1" applyAlignment="1" applyProtection="1">
      <alignment horizontal="center"/>
      <protection locked="0"/>
    </xf>
    <xf numFmtId="0" fontId="7" fillId="5" borderId="21" xfId="0" applyFont="1" applyFill="1" applyBorder="1" applyAlignment="1" applyProtection="1">
      <alignment horizontal="center"/>
      <protection hidden="1"/>
    </xf>
    <xf numFmtId="0" fontId="7" fillId="0" borderId="13" xfId="0" applyFont="1" applyFill="1" applyBorder="1" applyProtection="1">
      <protection hidden="1"/>
    </xf>
    <xf numFmtId="165" fontId="7" fillId="7" borderId="0" xfId="1" applyNumberFormat="1" applyFont="1" applyFill="1" applyBorder="1" applyAlignment="1" applyProtection="1">
      <alignment horizontal="center"/>
      <protection locked="0"/>
    </xf>
    <xf numFmtId="0" fontId="7" fillId="7" borderId="21" xfId="0" applyFont="1" applyFill="1" applyBorder="1" applyAlignment="1" applyProtection="1">
      <alignment horizontal="center"/>
      <protection locked="0"/>
    </xf>
    <xf numFmtId="0" fontId="7" fillId="7" borderId="0" xfId="0" applyFont="1" applyFill="1" applyBorder="1" applyAlignment="1" applyProtection="1">
      <alignment horizontal="center" vertical="center" wrapText="1"/>
      <protection locked="0"/>
    </xf>
    <xf numFmtId="0" fontId="7" fillId="7" borderId="0" xfId="0" applyFont="1" applyFill="1" applyBorder="1" applyAlignment="1" applyProtection="1">
      <alignment horizontal="center" vertical="center"/>
      <protection locked="0"/>
    </xf>
    <xf numFmtId="0" fontId="5" fillId="5" borderId="21" xfId="0" applyFont="1" applyFill="1" applyBorder="1" applyAlignment="1" applyProtection="1">
      <alignment horizontal="left"/>
      <protection hidden="1"/>
    </xf>
    <xf numFmtId="165" fontId="7" fillId="7" borderId="13" xfId="0" applyNumberFormat="1" applyFont="1" applyFill="1" applyBorder="1" applyAlignment="1" applyProtection="1">
      <alignment horizontal="center" vertical="center"/>
      <protection locked="0"/>
    </xf>
    <xf numFmtId="165" fontId="7" fillId="7" borderId="0" xfId="1" applyNumberFormat="1" applyFont="1" applyFill="1" applyBorder="1" applyAlignment="1" applyProtection="1">
      <alignment horizontal="center" vertical="center"/>
      <protection locked="0"/>
    </xf>
    <xf numFmtId="17" fontId="8" fillId="0" borderId="0" xfId="0" quotePrefix="1" applyNumberFormat="1" applyFont="1" applyAlignment="1">
      <alignment vertical="center"/>
    </xf>
    <xf numFmtId="0" fontId="14" fillId="3" borderId="15" xfId="0" applyFont="1" applyFill="1" applyBorder="1" applyAlignment="1">
      <alignment horizontal="center" vertical="center" wrapText="1"/>
    </xf>
    <xf numFmtId="0" fontId="14" fillId="3" borderId="25" xfId="0" applyFont="1" applyFill="1" applyBorder="1" applyAlignment="1">
      <alignment horizontal="center" vertical="center" wrapText="1"/>
    </xf>
    <xf numFmtId="0" fontId="7" fillId="0" borderId="15" xfId="0" applyFont="1" applyBorder="1" applyAlignment="1" applyProtection="1">
      <alignment horizontal="left" wrapText="1"/>
      <protection locked="0"/>
    </xf>
    <xf numFmtId="0" fontId="7" fillId="0" borderId="25" xfId="0" applyFont="1" applyBorder="1" applyAlignment="1" applyProtection="1">
      <alignment horizontal="left" wrapText="1"/>
      <protection locked="0"/>
    </xf>
    <xf numFmtId="0" fontId="7" fillId="0" borderId="19" xfId="0" applyFont="1" applyBorder="1" applyAlignment="1" applyProtection="1">
      <alignment horizontal="left" wrapText="1"/>
      <protection locked="0"/>
    </xf>
    <xf numFmtId="0" fontId="7" fillId="0" borderId="20" xfId="0" applyFont="1" applyBorder="1" applyAlignment="1" applyProtection="1">
      <alignment horizontal="left" wrapText="1"/>
      <protection locked="0"/>
    </xf>
    <xf numFmtId="0" fontId="7" fillId="0" borderId="0" xfId="0" applyFont="1" applyAlignment="1" applyProtection="1">
      <alignment horizontal="left" vertical="top" wrapText="1"/>
      <protection locked="0"/>
    </xf>
    <xf numFmtId="0" fontId="21" fillId="5" borderId="21" xfId="4" applyFont="1" applyFill="1" applyBorder="1" applyAlignment="1" applyProtection="1">
      <alignment horizontal="center"/>
      <protection hidden="1"/>
    </xf>
    <xf numFmtId="0" fontId="21" fillId="5" borderId="1" xfId="4" applyFont="1" applyFill="1" applyBorder="1" applyAlignment="1" applyProtection="1">
      <alignment horizontal="center"/>
      <protection hidden="1"/>
    </xf>
    <xf numFmtId="0" fontId="21" fillId="5" borderId="26" xfId="4" applyFont="1" applyFill="1" applyBorder="1" applyAlignment="1" applyProtection="1">
      <alignment horizontal="center"/>
      <protection hidden="1"/>
    </xf>
    <xf numFmtId="0" fontId="4" fillId="3" borderId="0" xfId="0" quotePrefix="1" applyFont="1" applyFill="1" applyBorder="1" applyAlignment="1" applyProtection="1">
      <alignment horizontal="right" vertical="center" wrapText="1"/>
      <protection hidden="1"/>
    </xf>
    <xf numFmtId="0" fontId="4" fillId="3" borderId="0" xfId="0" applyFont="1" applyFill="1" applyBorder="1" applyAlignment="1" applyProtection="1">
      <alignment horizontal="right" vertical="center" wrapText="1"/>
      <protection hidden="1"/>
    </xf>
    <xf numFmtId="0" fontId="4" fillId="3" borderId="17" xfId="0" applyFont="1" applyFill="1" applyBorder="1" applyAlignment="1" applyProtection="1">
      <alignment horizontal="right" vertical="center" wrapText="1"/>
      <protection hidden="1"/>
    </xf>
    <xf numFmtId="0" fontId="7" fillId="7" borderId="0" xfId="0" applyFont="1" applyFill="1" applyBorder="1" applyAlignment="1" applyProtection="1">
      <alignment horizontal="center" vertical="center" wrapText="1"/>
      <protection locked="0"/>
    </xf>
    <xf numFmtId="0" fontId="7" fillId="5" borderId="21" xfId="0" applyFont="1" applyFill="1" applyBorder="1" applyAlignment="1" applyProtection="1">
      <alignment horizontal="center"/>
      <protection hidden="1"/>
    </xf>
    <xf numFmtId="0" fontId="7" fillId="5" borderId="1" xfId="0" applyFont="1" applyFill="1" applyBorder="1" applyAlignment="1" applyProtection="1">
      <alignment horizontal="center"/>
      <protection hidden="1"/>
    </xf>
    <xf numFmtId="0" fontId="7" fillId="5" borderId="26" xfId="0" applyFont="1" applyFill="1" applyBorder="1" applyAlignment="1" applyProtection="1">
      <alignment horizontal="center"/>
      <protection hidden="1"/>
    </xf>
    <xf numFmtId="0" fontId="2" fillId="6" borderId="5" xfId="0" quotePrefix="1" applyFont="1" applyFill="1" applyBorder="1" applyAlignment="1" applyProtection="1">
      <alignment vertical="center" wrapText="1"/>
      <protection hidden="1"/>
    </xf>
    <xf numFmtId="0" fontId="2" fillId="6" borderId="0" xfId="0" quotePrefix="1" applyFont="1" applyFill="1" applyBorder="1" applyAlignment="1" applyProtection="1">
      <alignment vertical="center" wrapText="1"/>
      <protection hidden="1"/>
    </xf>
    <xf numFmtId="165" fontId="5" fillId="7" borderId="21" xfId="0" applyNumberFormat="1" applyFont="1" applyFill="1" applyBorder="1" applyAlignment="1" applyProtection="1">
      <alignment horizontal="right"/>
      <protection hidden="1"/>
    </xf>
    <xf numFmtId="165" fontId="5" fillId="7" borderId="1" xfId="0" applyNumberFormat="1" applyFont="1" applyFill="1" applyBorder="1" applyAlignment="1" applyProtection="1">
      <alignment horizontal="right"/>
      <protection hidden="1"/>
    </xf>
    <xf numFmtId="165" fontId="5" fillId="7" borderId="24" xfId="0" applyNumberFormat="1" applyFont="1" applyFill="1" applyBorder="1" applyAlignment="1" applyProtection="1">
      <alignment horizontal="right"/>
      <protection hidden="1"/>
    </xf>
    <xf numFmtId="0" fontId="30" fillId="7" borderId="2" xfId="0" applyFont="1" applyFill="1" applyBorder="1" applyAlignment="1" applyProtection="1">
      <alignment horizontal="center" vertical="center" wrapText="1"/>
      <protection hidden="1"/>
    </xf>
    <xf numFmtId="0" fontId="30" fillId="7" borderId="3" xfId="0" applyFont="1" applyFill="1" applyBorder="1" applyAlignment="1" applyProtection="1">
      <alignment horizontal="center" vertical="center" wrapText="1"/>
      <protection hidden="1"/>
    </xf>
    <xf numFmtId="0" fontId="30" fillId="7" borderId="4" xfId="0" applyFont="1" applyFill="1" applyBorder="1" applyAlignment="1" applyProtection="1">
      <alignment horizontal="center" vertical="center" wrapText="1"/>
      <protection hidden="1"/>
    </xf>
    <xf numFmtId="0" fontId="30" fillId="7" borderId="5" xfId="0" applyFont="1" applyFill="1" applyBorder="1" applyAlignment="1" applyProtection="1">
      <alignment horizontal="center" vertical="center" wrapText="1"/>
      <protection hidden="1"/>
    </xf>
    <xf numFmtId="0" fontId="30" fillId="7" borderId="0" xfId="0" applyFont="1" applyFill="1" applyBorder="1" applyAlignment="1" applyProtection="1">
      <alignment horizontal="center" vertical="center" wrapText="1"/>
      <protection hidden="1"/>
    </xf>
    <xf numFmtId="0" fontId="30" fillId="7" borderId="6" xfId="0" applyFont="1" applyFill="1" applyBorder="1" applyAlignment="1" applyProtection="1">
      <alignment horizontal="center" vertical="center" wrapText="1"/>
      <protection hidden="1"/>
    </xf>
    <xf numFmtId="0" fontId="9" fillId="6" borderId="0" xfId="0" applyNumberFormat="1" applyFont="1" applyFill="1" applyBorder="1" applyAlignment="1" applyProtection="1">
      <alignment horizontal="center" vertical="top" wrapText="1"/>
      <protection hidden="1"/>
    </xf>
    <xf numFmtId="0" fontId="9" fillId="6" borderId="6" xfId="0" applyNumberFormat="1" applyFont="1" applyFill="1" applyBorder="1" applyAlignment="1" applyProtection="1">
      <alignment horizontal="center" vertical="top" wrapText="1"/>
      <protection hidden="1"/>
    </xf>
    <xf numFmtId="0" fontId="9" fillId="6" borderId="8" xfId="0" applyNumberFormat="1" applyFont="1" applyFill="1" applyBorder="1" applyAlignment="1" applyProtection="1">
      <alignment horizontal="center" vertical="top" wrapText="1"/>
      <protection hidden="1"/>
    </xf>
    <xf numFmtId="0" fontId="9" fillId="6" borderId="9" xfId="0" applyNumberFormat="1" applyFont="1" applyFill="1" applyBorder="1" applyAlignment="1" applyProtection="1">
      <alignment horizontal="center" vertical="top" wrapText="1"/>
      <protection hidden="1"/>
    </xf>
    <xf numFmtId="0" fontId="30" fillId="7" borderId="7" xfId="0" applyFont="1" applyFill="1" applyBorder="1" applyAlignment="1" applyProtection="1">
      <alignment horizontal="center" vertical="center" wrapText="1"/>
      <protection hidden="1"/>
    </xf>
    <xf numFmtId="0" fontId="30" fillId="7" borderId="8" xfId="0" applyFont="1" applyFill="1" applyBorder="1" applyAlignment="1" applyProtection="1">
      <alignment horizontal="center" vertical="center" wrapText="1"/>
      <protection hidden="1"/>
    </xf>
    <xf numFmtId="0" fontId="30" fillId="7" borderId="9" xfId="0" applyFont="1" applyFill="1" applyBorder="1" applyAlignment="1" applyProtection="1">
      <alignment horizontal="center" vertical="center" wrapText="1"/>
      <protection hidden="1"/>
    </xf>
    <xf numFmtId="166" fontId="7" fillId="7" borderId="21" xfId="1" applyNumberFormat="1" applyFont="1" applyFill="1" applyBorder="1" applyAlignment="1" applyProtection="1">
      <alignment horizontal="center"/>
      <protection hidden="1"/>
    </xf>
    <xf numFmtId="166" fontId="7" fillId="7" borderId="1" xfId="1" applyNumberFormat="1" applyFont="1" applyFill="1" applyBorder="1" applyAlignment="1" applyProtection="1">
      <alignment horizontal="center"/>
      <protection hidden="1"/>
    </xf>
    <xf numFmtId="166" fontId="7" fillId="7" borderId="26" xfId="1" applyNumberFormat="1" applyFont="1" applyFill="1" applyBorder="1" applyAlignment="1" applyProtection="1">
      <alignment horizontal="center"/>
      <protection hidden="1"/>
    </xf>
    <xf numFmtId="165" fontId="7" fillId="7" borderId="21" xfId="1" applyNumberFormat="1" applyFont="1" applyFill="1" applyBorder="1" applyAlignment="1" applyProtection="1">
      <alignment horizontal="center"/>
      <protection hidden="1"/>
    </xf>
    <xf numFmtId="165" fontId="7" fillId="7" borderId="1" xfId="1" applyNumberFormat="1" applyFont="1" applyFill="1" applyBorder="1" applyAlignment="1" applyProtection="1">
      <alignment horizontal="center"/>
      <protection hidden="1"/>
    </xf>
    <xf numFmtId="165" fontId="7" fillId="7" borderId="24" xfId="1" applyNumberFormat="1" applyFont="1" applyFill="1" applyBorder="1" applyAlignment="1" applyProtection="1">
      <alignment horizontal="center"/>
      <protection hidden="1"/>
    </xf>
    <xf numFmtId="165" fontId="7" fillId="7" borderId="21" xfId="3" applyNumberFormat="1" applyFont="1" applyFill="1" applyBorder="1" applyAlignment="1" applyProtection="1">
      <alignment horizontal="center"/>
      <protection hidden="1"/>
    </xf>
    <xf numFmtId="165" fontId="7" fillId="7" borderId="26" xfId="3" applyNumberFormat="1" applyFont="1" applyFill="1" applyBorder="1" applyAlignment="1" applyProtection="1">
      <alignment horizontal="center"/>
      <protection hidden="1"/>
    </xf>
    <xf numFmtId="9" fontId="7" fillId="7" borderId="21" xfId="2" applyFont="1" applyFill="1" applyBorder="1" applyAlignment="1" applyProtection="1">
      <alignment horizontal="center"/>
      <protection hidden="1"/>
    </xf>
    <xf numFmtId="9" fontId="7" fillId="7" borderId="26" xfId="2" applyFont="1" applyFill="1" applyBorder="1" applyAlignment="1" applyProtection="1">
      <alignment horizontal="center"/>
      <protection hidden="1"/>
    </xf>
    <xf numFmtId="165" fontId="7" fillId="7" borderId="17" xfId="3" applyNumberFormat="1" applyFont="1" applyFill="1" applyBorder="1" applyAlignment="1" applyProtection="1">
      <alignment horizontal="center"/>
      <protection hidden="1"/>
    </xf>
    <xf numFmtId="165" fontId="7" fillId="7" borderId="18" xfId="3" applyNumberFormat="1" applyFont="1" applyFill="1" applyBorder="1" applyAlignment="1" applyProtection="1">
      <alignment horizontal="center"/>
      <protection hidden="1"/>
    </xf>
    <xf numFmtId="9" fontId="7" fillId="7" borderId="17" xfId="2" applyFont="1" applyFill="1" applyBorder="1" applyAlignment="1" applyProtection="1">
      <alignment horizontal="center"/>
      <protection hidden="1"/>
    </xf>
    <xf numFmtId="9" fontId="7" fillId="7" borderId="18" xfId="2" applyFont="1" applyFill="1" applyBorder="1" applyAlignment="1" applyProtection="1">
      <alignment horizontal="center"/>
      <protection hidden="1"/>
    </xf>
    <xf numFmtId="0" fontId="7" fillId="0" borderId="2" xfId="0" applyFont="1" applyBorder="1" applyAlignment="1" applyProtection="1">
      <alignment horizontal="left" vertical="top" wrapText="1"/>
      <protection locked="0"/>
    </xf>
    <xf numFmtId="0" fontId="7" fillId="0" borderId="3" xfId="0" applyFont="1" applyBorder="1" applyAlignment="1" applyProtection="1">
      <alignment horizontal="left" vertical="top" wrapText="1"/>
      <protection locked="0"/>
    </xf>
    <xf numFmtId="0" fontId="7" fillId="0" borderId="4" xfId="0" applyFont="1" applyBorder="1" applyAlignment="1" applyProtection="1">
      <alignment horizontal="left" vertical="top" wrapText="1"/>
      <protection locked="0"/>
    </xf>
    <xf numFmtId="0" fontId="7" fillId="0" borderId="5"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6" xfId="0" applyFont="1" applyBorder="1" applyAlignment="1" applyProtection="1">
      <alignment horizontal="left" vertical="top" wrapText="1"/>
      <protection locked="0"/>
    </xf>
    <xf numFmtId="0" fontId="7" fillId="0" borderId="7" xfId="0" applyFont="1" applyBorder="1" applyAlignment="1" applyProtection="1">
      <alignment horizontal="left" vertical="top" wrapText="1"/>
      <protection locked="0"/>
    </xf>
    <xf numFmtId="0" fontId="7" fillId="0" borderId="8" xfId="0" applyFont="1" applyBorder="1" applyAlignment="1" applyProtection="1">
      <alignment horizontal="left" vertical="top" wrapText="1"/>
      <protection locked="0"/>
    </xf>
    <xf numFmtId="0" fontId="7" fillId="0" borderId="9" xfId="0" applyFont="1" applyBorder="1" applyAlignment="1" applyProtection="1">
      <alignment horizontal="left" vertical="top" wrapText="1"/>
      <protection locked="0"/>
    </xf>
    <xf numFmtId="0" fontId="7" fillId="6" borderId="16" xfId="0" applyFont="1" applyFill="1" applyBorder="1" applyAlignment="1" applyProtection="1">
      <alignment horizontal="right"/>
      <protection hidden="1"/>
    </xf>
    <xf numFmtId="0" fontId="7" fillId="6" borderId="0" xfId="0" applyFont="1" applyFill="1" applyBorder="1" applyAlignment="1" applyProtection="1">
      <alignment horizontal="right"/>
      <protection hidden="1"/>
    </xf>
    <xf numFmtId="165" fontId="7" fillId="7" borderId="19" xfId="0" applyNumberFormat="1" applyFont="1" applyFill="1" applyBorder="1" applyAlignment="1" applyProtection="1">
      <alignment horizontal="center"/>
      <protection hidden="1"/>
    </xf>
    <xf numFmtId="165" fontId="7" fillId="7" borderId="20" xfId="0" applyNumberFormat="1" applyFont="1" applyFill="1" applyBorder="1" applyAlignment="1" applyProtection="1">
      <alignment horizontal="center"/>
      <protection hidden="1"/>
    </xf>
    <xf numFmtId="165" fontId="7" fillId="7" borderId="21" xfId="0" applyNumberFormat="1" applyFont="1" applyFill="1" applyBorder="1" applyAlignment="1" applyProtection="1">
      <alignment horizontal="center"/>
      <protection hidden="1"/>
    </xf>
    <xf numFmtId="165" fontId="7" fillId="7" borderId="1" xfId="0" applyNumberFormat="1" applyFont="1" applyFill="1" applyBorder="1" applyAlignment="1" applyProtection="1">
      <alignment horizontal="center"/>
      <protection hidden="1"/>
    </xf>
    <xf numFmtId="165" fontId="7" fillId="7" borderId="24" xfId="0" applyNumberFormat="1" applyFont="1" applyFill="1" applyBorder="1" applyAlignment="1" applyProtection="1">
      <alignment horizontal="center"/>
      <protection hidden="1"/>
    </xf>
    <xf numFmtId="165" fontId="7" fillId="7" borderId="19" xfId="3" applyNumberFormat="1" applyFont="1" applyFill="1" applyBorder="1" applyAlignment="1" applyProtection="1">
      <alignment horizontal="center"/>
      <protection hidden="1"/>
    </xf>
    <xf numFmtId="165" fontId="7" fillId="7" borderId="20" xfId="3" applyNumberFormat="1" applyFont="1" applyFill="1" applyBorder="1" applyAlignment="1" applyProtection="1">
      <alignment horizontal="center"/>
      <protection hidden="1"/>
    </xf>
    <xf numFmtId="9" fontId="7" fillId="7" borderId="19" xfId="2" applyFont="1" applyFill="1" applyBorder="1" applyAlignment="1" applyProtection="1">
      <alignment horizontal="center"/>
      <protection hidden="1"/>
    </xf>
    <xf numFmtId="9" fontId="7" fillId="7" borderId="20" xfId="2" applyFont="1" applyFill="1" applyBorder="1" applyAlignment="1" applyProtection="1">
      <alignment horizontal="center"/>
      <protection hidden="1"/>
    </xf>
    <xf numFmtId="165" fontId="7" fillId="7" borderId="1" xfId="3" applyNumberFormat="1" applyFont="1" applyFill="1" applyBorder="1" applyAlignment="1" applyProtection="1">
      <alignment horizontal="center"/>
      <protection hidden="1"/>
    </xf>
    <xf numFmtId="165" fontId="7" fillId="7" borderId="15" xfId="3" applyNumberFormat="1" applyFont="1" applyFill="1" applyBorder="1" applyAlignment="1" applyProtection="1">
      <alignment horizontal="center"/>
      <protection hidden="1"/>
    </xf>
    <xf numFmtId="165" fontId="7" fillId="7" borderId="25" xfId="3" applyNumberFormat="1" applyFont="1" applyFill="1" applyBorder="1" applyAlignment="1" applyProtection="1">
      <alignment horizontal="center"/>
      <protection hidden="1"/>
    </xf>
    <xf numFmtId="9" fontId="7" fillId="7" borderId="15" xfId="2" applyFont="1" applyFill="1" applyBorder="1" applyAlignment="1" applyProtection="1">
      <alignment horizontal="center"/>
      <protection hidden="1"/>
    </xf>
    <xf numFmtId="9" fontId="7" fillId="7" borderId="25" xfId="2" applyFont="1" applyFill="1" applyBorder="1" applyAlignment="1" applyProtection="1">
      <alignment horizontal="center"/>
      <protection hidden="1"/>
    </xf>
    <xf numFmtId="165" fontId="5" fillId="7" borderId="15" xfId="0" applyNumberFormat="1" applyFont="1" applyFill="1" applyBorder="1" applyAlignment="1" applyProtection="1">
      <alignment horizontal="center" vertical="center" wrapText="1"/>
      <protection hidden="1"/>
    </xf>
    <xf numFmtId="165" fontId="5" fillId="7" borderId="23" xfId="0" applyNumberFormat="1" applyFont="1" applyFill="1" applyBorder="1" applyAlignment="1" applyProtection="1">
      <alignment horizontal="center" vertical="center" wrapText="1"/>
      <protection hidden="1"/>
    </xf>
    <xf numFmtId="165" fontId="5" fillId="7" borderId="17" xfId="0" applyNumberFormat="1" applyFont="1" applyFill="1" applyBorder="1" applyAlignment="1" applyProtection="1">
      <alignment horizontal="center" vertical="center" wrapText="1"/>
      <protection hidden="1"/>
    </xf>
    <xf numFmtId="165" fontId="5" fillId="7" borderId="6" xfId="0" applyNumberFormat="1" applyFont="1" applyFill="1" applyBorder="1" applyAlignment="1" applyProtection="1">
      <alignment horizontal="center" vertical="center" wrapText="1"/>
      <protection hidden="1"/>
    </xf>
    <xf numFmtId="165" fontId="5" fillId="7" borderId="19" xfId="0" applyNumberFormat="1" applyFont="1" applyFill="1" applyBorder="1" applyAlignment="1" applyProtection="1">
      <alignment horizontal="center" vertical="center" wrapText="1"/>
      <protection hidden="1"/>
    </xf>
    <xf numFmtId="165" fontId="5" fillId="7" borderId="22" xfId="0" applyNumberFormat="1" applyFont="1" applyFill="1" applyBorder="1" applyAlignment="1" applyProtection="1">
      <alignment horizontal="center" vertical="center" wrapText="1"/>
      <protection hidden="1"/>
    </xf>
    <xf numFmtId="165" fontId="5" fillId="7" borderId="21" xfId="0" applyNumberFormat="1" applyFont="1" applyFill="1" applyBorder="1" applyAlignment="1" applyProtection="1">
      <alignment horizontal="center"/>
      <protection hidden="1"/>
    </xf>
    <xf numFmtId="165" fontId="5" fillId="7" borderId="24" xfId="0" applyNumberFormat="1" applyFont="1" applyFill="1" applyBorder="1" applyAlignment="1" applyProtection="1">
      <alignment horizontal="center"/>
      <protection hidden="1"/>
    </xf>
    <xf numFmtId="0" fontId="7" fillId="6" borderId="5" xfId="0" applyFont="1" applyFill="1" applyBorder="1" applyAlignment="1" applyProtection="1">
      <alignment horizontal="center" vertical="center" wrapText="1"/>
      <protection hidden="1"/>
    </xf>
    <xf numFmtId="0" fontId="7" fillId="6" borderId="18" xfId="0" applyFont="1" applyFill="1" applyBorder="1" applyAlignment="1" applyProtection="1">
      <alignment horizontal="center" vertical="center" wrapText="1"/>
      <protection hidden="1"/>
    </xf>
    <xf numFmtId="9" fontId="5" fillId="7" borderId="15" xfId="0" applyNumberFormat="1" applyFont="1" applyFill="1" applyBorder="1" applyAlignment="1" applyProtection="1">
      <alignment horizontal="center" vertical="center" wrapText="1"/>
      <protection hidden="1"/>
    </xf>
    <xf numFmtId="9" fontId="5" fillId="7" borderId="25" xfId="0" applyNumberFormat="1" applyFont="1" applyFill="1" applyBorder="1" applyAlignment="1" applyProtection="1">
      <alignment horizontal="center" vertical="center" wrapText="1"/>
      <protection hidden="1"/>
    </xf>
    <xf numFmtId="9" fontId="5" fillId="7" borderId="17" xfId="0" applyNumberFormat="1" applyFont="1" applyFill="1" applyBorder="1" applyAlignment="1" applyProtection="1">
      <alignment horizontal="center" vertical="center" wrapText="1"/>
      <protection hidden="1"/>
    </xf>
    <xf numFmtId="9" fontId="5" fillId="7" borderId="18" xfId="0" applyNumberFormat="1" applyFont="1" applyFill="1" applyBorder="1" applyAlignment="1" applyProtection="1">
      <alignment horizontal="center" vertical="center" wrapText="1"/>
      <protection hidden="1"/>
    </xf>
    <xf numFmtId="9" fontId="5" fillId="7" borderId="19" xfId="0" applyNumberFormat="1" applyFont="1" applyFill="1" applyBorder="1" applyAlignment="1" applyProtection="1">
      <alignment horizontal="center" vertical="center" wrapText="1"/>
      <protection hidden="1"/>
    </xf>
    <xf numFmtId="9" fontId="5" fillId="7" borderId="20" xfId="0" applyNumberFormat="1" applyFont="1" applyFill="1" applyBorder="1" applyAlignment="1" applyProtection="1">
      <alignment horizontal="center" vertical="center" wrapText="1"/>
      <protection hidden="1"/>
    </xf>
    <xf numFmtId="0" fontId="7" fillId="6" borderId="17" xfId="0" applyFont="1" applyFill="1" applyBorder="1" applyAlignment="1" applyProtection="1">
      <alignment horizontal="center" wrapText="1"/>
      <protection hidden="1"/>
    </xf>
    <xf numFmtId="0" fontId="7" fillId="6" borderId="0" xfId="0" applyFont="1" applyFill="1" applyBorder="1" applyAlignment="1" applyProtection="1">
      <alignment horizontal="center" wrapText="1"/>
      <protection hidden="1"/>
    </xf>
    <xf numFmtId="0" fontId="7" fillId="6" borderId="18" xfId="0" applyFont="1" applyFill="1" applyBorder="1" applyAlignment="1" applyProtection="1">
      <alignment horizontal="center" wrapText="1"/>
      <protection hidden="1"/>
    </xf>
    <xf numFmtId="0" fontId="7" fillId="6" borderId="5" xfId="0" applyFont="1" applyFill="1" applyBorder="1" applyAlignment="1" applyProtection="1">
      <alignment horizontal="left" wrapText="1"/>
      <protection hidden="1"/>
    </xf>
    <xf numFmtId="0" fontId="7" fillId="6" borderId="0" xfId="0" applyFont="1" applyFill="1" applyBorder="1" applyAlignment="1" applyProtection="1">
      <alignment horizontal="left" wrapText="1"/>
      <protection hidden="1"/>
    </xf>
    <xf numFmtId="0" fontId="7" fillId="6" borderId="18" xfId="0" applyFont="1" applyFill="1" applyBorder="1" applyAlignment="1" applyProtection="1">
      <alignment horizontal="left" wrapText="1"/>
      <protection hidden="1"/>
    </xf>
    <xf numFmtId="165" fontId="5" fillId="7" borderId="15" xfId="0" applyNumberFormat="1" applyFont="1" applyFill="1" applyBorder="1" applyAlignment="1" applyProtection="1">
      <alignment horizontal="center" vertical="center"/>
      <protection hidden="1"/>
    </xf>
    <xf numFmtId="165" fontId="5" fillId="7" borderId="23" xfId="0" applyNumberFormat="1" applyFont="1" applyFill="1" applyBorder="1" applyAlignment="1" applyProtection="1">
      <alignment horizontal="center" vertical="center"/>
      <protection hidden="1"/>
    </xf>
    <xf numFmtId="165" fontId="5" fillId="7" borderId="17" xfId="0" applyNumberFormat="1" applyFont="1" applyFill="1" applyBorder="1" applyAlignment="1" applyProtection="1">
      <alignment horizontal="center" vertical="center"/>
      <protection hidden="1"/>
    </xf>
    <xf numFmtId="165" fontId="5" fillId="7" borderId="6" xfId="0" applyNumberFormat="1" applyFont="1" applyFill="1" applyBorder="1" applyAlignment="1" applyProtection="1">
      <alignment horizontal="center" vertical="center"/>
      <protection hidden="1"/>
    </xf>
    <xf numFmtId="165" fontId="5" fillId="7" borderId="19" xfId="0" applyNumberFormat="1" applyFont="1" applyFill="1" applyBorder="1" applyAlignment="1" applyProtection="1">
      <alignment horizontal="center" vertical="center"/>
      <protection hidden="1"/>
    </xf>
    <xf numFmtId="165" fontId="5" fillId="7" borderId="22" xfId="0" applyNumberFormat="1" applyFont="1" applyFill="1" applyBorder="1" applyAlignment="1" applyProtection="1">
      <alignment horizontal="center" vertical="center"/>
      <protection hidden="1"/>
    </xf>
    <xf numFmtId="0" fontId="7" fillId="5" borderId="24" xfId="0" applyFont="1" applyFill="1" applyBorder="1" applyAlignment="1" applyProtection="1">
      <alignment horizontal="center"/>
      <protection hidden="1"/>
    </xf>
    <xf numFmtId="0" fontId="7" fillId="5" borderId="21" xfId="0" applyFont="1" applyFill="1" applyBorder="1" applyAlignment="1" applyProtection="1">
      <alignment horizontal="center" wrapText="1"/>
      <protection hidden="1"/>
    </xf>
    <xf numFmtId="0" fontId="7" fillId="5" borderId="1" xfId="0" applyFont="1" applyFill="1" applyBorder="1" applyAlignment="1" applyProtection="1">
      <alignment horizontal="center" wrapText="1"/>
      <protection hidden="1"/>
    </xf>
    <xf numFmtId="0" fontId="7" fillId="5" borderId="26" xfId="0" applyFont="1" applyFill="1" applyBorder="1" applyAlignment="1" applyProtection="1">
      <alignment horizontal="center" wrapText="1"/>
      <protection hidden="1"/>
    </xf>
    <xf numFmtId="0" fontId="7" fillId="5" borderId="24" xfId="0" applyFont="1" applyFill="1" applyBorder="1" applyAlignment="1" applyProtection="1">
      <alignment horizontal="center" wrapText="1"/>
      <protection hidden="1"/>
    </xf>
    <xf numFmtId="0" fontId="7" fillId="0" borderId="0" xfId="0" applyFont="1" applyAlignment="1" applyProtection="1">
      <alignment horizontal="center" wrapText="1"/>
      <protection hidden="1"/>
    </xf>
    <xf numFmtId="0" fontId="7" fillId="0" borderId="14" xfId="0" applyFont="1" applyBorder="1" applyAlignment="1" applyProtection="1">
      <alignment horizontal="center" wrapText="1"/>
      <protection hidden="1"/>
    </xf>
    <xf numFmtId="0" fontId="7" fillId="6" borderId="28" xfId="0" applyFont="1" applyFill="1" applyBorder="1" applyAlignment="1" applyProtection="1">
      <alignment horizontal="center"/>
      <protection hidden="1"/>
    </xf>
    <xf numFmtId="0" fontId="7" fillId="6" borderId="3" xfId="0" applyFont="1" applyFill="1" applyBorder="1" applyAlignment="1" applyProtection="1">
      <alignment horizontal="center"/>
      <protection hidden="1"/>
    </xf>
    <xf numFmtId="0" fontId="24" fillId="5" borderId="15" xfId="0" applyFont="1" applyFill="1" applyBorder="1" applyAlignment="1" applyProtection="1">
      <alignment horizontal="center" vertical="top" wrapText="1"/>
      <protection hidden="1"/>
    </xf>
    <xf numFmtId="0" fontId="24" fillId="5" borderId="16" xfId="0" applyFont="1" applyFill="1" applyBorder="1" applyAlignment="1" applyProtection="1">
      <alignment horizontal="center" vertical="top" wrapText="1"/>
      <protection hidden="1"/>
    </xf>
    <xf numFmtId="0" fontId="24" fillId="5" borderId="19" xfId="0" applyFont="1" applyFill="1" applyBorder="1" applyAlignment="1" applyProtection="1">
      <alignment horizontal="center" vertical="top" wrapText="1"/>
      <protection hidden="1"/>
    </xf>
    <xf numFmtId="0" fontId="24" fillId="5" borderId="14" xfId="0" applyFont="1" applyFill="1" applyBorder="1" applyAlignment="1" applyProtection="1">
      <alignment horizontal="center" vertical="top" wrapText="1"/>
      <protection hidden="1"/>
    </xf>
    <xf numFmtId="0" fontId="7" fillId="5" borderId="16" xfId="0" applyFont="1" applyFill="1" applyBorder="1" applyAlignment="1" applyProtection="1">
      <alignment horizontal="center" vertical="top" wrapText="1"/>
      <protection hidden="1"/>
    </xf>
    <xf numFmtId="0" fontId="7" fillId="5" borderId="25" xfId="0" applyFont="1" applyFill="1" applyBorder="1" applyAlignment="1" applyProtection="1">
      <alignment horizontal="center" vertical="top" wrapText="1"/>
      <protection hidden="1"/>
    </xf>
    <xf numFmtId="0" fontId="7" fillId="5" borderId="14" xfId="0" applyFont="1" applyFill="1" applyBorder="1" applyAlignment="1" applyProtection="1">
      <alignment horizontal="center" vertical="top" wrapText="1"/>
      <protection hidden="1"/>
    </xf>
    <xf numFmtId="0" fontId="7" fillId="5" borderId="20" xfId="0" applyFont="1" applyFill="1" applyBorder="1" applyAlignment="1" applyProtection="1">
      <alignment horizontal="center" vertical="top" wrapText="1"/>
      <protection hidden="1"/>
    </xf>
    <xf numFmtId="0" fontId="10" fillId="6" borderId="5" xfId="0" applyFont="1" applyFill="1" applyBorder="1" applyAlignment="1" applyProtection="1">
      <alignment vertical="center" wrapText="1"/>
      <protection hidden="1"/>
    </xf>
    <xf numFmtId="0" fontId="10" fillId="6" borderId="0" xfId="0" applyFont="1" applyFill="1" applyBorder="1" applyAlignment="1" applyProtection="1">
      <alignment vertical="center" wrapText="1"/>
      <protection hidden="1"/>
    </xf>
    <xf numFmtId="1" fontId="5" fillId="6" borderId="25" xfId="2" applyNumberFormat="1" applyFont="1" applyFill="1" applyBorder="1" applyAlignment="1" applyProtection="1">
      <alignment horizontal="right" vertical="center" wrapText="1"/>
      <protection hidden="1"/>
    </xf>
    <xf numFmtId="1" fontId="5" fillId="6" borderId="27" xfId="2" applyNumberFormat="1" applyFont="1" applyFill="1" applyBorder="1" applyAlignment="1" applyProtection="1">
      <alignment horizontal="right" vertical="center" wrapText="1"/>
      <protection hidden="1"/>
    </xf>
    <xf numFmtId="1" fontId="5" fillId="6" borderId="39" xfId="2" applyNumberFormat="1" applyFont="1" applyFill="1" applyBorder="1" applyAlignment="1" applyProtection="1">
      <alignment horizontal="right" vertical="center" wrapText="1"/>
      <protection hidden="1"/>
    </xf>
    <xf numFmtId="0" fontId="8" fillId="6" borderId="7" xfId="0" applyFont="1" applyFill="1" applyBorder="1" applyAlignment="1" applyProtection="1">
      <alignment vertical="center" wrapText="1"/>
      <protection hidden="1"/>
    </xf>
    <xf numFmtId="0" fontId="8" fillId="6" borderId="8" xfId="0" applyFont="1" applyFill="1" applyBorder="1" applyAlignment="1" applyProtection="1">
      <alignment vertical="center" wrapText="1"/>
      <protection hidden="1"/>
    </xf>
    <xf numFmtId="0" fontId="8" fillId="6" borderId="9" xfId="0" applyFont="1" applyFill="1" applyBorder="1" applyAlignment="1" applyProtection="1">
      <alignment vertical="center" wrapText="1"/>
      <protection hidden="1"/>
    </xf>
    <xf numFmtId="0" fontId="19" fillId="6" borderId="2" xfId="0" applyFont="1" applyFill="1" applyBorder="1" applyAlignment="1" applyProtection="1">
      <alignment horizontal="center" vertical="center" wrapText="1"/>
      <protection hidden="1"/>
    </xf>
    <xf numFmtId="0" fontId="19" fillId="6" borderId="3" xfId="0" applyFont="1" applyFill="1" applyBorder="1" applyAlignment="1" applyProtection="1">
      <alignment horizontal="center" vertical="center" wrapText="1"/>
      <protection hidden="1"/>
    </xf>
    <xf numFmtId="0" fontId="19" fillId="6" borderId="4" xfId="0" applyFont="1" applyFill="1" applyBorder="1" applyAlignment="1" applyProtection="1">
      <alignment horizontal="center" vertical="center" wrapText="1"/>
      <protection hidden="1"/>
    </xf>
    <xf numFmtId="0" fontId="19" fillId="6" borderId="5" xfId="0" applyFont="1" applyFill="1" applyBorder="1" applyAlignment="1" applyProtection="1">
      <alignment horizontal="center" vertical="center" wrapText="1"/>
      <protection hidden="1"/>
    </xf>
    <xf numFmtId="0" fontId="19" fillId="6" borderId="0" xfId="0" applyFont="1" applyFill="1" applyBorder="1" applyAlignment="1" applyProtection="1">
      <alignment horizontal="center" vertical="center" wrapText="1"/>
      <protection hidden="1"/>
    </xf>
    <xf numFmtId="0" fontId="19" fillId="6" borderId="6" xfId="0" applyFont="1" applyFill="1" applyBorder="1" applyAlignment="1" applyProtection="1">
      <alignment horizontal="center" vertical="center" wrapText="1"/>
      <protection hidden="1"/>
    </xf>
    <xf numFmtId="0" fontId="5" fillId="8" borderId="10" xfId="0" applyFont="1" applyFill="1" applyBorder="1" applyAlignment="1" applyProtection="1">
      <alignment horizontal="center"/>
      <protection hidden="1"/>
    </xf>
    <xf numFmtId="0" fontId="5" fillId="8" borderId="11" xfId="0" applyFont="1" applyFill="1" applyBorder="1" applyAlignment="1" applyProtection="1">
      <alignment horizontal="center"/>
      <protection hidden="1"/>
    </xf>
    <xf numFmtId="0" fontId="5" fillId="8" borderId="12" xfId="0" applyFont="1" applyFill="1" applyBorder="1" applyAlignment="1" applyProtection="1">
      <alignment horizontal="center"/>
      <protection hidden="1"/>
    </xf>
    <xf numFmtId="0" fontId="7" fillId="5" borderId="27" xfId="0" applyFont="1" applyFill="1" applyBorder="1" applyAlignment="1" applyProtection="1">
      <alignment horizontal="center" wrapText="1"/>
      <protection hidden="1"/>
    </xf>
    <xf numFmtId="0" fontId="7" fillId="5" borderId="40" xfId="0" applyFont="1" applyFill="1" applyBorder="1" applyAlignment="1" applyProtection="1">
      <alignment horizontal="center" wrapText="1"/>
      <protection hidden="1"/>
    </xf>
    <xf numFmtId="167" fontId="5" fillId="7" borderId="13" xfId="2" applyNumberFormat="1" applyFont="1" applyFill="1" applyBorder="1" applyAlignment="1" applyProtection="1">
      <alignment horizontal="right" vertical="center" wrapText="1"/>
      <protection hidden="1"/>
    </xf>
    <xf numFmtId="167" fontId="5" fillId="7" borderId="29" xfId="2" applyNumberFormat="1" applyFont="1" applyFill="1" applyBorder="1" applyAlignment="1" applyProtection="1">
      <alignment horizontal="right" vertical="center" wrapText="1"/>
      <protection hidden="1"/>
    </xf>
    <xf numFmtId="1" fontId="10" fillId="7" borderId="21" xfId="0" applyNumberFormat="1" applyFont="1" applyFill="1" applyBorder="1" applyAlignment="1" applyProtection="1">
      <alignment horizontal="right" vertical="center"/>
      <protection hidden="1"/>
    </xf>
    <xf numFmtId="1" fontId="10" fillId="7" borderId="1" xfId="0" applyNumberFormat="1" applyFont="1" applyFill="1" applyBorder="1" applyAlignment="1" applyProtection="1">
      <alignment horizontal="right" vertical="center"/>
      <protection hidden="1"/>
    </xf>
    <xf numFmtId="1" fontId="10" fillId="7" borderId="24" xfId="0" applyNumberFormat="1" applyFont="1" applyFill="1" applyBorder="1" applyAlignment="1" applyProtection="1">
      <alignment horizontal="right" vertical="center"/>
      <protection hidden="1"/>
    </xf>
    <xf numFmtId="9" fontId="7" fillId="0" borderId="21" xfId="2" applyFont="1" applyBorder="1" applyAlignment="1" applyProtection="1">
      <alignment horizontal="center" vertical="center" wrapText="1"/>
      <protection locked="0"/>
    </xf>
    <xf numFmtId="9" fontId="7" fillId="0" borderId="26" xfId="2" applyFont="1" applyBorder="1" applyAlignment="1" applyProtection="1">
      <alignment horizontal="center" vertical="center" wrapText="1"/>
      <protection locked="0"/>
    </xf>
    <xf numFmtId="165" fontId="5" fillId="7" borderId="21" xfId="2" applyNumberFormat="1" applyFont="1" applyFill="1" applyBorder="1" applyAlignment="1" applyProtection="1">
      <alignment horizontal="center" vertical="center" wrapText="1"/>
      <protection hidden="1"/>
    </xf>
    <xf numFmtId="165" fontId="5" fillId="7" borderId="1" xfId="2" applyNumberFormat="1" applyFont="1" applyFill="1" applyBorder="1" applyAlignment="1" applyProtection="1">
      <alignment horizontal="center" vertical="center" wrapText="1"/>
      <protection hidden="1"/>
    </xf>
    <xf numFmtId="165" fontId="5" fillId="7" borderId="24" xfId="2" applyNumberFormat="1" applyFont="1" applyFill="1" applyBorder="1" applyAlignment="1" applyProtection="1">
      <alignment horizontal="center" vertical="center" wrapText="1"/>
      <protection hidden="1"/>
    </xf>
    <xf numFmtId="0" fontId="27" fillId="6" borderId="5" xfId="0" applyFont="1" applyFill="1" applyBorder="1" applyAlignment="1" applyProtection="1">
      <alignment horizontal="right"/>
      <protection hidden="1"/>
    </xf>
    <xf numFmtId="0" fontId="27" fillId="6" borderId="0" xfId="0" applyFont="1" applyFill="1" applyBorder="1" applyAlignment="1" applyProtection="1">
      <alignment horizontal="right"/>
      <protection hidden="1"/>
    </xf>
    <xf numFmtId="0" fontId="27" fillId="6" borderId="6" xfId="0" applyFont="1" applyFill="1" applyBorder="1" applyAlignment="1" applyProtection="1">
      <alignment horizontal="right"/>
      <protection hidden="1"/>
    </xf>
    <xf numFmtId="0" fontId="7" fillId="0" borderId="21" xfId="0" applyFont="1" applyBorder="1" applyAlignment="1" applyProtection="1">
      <alignment horizontal="center" vertical="center" wrapText="1"/>
      <protection locked="0"/>
    </xf>
    <xf numFmtId="0" fontId="7" fillId="0" borderId="26"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7" fillId="0" borderId="24" xfId="0" applyFont="1" applyBorder="1" applyAlignment="1" applyProtection="1">
      <alignment horizontal="center" vertical="center" wrapText="1"/>
      <protection locked="0"/>
    </xf>
    <xf numFmtId="0" fontId="7" fillId="6" borderId="14" xfId="0" applyFont="1" applyFill="1" applyBorder="1" applyAlignment="1" applyProtection="1">
      <alignment horizontal="center"/>
      <protection hidden="1"/>
    </xf>
    <xf numFmtId="0" fontId="0" fillId="0" borderId="14" xfId="0" applyBorder="1" applyAlignment="1">
      <alignment horizontal="center"/>
    </xf>
    <xf numFmtId="0" fontId="0" fillId="0" borderId="22" xfId="0" applyBorder="1" applyAlignment="1">
      <alignment horizontal="center"/>
    </xf>
    <xf numFmtId="0" fontId="7" fillId="6" borderId="5" xfId="0" quotePrefix="1" applyFont="1" applyFill="1" applyBorder="1" applyAlignment="1" applyProtection="1">
      <alignment horizontal="left" vertical="top" wrapText="1"/>
      <protection hidden="1"/>
    </xf>
    <xf numFmtId="0" fontId="7" fillId="6" borderId="0" xfId="0" quotePrefix="1" applyFont="1" applyFill="1" applyBorder="1" applyAlignment="1" applyProtection="1">
      <alignment horizontal="left" vertical="top" wrapText="1"/>
      <protection hidden="1"/>
    </xf>
    <xf numFmtId="0" fontId="7" fillId="6" borderId="18" xfId="0" quotePrefix="1" applyFont="1" applyFill="1" applyBorder="1" applyAlignment="1" applyProtection="1">
      <alignment horizontal="left" vertical="top" wrapText="1"/>
      <protection hidden="1"/>
    </xf>
    <xf numFmtId="0" fontId="7" fillId="0" borderId="15" xfId="0" applyFont="1" applyBorder="1" applyAlignment="1" applyProtection="1">
      <alignment horizontal="center" vertical="center" wrapText="1"/>
      <protection locked="0"/>
    </xf>
    <xf numFmtId="0" fontId="7" fillId="0" borderId="16" xfId="0" applyFont="1" applyBorder="1" applyAlignment="1" applyProtection="1">
      <alignment horizontal="center" vertical="center" wrapText="1"/>
      <protection locked="0"/>
    </xf>
    <xf numFmtId="0" fontId="7" fillId="0" borderId="23" xfId="0" applyFont="1" applyBorder="1" applyAlignment="1" applyProtection="1">
      <alignment horizontal="center" vertical="center" wrapText="1"/>
      <protection locked="0"/>
    </xf>
    <xf numFmtId="0" fontId="7" fillId="0" borderId="19" xfId="0" applyFont="1" applyBorder="1" applyAlignment="1" applyProtection="1">
      <alignment horizontal="center" vertical="center" wrapText="1"/>
      <protection locked="0"/>
    </xf>
    <xf numFmtId="0" fontId="7" fillId="0" borderId="14" xfId="0" applyFont="1" applyBorder="1" applyAlignment="1" applyProtection="1">
      <alignment horizontal="center" vertical="center" wrapText="1"/>
      <protection locked="0"/>
    </xf>
    <xf numFmtId="0" fontId="7" fillId="0" borderId="22" xfId="0" applyFont="1" applyBorder="1" applyAlignment="1" applyProtection="1">
      <alignment horizontal="center" vertical="center" wrapText="1"/>
      <protection locked="0"/>
    </xf>
    <xf numFmtId="165" fontId="5" fillId="7" borderId="21" xfId="1" applyNumberFormat="1" applyFont="1" applyFill="1" applyBorder="1" applyAlignment="1" applyProtection="1">
      <alignment horizontal="right" vertical="center" wrapText="1" indent="2"/>
      <protection hidden="1"/>
    </xf>
    <xf numFmtId="165" fontId="5" fillId="7" borderId="1" xfId="1" applyNumberFormat="1" applyFont="1" applyFill="1" applyBorder="1" applyAlignment="1" applyProtection="1">
      <alignment horizontal="right" vertical="center" wrapText="1" indent="2"/>
      <protection hidden="1"/>
    </xf>
    <xf numFmtId="165" fontId="5" fillId="7" borderId="24" xfId="1" applyNumberFormat="1" applyFont="1" applyFill="1" applyBorder="1" applyAlignment="1" applyProtection="1">
      <alignment horizontal="right" vertical="center" wrapText="1" indent="2"/>
      <protection hidden="1"/>
    </xf>
    <xf numFmtId="0" fontId="2" fillId="6" borderId="8" xfId="0" applyFont="1" applyFill="1" applyBorder="1" applyAlignment="1" applyProtection="1">
      <alignment horizontal="center"/>
      <protection hidden="1"/>
    </xf>
    <xf numFmtId="0" fontId="2" fillId="6" borderId="9" xfId="0" applyFont="1" applyFill="1" applyBorder="1" applyAlignment="1" applyProtection="1">
      <alignment horizontal="center"/>
      <protection hidden="1"/>
    </xf>
    <xf numFmtId="0" fontId="7" fillId="6" borderId="5" xfId="0" applyFont="1" applyFill="1" applyBorder="1" applyAlignment="1" applyProtection="1">
      <alignment horizontal="left" vertical="center"/>
      <protection hidden="1"/>
    </xf>
    <xf numFmtId="0" fontId="7" fillId="6" borderId="0" xfId="0" applyFont="1" applyFill="1" applyBorder="1" applyAlignment="1" applyProtection="1">
      <alignment horizontal="left" vertical="center"/>
      <protection hidden="1"/>
    </xf>
    <xf numFmtId="0" fontId="7" fillId="6" borderId="18" xfId="0" applyFont="1" applyFill="1" applyBorder="1" applyAlignment="1" applyProtection="1">
      <alignment horizontal="left" vertical="center"/>
      <protection hidden="1"/>
    </xf>
    <xf numFmtId="0" fontId="7" fillId="6" borderId="5" xfId="0" quotePrefix="1" applyFont="1" applyFill="1" applyBorder="1" applyAlignment="1" applyProtection="1">
      <alignment vertical="center"/>
      <protection hidden="1"/>
    </xf>
    <xf numFmtId="0" fontId="7" fillId="6" borderId="0" xfId="0" quotePrefix="1" applyFont="1" applyFill="1" applyBorder="1" applyAlignment="1" applyProtection="1">
      <alignment vertical="center"/>
      <protection hidden="1"/>
    </xf>
    <xf numFmtId="0" fontId="7" fillId="6" borderId="18" xfId="0" quotePrefix="1" applyFont="1" applyFill="1" applyBorder="1" applyAlignment="1" applyProtection="1">
      <alignment vertical="center"/>
      <protection hidden="1"/>
    </xf>
    <xf numFmtId="0" fontId="18" fillId="6" borderId="2" xfId="0" applyFont="1" applyFill="1" applyBorder="1" applyAlignment="1" applyProtection="1">
      <alignment horizontal="center" wrapText="1"/>
      <protection hidden="1"/>
    </xf>
    <xf numFmtId="0" fontId="18" fillId="6" borderId="3" xfId="0" applyFont="1" applyFill="1" applyBorder="1" applyAlignment="1" applyProtection="1">
      <alignment horizontal="center" wrapText="1"/>
      <protection hidden="1"/>
    </xf>
    <xf numFmtId="0" fontId="18" fillId="6" borderId="4" xfId="0" applyFont="1" applyFill="1" applyBorder="1" applyAlignment="1" applyProtection="1">
      <alignment horizontal="center" wrapText="1"/>
      <protection hidden="1"/>
    </xf>
    <xf numFmtId="0" fontId="18" fillId="6" borderId="5" xfId="0" applyFont="1" applyFill="1" applyBorder="1" applyAlignment="1" applyProtection="1">
      <alignment horizontal="center" wrapText="1"/>
      <protection hidden="1"/>
    </xf>
    <xf numFmtId="0" fontId="18" fillId="6" borderId="0" xfId="0" applyFont="1" applyFill="1" applyBorder="1" applyAlignment="1" applyProtection="1">
      <alignment horizontal="center" wrapText="1"/>
      <protection hidden="1"/>
    </xf>
    <xf numFmtId="0" fontId="18" fillId="6" borderId="6" xfId="0" applyFont="1" applyFill="1" applyBorder="1" applyAlignment="1" applyProtection="1">
      <alignment horizontal="center" wrapText="1"/>
      <protection hidden="1"/>
    </xf>
    <xf numFmtId="0" fontId="5" fillId="6" borderId="0" xfId="0" applyFont="1" applyFill="1" applyBorder="1" applyAlignment="1" applyProtection="1">
      <alignment horizontal="center"/>
      <protection hidden="1"/>
    </xf>
    <xf numFmtId="0" fontId="7" fillId="6" borderId="5" xfId="0" quotePrefix="1" applyFont="1" applyFill="1" applyBorder="1" applyAlignment="1" applyProtection="1">
      <alignment horizontal="left" vertical="center"/>
      <protection hidden="1"/>
    </xf>
    <xf numFmtId="0" fontId="7" fillId="6" borderId="0" xfId="0" quotePrefix="1" applyFont="1" applyFill="1" applyBorder="1" applyAlignment="1" applyProtection="1">
      <alignment horizontal="left" vertical="center"/>
      <protection hidden="1"/>
    </xf>
    <xf numFmtId="0" fontId="7" fillId="6" borderId="18" xfId="0" quotePrefix="1" applyFont="1" applyFill="1" applyBorder="1" applyAlignment="1" applyProtection="1">
      <alignment horizontal="left" vertical="center"/>
      <protection hidden="1"/>
    </xf>
    <xf numFmtId="0" fontId="26" fillId="2" borderId="8" xfId="4" applyFont="1" applyFill="1" applyBorder="1" applyAlignment="1" applyProtection="1">
      <alignment vertical="center"/>
      <protection locked="0" hidden="1"/>
    </xf>
    <xf numFmtId="0" fontId="0" fillId="0" borderId="8" xfId="0" applyBorder="1" applyAlignment="1"/>
    <xf numFmtId="0" fontId="4" fillId="3" borderId="34" xfId="0" applyFont="1" applyFill="1" applyBorder="1" applyAlignment="1" applyProtection="1">
      <alignment horizontal="left"/>
      <protection hidden="1"/>
    </xf>
    <xf numFmtId="0" fontId="4" fillId="3" borderId="31" xfId="0" applyFont="1" applyFill="1" applyBorder="1" applyAlignment="1" applyProtection="1">
      <alignment horizontal="left"/>
      <protection hidden="1"/>
    </xf>
    <xf numFmtId="0" fontId="4" fillId="3" borderId="32" xfId="0" applyFont="1" applyFill="1" applyBorder="1" applyAlignment="1" applyProtection="1">
      <alignment horizontal="left"/>
      <protection hidden="1"/>
    </xf>
    <xf numFmtId="37" fontId="4" fillId="3" borderId="34" xfId="1" applyNumberFormat="1" applyFont="1" applyFill="1" applyBorder="1" applyAlignment="1" applyProtection="1">
      <alignment horizontal="left"/>
      <protection hidden="1"/>
    </xf>
    <xf numFmtId="37" fontId="4" fillId="3" borderId="31" xfId="1" applyNumberFormat="1" applyFont="1" applyFill="1" applyBorder="1" applyAlignment="1" applyProtection="1">
      <alignment horizontal="left"/>
      <protection hidden="1"/>
    </xf>
    <xf numFmtId="37" fontId="4" fillId="3" borderId="32" xfId="1" applyNumberFormat="1" applyFont="1" applyFill="1" applyBorder="1" applyAlignment="1" applyProtection="1">
      <alignment horizontal="left"/>
      <protection hidden="1"/>
    </xf>
    <xf numFmtId="0" fontId="4" fillId="3" borderId="35" xfId="0" applyFont="1" applyFill="1" applyBorder="1" applyAlignment="1" applyProtection="1">
      <protection locked="0" hidden="1"/>
    </xf>
    <xf numFmtId="0" fontId="4" fillId="3" borderId="37" xfId="0" applyFont="1" applyFill="1" applyBorder="1" applyAlignment="1" applyProtection="1">
      <protection locked="0" hidden="1"/>
    </xf>
    <xf numFmtId="0" fontId="4" fillId="3" borderId="35" xfId="0" applyFont="1" applyFill="1" applyBorder="1" applyAlignment="1" applyProtection="1">
      <protection hidden="1"/>
    </xf>
    <xf numFmtId="0" fontId="4" fillId="3" borderId="37" xfId="0" applyFont="1" applyFill="1" applyBorder="1" applyAlignment="1" applyProtection="1">
      <protection hidden="1"/>
    </xf>
    <xf numFmtId="0" fontId="4" fillId="3" borderId="35" xfId="0" applyFont="1" applyFill="1" applyBorder="1" applyAlignment="1" applyProtection="1">
      <alignment horizontal="left" vertical="center" shrinkToFit="1"/>
      <protection hidden="1"/>
    </xf>
    <xf numFmtId="0" fontId="4" fillId="3" borderId="37" xfId="0" applyFont="1" applyFill="1" applyBorder="1" applyAlignment="1" applyProtection="1">
      <alignment horizontal="left" vertical="center" shrinkToFit="1"/>
      <protection hidden="1"/>
    </xf>
    <xf numFmtId="0" fontId="7" fillId="6" borderId="5" xfId="0" quotePrefix="1" applyFont="1" applyFill="1" applyBorder="1" applyAlignment="1" applyProtection="1">
      <alignment wrapText="1"/>
      <protection hidden="1"/>
    </xf>
    <xf numFmtId="0" fontId="7" fillId="6" borderId="18" xfId="0" quotePrefix="1" applyFont="1" applyFill="1" applyBorder="1" applyAlignment="1" applyProtection="1">
      <alignment wrapText="1"/>
      <protection hidden="1"/>
    </xf>
    <xf numFmtId="0" fontId="7" fillId="6" borderId="0" xfId="0" quotePrefix="1" applyFont="1" applyFill="1" applyBorder="1" applyAlignment="1" applyProtection="1">
      <alignment wrapText="1"/>
      <protection hidden="1"/>
    </xf>
    <xf numFmtId="0" fontId="9" fillId="6" borderId="7" xfId="0" applyFont="1" applyFill="1" applyBorder="1" applyAlignment="1" applyProtection="1">
      <alignment horizontal="center"/>
      <protection hidden="1"/>
    </xf>
    <xf numFmtId="0" fontId="9" fillId="6" borderId="8" xfId="0" applyFont="1" applyFill="1" applyBorder="1" applyAlignment="1" applyProtection="1">
      <alignment horizontal="center"/>
      <protection hidden="1"/>
    </xf>
    <xf numFmtId="0" fontId="9" fillId="6" borderId="9" xfId="0" applyFont="1" applyFill="1" applyBorder="1" applyAlignment="1" applyProtection="1">
      <alignment horizontal="center"/>
      <protection hidden="1"/>
    </xf>
    <xf numFmtId="0" fontId="7" fillId="5" borderId="27" xfId="0" applyFont="1" applyFill="1" applyBorder="1" applyAlignment="1" applyProtection="1">
      <alignment horizontal="center"/>
      <protection hidden="1"/>
    </xf>
    <xf numFmtId="0" fontId="7" fillId="5" borderId="40" xfId="0" applyFont="1" applyFill="1" applyBorder="1" applyAlignment="1" applyProtection="1">
      <alignment horizontal="center"/>
      <protection hidden="1"/>
    </xf>
    <xf numFmtId="0" fontId="4" fillId="3" borderId="35" xfId="0" applyFont="1" applyFill="1" applyBorder="1" applyAlignment="1" applyProtection="1">
      <alignment horizontal="left"/>
      <protection locked="0" hidden="1"/>
    </xf>
    <xf numFmtId="0" fontId="4" fillId="3" borderId="37" xfId="0" applyFont="1" applyFill="1" applyBorder="1" applyAlignment="1" applyProtection="1">
      <alignment horizontal="left"/>
      <protection locked="0" hidden="1"/>
    </xf>
    <xf numFmtId="0" fontId="4" fillId="3" borderId="35" xfId="0" applyFont="1" applyFill="1" applyBorder="1" applyAlignment="1" applyProtection="1">
      <alignment horizontal="left"/>
      <protection hidden="1"/>
    </xf>
    <xf numFmtId="0" fontId="4" fillId="3" borderId="37" xfId="0" applyFont="1" applyFill="1" applyBorder="1" applyAlignment="1" applyProtection="1">
      <alignment horizontal="left"/>
      <protection hidden="1"/>
    </xf>
    <xf numFmtId="0" fontId="7" fillId="6" borderId="5" xfId="0" quotePrefix="1" applyFont="1" applyFill="1" applyBorder="1" applyAlignment="1" applyProtection="1">
      <alignment horizontal="left" vertical="center" wrapText="1"/>
      <protection hidden="1"/>
    </xf>
    <xf numFmtId="0" fontId="7" fillId="6" borderId="0" xfId="0" quotePrefix="1" applyFont="1" applyFill="1" applyBorder="1" applyAlignment="1" applyProtection="1">
      <alignment horizontal="left" vertical="center" wrapText="1"/>
      <protection hidden="1"/>
    </xf>
    <xf numFmtId="0" fontId="7" fillId="6" borderId="18" xfId="0" quotePrefix="1" applyFont="1" applyFill="1" applyBorder="1" applyAlignment="1" applyProtection="1">
      <alignment horizontal="left" vertical="center" wrapText="1"/>
      <protection hidden="1"/>
    </xf>
    <xf numFmtId="0" fontId="2" fillId="6" borderId="5" xfId="0" quotePrefix="1" applyFont="1" applyFill="1" applyBorder="1" applyAlignment="1" applyProtection="1">
      <alignment horizontal="left" vertical="center" wrapText="1"/>
      <protection hidden="1"/>
    </xf>
    <xf numFmtId="0" fontId="2" fillId="6" borderId="0" xfId="0" quotePrefix="1" applyFont="1" applyFill="1" applyBorder="1" applyAlignment="1" applyProtection="1">
      <alignment horizontal="left" vertical="center" wrapText="1"/>
      <protection hidden="1"/>
    </xf>
    <xf numFmtId="165" fontId="7" fillId="7" borderId="15" xfId="0" applyNumberFormat="1" applyFont="1" applyFill="1" applyBorder="1" applyAlignment="1" applyProtection="1">
      <alignment horizontal="center" vertical="center" wrapText="1"/>
      <protection hidden="1"/>
    </xf>
    <xf numFmtId="165" fontId="7" fillId="7" borderId="25" xfId="0" applyNumberFormat="1" applyFont="1" applyFill="1" applyBorder="1" applyAlignment="1" applyProtection="1">
      <alignment horizontal="center" vertical="center" wrapText="1"/>
      <protection hidden="1"/>
    </xf>
    <xf numFmtId="165" fontId="7" fillId="7" borderId="17" xfId="0" applyNumberFormat="1" applyFont="1" applyFill="1" applyBorder="1" applyAlignment="1" applyProtection="1">
      <alignment horizontal="center" vertical="center" wrapText="1"/>
      <protection hidden="1"/>
    </xf>
    <xf numFmtId="165" fontId="7" fillId="7" borderId="18" xfId="0" applyNumberFormat="1" applyFont="1" applyFill="1" applyBorder="1" applyAlignment="1" applyProtection="1">
      <alignment horizontal="center" vertical="center" wrapText="1"/>
      <protection hidden="1"/>
    </xf>
    <xf numFmtId="165" fontId="7" fillId="7" borderId="19" xfId="0" applyNumberFormat="1" applyFont="1" applyFill="1" applyBorder="1" applyAlignment="1" applyProtection="1">
      <alignment horizontal="center" vertical="center" wrapText="1"/>
      <protection hidden="1"/>
    </xf>
    <xf numFmtId="165" fontId="7" fillId="7" borderId="20" xfId="0" applyNumberFormat="1" applyFont="1" applyFill="1" applyBorder="1" applyAlignment="1" applyProtection="1">
      <alignment horizontal="center" vertical="center" wrapText="1"/>
      <protection hidden="1"/>
    </xf>
    <xf numFmtId="0" fontId="7" fillId="6" borderId="17" xfId="0" applyFont="1" applyFill="1" applyBorder="1" applyAlignment="1" applyProtection="1">
      <alignment horizontal="center" vertical="center" wrapText="1"/>
      <protection hidden="1"/>
    </xf>
    <xf numFmtId="0" fontId="7" fillId="6" borderId="0" xfId="0" applyFont="1" applyFill="1" applyBorder="1" applyAlignment="1" applyProtection="1">
      <alignment horizontal="center" vertical="center" wrapText="1"/>
      <protection hidden="1"/>
    </xf>
    <xf numFmtId="0" fontId="7" fillId="6" borderId="6" xfId="0" applyFont="1" applyFill="1" applyBorder="1" applyAlignment="1" applyProtection="1">
      <alignment horizontal="center" vertical="center" wrapText="1"/>
      <protection hidden="1"/>
    </xf>
    <xf numFmtId="165" fontId="7" fillId="7" borderId="26" xfId="1" applyNumberFormat="1" applyFont="1" applyFill="1" applyBorder="1" applyAlignment="1" applyProtection="1">
      <alignment horizontal="center"/>
      <protection hidden="1"/>
    </xf>
    <xf numFmtId="165" fontId="7" fillId="0" borderId="21" xfId="1" applyNumberFormat="1" applyFont="1" applyFill="1" applyBorder="1" applyAlignment="1" applyProtection="1">
      <alignment horizontal="center"/>
      <protection locked="0"/>
    </xf>
    <xf numFmtId="165" fontId="7" fillId="0" borderId="26" xfId="1" applyNumberFormat="1" applyFont="1" applyFill="1" applyBorder="1" applyAlignment="1" applyProtection="1">
      <alignment horizontal="center"/>
      <protection locked="0"/>
    </xf>
    <xf numFmtId="0" fontId="28" fillId="7" borderId="2" xfId="0" applyFont="1" applyFill="1" applyBorder="1" applyAlignment="1" applyProtection="1">
      <alignment horizontal="center" vertical="center" wrapText="1"/>
      <protection hidden="1"/>
    </xf>
    <xf numFmtId="0" fontId="28" fillId="7" borderId="3" xfId="0" applyFont="1" applyFill="1" applyBorder="1" applyAlignment="1" applyProtection="1">
      <alignment horizontal="center" vertical="center" wrapText="1"/>
      <protection hidden="1"/>
    </xf>
    <xf numFmtId="0" fontId="28" fillId="7" borderId="4" xfId="0" applyFont="1" applyFill="1" applyBorder="1" applyAlignment="1" applyProtection="1">
      <alignment horizontal="center" vertical="center" wrapText="1"/>
      <protection hidden="1"/>
    </xf>
    <xf numFmtId="0" fontId="28" fillId="7" borderId="5" xfId="0" applyFont="1" applyFill="1" applyBorder="1" applyAlignment="1" applyProtection="1">
      <alignment horizontal="center" vertical="center" wrapText="1"/>
      <protection hidden="1"/>
    </xf>
    <xf numFmtId="0" fontId="28" fillId="7" borderId="0" xfId="0" applyFont="1" applyFill="1" applyBorder="1" applyAlignment="1" applyProtection="1">
      <alignment horizontal="center" vertical="center" wrapText="1"/>
      <protection hidden="1"/>
    </xf>
    <xf numFmtId="0" fontId="28" fillId="7" borderId="6" xfId="0" applyFont="1" applyFill="1" applyBorder="1" applyAlignment="1" applyProtection="1">
      <alignment horizontal="center" vertical="center" wrapText="1"/>
      <protection hidden="1"/>
    </xf>
    <xf numFmtId="0" fontId="28" fillId="7" borderId="7" xfId="0" applyFont="1" applyFill="1" applyBorder="1" applyAlignment="1" applyProtection="1">
      <alignment horizontal="center" vertical="center" wrapText="1"/>
      <protection hidden="1"/>
    </xf>
    <xf numFmtId="0" fontId="28" fillId="7" borderId="8" xfId="0" applyFont="1" applyFill="1" applyBorder="1" applyAlignment="1" applyProtection="1">
      <alignment horizontal="center" vertical="center" wrapText="1"/>
      <protection hidden="1"/>
    </xf>
    <xf numFmtId="0" fontId="28" fillId="7" borderId="9" xfId="0" applyFont="1" applyFill="1" applyBorder="1" applyAlignment="1" applyProtection="1">
      <alignment horizontal="center" vertical="center" wrapText="1"/>
      <protection hidden="1"/>
    </xf>
    <xf numFmtId="0" fontId="7" fillId="5" borderId="15" xfId="0" applyFont="1" applyFill="1" applyBorder="1" applyAlignment="1" applyProtection="1">
      <alignment horizontal="center" wrapText="1"/>
      <protection hidden="1"/>
    </xf>
    <xf numFmtId="0" fontId="7" fillId="5" borderId="25" xfId="0" applyFont="1" applyFill="1" applyBorder="1" applyAlignment="1" applyProtection="1">
      <alignment horizontal="center" wrapText="1"/>
      <protection hidden="1"/>
    </xf>
    <xf numFmtId="0" fontId="7" fillId="5" borderId="19" xfId="0" applyFont="1" applyFill="1" applyBorder="1" applyAlignment="1" applyProtection="1">
      <alignment horizontal="center" wrapText="1"/>
      <protection hidden="1"/>
    </xf>
    <xf numFmtId="0" fontId="7" fillId="5" borderId="20" xfId="0" applyFont="1" applyFill="1" applyBorder="1" applyAlignment="1" applyProtection="1">
      <alignment horizontal="center" wrapText="1"/>
      <protection hidden="1"/>
    </xf>
    <xf numFmtId="0" fontId="7" fillId="5" borderId="15" xfId="0" applyFont="1" applyFill="1" applyBorder="1" applyAlignment="1" applyProtection="1">
      <alignment horizontal="center"/>
      <protection hidden="1"/>
    </xf>
    <xf numFmtId="0" fontId="7" fillId="5" borderId="25" xfId="0" applyFont="1" applyFill="1" applyBorder="1" applyAlignment="1" applyProtection="1">
      <alignment horizontal="center"/>
      <protection hidden="1"/>
    </xf>
    <xf numFmtId="0" fontId="7" fillId="5" borderId="19" xfId="0" applyFont="1" applyFill="1" applyBorder="1" applyAlignment="1" applyProtection="1">
      <alignment horizontal="center"/>
      <protection hidden="1"/>
    </xf>
    <xf numFmtId="0" fontId="7" fillId="5" borderId="20" xfId="0" applyFont="1" applyFill="1" applyBorder="1" applyAlignment="1" applyProtection="1">
      <alignment horizontal="center"/>
      <protection hidden="1"/>
    </xf>
    <xf numFmtId="0" fontId="7" fillId="6" borderId="5" xfId="0" applyFont="1" applyFill="1" applyBorder="1" applyAlignment="1" applyProtection="1">
      <alignment horizontal="left"/>
      <protection hidden="1"/>
    </xf>
    <xf numFmtId="0" fontId="7" fillId="6" borderId="0" xfId="0" applyFont="1" applyFill="1" applyBorder="1" applyAlignment="1" applyProtection="1">
      <alignment horizontal="left"/>
      <protection hidden="1"/>
    </xf>
    <xf numFmtId="0" fontId="7" fillId="6" borderId="18" xfId="0" applyFont="1" applyFill="1" applyBorder="1" applyAlignment="1" applyProtection="1">
      <alignment horizontal="left"/>
      <protection hidden="1"/>
    </xf>
    <xf numFmtId="1" fontId="10" fillId="7" borderId="13" xfId="0" applyNumberFormat="1" applyFont="1" applyFill="1" applyBorder="1" applyAlignment="1" applyProtection="1">
      <alignment horizontal="right" vertical="center"/>
      <protection hidden="1"/>
    </xf>
    <xf numFmtId="1" fontId="10" fillId="7" borderId="29" xfId="0" applyNumberFormat="1" applyFont="1" applyFill="1" applyBorder="1" applyAlignment="1" applyProtection="1">
      <alignment horizontal="right" vertical="center"/>
      <protection hidden="1"/>
    </xf>
    <xf numFmtId="0" fontId="7" fillId="0" borderId="15" xfId="0" applyFont="1" applyFill="1" applyBorder="1" applyAlignment="1" applyProtection="1">
      <alignment horizontal="center" vertical="center"/>
      <protection locked="0"/>
    </xf>
    <xf numFmtId="0" fontId="7" fillId="0" borderId="16" xfId="0" applyFont="1" applyFill="1" applyBorder="1" applyAlignment="1" applyProtection="1">
      <alignment horizontal="center" vertical="center"/>
      <protection locked="0"/>
    </xf>
    <xf numFmtId="0" fontId="7" fillId="0" borderId="23"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14" xfId="0" applyFont="1" applyFill="1" applyBorder="1" applyAlignment="1" applyProtection="1">
      <alignment horizontal="center" vertical="center"/>
      <protection locked="0"/>
    </xf>
    <xf numFmtId="0" fontId="7" fillId="0" borderId="22" xfId="0" applyFont="1" applyFill="1" applyBorder="1" applyAlignment="1" applyProtection="1">
      <alignment horizontal="center" vertical="center"/>
      <protection locked="0"/>
    </xf>
    <xf numFmtId="0" fontId="7" fillId="2" borderId="21" xfId="0" applyFont="1" applyFill="1" applyBorder="1" applyAlignment="1" applyProtection="1">
      <alignment horizontal="center" vertical="center"/>
      <protection locked="0"/>
    </xf>
    <xf numFmtId="0" fontId="7" fillId="2" borderId="26" xfId="0" applyFont="1" applyFill="1" applyBorder="1" applyAlignment="1" applyProtection="1">
      <alignment horizontal="center" vertical="center"/>
      <protection locked="0"/>
    </xf>
    <xf numFmtId="0" fontId="18" fillId="6" borderId="2" xfId="0" quotePrefix="1" applyFont="1" applyFill="1" applyBorder="1" applyAlignment="1" applyProtection="1">
      <alignment horizontal="center" wrapText="1"/>
      <protection hidden="1"/>
    </xf>
    <xf numFmtId="0" fontId="18" fillId="6" borderId="3" xfId="0" quotePrefix="1" applyFont="1" applyFill="1" applyBorder="1" applyAlignment="1" applyProtection="1">
      <alignment horizontal="center" wrapText="1"/>
      <protection hidden="1"/>
    </xf>
    <xf numFmtId="0" fontId="18" fillId="6" borderId="4" xfId="0" quotePrefix="1" applyFont="1" applyFill="1" applyBorder="1" applyAlignment="1" applyProtection="1">
      <alignment horizontal="center" wrapText="1"/>
      <protection hidden="1"/>
    </xf>
    <xf numFmtId="0" fontId="18" fillId="6" borderId="5" xfId="0" quotePrefix="1" applyFont="1" applyFill="1" applyBorder="1" applyAlignment="1" applyProtection="1">
      <alignment horizontal="center" wrapText="1"/>
      <protection hidden="1"/>
    </xf>
    <xf numFmtId="0" fontId="18" fillId="6" borderId="0" xfId="0" quotePrefix="1" applyFont="1" applyFill="1" applyBorder="1" applyAlignment="1" applyProtection="1">
      <alignment horizontal="center" wrapText="1"/>
      <protection hidden="1"/>
    </xf>
    <xf numFmtId="0" fontId="18" fillId="6" borderId="6" xfId="0" quotePrefix="1" applyFont="1" applyFill="1" applyBorder="1" applyAlignment="1" applyProtection="1">
      <alignment horizontal="center" wrapText="1"/>
      <protection hidden="1"/>
    </xf>
    <xf numFmtId="0" fontId="4" fillId="3" borderId="36" xfId="0" applyFont="1" applyFill="1" applyBorder="1" applyAlignment="1" applyProtection="1">
      <alignment horizontal="left"/>
      <protection hidden="1"/>
    </xf>
    <xf numFmtId="37" fontId="4" fillId="3" borderId="35" xfId="1" applyNumberFormat="1" applyFont="1" applyFill="1" applyBorder="1" applyAlignment="1" applyProtection="1">
      <alignment horizontal="left"/>
      <protection hidden="1"/>
    </xf>
    <xf numFmtId="37" fontId="4" fillId="3" borderId="36" xfId="1" applyNumberFormat="1" applyFont="1" applyFill="1" applyBorder="1" applyAlignment="1" applyProtection="1">
      <alignment horizontal="left"/>
      <protection hidden="1"/>
    </xf>
    <xf numFmtId="37" fontId="4" fillId="3" borderId="37" xfId="1" applyNumberFormat="1" applyFont="1" applyFill="1" applyBorder="1" applyAlignment="1" applyProtection="1">
      <alignment horizontal="left"/>
      <protection hidden="1"/>
    </xf>
    <xf numFmtId="0" fontId="0" fillId="5" borderId="21" xfId="0" quotePrefix="1" applyFont="1" applyFill="1" applyBorder="1" applyAlignment="1" applyProtection="1">
      <alignment horizontal="left"/>
      <protection hidden="1"/>
    </xf>
    <xf numFmtId="0" fontId="0" fillId="5" borderId="1" xfId="0" quotePrefix="1" applyFont="1" applyFill="1" applyBorder="1" applyAlignment="1" applyProtection="1">
      <alignment horizontal="left"/>
      <protection hidden="1"/>
    </xf>
    <xf numFmtId="0" fontId="0" fillId="5" borderId="26" xfId="0" quotePrefix="1" applyFont="1" applyFill="1" applyBorder="1" applyAlignment="1" applyProtection="1">
      <alignment horizontal="left"/>
      <protection hidden="1"/>
    </xf>
    <xf numFmtId="0" fontId="23" fillId="11" borderId="21" xfId="0" applyFont="1" applyFill="1" applyBorder="1" applyAlignment="1" applyProtection="1">
      <alignment horizontal="left" vertical="top" wrapText="1"/>
      <protection locked="0"/>
    </xf>
    <xf numFmtId="0" fontId="23" fillId="11" borderId="1" xfId="0" applyFont="1" applyFill="1" applyBorder="1" applyAlignment="1" applyProtection="1">
      <alignment horizontal="left" vertical="top" wrapText="1"/>
      <protection locked="0"/>
    </xf>
    <xf numFmtId="0" fontId="23" fillId="11" borderId="26" xfId="0" applyFont="1" applyFill="1" applyBorder="1" applyAlignment="1" applyProtection="1">
      <alignment horizontal="left" vertical="top" wrapText="1"/>
      <protection locked="0"/>
    </xf>
    <xf numFmtId="0" fontId="0" fillId="5" borderId="21" xfId="0" applyFont="1" applyFill="1" applyBorder="1" applyAlignment="1" applyProtection="1">
      <alignment horizontal="left"/>
      <protection hidden="1"/>
    </xf>
    <xf numFmtId="0" fontId="0" fillId="5" borderId="1" xfId="0" applyFont="1" applyFill="1" applyBorder="1" applyAlignment="1" applyProtection="1">
      <alignment horizontal="left"/>
      <protection hidden="1"/>
    </xf>
    <xf numFmtId="0" fontId="0" fillId="5" borderId="26" xfId="0" applyFont="1" applyFill="1" applyBorder="1" applyAlignment="1" applyProtection="1">
      <alignment horizontal="left"/>
      <protection hidden="1"/>
    </xf>
    <xf numFmtId="0" fontId="6" fillId="5" borderId="21" xfId="0" quotePrefix="1" applyFont="1" applyFill="1" applyBorder="1" applyAlignment="1" applyProtection="1">
      <alignment horizontal="left"/>
      <protection hidden="1"/>
    </xf>
    <xf numFmtId="0" fontId="6" fillId="5" borderId="1" xfId="0" quotePrefix="1" applyFont="1" applyFill="1" applyBorder="1" applyAlignment="1" applyProtection="1">
      <alignment horizontal="left"/>
      <protection hidden="1"/>
    </xf>
    <xf numFmtId="0" fontId="6" fillId="5" borderId="26" xfId="0" quotePrefix="1" applyFont="1" applyFill="1" applyBorder="1" applyAlignment="1" applyProtection="1">
      <alignment horizontal="left"/>
      <protection hidden="1"/>
    </xf>
    <xf numFmtId="0" fontId="6" fillId="5" borderId="21" xfId="0" applyFont="1" applyFill="1" applyBorder="1" applyAlignment="1" applyProtection="1">
      <alignment horizontal="left"/>
      <protection hidden="1"/>
    </xf>
    <xf numFmtId="0" fontId="6" fillId="5" borderId="1" xfId="0" applyFont="1" applyFill="1" applyBorder="1" applyAlignment="1" applyProtection="1">
      <alignment horizontal="left"/>
      <protection hidden="1"/>
    </xf>
    <xf numFmtId="0" fontId="6" fillId="5" borderId="26" xfId="0" applyFont="1" applyFill="1" applyBorder="1" applyAlignment="1" applyProtection="1">
      <alignment horizontal="left"/>
      <protection hidden="1"/>
    </xf>
    <xf numFmtId="0" fontId="22" fillId="5" borderId="21" xfId="0" quotePrefix="1" applyFont="1" applyFill="1" applyBorder="1" applyAlignment="1" applyProtection="1">
      <alignment horizontal="left"/>
      <protection hidden="1"/>
    </xf>
    <xf numFmtId="0" fontId="22" fillId="5" borderId="1" xfId="0" quotePrefix="1" applyFont="1" applyFill="1" applyBorder="1" applyAlignment="1" applyProtection="1">
      <alignment horizontal="left"/>
      <protection hidden="1"/>
    </xf>
    <xf numFmtId="0" fontId="22" fillId="5" borderId="26" xfId="0" quotePrefix="1" applyFont="1" applyFill="1" applyBorder="1" applyAlignment="1" applyProtection="1">
      <alignment horizontal="left"/>
      <protection hidden="1"/>
    </xf>
    <xf numFmtId="0" fontId="0" fillId="5" borderId="21" xfId="0" applyFont="1" applyFill="1" applyBorder="1" applyAlignment="1" applyProtection="1">
      <alignment horizontal="left" vertical="top" wrapText="1"/>
      <protection hidden="1"/>
    </xf>
    <xf numFmtId="0" fontId="0" fillId="5" borderId="1" xfId="0" applyFont="1" applyFill="1" applyBorder="1" applyAlignment="1" applyProtection="1">
      <alignment horizontal="left" vertical="top" wrapText="1"/>
      <protection hidden="1"/>
    </xf>
    <xf numFmtId="0" fontId="0" fillId="5" borderId="26" xfId="0" applyFont="1" applyFill="1" applyBorder="1" applyAlignment="1" applyProtection="1">
      <alignment horizontal="left" vertical="top" wrapText="1"/>
      <protection hidden="1"/>
    </xf>
    <xf numFmtId="0" fontId="0" fillId="5" borderId="21" xfId="0" applyFont="1" applyFill="1" applyBorder="1" applyAlignment="1" applyProtection="1">
      <alignment horizontal="left" wrapText="1"/>
      <protection hidden="1"/>
    </xf>
    <xf numFmtId="0" fontId="0" fillId="5" borderId="1" xfId="0" applyFont="1" applyFill="1" applyBorder="1" applyAlignment="1" applyProtection="1">
      <alignment horizontal="left" wrapText="1"/>
      <protection hidden="1"/>
    </xf>
    <xf numFmtId="0" fontId="0" fillId="5" borderId="26" xfId="0" applyFont="1" applyFill="1" applyBorder="1" applyAlignment="1" applyProtection="1">
      <alignment horizontal="left" wrapText="1"/>
      <protection hidden="1"/>
    </xf>
    <xf numFmtId="0" fontId="23" fillId="5" borderId="21" xfId="0" applyFont="1" applyFill="1" applyBorder="1" applyAlignment="1" applyProtection="1">
      <alignment horizontal="left"/>
      <protection hidden="1"/>
    </xf>
    <xf numFmtId="0" fontId="23" fillId="5" borderId="26" xfId="0" applyFont="1" applyFill="1" applyBorder="1" applyAlignment="1" applyProtection="1">
      <alignment horizontal="left"/>
      <protection hidden="1"/>
    </xf>
    <xf numFmtId="0" fontId="23" fillId="5" borderId="21" xfId="0" quotePrefix="1" applyFont="1" applyFill="1" applyBorder="1" applyAlignment="1" applyProtection="1">
      <alignment horizontal="left"/>
      <protection hidden="1"/>
    </xf>
    <xf numFmtId="0" fontId="23" fillId="5" borderId="26" xfId="0" quotePrefix="1" applyFont="1" applyFill="1" applyBorder="1" applyAlignment="1" applyProtection="1">
      <alignment horizontal="left"/>
      <protection hidden="1"/>
    </xf>
    <xf numFmtId="0" fontId="22" fillId="5" borderId="19" xfId="0" quotePrefix="1" applyFont="1" applyFill="1" applyBorder="1" applyAlignment="1" applyProtection="1">
      <alignment horizontal="left"/>
      <protection hidden="1"/>
    </xf>
    <xf numFmtId="0" fontId="22" fillId="5" borderId="14" xfId="0" quotePrefix="1" applyFont="1" applyFill="1" applyBorder="1" applyAlignment="1" applyProtection="1">
      <alignment horizontal="left"/>
      <protection hidden="1"/>
    </xf>
    <xf numFmtId="0" fontId="23" fillId="5" borderId="21" xfId="0" applyFont="1" applyFill="1" applyBorder="1" applyAlignment="1" applyProtection="1">
      <alignment horizontal="left" vertical="top" wrapText="1"/>
      <protection hidden="1"/>
    </xf>
    <xf numFmtId="0" fontId="23" fillId="5" borderId="1" xfId="0" applyFont="1" applyFill="1" applyBorder="1" applyAlignment="1" applyProtection="1">
      <alignment horizontal="left" vertical="top" wrapText="1"/>
      <protection hidden="1"/>
    </xf>
    <xf numFmtId="0" fontId="23" fillId="5" borderId="26" xfId="0" applyFont="1" applyFill="1" applyBorder="1" applyAlignment="1" applyProtection="1">
      <alignment horizontal="left" vertical="top" wrapText="1"/>
      <protection hidden="1"/>
    </xf>
    <xf numFmtId="0" fontId="23" fillId="5" borderId="21" xfId="0" quotePrefix="1" applyFont="1" applyFill="1" applyBorder="1" applyAlignment="1" applyProtection="1">
      <alignment horizontal="left" vertical="top" wrapText="1"/>
      <protection hidden="1"/>
    </xf>
    <xf numFmtId="0" fontId="23" fillId="5" borderId="1" xfId="0" quotePrefix="1" applyFont="1" applyFill="1" applyBorder="1" applyAlignment="1" applyProtection="1">
      <alignment horizontal="left" vertical="top" wrapText="1"/>
      <protection hidden="1"/>
    </xf>
    <xf numFmtId="0" fontId="23" fillId="5" borderId="26" xfId="0" quotePrefix="1" applyFont="1" applyFill="1" applyBorder="1" applyAlignment="1" applyProtection="1">
      <alignment horizontal="left" vertical="top" wrapText="1"/>
      <protection hidden="1"/>
    </xf>
    <xf numFmtId="0" fontId="6" fillId="5" borderId="14" xfId="0" applyFont="1" applyFill="1" applyBorder="1" applyAlignment="1" applyProtection="1">
      <alignment horizontal="left"/>
      <protection hidden="1"/>
    </xf>
    <xf numFmtId="0" fontId="6" fillId="5" borderId="20" xfId="0" applyFont="1" applyFill="1" applyBorder="1" applyAlignment="1" applyProtection="1">
      <alignment horizontal="left"/>
      <protection hidden="1"/>
    </xf>
    <xf numFmtId="0" fontId="0" fillId="1" borderId="13" xfId="0" applyFill="1" applyBorder="1" applyAlignment="1" applyProtection="1">
      <alignment horizontal="center" vertical="center"/>
      <protection hidden="1"/>
    </xf>
    <xf numFmtId="0" fontId="0" fillId="0" borderId="17" xfId="0" applyFont="1" applyBorder="1" applyAlignment="1" applyProtection="1">
      <alignment vertical="top" wrapText="1"/>
      <protection hidden="1"/>
    </xf>
    <xf numFmtId="0" fontId="0" fillId="0" borderId="0" xfId="0" applyFont="1" applyBorder="1" applyAlignment="1" applyProtection="1">
      <alignment vertical="top" wrapText="1"/>
      <protection hidden="1"/>
    </xf>
    <xf numFmtId="0" fontId="35" fillId="0" borderId="0" xfId="0" applyFont="1" applyAlignment="1">
      <alignment vertical="top" wrapText="1"/>
    </xf>
    <xf numFmtId="0" fontId="35" fillId="0" borderId="0" xfId="0" applyFont="1" applyAlignment="1">
      <alignment vertical="top"/>
    </xf>
  </cellXfs>
  <cellStyles count="6">
    <cellStyle name="Comma" xfId="1" builtinId="3"/>
    <cellStyle name="Hyperlink" xfId="4" builtinId="8"/>
    <cellStyle name="Milliers 2" xfId="3" xr:uid="{00000000-0005-0000-0000-000003000000}"/>
    <cellStyle name="Normal" xfId="0" builtinId="0"/>
    <cellStyle name="Normal 2 2" xfId="5" xr:uid="{00000000-0005-0000-0000-000005000000}"/>
    <cellStyle name="Percent" xfId="2" builtinId="5"/>
  </cellStyles>
  <dxfs count="83">
    <dxf>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border>
        <left/>
        <right/>
        <bottom/>
      </border>
    </dxf>
    <dxf>
      <font>
        <color auto="1"/>
      </font>
      <fill>
        <patternFill>
          <bgColor theme="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ill>
        <patternFill>
          <bgColor theme="0" tint="-4.9989318521683403E-2"/>
        </patternFill>
      </fill>
      <border>
        <left/>
        <top/>
        <vertical/>
        <horizontal/>
      </border>
    </dxf>
    <dxf>
      <font>
        <color auto="1"/>
      </font>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ont>
        <color auto="1"/>
      </font>
      <fill>
        <patternFill patternType="solid">
          <bgColor theme="1"/>
        </patternFill>
      </fill>
      <border>
        <left style="thin">
          <color auto="1"/>
        </left>
        <right style="thin">
          <color auto="1"/>
        </righ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0" tint="-4.9989318521683403E-2"/>
        </patternFill>
      </fill>
      <border>
        <right/>
        <bottom/>
      </border>
    </dxf>
    <dxf>
      <fill>
        <patternFill patternType="solid">
          <bgColor rgb="FFCCCCFF"/>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bgColor rgb="FFCCCCFF"/>
        </patternFill>
      </fill>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ill>
        <patternFill patternType="none">
          <bgColor auto="1"/>
        </patternFill>
      </fill>
      <border>
        <left style="thin">
          <color auto="1"/>
        </lef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rgb="FF00B050"/>
      </font>
    </dxf>
    <dxf>
      <font>
        <color theme="0" tint="-4.9989318521683403E-2"/>
      </font>
      <fill>
        <patternFill>
          <bgColor theme="0" tint="-4.9989318521683403E-2"/>
        </patternFill>
      </fill>
    </dxf>
    <dxf>
      <font>
        <color auto="1"/>
      </font>
    </dxf>
    <dxf>
      <fill>
        <patternFill>
          <bgColor theme="0" tint="-4.9989318521683403E-2"/>
        </patternFill>
      </fill>
      <border>
        <left/>
        <top/>
        <vertical/>
        <horizontal/>
      </border>
    </dxf>
    <dxf>
      <font>
        <color auto="1"/>
      </font>
      <fill>
        <patternFill patternType="solid">
          <bgColor theme="1"/>
        </patternFill>
      </fill>
    </dxf>
    <dxf>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border>
        <left/>
        <right/>
        <bottom/>
      </border>
    </dxf>
    <dxf>
      <font>
        <color auto="1"/>
      </font>
      <fill>
        <patternFill>
          <bgColor theme="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rgb="FFCCCCFF"/>
        </patternFill>
      </fill>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ill>
        <patternFill patternType="none">
          <bgColor auto="1"/>
        </patternFill>
      </fill>
      <border>
        <left style="thin">
          <color auto="1"/>
        </lef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ont>
        <color rgb="FF00B050"/>
      </font>
    </dxf>
    <dxf>
      <fill>
        <patternFill>
          <bgColor rgb="FFFFE699"/>
        </patternFill>
      </fill>
      <border>
        <left style="thin">
          <color rgb="FFFF0000"/>
        </left>
        <right style="thin">
          <color rgb="FFFF0000"/>
        </right>
        <top style="thin">
          <color rgb="FFFF0000"/>
        </top>
        <bottom style="thin">
          <color rgb="FFFF0000"/>
        </bottom>
      </border>
    </dxf>
    <dxf>
      <font>
        <color rgb="FF4F2D7F"/>
      </font>
      <fill>
        <patternFill>
          <bgColor rgb="FF4F2D7F"/>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rgb="FFFFE699"/>
        </patternFill>
      </fill>
      <border>
        <left style="thin">
          <color rgb="FFFF0000"/>
        </left>
        <right style="thin">
          <color rgb="FFFF0000"/>
        </right>
        <top style="thin">
          <color rgb="FFFF0000"/>
        </top>
        <bottom style="thin">
          <color rgb="FFFF0000"/>
        </bottom>
        <vertical/>
        <horizontal/>
      </border>
    </dxf>
    <dxf>
      <fill>
        <patternFill>
          <bgColor rgb="FFFFE699"/>
        </patternFill>
      </fill>
      <border>
        <left style="thin">
          <color rgb="FFFF0000"/>
        </left>
        <right style="thin">
          <color rgb="FFFF0000"/>
        </right>
        <top style="thin">
          <color rgb="FFFF0000"/>
        </top>
        <bottom style="thin">
          <color rgb="FFFF0000"/>
        </bottom>
        <vertical/>
        <horizontal/>
      </border>
    </dxf>
    <dxf>
      <fill>
        <patternFill>
          <bgColor rgb="FFFFE699"/>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colors>
    <mruColors>
      <color rgb="FFCCCCFF"/>
      <color rgb="FFFFE699"/>
      <color rgb="FFFFE69B"/>
      <color rgb="FF4F2D7F"/>
      <color rgb="FF660066"/>
      <color rgb="FF4472C4"/>
      <color rgb="FF0000FF"/>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lizabethSloan/Downloads/ISA%20600%20Component%20Significance%20and%20Scoping%20November%20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ontent Translation"/>
      <sheetName val="EnglishInstructionsForReference"/>
      <sheetName val="Data input"/>
      <sheetName val="Scoping input"/>
      <sheetName val="Component materiality input"/>
      <sheetName val="Type of work input"/>
      <sheetName val="Summary by type of work report"/>
      <sheetName val="Scoping summary report"/>
      <sheetName val="Summary of work by firm report"/>
      <sheetName val="Involvement report"/>
      <sheetName val="Data tab"/>
      <sheetName val="GT_Custom"/>
    </sheetNames>
    <sheetDataSet>
      <sheetData sheetId="0"/>
      <sheetData sheetId="1">
        <row r="3">
          <cell r="A3" t="str">
            <v>Instructions - component significance and scoping</v>
          </cell>
        </row>
        <row r="4">
          <cell r="A4" t="str">
            <v>Instructional Note to Group Engagement Team: This template is used in a group audit for identifying components, determining their significance, and determining the type of work to be performed on components. It includes the determination of component materiality (when required), the identification of component auditors, and the additional planned involvement (if any) in a component auditor's work.</v>
          </cell>
        </row>
        <row r="5">
          <cell r="A5" t="str">
            <v>Use of macros: This template has numerous macros. The execution of a macro purges the actions that can be undone using the "Undo" button or  using the keyboard shortcut CTRL+Z. Users are encouraged to save this document frequently as a precautionary measure.
***Do not add, delete, hide or unhide any rows or columns in this workbook when entering and revising financial information, as this will break macros contained in the workbook.  Financial information in the Data input worksheet may be customized by moving rows of information as needed, but new rows cannot be added or deleted.***</v>
          </cell>
        </row>
        <row r="6">
          <cell r="A6" t="str">
            <v>Getting started: To start using the template, enable editing. Then, complete the Data input worksheet and the Scoping worksheet using the How to guidance below.</v>
          </cell>
        </row>
        <row r="7">
          <cell r="A7" t="str">
            <v>Guidance: The guidance shown in this worksheet may be filtered below by type (that is, purpose, how to, general guidance, precedents and dependents, or all).</v>
          </cell>
        </row>
        <row r="8">
          <cell r="A8" t="str">
            <v>Filter guidance:</v>
          </cell>
        </row>
        <row r="9">
          <cell r="A9" t="str">
            <v>All</v>
          </cell>
        </row>
        <row r="10">
          <cell r="A10" t="str">
            <v>Data input</v>
          </cell>
        </row>
        <row r="11">
          <cell r="A11" t="str">
            <v xml:space="preserve">Purpose: This worksheet is used to capture information about the components included in the group audit.
</v>
          </cell>
        </row>
        <row r="12">
          <cell r="A12" t="str">
            <v xml:space="preserve">How to: Select the number of components (2-100) from the drop-down menu in cell B5 and then enter the name of each component and the type of each component in rows 7 and 8. Then, enter the financial statement amounts, including eliminations as appropriate, to derive the consolidated total. An example set of financial statements has been entered as a starting point; the line items may be renamed or left blank to align with the entity's financial statements (but rows cannot be added or deleted).
</v>
          </cell>
        </row>
        <row r="13">
          <cell r="A13" t="str">
            <v>General guidance: Often, the engagement team completes the initial scoping at an interim date based on preliminary or anticipated financial information. This template does not need to be updated after the initial scoping, unless deemed necessary based on the engagement team's professional judgement. This may include situations where the actual financial results are likely to be substantially different from the anticipated results that were used initially.</v>
          </cell>
        </row>
        <row r="14">
          <cell r="A14" t="str">
            <v xml:space="preserve">Precedents and dependents: The data entered in this worksheet is automatically carried forward to other worksheets, such as the Scoping input worksheet and the various reports worksheets.
</v>
          </cell>
        </row>
        <row r="15">
          <cell r="A15" t="str">
            <v>Number of components and component type</v>
          </cell>
        </row>
        <row r="16">
          <cell r="A16" t="str">
            <v xml:space="preserve">How to: To start the worksheet, select the number of components. Additional components may be subsequently added by changing the number of components in this field.
</v>
          </cell>
        </row>
        <row r="17">
          <cell r="A17" t="str">
            <v>General guidance: A component is an entity or business activity for which group or component management prepares financial information that should be included in the group financial statements (for example, a subsidiary; a joint venture; an investee accounted for by the equity or cost methods of accounting; a head office; a division or branch; a function, process, product or service; or a geographical location). The group engagement team determines the number of components considering the structure of the group and the group financial reporting system.</v>
          </cell>
        </row>
        <row r="18">
          <cell r="A18" t="str">
            <v>Precedents and dependents: This worksheet will display the corresponding number of components based on this input.</v>
          </cell>
        </row>
        <row r="19">
          <cell r="A19" t="str">
            <v>Eliminations</v>
          </cell>
        </row>
        <row r="20">
          <cell r="A20" t="str">
            <v>General guidance: The group financial reporting system may provide component financial information in various ways, depending on the consolidation process. This column may be used, as necessary, to include eliminations and other consolidation adjustments, such that the amounts sum to the consolidated total. Alternatively, intercompany balances and transactions may be eliminated by inputting the consolidating financial information net of eliminating amounts.</v>
          </cell>
        </row>
        <row r="21">
          <cell r="A21" t="str">
            <v>Scoping input</v>
          </cell>
        </row>
        <row r="22">
          <cell r="A22" t="str">
            <v xml:space="preserve">Purpose: This worksheet is used to determine the significance of components as well as the type of work to be performed. It includes component materiality and performance materiality, as applicable, and the identification of component auditors, as well as the additional planned involvement, if any, in the component auditor's work.
</v>
          </cell>
        </row>
        <row r="23">
          <cell r="A23" t="str">
            <v>How to: Select the number of relevant benchmarks from the drop-down menu in cell C3 and whether member firms or non-member firms will be component auditors in cell C4. Populate materiality information for the audit of the group financial statements in cells C6-C9. For each component beginning in row 13, complete the remaining cells in the row.</v>
          </cell>
        </row>
        <row r="24">
          <cell r="A24" t="str">
            <v xml:space="preserve">Precedents and dependents: The listing of components, component types, and benchmark information (when the benchmark wording used is identical to wording in column A of the Data input worksheet) is populated from the Data input worksheet. If the benchmark is not a separate line item, then the VLOOKUP formula will not pull the information and that benchmark's information needs to be manually added.
</v>
          </cell>
        </row>
        <row r="25">
          <cell r="A25" t="str">
            <v>Number of relevant benchmarks</v>
          </cell>
        </row>
        <row r="26">
          <cell r="A26" t="str">
            <v xml:space="preserve">General guidance: The group engagement team typically applies a percentage to a chosen benchmark to aid in identifying components that are of individual financial significance. Identifying one or more benchmarks and determining a percentage to be applied to those benchmarks involves exercising professional judgment, taking into account the understanding of the group and its components. Depending on the nature and circumstances of the group, appropriate benchmarks might include group assets, liabilities, cash flows, profit, or revenue. Typically, if a benchmark was used to determine materiality for the group financial statements as a whole, that same benchmark may also be appropriate to identify components that are of individual financial significance; this is because factors that affect the selection of an appropriate benchmark take into account, among other things, the nature of the entity.
</v>
          </cell>
        </row>
        <row r="27">
          <cell r="A27" t="str">
            <v xml:space="preserve">How to: If the benchmark wording used is identical to wording in column A of the Data input worksheet, this column will populate automatically using a VLOOKUP function. If the benchmark is not a separate line item, then information needs to be manually added.
</v>
          </cell>
        </row>
        <row r="28">
          <cell r="A28" t="str">
            <v>Precedents and dependents: This worksheet will display the corresponding number of benchmarks based on this input.</v>
          </cell>
        </row>
        <row r="29">
          <cell r="A29" t="str">
            <v>Will other member firms or non-member firms be component auditors?</v>
          </cell>
        </row>
        <row r="30">
          <cell r="A30" t="str">
            <v>Precedents and dependents: Select "Yes"/"No" to display/hide columns with component auditor details, including additional planned involvement in component auditor's work, based on whether other member firms or non-member firms will be involved in the group audit.</v>
          </cell>
        </row>
        <row r="31">
          <cell r="A31" t="str">
            <v xml:space="preserve">Amount of equity method investment (financial position and profit or loss) </v>
          </cell>
        </row>
        <row r="32">
          <cell r="A32" t="str">
            <v>General guidance: When a component is an investee accounted for by the equity method of accounting, the financial information of the component is included within these two columns (not within the benchmark amounts columns). The amounts included herein are the group amounts related to the equity method investment (not the investee amounts).</v>
          </cell>
        </row>
        <row r="33">
          <cell r="A33" t="str">
            <v>Precedents and dependents: These columns are only applicable for components that are equity method investments.</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ColWidth="9.140625" defaultRowHeight="15" x14ac:dyDescent="0.25"/>
  <cols>
    <col min="1" max="16384" width="9.140625" style="146"/>
  </cols>
  <sheetData>
    <row r="1" spans="1:1" x14ac:dyDescent="0.25">
      <c r="A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Instructions"/>
  <dimension ref="A1:D29"/>
  <sheetViews>
    <sheetView showGridLines="0" workbookViewId="0">
      <selection activeCell="A8" sqref="A8:B8"/>
    </sheetView>
  </sheetViews>
  <sheetFormatPr defaultColWidth="8.5703125" defaultRowHeight="15" x14ac:dyDescent="0.25"/>
  <cols>
    <col min="1" max="1" width="16.5703125" style="242" customWidth="1"/>
    <col min="2" max="2" width="125.42578125" style="243" customWidth="1"/>
    <col min="3" max="16384" width="8.5703125" style="243"/>
  </cols>
  <sheetData>
    <row r="1" spans="1:4" ht="18.75" customHeight="1" x14ac:dyDescent="0.3">
      <c r="A1" s="241" t="s">
        <v>224</v>
      </c>
      <c r="B1" s="241"/>
    </row>
    <row r="2" spans="1:4" ht="20.25" x14ac:dyDescent="0.3">
      <c r="A2" s="296" t="s">
        <v>301</v>
      </c>
      <c r="B2" s="241"/>
    </row>
    <row r="3" spans="1:4" s="244" customFormat="1" ht="31.5" customHeight="1" x14ac:dyDescent="0.2">
      <c r="A3" s="303" t="s">
        <v>268</v>
      </c>
      <c r="B3" s="303"/>
    </row>
    <row r="4" spans="1:4" s="244" customFormat="1" ht="29.25" customHeight="1" x14ac:dyDescent="0.2">
      <c r="A4" s="303" t="s">
        <v>238</v>
      </c>
      <c r="B4" s="303"/>
    </row>
    <row r="5" spans="1:4" s="244" customFormat="1" ht="12.75" x14ac:dyDescent="0.2">
      <c r="A5" s="303" t="s">
        <v>302</v>
      </c>
      <c r="B5" s="303"/>
    </row>
    <row r="6" spans="1:4" x14ac:dyDescent="0.25">
      <c r="D6" s="123"/>
    </row>
    <row r="7" spans="1:4" ht="15.75" x14ac:dyDescent="0.25">
      <c r="A7" s="297" t="s">
        <v>100</v>
      </c>
      <c r="B7" s="298"/>
      <c r="D7" s="123"/>
    </row>
    <row r="8" spans="1:4" x14ac:dyDescent="0.25">
      <c r="A8" s="299" t="s">
        <v>272</v>
      </c>
      <c r="B8" s="300"/>
    </row>
    <row r="9" spans="1:4" x14ac:dyDescent="0.25">
      <c r="A9" s="301" t="s">
        <v>273</v>
      </c>
      <c r="B9" s="302"/>
    </row>
    <row r="10" spans="1:4" ht="25.5" x14ac:dyDescent="0.25">
      <c r="A10" s="248" t="s">
        <v>153</v>
      </c>
      <c r="B10" s="249" t="s">
        <v>282</v>
      </c>
    </row>
    <row r="11" spans="1:4" ht="153" x14ac:dyDescent="0.25">
      <c r="A11" s="248" t="s">
        <v>227</v>
      </c>
      <c r="B11" s="249" t="s">
        <v>307</v>
      </c>
    </row>
    <row r="12" spans="1:4" ht="30" customHeight="1" x14ac:dyDescent="0.25">
      <c r="A12" s="248" t="s">
        <v>225</v>
      </c>
      <c r="B12" s="249" t="s">
        <v>283</v>
      </c>
    </row>
    <row r="13" spans="1:4" ht="38.25" x14ac:dyDescent="0.25">
      <c r="A13" s="248" t="s">
        <v>270</v>
      </c>
      <c r="B13" s="249" t="s">
        <v>284</v>
      </c>
    </row>
    <row r="14" spans="1:4" x14ac:dyDescent="0.25">
      <c r="A14" s="247"/>
      <c r="B14" s="246"/>
    </row>
    <row r="15" spans="1:4" ht="30" customHeight="1" x14ac:dyDescent="0.25">
      <c r="A15" s="248" t="s">
        <v>228</v>
      </c>
      <c r="B15" s="249" t="s">
        <v>285</v>
      </c>
    </row>
    <row r="16" spans="1:4" ht="142.5" customHeight="1" x14ac:dyDescent="0.25">
      <c r="A16" s="248" t="s">
        <v>229</v>
      </c>
      <c r="B16" s="249" t="s">
        <v>303</v>
      </c>
    </row>
    <row r="17" spans="1:2" ht="142.5" customHeight="1" x14ac:dyDescent="0.25">
      <c r="A17" s="248" t="s">
        <v>230</v>
      </c>
      <c r="B17" s="249" t="s">
        <v>304</v>
      </c>
    </row>
    <row r="19" spans="1:2" ht="15.6" customHeight="1" x14ac:dyDescent="0.25">
      <c r="A19" s="297" t="s">
        <v>231</v>
      </c>
      <c r="B19" s="298"/>
    </row>
    <row r="20" spans="1:2" ht="14.45" customHeight="1" x14ac:dyDescent="0.25">
      <c r="A20" s="299" t="s">
        <v>274</v>
      </c>
      <c r="B20" s="300"/>
    </row>
    <row r="21" spans="1:2" ht="14.45" customHeight="1" x14ac:dyDescent="0.25">
      <c r="A21" s="301" t="s">
        <v>275</v>
      </c>
      <c r="B21" s="302"/>
    </row>
    <row r="22" spans="1:2" ht="30" customHeight="1" x14ac:dyDescent="0.25">
      <c r="A22" s="248" t="s">
        <v>226</v>
      </c>
      <c r="B22" s="249" t="s">
        <v>279</v>
      </c>
    </row>
    <row r="23" spans="1:2" ht="40.5" customHeight="1" x14ac:dyDescent="0.25">
      <c r="A23" s="248" t="s">
        <v>269</v>
      </c>
      <c r="B23" s="249" t="s">
        <v>280</v>
      </c>
    </row>
    <row r="24" spans="1:2" ht="66" customHeight="1" x14ac:dyDescent="0.25">
      <c r="A24" s="248" t="s">
        <v>232</v>
      </c>
      <c r="B24" s="249" t="s">
        <v>281</v>
      </c>
    </row>
    <row r="25" spans="1:2" ht="168" customHeight="1" x14ac:dyDescent="0.25">
      <c r="A25" s="248" t="s">
        <v>271</v>
      </c>
      <c r="B25" s="249" t="s">
        <v>305</v>
      </c>
    </row>
    <row r="26" spans="1:2" ht="76.5" x14ac:dyDescent="0.25">
      <c r="A26" s="248" t="s">
        <v>97</v>
      </c>
      <c r="B26" s="250" t="s">
        <v>276</v>
      </c>
    </row>
    <row r="27" spans="1:2" ht="255" x14ac:dyDescent="0.25">
      <c r="A27" s="248" t="s">
        <v>233</v>
      </c>
      <c r="B27" s="249" t="s">
        <v>277</v>
      </c>
    </row>
    <row r="28" spans="1:2" ht="191.25" x14ac:dyDescent="0.25">
      <c r="A28" s="248" t="s">
        <v>234</v>
      </c>
      <c r="B28" s="249" t="s">
        <v>278</v>
      </c>
    </row>
    <row r="29" spans="1:2" x14ac:dyDescent="0.25">
      <c r="A29" s="245"/>
      <c r="B29" s="244"/>
    </row>
  </sheetData>
  <mergeCells count="9">
    <mergeCell ref="A19:B19"/>
    <mergeCell ref="A20:B20"/>
    <mergeCell ref="A21:B21"/>
    <mergeCell ref="A3:B3"/>
    <mergeCell ref="A4:B4"/>
    <mergeCell ref="A9:B9"/>
    <mergeCell ref="A7:B7"/>
    <mergeCell ref="A5:B5"/>
    <mergeCell ref="A8:B8"/>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Summary">
    <pageSetUpPr fitToPage="1"/>
  </sheetPr>
  <dimension ref="A1:K26"/>
  <sheetViews>
    <sheetView showGridLines="0" workbookViewId="0">
      <selection activeCell="D10" sqref="D10"/>
    </sheetView>
  </sheetViews>
  <sheetFormatPr defaultColWidth="11.42578125" defaultRowHeight="15.95" customHeight="1" x14ac:dyDescent="0.2"/>
  <cols>
    <col min="1" max="1" width="2.7109375" style="5" customWidth="1"/>
    <col min="2" max="2" width="5.7109375" style="3" customWidth="1"/>
    <col min="3" max="3" width="45.7109375" style="3" customWidth="1"/>
    <col min="4" max="5" width="25.7109375" style="3" customWidth="1"/>
    <col min="6" max="6" width="10.7109375" style="3" customWidth="1"/>
    <col min="7" max="7" width="30.7109375" style="3" customWidth="1"/>
    <col min="8" max="10" width="5.7109375" style="3" customWidth="1"/>
    <col min="11" max="11" width="5.7109375" style="5" customWidth="1"/>
    <col min="12" max="12" width="11.28515625" style="3" customWidth="1"/>
    <col min="13" max="18" width="5.7109375" style="3" customWidth="1"/>
    <col min="19" max="16384" width="11.42578125" style="3"/>
  </cols>
  <sheetData>
    <row r="1" spans="1:10" s="5" customFormat="1" ht="13.5" customHeight="1" thickBot="1" x14ac:dyDescent="0.25"/>
    <row r="2" spans="1:10" ht="15.95" customHeight="1" x14ac:dyDescent="0.2">
      <c r="A2" s="12"/>
      <c r="B2" s="46" t="str">
        <f>Drop!A182</f>
        <v>Summary</v>
      </c>
      <c r="C2" s="22"/>
      <c r="D2" s="22"/>
      <c r="E2" s="23"/>
      <c r="F2" s="24"/>
      <c r="G2" s="24"/>
      <c r="H2" s="24"/>
      <c r="I2" s="25"/>
      <c r="J2" s="5"/>
    </row>
    <row r="3" spans="1:10" ht="38.25" customHeight="1" x14ac:dyDescent="0.2">
      <c r="B3" s="26"/>
      <c r="C3" s="55" t="str">
        <f>Drop!A184</f>
        <v>Applicable sampling plan</v>
      </c>
      <c r="D3" s="270" t="s">
        <v>247</v>
      </c>
      <c r="E3" s="308" t="str">
        <f>Drop!A183</f>
        <v>Engagement name</v>
      </c>
      <c r="F3" s="308"/>
      <c r="G3" s="291"/>
      <c r="H3" s="13"/>
      <c r="I3" s="27"/>
      <c r="J3" s="5"/>
    </row>
    <row r="4" spans="1:10" ht="12.95" customHeight="1" x14ac:dyDescent="0.2">
      <c r="B4" s="26"/>
      <c r="C4" s="183"/>
      <c r="D4" s="13"/>
      <c r="E4" s="184"/>
      <c r="F4" s="13"/>
      <c r="G4" s="13"/>
      <c r="H4" s="13"/>
      <c r="I4" s="27"/>
      <c r="J4" s="5"/>
    </row>
    <row r="5" spans="1:10" ht="15.95" customHeight="1" x14ac:dyDescent="0.2">
      <c r="B5" s="26"/>
      <c r="C5" s="55" t="str">
        <f>Drop!A185</f>
        <v>Is the entity a higher risk or listed entity?</v>
      </c>
      <c r="D5" s="290"/>
      <c r="E5" s="309" t="str">
        <f>Drop!A215</f>
        <v>Scoped Item</v>
      </c>
      <c r="F5" s="308"/>
      <c r="G5" s="292"/>
      <c r="H5" s="13"/>
      <c r="I5" s="27"/>
      <c r="J5" s="5"/>
    </row>
    <row r="6" spans="1:10" ht="12.95" customHeight="1" x14ac:dyDescent="0.2">
      <c r="B6" s="26"/>
      <c r="C6" s="183"/>
      <c r="D6" s="13"/>
      <c r="E6" s="183"/>
      <c r="F6" s="13"/>
      <c r="G6" s="13"/>
      <c r="H6" s="13"/>
      <c r="I6" s="27"/>
      <c r="J6" s="5"/>
    </row>
    <row r="7" spans="1:10" ht="32.1" customHeight="1" x14ac:dyDescent="0.2">
      <c r="B7" s="26"/>
      <c r="C7" s="307" t="str">
        <f>Drop!A186</f>
        <v>Does the entity meet any other criteria established by the firm (if applicable)?</v>
      </c>
      <c r="D7" s="310"/>
      <c r="E7" s="308" t="str">
        <f>Drop!A216</f>
        <v>Scoped Item (Absolute Value)</v>
      </c>
      <c r="F7" s="308"/>
      <c r="G7" s="295"/>
      <c r="H7" s="13"/>
      <c r="I7" s="27"/>
      <c r="J7" s="5"/>
    </row>
    <row r="8" spans="1:10" ht="15.95" customHeight="1" x14ac:dyDescent="0.25">
      <c r="B8" s="26"/>
      <c r="C8" s="307"/>
      <c r="D8" s="310"/>
      <c r="E8" s="31"/>
      <c r="F8" s="31"/>
      <c r="G8" s="31"/>
      <c r="H8" s="13"/>
      <c r="I8" s="27"/>
      <c r="J8" s="5"/>
    </row>
    <row r="9" spans="1:10" ht="12.95" customHeight="1" x14ac:dyDescent="0.25">
      <c r="B9" s="26"/>
      <c r="C9" s="183"/>
      <c r="D9" s="13"/>
      <c r="E9" s="31"/>
      <c r="F9" s="31"/>
      <c r="G9" s="31"/>
      <c r="H9" s="13"/>
      <c r="I9" s="27"/>
      <c r="J9" s="5"/>
    </row>
    <row r="10" spans="1:10" ht="15.95" customHeight="1" x14ac:dyDescent="0.25">
      <c r="B10" s="26"/>
      <c r="C10" s="57" t="str">
        <f>Drop!A187</f>
        <v>Performance Materiality</v>
      </c>
      <c r="D10" s="289"/>
      <c r="E10" s="31"/>
      <c r="F10" s="31"/>
      <c r="G10" s="31"/>
      <c r="H10" s="13"/>
      <c r="I10" s="27"/>
      <c r="J10" s="5"/>
    </row>
    <row r="11" spans="1:10" ht="15.95" customHeight="1" x14ac:dyDescent="0.2">
      <c r="B11" s="26"/>
      <c r="C11" s="14" t="str">
        <f>Drop!A189</f>
        <v xml:space="preserve">Population </v>
      </c>
      <c r="D11" s="13"/>
      <c r="E11" s="13"/>
      <c r="F11" s="13"/>
      <c r="G11" s="13"/>
      <c r="H11" s="13"/>
      <c r="I11" s="27"/>
      <c r="J11" s="5"/>
    </row>
    <row r="12" spans="1:10" ht="15.95" customHeight="1" x14ac:dyDescent="0.2">
      <c r="B12" s="26"/>
      <c r="C12" s="287" t="str">
        <f>Drop!A190</f>
        <v>Name</v>
      </c>
      <c r="D12" s="287" t="str">
        <f>Drop!A191</f>
        <v>Absolute Value</v>
      </c>
      <c r="E12" s="287" t="str">
        <f>Drop!A192</f>
        <v>Extent</v>
      </c>
      <c r="F12" s="311" t="str">
        <f>Drop!A193</f>
        <v>Link to Test Tab</v>
      </c>
      <c r="G12" s="312"/>
      <c r="H12" s="313"/>
      <c r="I12" s="27"/>
      <c r="J12" s="5"/>
    </row>
    <row r="13" spans="1:10" ht="15.95" customHeight="1" x14ac:dyDescent="0.2">
      <c r="B13" s="26"/>
      <c r="C13" s="271"/>
      <c r="D13" s="268"/>
      <c r="E13" s="272"/>
      <c r="F13" s="304" t="str">
        <f>IF(E13=Drop!$A$22,HYPERLINK("#'"&amp;Drop!A203&amp;" - "&amp;Drop!$A$199&amp;"'!$F$3",Drop!A203&amp;" - "&amp;Drop!$A$199),IF(E13=Drop!$A$23,HYPERLINK("#'"&amp;Drop!A203&amp;" - "&amp;Drop!$A$200&amp;"'!$F$3",Drop!A203&amp;" - "&amp;Drop!$A$200),""))</f>
        <v/>
      </c>
      <c r="G13" s="305"/>
      <c r="H13" s="306"/>
      <c r="I13" s="27"/>
      <c r="J13" s="5"/>
    </row>
    <row r="14" spans="1:10" ht="15.95" customHeight="1" x14ac:dyDescent="0.2">
      <c r="B14" s="26"/>
      <c r="C14" s="269"/>
      <c r="D14" s="268"/>
      <c r="E14" s="272"/>
      <c r="F14" s="304" t="str">
        <f>IF(E14=Drop!$A$22,HYPERLINK("#'"&amp;Drop!A204&amp;" - "&amp;Drop!$A$199&amp;"'!$F$3",Drop!A204&amp;" - "&amp;Drop!$A$199),IF(E14=Drop!$A$23,HYPERLINK("#'"&amp;Drop!A204&amp;" - "&amp;Drop!$A$200&amp;"'!$F$3",Drop!A204&amp;" - "&amp;Drop!$A$200),""))</f>
        <v/>
      </c>
      <c r="G14" s="305"/>
      <c r="H14" s="306"/>
      <c r="I14" s="27"/>
      <c r="J14" s="5"/>
    </row>
    <row r="15" spans="1:10" ht="15.95" customHeight="1" x14ac:dyDescent="0.2">
      <c r="B15" s="26"/>
      <c r="C15" s="269"/>
      <c r="D15" s="268"/>
      <c r="E15" s="272"/>
      <c r="F15" s="304" t="str">
        <f>IF(E15=Drop!$A$22,HYPERLINK("#'"&amp;Drop!A205&amp;" - "&amp;Drop!$A$199&amp;"'!$F$3",Drop!A205&amp;" - "&amp;Drop!$A$199),IF(E15=Drop!$A$23,HYPERLINK("#'"&amp;Drop!A205&amp;" - "&amp;Drop!$A$200&amp;"'!$F$3",Drop!A205&amp;" - "&amp;Drop!$A$200),""))</f>
        <v/>
      </c>
      <c r="G15" s="305"/>
      <c r="H15" s="306"/>
      <c r="I15" s="27"/>
      <c r="J15" s="5"/>
    </row>
    <row r="16" spans="1:10" ht="15.95" customHeight="1" x14ac:dyDescent="0.2">
      <c r="B16" s="26"/>
      <c r="C16" s="269"/>
      <c r="D16" s="268"/>
      <c r="E16" s="272"/>
      <c r="F16" s="304" t="str">
        <f>IF(E16=Drop!$A$22,HYPERLINK("#'"&amp;Drop!A206&amp;" - "&amp;Drop!$A$199&amp;"'!$F$3",Drop!A206&amp;" - "&amp;Drop!$A$199),IF(E16=Drop!$A$23,HYPERLINK("#'"&amp;Drop!A206&amp;" - "&amp;Drop!$A$200&amp;"'!$F$3",Drop!A206&amp;" - "&amp;Drop!$A$200),""))</f>
        <v/>
      </c>
      <c r="G16" s="305"/>
      <c r="H16" s="306"/>
      <c r="I16" s="27"/>
      <c r="J16" s="5"/>
    </row>
    <row r="17" spans="2:10" ht="15.95" customHeight="1" x14ac:dyDescent="0.2">
      <c r="B17" s="26"/>
      <c r="C17" s="269"/>
      <c r="D17" s="268"/>
      <c r="E17" s="272"/>
      <c r="F17" s="304" t="str">
        <f>IF(E17=Drop!$A$22,HYPERLINK("#'"&amp;Drop!A207&amp;" - "&amp;Drop!$A$199&amp;"'!$F$3",Drop!A207&amp;" - "&amp;Drop!$A$199),IF(E17=Drop!$A$23,HYPERLINK("#'"&amp;Drop!A207&amp;" - "&amp;Drop!$A$200&amp;"'!$F$3",Drop!A207&amp;" - "&amp;Drop!$A$200),""))</f>
        <v/>
      </c>
      <c r="G17" s="305"/>
      <c r="H17" s="306"/>
      <c r="I17" s="27"/>
      <c r="J17" s="5"/>
    </row>
    <row r="18" spans="2:10" ht="15.95" customHeight="1" x14ac:dyDescent="0.2">
      <c r="B18" s="26"/>
      <c r="C18" s="269"/>
      <c r="D18" s="268"/>
      <c r="E18" s="272"/>
      <c r="F18" s="304" t="str">
        <f>IF(E18=Drop!$A$22,HYPERLINK("#'"&amp;Drop!A208&amp;" - "&amp;Drop!$A$199&amp;"'!$F$3",Drop!A208&amp;" - "&amp;Drop!$A$199),IF(E18=Drop!$A$23,HYPERLINK("#'"&amp;Drop!A208&amp;" - "&amp;Drop!$A$200&amp;"'!$F$3",Drop!A208&amp;" - "&amp;Drop!$A$200),""))</f>
        <v/>
      </c>
      <c r="G18" s="305"/>
      <c r="H18" s="306"/>
      <c r="I18" s="27"/>
      <c r="J18" s="5"/>
    </row>
    <row r="19" spans="2:10" ht="15.95" customHeight="1" x14ac:dyDescent="0.2">
      <c r="B19" s="26"/>
      <c r="C19" s="269"/>
      <c r="D19" s="268"/>
      <c r="E19" s="272"/>
      <c r="F19" s="304" t="str">
        <f>IF(E19=Drop!$A$22,HYPERLINK("#'"&amp;Drop!A209&amp;" - "&amp;Drop!$A$199&amp;"'!$F$3",Drop!A209&amp;" - "&amp;Drop!$A$199),IF(E19=Drop!$A$23,HYPERLINK("#'"&amp;Drop!A209&amp;" - "&amp;Drop!$A$200&amp;"'!$F$3",Drop!A209&amp;" - "&amp;Drop!$A$200),""))</f>
        <v/>
      </c>
      <c r="G19" s="305"/>
      <c r="H19" s="306"/>
      <c r="I19" s="27"/>
      <c r="J19" s="5"/>
    </row>
    <row r="20" spans="2:10" ht="15.95" customHeight="1" x14ac:dyDescent="0.2">
      <c r="B20" s="26"/>
      <c r="C20" s="269"/>
      <c r="D20" s="268"/>
      <c r="E20" s="272"/>
      <c r="F20" s="304" t="str">
        <f>IF(E20=Drop!$A$22,HYPERLINK("#'"&amp;Drop!A210&amp;" - "&amp;Drop!$A$199&amp;"'!$F$3",Drop!A210&amp;" - "&amp;Drop!$A$199),IF(E20=Drop!$A$23,HYPERLINK("#'"&amp;Drop!A210&amp;" - "&amp;Drop!$A$200&amp;"'!$F$3",Drop!A210&amp;" - "&amp;Drop!$A$200),""))</f>
        <v/>
      </c>
      <c r="G20" s="305"/>
      <c r="H20" s="306"/>
      <c r="I20" s="27"/>
      <c r="J20" s="5"/>
    </row>
    <row r="21" spans="2:10" ht="15.95" customHeight="1" x14ac:dyDescent="0.2">
      <c r="B21" s="26"/>
      <c r="C21" s="269"/>
      <c r="D21" s="268"/>
      <c r="E21" s="272"/>
      <c r="F21" s="304" t="str">
        <f>IF(E21=Drop!$A$22,HYPERLINK("#'"&amp;Drop!A211&amp;" - "&amp;Drop!$A$199&amp;"'!$F$3",Drop!A211&amp;" - "&amp;Drop!$A$199),IF(E21=Drop!$A$23,HYPERLINK("#'"&amp;Drop!A211&amp;" - "&amp;Drop!$A$200&amp;"'!$F$3",Drop!A211&amp;" - "&amp;Drop!$A$200),""))</f>
        <v/>
      </c>
      <c r="G21" s="305"/>
      <c r="H21" s="306"/>
      <c r="I21" s="27"/>
      <c r="J21" s="5"/>
    </row>
    <row r="22" spans="2:10" ht="15.95" customHeight="1" x14ac:dyDescent="0.2">
      <c r="B22" s="26"/>
      <c r="C22" s="269"/>
      <c r="D22" s="268"/>
      <c r="E22" s="272"/>
      <c r="F22" s="304" t="str">
        <f>IF(E22=Drop!$A$22,HYPERLINK("#'"&amp;Drop!A212&amp;" - "&amp;Drop!$A$199&amp;"'!$F$3",Drop!A212&amp;" - "&amp;Drop!$A$199),IF(E22=Drop!$A$23,HYPERLINK("#'"&amp;Drop!A212&amp;" - "&amp;Drop!$A$200&amp;"'!$F$3",Drop!A212&amp;" - "&amp;Drop!$A$200),""))</f>
        <v/>
      </c>
      <c r="G22" s="305"/>
      <c r="H22" s="306"/>
      <c r="I22" s="27"/>
      <c r="J22" s="5"/>
    </row>
    <row r="23" spans="2:10" ht="15.95" customHeight="1" x14ac:dyDescent="0.25">
      <c r="B23" s="26"/>
      <c r="C23" s="293" t="str">
        <f>Drop!A194</f>
        <v>Total</v>
      </c>
      <c r="D23" s="267">
        <f>SUM(D13:D22)</f>
        <v>0</v>
      </c>
      <c r="E23" s="31"/>
      <c r="F23" s="31"/>
      <c r="G23" s="31"/>
      <c r="H23" s="31"/>
      <c r="I23" s="27"/>
      <c r="J23" s="5"/>
    </row>
    <row r="24" spans="2:10" ht="15.95" customHeight="1" x14ac:dyDescent="0.25">
      <c r="B24" s="26"/>
      <c r="C24" s="13"/>
      <c r="D24" s="150"/>
      <c r="E24" s="31"/>
      <c r="F24" s="31"/>
      <c r="G24" s="31"/>
      <c r="H24" s="31"/>
      <c r="I24" s="27"/>
      <c r="J24" s="5"/>
    </row>
    <row r="25" spans="2:10" ht="15.95" customHeight="1" thickBot="1" x14ac:dyDescent="0.25">
      <c r="B25" s="28"/>
      <c r="C25" s="29"/>
      <c r="D25" s="151"/>
      <c r="E25" s="29"/>
      <c r="F25" s="29"/>
      <c r="G25" s="29"/>
      <c r="H25" s="29"/>
      <c r="I25" s="30"/>
      <c r="J25" s="5"/>
    </row>
    <row r="26" spans="2:10" ht="15.95" customHeight="1" x14ac:dyDescent="0.2">
      <c r="B26" s="5"/>
      <c r="C26" s="5"/>
      <c r="D26" s="152"/>
      <c r="E26" s="5"/>
      <c r="F26" s="5"/>
      <c r="G26" s="5"/>
      <c r="H26" s="5"/>
      <c r="I26" s="5"/>
      <c r="J26" s="5"/>
    </row>
  </sheetData>
  <sheetProtection algorithmName="SHA-512" hashValue="HkF2cf+GN+KS899LcrBF9gkYxEFCixR0hm+DlAxJ8G8NCFJUtbp8AmGa/W1ylSWPWtd9KIJBgOvPABWRjH1NgQ==" saltValue="UOs7z5k7hGgPKtNtZR6+3w==" spinCount="100000" sheet="1" objects="1" scenarios="1"/>
  <protectedRanges>
    <protectedRange sqref="D3 D5 D7 D10 G3 G5 G10 G7 C13:E22" name="Summary"/>
  </protectedRanges>
  <mergeCells count="16">
    <mergeCell ref="E3:F3"/>
    <mergeCell ref="E5:F5"/>
    <mergeCell ref="E7:F7"/>
    <mergeCell ref="D7:D8"/>
    <mergeCell ref="F12:H12"/>
    <mergeCell ref="F13:H13"/>
    <mergeCell ref="F14:H14"/>
    <mergeCell ref="F15:H15"/>
    <mergeCell ref="C7:C8"/>
    <mergeCell ref="F19:H19"/>
    <mergeCell ref="F20:H20"/>
    <mergeCell ref="F21:H21"/>
    <mergeCell ref="F22:H22"/>
    <mergeCell ref="F16:H16"/>
    <mergeCell ref="F17:H17"/>
    <mergeCell ref="F18:H18"/>
  </mergeCells>
  <conditionalFormatting sqref="D5">
    <cfRule type="expression" dxfId="82" priority="7">
      <formula>ISBLANK($D$5)</formula>
    </cfRule>
  </conditionalFormatting>
  <conditionalFormatting sqref="D10">
    <cfRule type="expression" dxfId="81" priority="5">
      <formula>ISBLANK($D$10)</formula>
    </cfRule>
  </conditionalFormatting>
  <conditionalFormatting sqref="G3">
    <cfRule type="expression" dxfId="80" priority="4">
      <formula>ISBLANK($G$3)</formula>
    </cfRule>
  </conditionalFormatting>
  <conditionalFormatting sqref="G5">
    <cfRule type="expression" dxfId="79" priority="3">
      <formula>ISBLANK($G$5)</formula>
    </cfRule>
  </conditionalFormatting>
  <conditionalFormatting sqref="G7">
    <cfRule type="expression" dxfId="78" priority="2">
      <formula>ISBLANK($G$7)</formula>
    </cfRule>
  </conditionalFormatting>
  <conditionalFormatting sqref="D3">
    <cfRule type="expression" dxfId="77" priority="1">
      <formula>ISBLANK($D$3)</formula>
    </cfRule>
  </conditionalFormatting>
  <dataValidations count="8">
    <dataValidation type="list" allowBlank="1" showInputMessage="1" showErrorMessage="1" sqref="E13:E22" xr:uid="{00000000-0002-0000-0300-000000000000}">
      <formula1>Extent</formula1>
    </dataValidation>
    <dataValidation type="list" allowBlank="1" showInputMessage="1" showErrorMessage="1" sqref="D3" xr:uid="{00000000-0002-0000-0300-000001000000}">
      <formula1>Context</formula1>
    </dataValidation>
    <dataValidation type="textLength" allowBlank="1" showInputMessage="1" showErrorMessage="1" sqref="G3" xr:uid="{00000000-0002-0000-0300-000002000000}">
      <formula1>1</formula1>
      <formula2>250</formula2>
    </dataValidation>
    <dataValidation type="decimal" allowBlank="1" showInputMessage="1" showErrorMessage="1" sqref="D13:D22" xr:uid="{00000000-0002-0000-0300-000003000000}">
      <formula1>-9.99999999999999E+39</formula1>
      <formula2>9.99999999999999E+34</formula2>
    </dataValidation>
    <dataValidation type="list" allowBlank="1" showInputMessage="1" showErrorMessage="1" sqref="D5" xr:uid="{E1E4D605-E79B-4CEE-A9E8-3E0AE4FE66B9}">
      <formula1>YesNo</formula1>
    </dataValidation>
    <dataValidation type="list" allowBlank="1" showInputMessage="1" showErrorMessage="1" sqref="D7:D8" xr:uid="{283AD1D5-FBDE-403A-94BC-B55F7B12C77A}">
      <formula1>YesNoApp</formula1>
    </dataValidation>
    <dataValidation type="decimal" allowBlank="1" showInputMessage="1" showErrorMessage="1" sqref="D10" xr:uid="{351008E8-216B-4C81-8D1C-CD539B544B2E}">
      <formula1>0</formula1>
      <formula2>9.99999999999999E+39</formula2>
    </dataValidation>
    <dataValidation type="decimal" operator="greaterThanOrEqual" allowBlank="1" showInputMessage="1" showErrorMessage="1" error="Please enter a positive value representing the absolute value of the scoped item." sqref="G7" xr:uid="{E4122799-495E-46E7-AC6A-8B7EDF4A584F}">
      <formula1>0</formula1>
    </dataValidation>
  </dataValidations>
  <pageMargins left="0.25" right="0.25" top="0.75" bottom="0.75" header="0.3" footer="0.3"/>
  <pageSetup scale="82" orientation="landscape" r:id="rId1"/>
  <headerFooter>
    <oddFooter>&amp;C&amp;P of &amp;N&amp;R&amp;A</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6" id="{00000000-000E-0000-0200-000003000000}">
            <xm:f>$D$5&lt;&gt;Drop!$A$14</xm:f>
            <x14:dxf>
              <font>
                <color rgb="FF4F2D7F"/>
              </font>
              <fill>
                <patternFill>
                  <bgColor rgb="FF4F2D7F"/>
                </patternFill>
              </fill>
            </x14:dxf>
          </x14:cfRule>
          <xm:sqref>C7:D7</xm:sqref>
        </x14:conditionalFormatting>
        <x14:conditionalFormatting xmlns:xm="http://schemas.microsoft.com/office/excel/2006/main">
          <x14:cfRule type="expression" priority="10" id="{8D558510-B31B-4FBF-8171-4E2E402397A9}">
            <xm:f>AND($D$5=Drop!$A$14,ISBLANK($D$7))</xm:f>
            <x14:dxf>
              <fill>
                <patternFill>
                  <bgColor rgb="FFFFE699"/>
                </patternFill>
              </fill>
              <border>
                <left style="thin">
                  <color rgb="FFFF0000"/>
                </left>
                <right style="thin">
                  <color rgb="FFFF0000"/>
                </right>
                <top style="thin">
                  <color rgb="FFFF0000"/>
                </top>
                <bottom style="thin">
                  <color rgb="FFFF0000"/>
                </bottom>
              </border>
            </x14:dxf>
          </x14:cfRule>
          <xm:sqref>D7:D8</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B4E2-446B-4758-A742-96BA8CCAA8F8}">
  <sheetPr codeName="sheet0Statistical">
    <pageSetUpPr fitToPage="1"/>
  </sheetPr>
  <dimension ref="A1:AM78"/>
  <sheetViews>
    <sheetView showGridLines="0" zoomScale="80" zoomScaleNormal="80" workbookViewId="0">
      <selection activeCell="E10" sqref="E10"/>
    </sheetView>
  </sheetViews>
  <sheetFormatPr defaultColWidth="9.140625" defaultRowHeight="12.75" outlineLevelCol="1" x14ac:dyDescent="0.2"/>
  <cols>
    <col min="1" max="1" width="2.7109375" style="42" customWidth="1"/>
    <col min="2" max="2" width="5.7109375" style="43" customWidth="1"/>
    <col min="3" max="5" width="25.7109375" style="43" customWidth="1"/>
    <col min="6" max="6" width="1.7109375" style="43" customWidth="1"/>
    <col min="7" max="7" width="1.140625" style="43" customWidth="1"/>
    <col min="8" max="8" width="5.7109375" style="43" customWidth="1"/>
    <col min="9" max="9" width="17.7109375" style="43" customWidth="1"/>
    <col min="10" max="11" width="5.7109375" style="43" customWidth="1"/>
    <col min="12" max="12" width="17.7109375" style="43" customWidth="1"/>
    <col min="13" max="13" width="5.7109375" style="43" customWidth="1"/>
    <col min="14" max="14" width="9.7109375" style="43" customWidth="1"/>
    <col min="15" max="15" width="5.7109375" style="43" customWidth="1"/>
    <col min="16" max="16" width="15.7109375" style="43" customWidth="1"/>
    <col min="17" max="17" width="10.7109375" style="43" customWidth="1"/>
    <col min="18" max="18" width="1.42578125" style="43" customWidth="1"/>
    <col min="19" max="21" width="5.7109375" style="43" customWidth="1"/>
    <col min="22" max="22" width="11.7109375" style="43" customWidth="1"/>
    <col min="23" max="27" width="5.7109375" style="43" customWidth="1"/>
    <col min="28" max="28" width="21.7109375" style="43" customWidth="1"/>
    <col min="29" max="29" width="4.28515625" style="43" hidden="1" customWidth="1" outlineLevel="1"/>
    <col min="30" max="30" width="2.7109375" style="42" hidden="1" customWidth="1" outlineLevel="1"/>
    <col min="31" max="31" width="9.140625" style="43" hidden="1" customWidth="1" outlineLevel="1"/>
    <col min="32" max="32" width="15.7109375" style="43" hidden="1" customWidth="1" outlineLevel="1"/>
    <col min="33" max="33" width="14.28515625" style="43" hidden="1" customWidth="1" outlineLevel="1"/>
    <col min="34" max="34" width="16.140625" style="43" hidden="1" customWidth="1" outlineLevel="1"/>
    <col min="35" max="35" width="13.28515625" style="43" hidden="1" customWidth="1" outlineLevel="1"/>
    <col min="36" max="36" width="14.28515625" style="43" hidden="1" customWidth="1" outlineLevel="1"/>
    <col min="37" max="37" width="15.5703125" style="43" hidden="1" customWidth="1" outlineLevel="1"/>
    <col min="38" max="38" width="18.7109375" style="43" hidden="1" customWidth="1" outlineLevel="1"/>
    <col min="39" max="39" width="9.140625" style="43" customWidth="1" collapsed="1"/>
    <col min="40" max="42" width="9.140625" style="43" customWidth="1"/>
    <col min="43" max="16384" width="9.140625" style="43"/>
  </cols>
  <sheetData>
    <row r="1" spans="1:37" s="3" customFormat="1" ht="21.75" thickBot="1" x14ac:dyDescent="0.3">
      <c r="A1" s="1"/>
      <c r="B1" s="485"/>
      <c r="C1" s="486"/>
      <c r="D1" s="486"/>
      <c r="E1" s="4"/>
      <c r="F1" s="1"/>
      <c r="G1" s="1"/>
      <c r="H1" s="1"/>
      <c r="I1" s="1"/>
      <c r="J1" s="1"/>
      <c r="K1" s="1"/>
      <c r="L1" s="1"/>
      <c r="M1" s="1"/>
      <c r="S1" s="2"/>
      <c r="T1" s="2"/>
      <c r="U1" s="2"/>
      <c r="V1" s="2"/>
      <c r="W1" s="2"/>
      <c r="X1" s="2"/>
      <c r="Y1" s="2"/>
      <c r="Z1" s="2"/>
      <c r="AA1" s="2"/>
      <c r="AB1" s="2"/>
      <c r="AC1" s="1"/>
      <c r="AD1" s="5"/>
      <c r="AF1" s="15" t="s">
        <v>32</v>
      </c>
      <c r="AG1" s="3" t="s">
        <v>1</v>
      </c>
    </row>
    <row r="2" spans="1:37" ht="12.95" customHeight="1" x14ac:dyDescent="0.2">
      <c r="A2" s="45"/>
      <c r="B2" s="46"/>
      <c r="C2" s="47"/>
      <c r="D2" s="47"/>
      <c r="E2" s="47"/>
      <c r="F2" s="47"/>
      <c r="G2" s="47"/>
      <c r="H2" s="47"/>
      <c r="I2" s="47"/>
      <c r="J2" s="48"/>
      <c r="K2" s="48"/>
      <c r="L2" s="48"/>
      <c r="M2" s="49"/>
      <c r="N2" s="49"/>
      <c r="O2" s="49"/>
      <c r="P2" s="49"/>
      <c r="Q2" s="49"/>
      <c r="R2" s="49"/>
      <c r="S2" s="49"/>
      <c r="T2" s="49"/>
      <c r="U2" s="49"/>
      <c r="V2" s="49"/>
      <c r="W2" s="49"/>
      <c r="X2" s="49"/>
      <c r="Y2" s="49"/>
      <c r="Z2" s="49"/>
      <c r="AA2" s="49"/>
      <c r="AB2" s="50"/>
      <c r="AC2" s="42"/>
      <c r="AF2" s="51"/>
      <c r="AG2" s="51"/>
    </row>
    <row r="3" spans="1:37" ht="12.95" customHeight="1" x14ac:dyDescent="0.2">
      <c r="A3" s="52"/>
      <c r="B3" s="53"/>
      <c r="C3" s="55" t="str">
        <f>Drop!A102</f>
        <v>Name of population:</v>
      </c>
      <c r="D3" s="493"/>
      <c r="E3" s="494"/>
      <c r="F3" s="54"/>
      <c r="G3" s="54"/>
      <c r="H3" s="54"/>
      <c r="I3" s="54"/>
      <c r="J3" s="56"/>
      <c r="K3" s="57"/>
      <c r="L3" s="57"/>
      <c r="M3" s="57"/>
      <c r="N3" s="57"/>
      <c r="O3" s="57"/>
      <c r="P3" s="57"/>
      <c r="Q3" s="57"/>
      <c r="R3" s="57"/>
      <c r="S3" s="57"/>
      <c r="T3" s="57"/>
      <c r="U3" s="57"/>
      <c r="V3" s="58"/>
      <c r="W3" s="59"/>
      <c r="X3" s="59"/>
      <c r="Y3" s="59"/>
      <c r="Z3" s="59"/>
      <c r="AA3" s="59"/>
      <c r="AB3" s="60"/>
      <c r="AC3" s="42"/>
      <c r="AF3" s="51"/>
      <c r="AG3" s="51"/>
      <c r="AH3" s="51"/>
      <c r="AI3" s="51"/>
    </row>
    <row r="4" spans="1:37" ht="12.95" customHeight="1" x14ac:dyDescent="0.2">
      <c r="A4" s="41"/>
      <c r="B4" s="61"/>
      <c r="C4" s="55" t="str">
        <f>Drop!A103</f>
        <v>Applicable sampling plan:</v>
      </c>
      <c r="D4" s="495" t="str">
        <f>Summary!D3</f>
        <v>GTSP</v>
      </c>
      <c r="E4" s="496"/>
      <c r="F4" s="54"/>
      <c r="G4" s="54"/>
      <c r="H4" s="54"/>
      <c r="I4" s="54"/>
      <c r="J4" s="54"/>
      <c r="K4" s="57" t="str">
        <f>Drop!A105</f>
        <v>High Confidence (Other Criteria)?:</v>
      </c>
      <c r="L4" s="487" t="str">
        <f>IF(ISBLANK(Summary!D7),Drop!A247,Summary!D7)</f>
        <v>No - not applicable</v>
      </c>
      <c r="M4" s="488"/>
      <c r="N4" s="488"/>
      <c r="O4" s="489"/>
      <c r="P4" s="182"/>
      <c r="Q4" s="57"/>
      <c r="R4" s="57"/>
      <c r="S4" s="57"/>
      <c r="T4" s="57"/>
      <c r="U4" s="57"/>
      <c r="V4" s="58"/>
      <c r="W4" s="59"/>
      <c r="X4" s="59"/>
      <c r="Y4" s="59"/>
      <c r="Z4" s="59"/>
      <c r="AA4" s="59"/>
      <c r="AB4" s="60"/>
      <c r="AC4" s="42"/>
      <c r="AF4" s="51"/>
      <c r="AG4" s="51"/>
      <c r="AH4" s="51"/>
      <c r="AI4" s="51"/>
    </row>
    <row r="5" spans="1:37" ht="12.95" customHeight="1" x14ac:dyDescent="0.2">
      <c r="A5" s="41"/>
      <c r="B5" s="62"/>
      <c r="C5" s="57" t="str">
        <f>Drop!A104</f>
        <v>Listed / Higher Risk?:</v>
      </c>
      <c r="D5" s="497">
        <f>Summary!D5</f>
        <v>0</v>
      </c>
      <c r="E5" s="498"/>
      <c r="F5" s="54"/>
      <c r="G5" s="54"/>
      <c r="H5" s="54"/>
      <c r="I5" s="54"/>
      <c r="J5" s="54"/>
      <c r="K5" s="57" t="str">
        <f>Drop!A106</f>
        <v>Tolerable misstatement:</v>
      </c>
      <c r="L5" s="490">
        <f>Summary!D10</f>
        <v>0</v>
      </c>
      <c r="M5" s="491"/>
      <c r="N5" s="491"/>
      <c r="O5" s="492"/>
      <c r="P5" s="57"/>
      <c r="Q5" s="57"/>
      <c r="R5" s="57"/>
      <c r="S5" s="57"/>
      <c r="T5" s="57"/>
      <c r="U5" s="57"/>
      <c r="V5" s="58"/>
      <c r="W5" s="59"/>
      <c r="X5" s="59"/>
      <c r="Y5" s="59"/>
      <c r="Z5" s="59"/>
      <c r="AA5" s="59"/>
      <c r="AB5" s="60"/>
      <c r="AC5" s="42"/>
      <c r="AF5" s="51" t="s">
        <v>162</v>
      </c>
      <c r="AG5" s="51" t="b">
        <f>OR(E11=Drop!A37)</f>
        <v>0</v>
      </c>
      <c r="AH5" s="63"/>
      <c r="AI5" s="63"/>
      <c r="AJ5" s="63"/>
      <c r="AK5" s="63"/>
    </row>
    <row r="6" spans="1:37" ht="12.95" customHeight="1" thickBot="1" x14ac:dyDescent="0.25">
      <c r="A6" s="41"/>
      <c r="B6" s="64"/>
      <c r="C6" s="65"/>
      <c r="D6" s="65"/>
      <c r="E6" s="65"/>
      <c r="F6" s="65"/>
      <c r="G6" s="65"/>
      <c r="H6" s="65"/>
      <c r="I6" s="65"/>
      <c r="J6" s="65"/>
      <c r="K6" s="65"/>
      <c r="L6" s="65"/>
      <c r="M6" s="65"/>
      <c r="N6" s="65"/>
      <c r="O6" s="65"/>
      <c r="P6" s="65"/>
      <c r="Q6" s="65"/>
      <c r="R6" s="65"/>
      <c r="S6" s="65"/>
      <c r="T6" s="65"/>
      <c r="U6" s="65"/>
      <c r="V6" s="65"/>
      <c r="W6" s="65"/>
      <c r="X6" s="65"/>
      <c r="Y6" s="65"/>
      <c r="Z6" s="65"/>
      <c r="AA6" s="65"/>
      <c r="AB6" s="66"/>
      <c r="AC6" s="42"/>
      <c r="AF6" s="51" t="s">
        <v>36</v>
      </c>
      <c r="AG6" s="51" t="b">
        <f>OR(D5=Drop!A13,L4=Drop!A246)</f>
        <v>0</v>
      </c>
      <c r="AH6" s="67"/>
      <c r="AI6" s="67"/>
      <c r="AJ6" s="67"/>
      <c r="AK6" s="67"/>
    </row>
    <row r="7" spans="1:37" ht="13.5" thickBot="1" x14ac:dyDescent="0.25">
      <c r="A7" s="68"/>
      <c r="B7" s="69"/>
      <c r="C7" s="69"/>
      <c r="D7" s="68"/>
      <c r="E7" s="68"/>
      <c r="F7" s="68"/>
      <c r="G7" s="68"/>
      <c r="H7" s="68"/>
      <c r="I7" s="68"/>
      <c r="J7" s="68"/>
      <c r="K7" s="68"/>
      <c r="L7" s="68"/>
      <c r="M7" s="68"/>
      <c r="N7" s="68"/>
      <c r="O7" s="68"/>
      <c r="P7" s="68"/>
      <c r="Q7" s="68"/>
      <c r="R7" s="68"/>
      <c r="S7" s="68"/>
      <c r="T7" s="68"/>
      <c r="U7" s="68"/>
      <c r="V7" s="68"/>
      <c r="W7" s="68"/>
      <c r="X7" s="68"/>
      <c r="Y7" s="42"/>
      <c r="Z7" s="42"/>
      <c r="AA7" s="42"/>
      <c r="AB7" s="42"/>
      <c r="AC7" s="42"/>
      <c r="AF7" s="51" t="s">
        <v>37</v>
      </c>
      <c r="AG7" s="70">
        <f>IF(AG6=TRUE,5%,10%)</f>
        <v>0.1</v>
      </c>
      <c r="AH7" s="67"/>
      <c r="AI7" s="67"/>
      <c r="AJ7" s="67"/>
      <c r="AK7" s="67"/>
    </row>
    <row r="8" spans="1:37" s="42" customFormat="1" ht="13.5" thickBot="1" x14ac:dyDescent="0.25">
      <c r="B8" s="71" t="str">
        <f>Drop!A93</f>
        <v>Step 1 - Determine the objective of the test</v>
      </c>
      <c r="C8" s="72"/>
      <c r="D8" s="72"/>
      <c r="E8" s="72"/>
      <c r="F8" s="73"/>
      <c r="H8" s="74" t="str">
        <f>Drop!A95</f>
        <v>Step 3 - Sampling technique</v>
      </c>
      <c r="I8" s="75"/>
      <c r="J8" s="75"/>
      <c r="K8" s="75"/>
      <c r="L8" s="75"/>
      <c r="M8" s="75"/>
      <c r="N8" s="75"/>
      <c r="O8" s="75"/>
      <c r="P8" s="75"/>
      <c r="Q8" s="76"/>
      <c r="S8" s="74" t="str">
        <f>Drop!A97</f>
        <v>Step 5 - Select the sample</v>
      </c>
      <c r="T8" s="75"/>
      <c r="U8" s="75"/>
      <c r="V8" s="75"/>
      <c r="W8" s="75"/>
      <c r="X8" s="75"/>
      <c r="Y8" s="75"/>
      <c r="Z8" s="75"/>
      <c r="AA8" s="75"/>
      <c r="AB8" s="76"/>
      <c r="AF8" s="51" t="s">
        <v>27</v>
      </c>
      <c r="AG8" s="157" t="str">
        <f>D4</f>
        <v>GTSP</v>
      </c>
      <c r="AH8" s="77"/>
      <c r="AI8" s="77"/>
      <c r="AJ8" s="77"/>
      <c r="AK8" s="77"/>
    </row>
    <row r="9" spans="1:37" s="42" customFormat="1" ht="15" customHeight="1" x14ac:dyDescent="0.2">
      <c r="B9" s="78"/>
      <c r="C9" s="79"/>
      <c r="D9" s="79"/>
      <c r="E9" s="79"/>
      <c r="F9" s="80"/>
      <c r="H9" s="475" t="str">
        <f>IF(AG2=TRUE,Drop!A88,"")</f>
        <v/>
      </c>
      <c r="I9" s="476"/>
      <c r="J9" s="476"/>
      <c r="K9" s="476"/>
      <c r="L9" s="476"/>
      <c r="M9" s="476"/>
      <c r="N9" s="476"/>
      <c r="O9" s="476"/>
      <c r="P9" s="476"/>
      <c r="Q9" s="477"/>
      <c r="S9" s="81"/>
      <c r="T9" s="39"/>
      <c r="U9" s="39"/>
      <c r="V9" s="39"/>
      <c r="W9" s="39"/>
      <c r="X9" s="39"/>
      <c r="Y9" s="39"/>
      <c r="Z9" s="39"/>
      <c r="AA9" s="39"/>
      <c r="AB9" s="82"/>
      <c r="AF9" s="51" t="s">
        <v>43</v>
      </c>
      <c r="AG9" s="157">
        <f>VLOOKUP(AG8,Drop!A17:B19,2,FALSE)</f>
        <v>2</v>
      </c>
      <c r="AH9" s="77"/>
      <c r="AI9" s="77"/>
      <c r="AJ9" s="77"/>
      <c r="AK9" s="77"/>
    </row>
    <row r="10" spans="1:37" ht="20.100000000000001" customHeight="1" x14ac:dyDescent="0.2">
      <c r="B10" s="482" t="str">
        <f>Drop!A108</f>
        <v>Assertion being tested</v>
      </c>
      <c r="C10" s="483"/>
      <c r="D10" s="484"/>
      <c r="E10" s="278"/>
      <c r="F10" s="274"/>
      <c r="G10" s="42"/>
      <c r="H10" s="478"/>
      <c r="I10" s="479"/>
      <c r="J10" s="479"/>
      <c r="K10" s="479"/>
      <c r="L10" s="479"/>
      <c r="M10" s="479"/>
      <c r="N10" s="479"/>
      <c r="O10" s="479"/>
      <c r="P10" s="479"/>
      <c r="Q10" s="480"/>
      <c r="R10" s="42"/>
      <c r="S10" s="154" t="str">
        <f>Drop!A139</f>
        <v>Selection method used</v>
      </c>
      <c r="T10" s="39"/>
      <c r="U10" s="39"/>
      <c r="V10" s="39"/>
      <c r="W10" s="39"/>
      <c r="X10" s="39"/>
      <c r="Y10" s="448" t="s">
        <v>187</v>
      </c>
      <c r="Z10" s="450"/>
      <c r="AA10" s="450"/>
      <c r="AB10" s="451"/>
      <c r="AC10" s="42"/>
      <c r="AF10" s="51" t="s">
        <v>39</v>
      </c>
      <c r="AG10" s="70" t="e">
        <f>VLOOKUP(E11,Drop!A$37:D$39,AG9,FALSE)</f>
        <v>#N/A</v>
      </c>
      <c r="AH10" s="63"/>
      <c r="AI10" s="63"/>
      <c r="AJ10" s="63"/>
      <c r="AK10" s="63"/>
    </row>
    <row r="11" spans="1:37" ht="26.1" customHeight="1" x14ac:dyDescent="0.2">
      <c r="B11" s="482" t="str">
        <f>Drop!A109</f>
        <v>Inherent risk assessment</v>
      </c>
      <c r="C11" s="483"/>
      <c r="D11" s="484"/>
      <c r="E11" s="277"/>
      <c r="F11" s="274"/>
      <c r="G11" s="42"/>
      <c r="H11" s="83"/>
      <c r="I11" s="39"/>
      <c r="J11" s="39"/>
      <c r="K11" s="481" t="str">
        <f>Drop!A120</f>
        <v>Statistical Sampling</v>
      </c>
      <c r="L11" s="481"/>
      <c r="M11" s="481"/>
      <c r="N11" s="481"/>
      <c r="O11" s="39"/>
      <c r="P11" s="39"/>
      <c r="Q11" s="82"/>
      <c r="R11" s="42"/>
      <c r="S11" s="83"/>
      <c r="T11" s="39"/>
      <c r="U11" s="39"/>
      <c r="V11" s="39"/>
      <c r="W11" s="39"/>
      <c r="X11" s="39"/>
      <c r="Y11" s="39"/>
      <c r="Z11" s="39"/>
      <c r="AA11" s="39"/>
      <c r="AB11" s="82"/>
      <c r="AC11" s="42"/>
      <c r="AF11" s="51" t="s">
        <v>40</v>
      </c>
      <c r="AG11" s="70" t="str">
        <f>IF(ISBLANK(E12),"",IF(E12=Drop!A43,Drop!B43,VLOOKUP(E13,Drop!A44:D46,AG9,FALSE)))</f>
        <v/>
      </c>
      <c r="AH11" s="84" t="s">
        <v>168</v>
      </c>
      <c r="AI11" s="51" t="b">
        <f>E12=Drop!A45</f>
        <v>0</v>
      </c>
      <c r="AJ11" s="51" t="str">
        <f>IF(AI$11=TRUE,Drop!A13,"")</f>
        <v/>
      </c>
      <c r="AK11" s="43" t="str">
        <f>IF(AI$11=TRUE,Drop!A14,"")</f>
        <v/>
      </c>
    </row>
    <row r="12" spans="1:37" ht="26.1" customHeight="1" x14ac:dyDescent="0.2">
      <c r="B12" s="469" t="str">
        <f>Drop!A110</f>
        <v>Nature of reliance on controls</v>
      </c>
      <c r="C12" s="470"/>
      <c r="D12" s="471"/>
      <c r="E12" s="278"/>
      <c r="F12" s="274"/>
      <c r="G12" s="42"/>
      <c r="H12" s="83"/>
      <c r="I12" s="39"/>
      <c r="J12" s="39"/>
      <c r="K12" s="39"/>
      <c r="L12" s="39"/>
      <c r="M12" s="39"/>
      <c r="N12" s="39"/>
      <c r="O12" s="39"/>
      <c r="P12" s="39"/>
      <c r="Q12" s="82"/>
      <c r="R12" s="42"/>
      <c r="S12" s="154" t="str">
        <f>Drop!A140</f>
        <v>Sampling interval</v>
      </c>
      <c r="T12" s="39"/>
      <c r="U12" s="39"/>
      <c r="V12" s="39"/>
      <c r="W12" s="39"/>
      <c r="X12" s="39"/>
      <c r="Y12" s="464" t="str" cm="1">
        <f t="array" ref="Y12">_xlfn.IFS(ISBLANK(Y10),"",AND(Y10=Drop!A62,O12=Drop!A125),Drop!A228,Y10&lt;&gt;Drop!A62,Drop!A222,ISERROR(AG25),Drop!A219,TRUE,AG25)</f>
        <v>Verify all inputs</v>
      </c>
      <c r="Z12" s="465"/>
      <c r="AA12" s="465"/>
      <c r="AB12" s="466"/>
      <c r="AC12" s="42"/>
      <c r="AF12" s="51" t="s">
        <v>41</v>
      </c>
      <c r="AG12" s="70" t="e">
        <f>VLOOKUP(K19,Drop!A52:D54,AG9,FALSE)</f>
        <v>#N/A</v>
      </c>
      <c r="AH12" s="63"/>
      <c r="AK12" s="63"/>
    </row>
    <row r="13" spans="1:37" ht="20.100000000000001" customHeight="1" x14ac:dyDescent="0.2">
      <c r="B13" s="469" t="str">
        <f>Drop!A48</f>
        <v>Extent of reliance on controls</v>
      </c>
      <c r="C13" s="470"/>
      <c r="D13" s="471"/>
      <c r="E13" s="278"/>
      <c r="F13" s="274"/>
      <c r="G13" s="42"/>
      <c r="H13" s="83"/>
      <c r="I13" s="39"/>
      <c r="J13" s="39"/>
      <c r="K13" s="39"/>
      <c r="L13" s="39"/>
      <c r="M13" s="39"/>
      <c r="N13" s="39"/>
      <c r="O13" s="39"/>
      <c r="P13" s="39"/>
      <c r="Q13" s="82"/>
      <c r="R13" s="42"/>
      <c r="S13" s="154"/>
      <c r="T13" s="39"/>
      <c r="U13" s="39"/>
      <c r="V13" s="39"/>
      <c r="W13" s="39"/>
      <c r="X13" s="39"/>
      <c r="Y13" s="234"/>
      <c r="Z13" s="234"/>
      <c r="AA13" s="234"/>
      <c r="AB13" s="235"/>
      <c r="AC13" s="42"/>
      <c r="AF13" s="51"/>
      <c r="AG13" s="70"/>
      <c r="AH13" s="63"/>
      <c r="AK13" s="63"/>
    </row>
    <row r="14" spans="1:37" ht="15.75" customHeight="1" thickBot="1" x14ac:dyDescent="0.25">
      <c r="B14" s="215"/>
      <c r="C14" s="216"/>
      <c r="D14" s="467"/>
      <c r="E14" s="467"/>
      <c r="F14" s="468"/>
      <c r="G14" s="42"/>
      <c r="H14" s="85"/>
      <c r="I14" s="86"/>
      <c r="J14" s="86"/>
      <c r="K14" s="86"/>
      <c r="L14" s="86"/>
      <c r="M14" s="86"/>
      <c r="N14" s="86"/>
      <c r="O14" s="86"/>
      <c r="P14" s="86"/>
      <c r="Q14" s="87"/>
      <c r="R14" s="42"/>
      <c r="S14" s="85"/>
      <c r="T14" s="86"/>
      <c r="U14" s="86"/>
      <c r="V14" s="86"/>
      <c r="W14" s="86"/>
      <c r="X14" s="86"/>
      <c r="Y14" s="86"/>
      <c r="Z14" s="86"/>
      <c r="AA14" s="86"/>
      <c r="AB14" s="87"/>
      <c r="AC14" s="42"/>
      <c r="AF14" s="51" t="s">
        <v>38</v>
      </c>
      <c r="AG14" s="70" t="e">
        <f>VLOOKUP(K20,Drop!A52:D54,AG9,FALSE)</f>
        <v>#N/A</v>
      </c>
      <c r="AH14" s="88"/>
      <c r="AI14" s="88"/>
      <c r="AJ14" s="88"/>
      <c r="AK14" s="88"/>
    </row>
    <row r="15" spans="1:37" ht="13.5" thickBot="1" x14ac:dyDescent="0.25">
      <c r="B15" s="42"/>
      <c r="C15" s="42"/>
      <c r="D15" s="42"/>
      <c r="E15" s="42"/>
      <c r="F15" s="42"/>
      <c r="G15" s="42"/>
      <c r="H15" s="42"/>
      <c r="I15" s="42"/>
      <c r="J15" s="42"/>
      <c r="K15" s="42"/>
      <c r="L15" s="42"/>
      <c r="M15" s="42"/>
      <c r="N15" s="42"/>
      <c r="O15" s="42"/>
      <c r="P15" s="42"/>
      <c r="Q15" s="42"/>
      <c r="R15" s="42"/>
      <c r="S15" s="89"/>
      <c r="T15" s="90"/>
      <c r="U15" s="90"/>
      <c r="V15" s="90"/>
      <c r="W15" s="90"/>
      <c r="X15" s="90"/>
      <c r="Y15" s="90"/>
      <c r="Z15" s="90"/>
      <c r="AA15" s="90"/>
      <c r="AB15" s="90"/>
      <c r="AC15" s="42"/>
      <c r="AF15" s="51" t="s">
        <v>212</v>
      </c>
      <c r="AG15" s="70" t="e">
        <f>VLOOKUP(K21,Drop!A58:D59,AG9,FALSE)</f>
        <v>#N/A</v>
      </c>
      <c r="AH15" s="91"/>
      <c r="AI15" s="91"/>
      <c r="AJ15" s="91"/>
      <c r="AK15" s="91"/>
    </row>
    <row r="16" spans="1:37" ht="13.5" thickBot="1" x14ac:dyDescent="0.25">
      <c r="B16" s="74" t="str">
        <f>Drop!A94</f>
        <v>Step 2 - Define and analyze the population</v>
      </c>
      <c r="C16" s="75"/>
      <c r="D16" s="75"/>
      <c r="E16" s="75"/>
      <c r="F16" s="76"/>
      <c r="G16" s="42"/>
      <c r="H16" s="74" t="str">
        <f>Drop!A96</f>
        <v>Step 4 - Determine the sample size</v>
      </c>
      <c r="I16" s="75"/>
      <c r="J16" s="75"/>
      <c r="K16" s="75"/>
      <c r="L16" s="75"/>
      <c r="M16" s="75"/>
      <c r="N16" s="75"/>
      <c r="O16" s="75"/>
      <c r="P16" s="75"/>
      <c r="Q16" s="76"/>
      <c r="R16" s="42"/>
      <c r="S16" s="92" t="str">
        <f>Drop!A98</f>
        <v>Step 6 - Test the sampled items</v>
      </c>
      <c r="T16" s="75"/>
      <c r="U16" s="75"/>
      <c r="V16" s="75"/>
      <c r="W16" s="75"/>
      <c r="X16" s="75"/>
      <c r="Y16" s="75"/>
      <c r="Z16" s="75"/>
      <c r="AA16" s="75"/>
      <c r="AB16" s="76"/>
      <c r="AC16" s="42"/>
      <c r="AF16" s="51" t="s">
        <v>45</v>
      </c>
      <c r="AG16" s="70" t="e">
        <f>AG7/(AG10*AG11*AG12*AG14*AG15)</f>
        <v>#N/A</v>
      </c>
    </row>
    <row r="17" spans="1:39" x14ac:dyDescent="0.2">
      <c r="B17" s="94"/>
      <c r="C17" s="95"/>
      <c r="D17" s="95"/>
      <c r="E17" s="95"/>
      <c r="F17" s="96"/>
      <c r="G17" s="42"/>
      <c r="H17" s="190"/>
      <c r="I17" s="97"/>
      <c r="J17" s="97"/>
      <c r="K17" s="97"/>
      <c r="L17" s="97"/>
      <c r="M17" s="97"/>
      <c r="N17" s="97"/>
      <c r="O17" s="97"/>
      <c r="P17" s="97"/>
      <c r="Q17" s="98"/>
      <c r="R17" s="42"/>
      <c r="S17" s="83"/>
      <c r="T17" s="39"/>
      <c r="U17" s="39"/>
      <c r="V17" s="39"/>
      <c r="W17" s="39"/>
      <c r="X17" s="39"/>
      <c r="Y17" s="39"/>
      <c r="Z17" s="39"/>
      <c r="AA17" s="39"/>
      <c r="AB17" s="82"/>
      <c r="AC17" s="42"/>
      <c r="AF17" s="51" t="s">
        <v>46</v>
      </c>
      <c r="AG17" s="93" t="e">
        <f>1-AG16</f>
        <v>#N/A</v>
      </c>
    </row>
    <row r="18" spans="1:39" ht="15" x14ac:dyDescent="0.25">
      <c r="B18" s="472" t="str">
        <f>Drop!A112</f>
        <v>Absolute value of the population</v>
      </c>
      <c r="C18" s="473"/>
      <c r="D18" s="474"/>
      <c r="E18" s="294"/>
      <c r="F18" s="261"/>
      <c r="G18" s="42"/>
      <c r="H18" s="154" t="str">
        <f>Drop!A130</f>
        <v>Evidence provided by:</v>
      </c>
      <c r="I18" s="39"/>
      <c r="J18" s="39"/>
      <c r="K18" s="39"/>
      <c r="L18" s="39"/>
      <c r="M18" s="452" t="str">
        <f>Drop!A82</f>
        <v>Describe procedures</v>
      </c>
      <c r="N18" s="453"/>
      <c r="O18" s="453"/>
      <c r="P18" s="453"/>
      <c r="Q18" s="454"/>
      <c r="R18" s="42"/>
      <c r="S18" s="455" t="str">
        <f>Drop!A142</f>
        <v>Reference working paper where testing is documented:</v>
      </c>
      <c r="T18" s="456"/>
      <c r="U18" s="456"/>
      <c r="V18" s="456"/>
      <c r="W18" s="456"/>
      <c r="X18" s="456"/>
      <c r="Y18" s="457"/>
      <c r="Z18" s="458"/>
      <c r="AA18" s="459"/>
      <c r="AB18" s="460"/>
      <c r="AC18" s="42"/>
      <c r="AF18" s="51" t="s">
        <v>48</v>
      </c>
      <c r="AG18" s="99">
        <f>IF(E19=Drop!A14,(E18-E24-E25),(E20 - E24-E25))</f>
        <v>0</v>
      </c>
    </row>
    <row r="19" spans="1:39" ht="30" customHeight="1" x14ac:dyDescent="0.2">
      <c r="B19" s="472" t="str">
        <f>Drop!A67</f>
        <v>Testing less than 100% of the population?</v>
      </c>
      <c r="C19" s="473"/>
      <c r="D19" s="474"/>
      <c r="E19" s="277"/>
      <c r="F19" s="261"/>
      <c r="G19" s="42"/>
      <c r="H19" s="154" t="str">
        <f>Drop!A131</f>
        <v>Analytical procedures</v>
      </c>
      <c r="I19" s="103"/>
      <c r="J19" s="103"/>
      <c r="K19" s="448"/>
      <c r="L19" s="449"/>
      <c r="M19" s="448"/>
      <c r="N19" s="450"/>
      <c r="O19" s="450"/>
      <c r="P19" s="450"/>
      <c r="Q19" s="451"/>
      <c r="R19" s="42"/>
      <c r="S19" s="455"/>
      <c r="T19" s="456"/>
      <c r="U19" s="456"/>
      <c r="V19" s="456"/>
      <c r="W19" s="456"/>
      <c r="X19" s="456"/>
      <c r="Y19" s="457"/>
      <c r="Z19" s="461"/>
      <c r="AA19" s="462"/>
      <c r="AB19" s="463"/>
      <c r="AC19" s="42"/>
      <c r="AF19" s="51"/>
      <c r="AG19" s="99"/>
    </row>
    <row r="20" spans="1:39" ht="30" customHeight="1" thickBot="1" x14ac:dyDescent="0.25">
      <c r="B20" s="314" t="str">
        <f>IF(OR(ISBLANK(E19),E19=Drop!A14),"",Drop!A68)</f>
        <v/>
      </c>
      <c r="C20" s="315"/>
      <c r="D20" s="315"/>
      <c r="E20" s="260"/>
      <c r="F20" s="261"/>
      <c r="G20" s="42"/>
      <c r="H20" s="156" t="str">
        <f>Drop!A132</f>
        <v>Other tests of details</v>
      </c>
      <c r="I20" s="103"/>
      <c r="J20" s="103"/>
      <c r="K20" s="448"/>
      <c r="L20" s="449"/>
      <c r="M20" s="448"/>
      <c r="N20" s="450"/>
      <c r="O20" s="450"/>
      <c r="P20" s="450"/>
      <c r="Q20" s="451"/>
      <c r="R20" s="42"/>
      <c r="S20" s="85"/>
      <c r="T20" s="86"/>
      <c r="U20" s="86"/>
      <c r="V20" s="86"/>
      <c r="W20" s="86"/>
      <c r="X20" s="86"/>
      <c r="Y20" s="86"/>
      <c r="Z20" s="86"/>
      <c r="AA20" s="86"/>
      <c r="AB20" s="87"/>
      <c r="AC20" s="42"/>
      <c r="AF20" s="51" t="s">
        <v>49</v>
      </c>
      <c r="AG20" s="51" t="b">
        <f>OR(E24&gt;0,E25&gt;0,D24&gt;0,D25&gt;0)</f>
        <v>0</v>
      </c>
    </row>
    <row r="21" spans="1:39" ht="30" customHeight="1" x14ac:dyDescent="0.2">
      <c r="B21" s="258"/>
      <c r="C21" s="259"/>
      <c r="D21" s="279"/>
      <c r="E21" s="260"/>
      <c r="F21" s="261"/>
      <c r="G21" s="42"/>
      <c r="H21" s="156" t="str">
        <f>Drop!A133</f>
        <v>Audit data analytics</v>
      </c>
      <c r="I21" s="103"/>
      <c r="J21" s="103"/>
      <c r="K21" s="448"/>
      <c r="L21" s="449"/>
      <c r="M21" s="448"/>
      <c r="N21" s="450"/>
      <c r="O21" s="450"/>
      <c r="P21" s="450"/>
      <c r="Q21" s="451"/>
      <c r="R21" s="42"/>
      <c r="S21" s="68"/>
      <c r="T21" s="68"/>
      <c r="U21" s="68"/>
      <c r="V21" s="68"/>
      <c r="W21" s="68"/>
      <c r="X21" s="68"/>
      <c r="Y21" s="68"/>
      <c r="Z21" s="68"/>
      <c r="AA21" s="68"/>
      <c r="AB21" s="68"/>
      <c r="AC21" s="42"/>
      <c r="AF21" s="51" t="s">
        <v>99</v>
      </c>
      <c r="AG21" s="51" t="e">
        <f>OR(AG12&lt;100%,AG14&lt;100%)</f>
        <v>#N/A</v>
      </c>
    </row>
    <row r="22" spans="1:39" s="162" customFormat="1" ht="23.25" customHeight="1" x14ac:dyDescent="0.2">
      <c r="A22" s="155"/>
      <c r="B22" s="209" t="str">
        <f>Drop!A113</f>
        <v>High value or key items that will be tested separately:</v>
      </c>
      <c r="C22" s="210"/>
      <c r="D22" s="210"/>
      <c r="E22" s="210"/>
      <c r="F22" s="202"/>
      <c r="G22" s="155"/>
      <c r="H22" s="156" t="str">
        <f>Drop!A134</f>
        <v>Expected Aggregate Misstatement</v>
      </c>
      <c r="I22" s="103"/>
      <c r="J22" s="103"/>
      <c r="K22" s="103"/>
      <c r="L22" s="103"/>
      <c r="M22" s="440">
        <v>0.1</v>
      </c>
      <c r="N22" s="441"/>
      <c r="O22" s="442">
        <f>IF(ISBLANK(M22),"",$L$5*M22)</f>
        <v>0</v>
      </c>
      <c r="P22" s="443"/>
      <c r="Q22" s="444"/>
      <c r="R22" s="155"/>
      <c r="S22" s="155"/>
      <c r="T22" s="155"/>
      <c r="U22" s="155"/>
      <c r="V22" s="155"/>
      <c r="W22" s="155"/>
      <c r="X22" s="155"/>
      <c r="Y22" s="155"/>
      <c r="Z22" s="155"/>
      <c r="AA22" s="155"/>
      <c r="AB22" s="212"/>
      <c r="AC22" s="155"/>
      <c r="AD22" s="155"/>
      <c r="AF22" s="51"/>
      <c r="AG22" s="51"/>
    </row>
    <row r="23" spans="1:39" x14ac:dyDescent="0.2">
      <c r="B23" s="220"/>
      <c r="C23" s="214"/>
      <c r="D23" s="257" t="str">
        <f>Drop!A114</f>
        <v>Total number of items</v>
      </c>
      <c r="E23" s="254" t="str">
        <f>Drop!A115</f>
        <v>Total value</v>
      </c>
      <c r="F23" s="100"/>
      <c r="G23" s="42"/>
      <c r="H23" s="445" t="str" cm="1">
        <f t="array" ref="H23">_xlfn.IFS(ISBLANK(M22),"",ISERROR(O22),Drop!A219,M22&lt;Drop!F62,Drop!A79,M22&gt;=Drop!H62,Drop!A81,M22&gt;Drop!G62,Drop!A80,TRUE,"")</f>
        <v/>
      </c>
      <c r="I23" s="446"/>
      <c r="J23" s="446"/>
      <c r="K23" s="446"/>
      <c r="L23" s="446"/>
      <c r="M23" s="446"/>
      <c r="N23" s="446"/>
      <c r="O23" s="446"/>
      <c r="P23" s="446"/>
      <c r="Q23" s="447"/>
      <c r="R23" s="42"/>
      <c r="V23" s="187"/>
      <c r="AB23" s="213" t="str">
        <f>Drop!A243</f>
        <v>Legend</v>
      </c>
      <c r="AC23" s="42"/>
      <c r="AF23" s="163"/>
      <c r="AG23" s="163"/>
    </row>
    <row r="24" spans="1:39" ht="24.95" customHeight="1" x14ac:dyDescent="0.2">
      <c r="B24" s="220"/>
      <c r="C24" s="281" t="str">
        <f>Drop!A116</f>
        <v>Qualitative</v>
      </c>
      <c r="D24" s="256"/>
      <c r="E24" s="284"/>
      <c r="F24" s="100"/>
      <c r="G24" s="101"/>
      <c r="H24" s="228" t="str">
        <f>IF(E19=Drop!A13,Drop!A137,"")</f>
        <v/>
      </c>
      <c r="I24" s="232"/>
      <c r="J24" s="232"/>
      <c r="K24" s="232"/>
      <c r="L24" s="224"/>
      <c r="M24" s="224"/>
      <c r="N24" s="224"/>
      <c r="O24" s="442" t="str">
        <f>IF(AND(E19=Drop!A13,ISBLANK(M22)=FALSE),O22*E20/E18,"")</f>
        <v/>
      </c>
      <c r="P24" s="443"/>
      <c r="Q24" s="444"/>
      <c r="R24" s="42"/>
      <c r="V24" s="162"/>
      <c r="W24" s="162"/>
      <c r="X24" s="162"/>
      <c r="Y24" s="162"/>
      <c r="Z24" s="162"/>
      <c r="AA24" s="186" t="str">
        <f>Drop!A234</f>
        <v>System driven or calculated value</v>
      </c>
      <c r="AB24" s="188"/>
      <c r="AC24" s="42"/>
      <c r="AF24" s="51" t="s">
        <v>12</v>
      </c>
      <c r="AG24" s="157" t="str">
        <f>IF(ISBLANK(E19),Drop!A219,IF(E19=Drop!A13,IF(AG17&gt;0,ROUNDUP(PoissonSample(AG16,((O22*(E20/E18))/AG18),((L5*(E20/E18))/AG18)),0),0),IF(E19=Drop!A14,IF(AG17&gt;0,ROUNDUP(PoissonSample(AG16,((O22)/AG18),((L5)/AG18)),0),0))))</f>
        <v>Verify all inputs</v>
      </c>
      <c r="AL24" s="42"/>
      <c r="AM24" s="42"/>
    </row>
    <row r="25" spans="1:39" ht="24.95" customHeight="1" x14ac:dyDescent="0.2">
      <c r="B25" s="220"/>
      <c r="C25" s="281" t="str">
        <f>Drop!A117</f>
        <v>Quantitative</v>
      </c>
      <c r="D25" s="256"/>
      <c r="E25" s="284"/>
      <c r="F25" s="100"/>
      <c r="G25" s="42"/>
      <c r="H25" s="102" t="str">
        <f>Drop!A135</f>
        <v>Designed Confidence Level</v>
      </c>
      <c r="I25" s="103"/>
      <c r="J25" s="103"/>
      <c r="K25" s="217"/>
      <c r="L25" s="435" t="str">
        <f>IF(ISERROR(IF(AG17&lt;=0,Drop!A69,AG17)),Drop!A219,IF(AG17&lt;=0,Drop!A69,AG17))</f>
        <v>Verify all inputs</v>
      </c>
      <c r="M25" s="435"/>
      <c r="N25" s="435"/>
      <c r="O25" s="435"/>
      <c r="P25" s="435"/>
      <c r="Q25" s="436"/>
      <c r="R25" s="42"/>
      <c r="V25" s="162"/>
      <c r="W25" s="162"/>
      <c r="X25" s="162"/>
      <c r="Y25" s="162"/>
      <c r="Z25" s="162"/>
      <c r="AA25" s="186" t="str">
        <f>Drop!A235</f>
        <v>Required user selection for sample determination</v>
      </c>
      <c r="AB25" s="185"/>
      <c r="AC25" s="42"/>
      <c r="AF25" s="51" t="s">
        <v>106</v>
      </c>
      <c r="AG25" s="164" t="e" cm="1">
        <f t="array" ref="AG25">_xlfn.IFS(L26=Drop!A85,Drop!A227,L26=Drop!A84,ROUND(AG18/5,0),TRUE,ROUND(AG18/L26,0))</f>
        <v>#VALUE!</v>
      </c>
    </row>
    <row r="26" spans="1:39" ht="24.95" customHeight="1" x14ac:dyDescent="0.2">
      <c r="B26" s="220"/>
      <c r="C26" s="214"/>
      <c r="D26" s="280" t="str">
        <f>Drop!A118</f>
        <v>Population subject to sampling</v>
      </c>
      <c r="E26" s="285">
        <f>AG18</f>
        <v>0</v>
      </c>
      <c r="F26" s="100"/>
      <c r="G26" s="42"/>
      <c r="H26" s="102" t="str">
        <f>Drop!A136</f>
        <v>Sample size</v>
      </c>
      <c r="I26" s="103"/>
      <c r="J26" s="103"/>
      <c r="K26" s="103"/>
      <c r="L26" s="437" t="str" cm="1">
        <f t="array" ref="L26">_xlfn.IFS(AG18&lt;=L5,Drop!A89,AG26=TRUE,Drop!A219,O22="",Drop!A219,ISERROR(AG24&gt;=5),Drop!A219,AG24&gt;=5,AG24,AG17&lt;=0,Drop!A85,TRUE,Drop!A84)</f>
        <v>Warning - Amount being sampled is less than or equal to PM.</v>
      </c>
      <c r="M26" s="438"/>
      <c r="N26" s="438" t="str">
        <f>IF(ISERROR(IF(AG24&gt;5,AG24,Drop!A84)),Drop!A219,IF(AG24&gt;5,AG24,Drop!A84))</f>
        <v>Verify all inputs</v>
      </c>
      <c r="O26" s="438"/>
      <c r="P26" s="438"/>
      <c r="Q26" s="439"/>
      <c r="R26" s="218"/>
      <c r="AA26" s="186" t="str">
        <f>Drop!A236</f>
        <v>Additional user input field</v>
      </c>
      <c r="AB26" s="189"/>
      <c r="AC26" s="42"/>
      <c r="AF26" s="191" t="s">
        <v>267</v>
      </c>
      <c r="AG26" s="164" t="b">
        <f>M22&gt;=Drop!H62</f>
        <v>0</v>
      </c>
    </row>
    <row r="27" spans="1:39" ht="24.95" customHeight="1" x14ac:dyDescent="0.2">
      <c r="B27" s="220"/>
      <c r="C27" s="225"/>
      <c r="D27" s="222"/>
      <c r="E27" s="226"/>
      <c r="F27" s="227"/>
      <c r="G27" s="42"/>
      <c r="H27" s="416" t="str">
        <f>IF(AG20=TRUE,Drop!A70,"")</f>
        <v/>
      </c>
      <c r="I27" s="417"/>
      <c r="J27" s="417"/>
      <c r="K27" s="417"/>
      <c r="L27" s="418" t="str">
        <f>IF(AG20=TRUE,D24+D25,"")</f>
        <v/>
      </c>
      <c r="M27" s="419"/>
      <c r="N27" s="419"/>
      <c r="O27" s="419"/>
      <c r="P27" s="419"/>
      <c r="Q27" s="420"/>
      <c r="R27" s="42"/>
      <c r="AA27" s="186"/>
      <c r="AB27" s="42"/>
      <c r="AC27" s="42"/>
    </row>
    <row r="28" spans="1:39" ht="33.75" customHeight="1" thickBot="1" x14ac:dyDescent="0.25">
      <c r="B28" s="421" t="str" cm="1">
        <f t="array" ref="B28">_xlfn.IFS(AG28=TRUE,Drop!A220,AG29=TRUE,Drop!A223,AG30=TRUE,Drop!A221,TRUE,"")</f>
        <v/>
      </c>
      <c r="C28" s="422"/>
      <c r="D28" s="422"/>
      <c r="E28" s="422"/>
      <c r="F28" s="423"/>
      <c r="G28" s="42"/>
      <c r="H28" s="85"/>
      <c r="I28" s="86"/>
      <c r="J28" s="86"/>
      <c r="K28" s="86"/>
      <c r="L28" s="86"/>
      <c r="M28" s="86"/>
      <c r="N28" s="86"/>
      <c r="O28" s="104"/>
      <c r="P28" s="86"/>
      <c r="Q28" s="105"/>
      <c r="R28" s="42"/>
      <c r="AC28" s="42"/>
      <c r="AF28" s="51" t="s">
        <v>207</v>
      </c>
      <c r="AG28" s="288" t="str">
        <f>IF(ISBLANK(E18),"",IF(E19=Drop!A13,SUM(E24:E25)&gt;E20,SUM(E24:E25)&gt;E18))</f>
        <v/>
      </c>
    </row>
    <row r="29" spans="1:39" ht="24.95" customHeight="1" thickBot="1" x14ac:dyDescent="0.25">
      <c r="B29" s="106"/>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F29" s="51" t="s">
        <v>208</v>
      </c>
      <c r="AG29" s="288" t="str">
        <f>IF(ISBLANK(E18),"",IF(E19=Drop!A13,(SUM(E24:E25)/E20)&gt;Drop!E223,(SUM(E24:E25)/E18)&gt;Drop!E223))</f>
        <v/>
      </c>
    </row>
    <row r="30" spans="1:39" ht="13.5" thickBot="1" x14ac:dyDescent="0.25">
      <c r="B30" s="74" t="str">
        <f>Drop!A99</f>
        <v>Step 7 - Evaluate the sample results</v>
      </c>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6"/>
      <c r="AC30" s="42"/>
      <c r="AF30" s="33" t="s">
        <v>256</v>
      </c>
      <c r="AG30" s="33" t="b">
        <f>OR(E24&lt;0,E25&lt;0)</f>
        <v>0</v>
      </c>
    </row>
    <row r="31" spans="1:39" ht="15" customHeight="1" x14ac:dyDescent="0.2">
      <c r="B31" s="424" t="str" cm="1">
        <f t="array" ref="B31">_xlfn.IFS(L26=Drop!A85,Drop!A86,L26=Drop!A84,Drop!A87,ISERROR(L26),Drop!A219,TRUE,"")</f>
        <v/>
      </c>
      <c r="C31" s="425"/>
      <c r="D31" s="425"/>
      <c r="E31" s="425"/>
      <c r="F31" s="425"/>
      <c r="G31" s="425"/>
      <c r="H31" s="425"/>
      <c r="I31" s="425"/>
      <c r="J31" s="425"/>
      <c r="K31" s="425"/>
      <c r="L31" s="425"/>
      <c r="M31" s="425"/>
      <c r="N31" s="425"/>
      <c r="O31" s="425"/>
      <c r="P31" s="425"/>
      <c r="Q31" s="425"/>
      <c r="R31" s="425"/>
      <c r="S31" s="425"/>
      <c r="T31" s="425"/>
      <c r="U31" s="425"/>
      <c r="V31" s="425"/>
      <c r="W31" s="425"/>
      <c r="X31" s="425"/>
      <c r="Y31" s="425"/>
      <c r="Z31" s="425"/>
      <c r="AA31" s="425"/>
      <c r="AB31" s="426"/>
      <c r="AC31" s="42"/>
    </row>
    <row r="32" spans="1:39" ht="15.75" customHeight="1" thickBot="1" x14ac:dyDescent="0.25">
      <c r="B32" s="427"/>
      <c r="C32" s="428"/>
      <c r="D32" s="428"/>
      <c r="E32" s="428"/>
      <c r="F32" s="428"/>
      <c r="G32" s="428"/>
      <c r="H32" s="428"/>
      <c r="I32" s="428"/>
      <c r="J32" s="428"/>
      <c r="K32" s="428"/>
      <c r="L32" s="428"/>
      <c r="M32" s="428"/>
      <c r="N32" s="428"/>
      <c r="O32" s="428"/>
      <c r="P32" s="428"/>
      <c r="Q32" s="428"/>
      <c r="R32" s="428"/>
      <c r="S32" s="428"/>
      <c r="T32" s="428"/>
      <c r="U32" s="428"/>
      <c r="V32" s="428"/>
      <c r="W32" s="428"/>
      <c r="X32" s="428"/>
      <c r="Y32" s="428"/>
      <c r="Z32" s="428"/>
      <c r="AA32" s="428"/>
      <c r="AB32" s="429"/>
      <c r="AC32" s="42"/>
    </row>
    <row r="33" spans="2:39" ht="15.75" customHeight="1" thickBot="1" x14ac:dyDescent="0.25">
      <c r="B33" s="430" t="str">
        <f>Drop!A144</f>
        <v>Misstatements noted</v>
      </c>
      <c r="C33" s="431"/>
      <c r="D33" s="431"/>
      <c r="E33" s="431"/>
      <c r="F33" s="431"/>
      <c r="G33" s="431"/>
      <c r="H33" s="431"/>
      <c r="I33" s="431"/>
      <c r="J33" s="431"/>
      <c r="K33" s="431"/>
      <c r="L33" s="431"/>
      <c r="M33" s="431"/>
      <c r="N33" s="431"/>
      <c r="O33" s="431"/>
      <c r="P33" s="431"/>
      <c r="Q33" s="432"/>
      <c r="R33" s="42"/>
      <c r="S33" s="430" t="str">
        <f>Drop!A156</f>
        <v>Summary of results</v>
      </c>
      <c r="T33" s="431"/>
      <c r="U33" s="431"/>
      <c r="V33" s="431"/>
      <c r="W33" s="431"/>
      <c r="X33" s="431"/>
      <c r="Y33" s="431"/>
      <c r="Z33" s="431"/>
      <c r="AA33" s="431"/>
      <c r="AB33" s="432"/>
      <c r="AC33" s="42"/>
      <c r="AF33" s="43" t="s">
        <v>104</v>
      </c>
      <c r="AG33" s="43" t="b">
        <f>MIN(AJ38:AJ57)&lt;Drop!A240</f>
        <v>0</v>
      </c>
    </row>
    <row r="34" spans="2:39" x14ac:dyDescent="0.2">
      <c r="B34" s="264"/>
      <c r="C34" s="406"/>
      <c r="D34" s="406"/>
      <c r="E34" s="406"/>
      <c r="F34" s="407"/>
      <c r="G34" s="107"/>
      <c r="H34" s="107"/>
      <c r="I34" s="107"/>
      <c r="J34" s="107"/>
      <c r="K34" s="107"/>
      <c r="L34" s="107"/>
      <c r="M34" s="107"/>
      <c r="N34" s="107"/>
      <c r="O34" s="107"/>
      <c r="P34" s="107"/>
      <c r="Q34" s="108"/>
      <c r="R34" s="42"/>
      <c r="S34" s="83"/>
      <c r="T34" s="39"/>
      <c r="U34" s="39"/>
      <c r="V34" s="39"/>
      <c r="W34" s="39"/>
      <c r="X34" s="39"/>
      <c r="Y34" s="39"/>
      <c r="Z34" s="39"/>
      <c r="AA34" s="39"/>
      <c r="AB34" s="82"/>
      <c r="AC34" s="42"/>
      <c r="AK34" s="91"/>
    </row>
    <row r="35" spans="2:39" x14ac:dyDescent="0.2">
      <c r="B35" s="81"/>
      <c r="C35" s="433" t="str">
        <f>Drop!A145</f>
        <v>Book value</v>
      </c>
      <c r="D35" s="433" t="str">
        <f>Drop!A146</f>
        <v>Audit value</v>
      </c>
      <c r="E35" s="433" t="str">
        <f>Drop!A147</f>
        <v>Related to high value or key items?</v>
      </c>
      <c r="F35" s="276"/>
      <c r="G35" s="276"/>
      <c r="H35" s="408" t="str">
        <f>Drop!A148</f>
        <v>Misstatement</v>
      </c>
      <c r="I35" s="409"/>
      <c r="J35" s="412" t="str">
        <f>Drop!A149</f>
        <v>Tainting</v>
      </c>
      <c r="K35" s="413"/>
      <c r="L35" s="311" t="str">
        <f>Drop!A150</f>
        <v>Projected</v>
      </c>
      <c r="M35" s="312"/>
      <c r="N35" s="312"/>
      <c r="O35" s="312"/>
      <c r="P35" s="312"/>
      <c r="Q35" s="399"/>
      <c r="R35" s="42"/>
      <c r="S35" s="83" t="str">
        <f>Drop!A157</f>
        <v>Factual misstatement in the sample:</v>
      </c>
      <c r="T35" s="39"/>
      <c r="U35" s="39"/>
      <c r="V35" s="39"/>
      <c r="W35" s="39"/>
      <c r="X35" s="39"/>
      <c r="Y35" s="39"/>
      <c r="Z35" s="39"/>
      <c r="AA35" s="359">
        <f>H57</f>
        <v>0</v>
      </c>
      <c r="AB35" s="361"/>
      <c r="AC35" s="42"/>
      <c r="AF35" s="43" t="s">
        <v>57</v>
      </c>
      <c r="AG35" s="91" t="e">
        <f>Y12*AG37</f>
        <v>#VALUE!</v>
      </c>
      <c r="AH35" s="91"/>
      <c r="AI35" s="91"/>
      <c r="AJ35" s="91"/>
      <c r="AK35" s="91"/>
    </row>
    <row r="36" spans="2:39" x14ac:dyDescent="0.2">
      <c r="B36" s="264"/>
      <c r="C36" s="434"/>
      <c r="D36" s="434"/>
      <c r="E36" s="434"/>
      <c r="F36" s="276"/>
      <c r="G36" s="276"/>
      <c r="H36" s="410"/>
      <c r="I36" s="411"/>
      <c r="J36" s="414"/>
      <c r="K36" s="415"/>
      <c r="L36" s="400" t="str">
        <f>Drop!A151</f>
        <v>With tainting</v>
      </c>
      <c r="M36" s="401"/>
      <c r="N36" s="402"/>
      <c r="O36" s="400" t="str">
        <f>Drop!A152</f>
        <v>No tainting</v>
      </c>
      <c r="P36" s="401"/>
      <c r="Q36" s="403"/>
      <c r="R36" s="42"/>
      <c r="S36" s="83"/>
      <c r="T36" s="110"/>
      <c r="U36" s="110"/>
      <c r="V36" s="110"/>
      <c r="W36" s="110"/>
      <c r="X36" s="110"/>
      <c r="Y36" s="110"/>
      <c r="Z36" s="111"/>
      <c r="AA36" s="111"/>
      <c r="AB36" s="100"/>
      <c r="AC36" s="42"/>
      <c r="AF36" s="67" t="s">
        <v>56</v>
      </c>
      <c r="AG36" s="43" t="s">
        <v>42</v>
      </c>
      <c r="AH36" s="43" t="s">
        <v>70</v>
      </c>
      <c r="AI36" s="43" t="s">
        <v>102</v>
      </c>
      <c r="AJ36" s="109" t="s">
        <v>91</v>
      </c>
      <c r="AK36" s="109" t="s">
        <v>92</v>
      </c>
      <c r="AL36" s="404" t="s">
        <v>58</v>
      </c>
    </row>
    <row r="37" spans="2:39" ht="15.75" customHeight="1" x14ac:dyDescent="0.2">
      <c r="B37" s="263"/>
      <c r="C37" s="251"/>
      <c r="D37" s="251"/>
      <c r="E37" s="275"/>
      <c r="F37" s="39"/>
      <c r="G37" s="39"/>
      <c r="H37" s="338">
        <f t="shared" ref="H37:H56" si="0">C37-D37</f>
        <v>0</v>
      </c>
      <c r="I37" s="339"/>
      <c r="J37" s="340" t="str">
        <f t="shared" ref="J37:J56" si="1">IF(C37&gt;0,H37/C37,"")</f>
        <v/>
      </c>
      <c r="K37" s="341"/>
      <c r="L37" s="332">
        <f>IF(ISERROR(IF(C37&gt;0,IF(OR(C37&gt;$Y$12,E37=Drop!A$13),0,J37*$Y$12),0)),Drop!A$219,IF(C37&gt;0,IF(OR(C37&gt;$Y$12,E37=Drop!A$13),0,J37*$Y$12),0))</f>
        <v>0</v>
      </c>
      <c r="M37" s="333"/>
      <c r="N37" s="334"/>
      <c r="O37" s="335">
        <f>IF(ISERROR(IF(OR(C37&gt;$Y$12,E37=Drop!A$13),H37,0)),Drop!A$219,IF(OR(C37&gt;$Y$12,E37=Drop!A$13),H37,0))</f>
        <v>0</v>
      </c>
      <c r="P37" s="336"/>
      <c r="Q37" s="337"/>
      <c r="R37" s="42"/>
      <c r="S37" s="390" t="str">
        <f>Drop!A158</f>
        <v>Projected misstatement (report to the document where misstatements are accumulated):</v>
      </c>
      <c r="T37" s="391"/>
      <c r="U37" s="391"/>
      <c r="V37" s="391"/>
      <c r="W37" s="391"/>
      <c r="X37" s="391"/>
      <c r="Y37" s="391"/>
      <c r="Z37" s="392"/>
      <c r="AA37" s="393">
        <f>L58</f>
        <v>0</v>
      </c>
      <c r="AB37" s="394"/>
      <c r="AC37" s="42"/>
      <c r="AF37" s="254">
        <v>0</v>
      </c>
      <c r="AG37" s="254" t="e">
        <f t="shared" ref="AG37:AG57" si="2">_xlfn.GAMMA.INV($AG$17,AF37+1,1)</f>
        <v>#N/A</v>
      </c>
      <c r="AH37" s="254"/>
      <c r="AI37" s="254"/>
      <c r="AJ37" s="112"/>
      <c r="AK37" s="112"/>
      <c r="AL37" s="405"/>
      <c r="AM37" s="115"/>
    </row>
    <row r="38" spans="2:39" ht="15.75" customHeight="1" x14ac:dyDescent="0.2">
      <c r="B38" s="263"/>
      <c r="C38" s="251"/>
      <c r="D38" s="251"/>
      <c r="E38" s="275"/>
      <c r="F38" s="39"/>
      <c r="G38" s="39"/>
      <c r="H38" s="338">
        <f t="shared" si="0"/>
        <v>0</v>
      </c>
      <c r="I38" s="339"/>
      <c r="J38" s="340" t="str">
        <f t="shared" si="1"/>
        <v/>
      </c>
      <c r="K38" s="341"/>
      <c r="L38" s="332">
        <f>IF(ISERROR(IF(C38&gt;0,IF(OR(C38&gt;$Y$12,E38=Drop!A$13),0,J38*$Y$12),0)),Drop!A$219,IF(C38&gt;0,IF(OR(C38&gt;$Y$12,E38=Drop!A$13),0,J38*$Y$12),0))</f>
        <v>0</v>
      </c>
      <c r="M38" s="333"/>
      <c r="N38" s="334"/>
      <c r="O38" s="335">
        <f>IF(ISERROR(IF(OR(C38&gt;$Y$12,E38=Drop!A$13),H38,0)),Drop!A$219,IF(OR(C38&gt;$Y$12,E38=Drop!A$13),H38,0))</f>
        <v>0</v>
      </c>
      <c r="P38" s="336"/>
      <c r="Q38" s="337"/>
      <c r="R38" s="42"/>
      <c r="S38" s="390"/>
      <c r="T38" s="391"/>
      <c r="U38" s="391"/>
      <c r="V38" s="391"/>
      <c r="W38" s="391"/>
      <c r="X38" s="391"/>
      <c r="Y38" s="391"/>
      <c r="Z38" s="392"/>
      <c r="AA38" s="395"/>
      <c r="AB38" s="396"/>
      <c r="AC38" s="42"/>
      <c r="AF38" s="254">
        <f>AF37+1</f>
        <v>1</v>
      </c>
      <c r="AG38" s="254" t="e">
        <f t="shared" si="2"/>
        <v>#N/A</v>
      </c>
      <c r="AH38" s="254" t="e">
        <f t="shared" ref="AH38:AH46" si="3">AG38-AG37</f>
        <v>#N/A</v>
      </c>
      <c r="AI38" s="254">
        <f>ABS(L37)</f>
        <v>0</v>
      </c>
      <c r="AJ38" s="112">
        <f t="shared" ref="AJ38:AJ57" si="4">RANK(AI38,AI$38:AI$57)</f>
        <v>1</v>
      </c>
      <c r="AK38" s="113">
        <f>L37</f>
        <v>0</v>
      </c>
      <c r="AL38" s="114" t="e">
        <f>VLOOKUP(AJ38,AF$37:AH$57,3,FALSE)*AK38</f>
        <v>#N/A</v>
      </c>
      <c r="AM38" s="115"/>
    </row>
    <row r="39" spans="2:39" ht="15.75" customHeight="1" x14ac:dyDescent="0.2">
      <c r="B39" s="263"/>
      <c r="C39" s="251"/>
      <c r="D39" s="251"/>
      <c r="E39" s="275"/>
      <c r="F39" s="39"/>
      <c r="G39" s="39"/>
      <c r="H39" s="338">
        <f t="shared" si="0"/>
        <v>0</v>
      </c>
      <c r="I39" s="339"/>
      <c r="J39" s="340" t="str">
        <f t="shared" si="1"/>
        <v/>
      </c>
      <c r="K39" s="341"/>
      <c r="L39" s="332">
        <f>IF(ISERROR(IF(C39&gt;0,IF(OR(C39&gt;$Y$12,E39=Drop!A$13),0,J39*$Y$12),0)),Drop!A$219,IF(C39&gt;0,IF(OR(C39&gt;$Y$12,E39=Drop!A$13),0,J39*$Y$12),0))</f>
        <v>0</v>
      </c>
      <c r="M39" s="333"/>
      <c r="N39" s="334"/>
      <c r="O39" s="335">
        <f>IF(ISERROR(IF(OR(C39&gt;$Y$12,E39=Drop!A$13),H39,0)),Drop!A$219,IF(OR(C39&gt;$Y$12,E39=Drop!A$13),H39,0))</f>
        <v>0</v>
      </c>
      <c r="P39" s="336"/>
      <c r="Q39" s="337"/>
      <c r="R39" s="42"/>
      <c r="S39" s="390"/>
      <c r="T39" s="391"/>
      <c r="U39" s="391"/>
      <c r="V39" s="391"/>
      <c r="W39" s="391"/>
      <c r="X39" s="391"/>
      <c r="Y39" s="391"/>
      <c r="Z39" s="392"/>
      <c r="AA39" s="397"/>
      <c r="AB39" s="398"/>
      <c r="AC39" s="42"/>
      <c r="AF39" s="254">
        <f t="shared" ref="AF39:AF57" si="5">AF38+1</f>
        <v>2</v>
      </c>
      <c r="AG39" s="254" t="e">
        <f t="shared" si="2"/>
        <v>#N/A</v>
      </c>
      <c r="AH39" s="254" t="e">
        <f t="shared" si="3"/>
        <v>#N/A</v>
      </c>
      <c r="AI39" s="254">
        <f t="shared" ref="AI39:AI57" si="6">ABS(L38)</f>
        <v>0</v>
      </c>
      <c r="AJ39" s="112">
        <f t="shared" si="4"/>
        <v>1</v>
      </c>
      <c r="AK39" s="113">
        <f t="shared" ref="AK39:AK57" si="7">L38</f>
        <v>0</v>
      </c>
      <c r="AL39" s="114" t="e">
        <f>VLOOKUP(AJ39,AF$37:AH$57,3,FALSE)*AK39</f>
        <v>#N/A</v>
      </c>
      <c r="AM39" s="115"/>
    </row>
    <row r="40" spans="2:39" ht="15.75" customHeight="1" x14ac:dyDescent="0.2">
      <c r="B40" s="263"/>
      <c r="C40" s="251"/>
      <c r="D40" s="251"/>
      <c r="E40" s="275"/>
      <c r="F40" s="39"/>
      <c r="G40" s="39"/>
      <c r="H40" s="338">
        <f t="shared" si="0"/>
        <v>0</v>
      </c>
      <c r="I40" s="339"/>
      <c r="J40" s="340" t="str">
        <f t="shared" si="1"/>
        <v/>
      </c>
      <c r="K40" s="341"/>
      <c r="L40" s="332">
        <f>IF(ISERROR(IF(C40&gt;0,IF(OR(C40&gt;$Y$12,E40=Drop!A$13),0,J40*$Y$12),0)),Drop!A$219,IF(C40&gt;0,IF(OR(C40&gt;$Y$12,E40=Drop!A$13),0,J40*$Y$12),0))</f>
        <v>0</v>
      </c>
      <c r="M40" s="333"/>
      <c r="N40" s="334"/>
      <c r="O40" s="335">
        <f>IF(ISERROR(IF(OR(C40&gt;$Y$12,E40=Drop!A$13),H40,0)),Drop!A$219,IF(OR(C40&gt;$Y$12,E40=Drop!A$13),H40,0))</f>
        <v>0</v>
      </c>
      <c r="P40" s="336"/>
      <c r="Q40" s="337"/>
      <c r="R40" s="42"/>
      <c r="S40" s="116"/>
      <c r="T40" s="39"/>
      <c r="U40" s="39"/>
      <c r="V40" s="39"/>
      <c r="W40" s="39"/>
      <c r="X40" s="39"/>
      <c r="Y40" s="39"/>
      <c r="Z40" s="39"/>
      <c r="AA40" s="39"/>
      <c r="AB40" s="82"/>
      <c r="AC40" s="42"/>
      <c r="AF40" s="254">
        <f t="shared" si="5"/>
        <v>3</v>
      </c>
      <c r="AG40" s="254" t="e">
        <f t="shared" si="2"/>
        <v>#N/A</v>
      </c>
      <c r="AH40" s="254" t="e">
        <f t="shared" si="3"/>
        <v>#N/A</v>
      </c>
      <c r="AI40" s="254">
        <f t="shared" si="6"/>
        <v>0</v>
      </c>
      <c r="AJ40" s="112">
        <f t="shared" si="4"/>
        <v>1</v>
      </c>
      <c r="AK40" s="113">
        <f t="shared" si="7"/>
        <v>0</v>
      </c>
      <c r="AL40" s="114" t="e">
        <f t="shared" ref="AL40:AL57" si="8">VLOOKUP(AJ40,AF$37:AH$57,3,FALSE)*AK40</f>
        <v>#N/A</v>
      </c>
      <c r="AM40" s="115"/>
    </row>
    <row r="41" spans="2:39" ht="15.75" customHeight="1" x14ac:dyDescent="0.2">
      <c r="B41" s="263"/>
      <c r="C41" s="251"/>
      <c r="D41" s="251"/>
      <c r="E41" s="275"/>
      <c r="F41" s="39"/>
      <c r="G41" s="39"/>
      <c r="H41" s="338">
        <f t="shared" si="0"/>
        <v>0</v>
      </c>
      <c r="I41" s="339"/>
      <c r="J41" s="340" t="str">
        <f t="shared" si="1"/>
        <v/>
      </c>
      <c r="K41" s="341"/>
      <c r="L41" s="332">
        <f>IF(ISERROR(IF(C41&gt;0,IF(OR(C41&gt;$Y$12,E41=Drop!A$13),0,J41*$Y$12),0)),Drop!A$219,IF(C41&gt;0,IF(OR(C41&gt;$Y$12,E41=Drop!A$13),0,J41*$Y$12),0))</f>
        <v>0</v>
      </c>
      <c r="M41" s="333"/>
      <c r="N41" s="334"/>
      <c r="O41" s="335">
        <f>IF(ISERROR(IF(OR(C41&gt;$Y$12,E41=Drop!A$13),H41,0)),Drop!A$219,IF(OR(C41&gt;$Y$12,E41=Drop!A$13),H41,0))</f>
        <v>0</v>
      </c>
      <c r="P41" s="336"/>
      <c r="Q41" s="337"/>
      <c r="R41" s="42"/>
      <c r="S41" s="83" t="str">
        <f>Drop!A159</f>
        <v>The total precision is:</v>
      </c>
      <c r="T41" s="39"/>
      <c r="U41" s="39"/>
      <c r="V41" s="39"/>
      <c r="W41" s="39"/>
      <c r="X41" s="39"/>
      <c r="Y41" s="39"/>
      <c r="Z41" s="39"/>
      <c r="AA41" s="377" t="str">
        <f>IF(ISERROR(AL66),Drop!A219,AL66)</f>
        <v>Verify all inputs</v>
      </c>
      <c r="AB41" s="378"/>
      <c r="AC41" s="42"/>
      <c r="AF41" s="254">
        <f t="shared" si="5"/>
        <v>4</v>
      </c>
      <c r="AG41" s="254" t="e">
        <f t="shared" si="2"/>
        <v>#N/A</v>
      </c>
      <c r="AH41" s="254" t="e">
        <f t="shared" si="3"/>
        <v>#N/A</v>
      </c>
      <c r="AI41" s="254">
        <f t="shared" si="6"/>
        <v>0</v>
      </c>
      <c r="AJ41" s="112">
        <f t="shared" si="4"/>
        <v>1</v>
      </c>
      <c r="AK41" s="113">
        <f t="shared" si="7"/>
        <v>0</v>
      </c>
      <c r="AL41" s="114" t="e">
        <f t="shared" si="8"/>
        <v>#N/A</v>
      </c>
      <c r="AM41" s="115"/>
    </row>
    <row r="42" spans="2:39" ht="15.75" customHeight="1" x14ac:dyDescent="0.2">
      <c r="B42" s="263"/>
      <c r="C42" s="251"/>
      <c r="D42" s="251"/>
      <c r="E42" s="275"/>
      <c r="F42" s="39"/>
      <c r="G42" s="39"/>
      <c r="H42" s="338">
        <f t="shared" si="0"/>
        <v>0</v>
      </c>
      <c r="I42" s="339"/>
      <c r="J42" s="340" t="str">
        <f t="shared" si="1"/>
        <v/>
      </c>
      <c r="K42" s="341"/>
      <c r="L42" s="332">
        <f>IF(ISERROR(IF(C42&gt;0,IF(OR(C42&gt;$Y$12,E42=Drop!A$13),0,J42*$Y$12),0)),Drop!A$219,IF(C42&gt;0,IF(OR(C42&gt;$Y$12,E42=Drop!A$13),0,J42*$Y$12),0))</f>
        <v>0</v>
      </c>
      <c r="M42" s="333"/>
      <c r="N42" s="334"/>
      <c r="O42" s="335">
        <f>IF(ISERROR(IF(OR(C42&gt;$Y$12,E42=Drop!A$13),H42,0)),Drop!A$219,IF(OR(C42&gt;$Y$12,E42=Drop!A$13),H42,0))</f>
        <v>0</v>
      </c>
      <c r="P42" s="336"/>
      <c r="Q42" s="337"/>
      <c r="R42" s="42"/>
      <c r="S42" s="83"/>
      <c r="T42" s="39"/>
      <c r="U42" s="39"/>
      <c r="V42" s="39"/>
      <c r="W42" s="39"/>
      <c r="X42" s="39"/>
      <c r="Y42" s="39"/>
      <c r="Z42" s="39"/>
      <c r="AA42" s="39"/>
      <c r="AB42" s="82"/>
      <c r="AC42" s="42"/>
      <c r="AF42" s="254">
        <f t="shared" si="5"/>
        <v>5</v>
      </c>
      <c r="AG42" s="254" t="e">
        <f t="shared" si="2"/>
        <v>#N/A</v>
      </c>
      <c r="AH42" s="254" t="e">
        <f t="shared" si="3"/>
        <v>#N/A</v>
      </c>
      <c r="AI42" s="254">
        <f t="shared" si="6"/>
        <v>0</v>
      </c>
      <c r="AJ42" s="112">
        <f t="shared" si="4"/>
        <v>1</v>
      </c>
      <c r="AK42" s="113">
        <f t="shared" si="7"/>
        <v>0</v>
      </c>
      <c r="AL42" s="114" t="e">
        <f t="shared" si="8"/>
        <v>#N/A</v>
      </c>
      <c r="AM42" s="115"/>
    </row>
    <row r="43" spans="2:39" ht="15.75" customHeight="1" x14ac:dyDescent="0.2">
      <c r="B43" s="263"/>
      <c r="C43" s="251"/>
      <c r="D43" s="251"/>
      <c r="E43" s="275"/>
      <c r="F43" s="39"/>
      <c r="G43" s="39"/>
      <c r="H43" s="338">
        <f t="shared" si="0"/>
        <v>0</v>
      </c>
      <c r="I43" s="339"/>
      <c r="J43" s="340" t="str">
        <f t="shared" si="1"/>
        <v/>
      </c>
      <c r="K43" s="341"/>
      <c r="L43" s="332">
        <f>IF(ISERROR(IF(C43&gt;0,IF(OR(C43&gt;$Y$12,E43=Drop!A$13),0,J43*$Y$12),0)),Drop!A$219,IF(C43&gt;0,IF(OR(C43&gt;$Y$12,E43=Drop!A$13),0,J43*$Y$12),0))</f>
        <v>0</v>
      </c>
      <c r="M43" s="333"/>
      <c r="N43" s="334"/>
      <c r="O43" s="335">
        <f>IF(ISERROR(IF(OR(C43&gt;$Y$12,E43=Drop!A$13),H43,0)),Drop!A$219,IF(OR(C43&gt;$Y$12,E43=Drop!A$13),H43,0))</f>
        <v>0</v>
      </c>
      <c r="P43" s="336"/>
      <c r="Q43" s="337"/>
      <c r="R43" s="42"/>
      <c r="S43" s="379" t="str">
        <f>Drop!A160</f>
        <v>There is a</v>
      </c>
      <c r="T43" s="380"/>
      <c r="U43" s="381" t="str">
        <f>IF(ISERROR(AG16),Drop!A219,AG16)</f>
        <v>Verify all inputs</v>
      </c>
      <c r="V43" s="382"/>
      <c r="W43" s="387" t="str">
        <f>Drop!A161</f>
        <v>chance that the recorded amount is overstated by more than</v>
      </c>
      <c r="X43" s="388"/>
      <c r="Y43" s="388"/>
      <c r="Z43" s="389"/>
      <c r="AA43" s="371" t="str">
        <f>IF(ISERROR(AL72),Drop!A219,AL72)</f>
        <v>Verify all inputs</v>
      </c>
      <c r="AB43" s="372"/>
      <c r="AC43" s="42"/>
      <c r="AF43" s="254">
        <f t="shared" si="5"/>
        <v>6</v>
      </c>
      <c r="AG43" s="254" t="e">
        <f t="shared" si="2"/>
        <v>#N/A</v>
      </c>
      <c r="AH43" s="254" t="e">
        <f t="shared" si="3"/>
        <v>#N/A</v>
      </c>
      <c r="AI43" s="254">
        <f t="shared" si="6"/>
        <v>0</v>
      </c>
      <c r="AJ43" s="112">
        <f t="shared" si="4"/>
        <v>1</v>
      </c>
      <c r="AK43" s="113">
        <f t="shared" si="7"/>
        <v>0</v>
      </c>
      <c r="AL43" s="114" t="e">
        <f t="shared" si="8"/>
        <v>#N/A</v>
      </c>
      <c r="AM43" s="115"/>
    </row>
    <row r="44" spans="2:39" ht="15.75" customHeight="1" x14ac:dyDescent="0.2">
      <c r="B44" s="263"/>
      <c r="C44" s="251"/>
      <c r="D44" s="251"/>
      <c r="E44" s="275"/>
      <c r="F44" s="39"/>
      <c r="G44" s="39"/>
      <c r="H44" s="338">
        <f t="shared" si="0"/>
        <v>0</v>
      </c>
      <c r="I44" s="339"/>
      <c r="J44" s="340" t="str">
        <f t="shared" si="1"/>
        <v/>
      </c>
      <c r="K44" s="341"/>
      <c r="L44" s="332">
        <f>IF(ISERROR(IF(C44&gt;0,IF(OR(C44&gt;$Y$12,E44=Drop!A$13),0,J44*$Y$12),0)),Drop!A$219,IF(C44&gt;0,IF(OR(C44&gt;$Y$12,E44=Drop!A$13),0,J44*$Y$12),0))</f>
        <v>0</v>
      </c>
      <c r="M44" s="333"/>
      <c r="N44" s="334"/>
      <c r="O44" s="335">
        <f>IF(ISERROR(IF(OR(C44&gt;$Y$12,E44=Drop!A$13),H44,0)),Drop!A$219,IF(OR(C44&gt;$Y$12,E44=Drop!A$13),H44,0))</f>
        <v>0</v>
      </c>
      <c r="P44" s="336"/>
      <c r="Q44" s="337"/>
      <c r="R44" s="42"/>
      <c r="S44" s="379"/>
      <c r="T44" s="380"/>
      <c r="U44" s="383"/>
      <c r="V44" s="384"/>
      <c r="W44" s="387"/>
      <c r="X44" s="388"/>
      <c r="Y44" s="388"/>
      <c r="Z44" s="389"/>
      <c r="AA44" s="373"/>
      <c r="AB44" s="374"/>
      <c r="AC44" s="42"/>
      <c r="AF44" s="254">
        <f t="shared" si="5"/>
        <v>7</v>
      </c>
      <c r="AG44" s="254" t="e">
        <f t="shared" si="2"/>
        <v>#N/A</v>
      </c>
      <c r="AH44" s="254" t="e">
        <f t="shared" si="3"/>
        <v>#N/A</v>
      </c>
      <c r="AI44" s="254">
        <f t="shared" si="6"/>
        <v>0</v>
      </c>
      <c r="AJ44" s="112">
        <f t="shared" si="4"/>
        <v>1</v>
      </c>
      <c r="AK44" s="113">
        <f t="shared" si="7"/>
        <v>0</v>
      </c>
      <c r="AL44" s="114" t="e">
        <f t="shared" si="8"/>
        <v>#N/A</v>
      </c>
      <c r="AM44" s="115"/>
    </row>
    <row r="45" spans="2:39" ht="15.75" customHeight="1" x14ac:dyDescent="0.2">
      <c r="B45" s="263"/>
      <c r="C45" s="251"/>
      <c r="D45" s="251"/>
      <c r="E45" s="275"/>
      <c r="F45" s="39"/>
      <c r="G45" s="39"/>
      <c r="H45" s="338">
        <f t="shared" si="0"/>
        <v>0</v>
      </c>
      <c r="I45" s="339"/>
      <c r="J45" s="340" t="str">
        <f t="shared" si="1"/>
        <v/>
      </c>
      <c r="K45" s="341"/>
      <c r="L45" s="332">
        <f>IF(ISERROR(IF(C45&gt;0,IF(OR(C45&gt;$Y$12,E45=Drop!A$13),0,J45*$Y$12),0)),Drop!A$219,IF(C45&gt;0,IF(OR(C45&gt;$Y$12,E45=Drop!A$13),0,J45*$Y$12),0))</f>
        <v>0</v>
      </c>
      <c r="M45" s="333"/>
      <c r="N45" s="334"/>
      <c r="O45" s="335">
        <f>IF(ISERROR(IF(OR(C45&gt;$Y$12,E45=Drop!A$13),H45,0)),Drop!A$219,IF(OR(C45&gt;$Y$12,E45=Drop!A$13),H45,0))</f>
        <v>0</v>
      </c>
      <c r="P45" s="336"/>
      <c r="Q45" s="337"/>
      <c r="R45" s="42"/>
      <c r="S45" s="379"/>
      <c r="T45" s="380"/>
      <c r="U45" s="385"/>
      <c r="V45" s="386"/>
      <c r="W45" s="387"/>
      <c r="X45" s="388"/>
      <c r="Y45" s="388"/>
      <c r="Z45" s="389"/>
      <c r="AA45" s="375"/>
      <c r="AB45" s="376"/>
      <c r="AC45" s="42"/>
      <c r="AF45" s="254">
        <f t="shared" si="5"/>
        <v>8</v>
      </c>
      <c r="AG45" s="254" t="e">
        <f t="shared" si="2"/>
        <v>#N/A</v>
      </c>
      <c r="AH45" s="254" t="e">
        <f t="shared" si="3"/>
        <v>#N/A</v>
      </c>
      <c r="AI45" s="254">
        <f t="shared" si="6"/>
        <v>0</v>
      </c>
      <c r="AJ45" s="112">
        <f t="shared" si="4"/>
        <v>1</v>
      </c>
      <c r="AK45" s="113">
        <f t="shared" si="7"/>
        <v>0</v>
      </c>
      <c r="AL45" s="114" t="e">
        <f t="shared" si="8"/>
        <v>#N/A</v>
      </c>
      <c r="AM45" s="115"/>
    </row>
    <row r="46" spans="2:39" ht="15.75" customHeight="1" x14ac:dyDescent="0.2">
      <c r="B46" s="263"/>
      <c r="C46" s="251"/>
      <c r="D46" s="251"/>
      <c r="E46" s="275"/>
      <c r="F46" s="39"/>
      <c r="G46" s="39"/>
      <c r="H46" s="367">
        <f t="shared" si="0"/>
        <v>0</v>
      </c>
      <c r="I46" s="368"/>
      <c r="J46" s="369" t="str">
        <f t="shared" si="1"/>
        <v/>
      </c>
      <c r="K46" s="370"/>
      <c r="L46" s="332">
        <f>IF(ISERROR(IF(C46&gt;0,IF(OR(C46&gt;$Y$12,E46=Drop!A$13),0,J46*$Y$12),0)),Drop!A$219,IF(C46&gt;0,IF(OR(C46&gt;$Y$12,E46=Drop!A$13),0,J46*$Y$12),0))</f>
        <v>0</v>
      </c>
      <c r="M46" s="333"/>
      <c r="N46" s="334"/>
      <c r="O46" s="335">
        <f>IF(ISERROR(IF(OR(C46&gt;$Y$12,E46=Drop!A$13),H46,0)),Drop!A$219,IF(OR(C46&gt;$Y$12,E46=Drop!A$13),H46,0))</f>
        <v>0</v>
      </c>
      <c r="P46" s="336"/>
      <c r="Q46" s="337"/>
      <c r="R46" s="42"/>
      <c r="S46" s="83"/>
      <c r="T46" s="39"/>
      <c r="U46" s="39"/>
      <c r="V46" s="39"/>
      <c r="W46" s="39"/>
      <c r="X46" s="39"/>
      <c r="Y46" s="39"/>
      <c r="Z46" s="39"/>
      <c r="AA46" s="39"/>
      <c r="AB46" s="82"/>
      <c r="AC46" s="42"/>
      <c r="AF46" s="254">
        <f t="shared" si="5"/>
        <v>9</v>
      </c>
      <c r="AG46" s="254" t="e">
        <f t="shared" si="2"/>
        <v>#N/A</v>
      </c>
      <c r="AH46" s="254" t="e">
        <f t="shared" si="3"/>
        <v>#N/A</v>
      </c>
      <c r="AI46" s="254">
        <f t="shared" si="6"/>
        <v>0</v>
      </c>
      <c r="AJ46" s="112">
        <f t="shared" si="4"/>
        <v>1</v>
      </c>
      <c r="AK46" s="113">
        <f t="shared" si="7"/>
        <v>0</v>
      </c>
      <c r="AL46" s="114" t="e">
        <f t="shared" si="8"/>
        <v>#N/A</v>
      </c>
      <c r="AM46" s="115"/>
    </row>
    <row r="47" spans="2:39" ht="15.75" customHeight="1" x14ac:dyDescent="0.2">
      <c r="B47" s="263"/>
      <c r="C47" s="251"/>
      <c r="D47" s="251"/>
      <c r="E47" s="275"/>
      <c r="F47" s="39"/>
      <c r="G47" s="39"/>
      <c r="H47" s="367">
        <f t="shared" si="0"/>
        <v>0</v>
      </c>
      <c r="I47" s="368"/>
      <c r="J47" s="369" t="str">
        <f t="shared" si="1"/>
        <v/>
      </c>
      <c r="K47" s="370"/>
      <c r="L47" s="333">
        <f>IF(ISERROR(IF(C47&gt;0,IF(OR(C47&gt;$Y$12,E47=Drop!A$13),0,J47*$Y$12),0)),Drop!A$219,IF(C47&gt;0,IF(OR(C47&gt;$Y$12,E47=Drop!A$13),0,J47*$Y$12),0))</f>
        <v>0</v>
      </c>
      <c r="M47" s="333"/>
      <c r="N47" s="334"/>
      <c r="O47" s="335">
        <f>IF(ISERROR(IF(OR(C47&gt;$Y$12,E47=Drop!A$13),H47,0)),Drop!A$219,IF(OR(C47&gt;$Y$12,E47=Drop!A$13),H47,0))</f>
        <v>0</v>
      </c>
      <c r="P47" s="336"/>
      <c r="Q47" s="337"/>
      <c r="R47" s="42"/>
      <c r="S47" s="83"/>
      <c r="T47" s="39"/>
      <c r="U47" s="39"/>
      <c r="V47" s="39"/>
      <c r="W47" s="39"/>
      <c r="X47" s="39"/>
      <c r="Y47" s="39"/>
      <c r="Z47" s="39"/>
      <c r="AA47" s="39"/>
      <c r="AB47" s="82"/>
      <c r="AC47" s="42"/>
      <c r="AF47" s="254">
        <f t="shared" si="5"/>
        <v>10</v>
      </c>
      <c r="AG47" s="254" t="e">
        <f t="shared" si="2"/>
        <v>#N/A</v>
      </c>
      <c r="AH47" s="254" t="e">
        <f t="shared" ref="AH47:AH56" si="9">AG47-AG46</f>
        <v>#N/A</v>
      </c>
      <c r="AI47" s="254">
        <f t="shared" si="6"/>
        <v>0</v>
      </c>
      <c r="AJ47" s="112">
        <f t="shared" si="4"/>
        <v>1</v>
      </c>
      <c r="AK47" s="113">
        <f t="shared" si="7"/>
        <v>0</v>
      </c>
      <c r="AL47" s="114" t="e">
        <f t="shared" si="8"/>
        <v>#N/A</v>
      </c>
      <c r="AM47" s="115"/>
    </row>
    <row r="48" spans="2:39" ht="15.75" customHeight="1" x14ac:dyDescent="0.2">
      <c r="B48" s="263"/>
      <c r="C48" s="251"/>
      <c r="D48" s="251"/>
      <c r="E48" s="275"/>
      <c r="F48" s="39"/>
      <c r="G48" s="39"/>
      <c r="H48" s="338">
        <f t="shared" si="0"/>
        <v>0</v>
      </c>
      <c r="I48" s="366"/>
      <c r="J48" s="340" t="str">
        <f t="shared" si="1"/>
        <v/>
      </c>
      <c r="K48" s="341"/>
      <c r="L48" s="333">
        <f>IF(ISERROR(IF(C48&gt;0,IF(OR(C48&gt;$Y$12,E48=Drop!A$13),0,J48*$Y$12),0)),Drop!A$219,IF(C48&gt;0,IF(OR(C48&gt;$Y$12,E48=Drop!A$13),0,J48*$Y$12),0))</f>
        <v>0</v>
      </c>
      <c r="M48" s="333"/>
      <c r="N48" s="334"/>
      <c r="O48" s="335">
        <f>IF(ISERROR(IF(OR(C48&gt;$Y$12,E48=Drop!A$13),H48,0)),Drop!A$219,IF(OR(C48&gt;$Y$12,E48=Drop!A$13),H48,0))</f>
        <v>0</v>
      </c>
      <c r="P48" s="336"/>
      <c r="Q48" s="337"/>
      <c r="R48" s="42"/>
      <c r="S48" s="83"/>
      <c r="T48" s="39"/>
      <c r="U48" s="39"/>
      <c r="V48" s="39"/>
      <c r="W48" s="39"/>
      <c r="X48" s="39"/>
      <c r="Y48" s="39"/>
      <c r="Z48" s="39"/>
      <c r="AA48" s="39"/>
      <c r="AB48" s="82"/>
      <c r="AC48" s="42"/>
      <c r="AF48" s="254">
        <f t="shared" si="5"/>
        <v>11</v>
      </c>
      <c r="AG48" s="254" t="e">
        <f t="shared" si="2"/>
        <v>#N/A</v>
      </c>
      <c r="AH48" s="254" t="e">
        <f t="shared" si="9"/>
        <v>#N/A</v>
      </c>
      <c r="AI48" s="254">
        <f t="shared" si="6"/>
        <v>0</v>
      </c>
      <c r="AJ48" s="112">
        <f t="shared" si="4"/>
        <v>1</v>
      </c>
      <c r="AK48" s="113">
        <f t="shared" si="7"/>
        <v>0</v>
      </c>
      <c r="AL48" s="114" t="e">
        <f t="shared" si="8"/>
        <v>#N/A</v>
      </c>
      <c r="AM48" s="115"/>
    </row>
    <row r="49" spans="2:39" ht="15.75" customHeight="1" x14ac:dyDescent="0.2">
      <c r="B49" s="263"/>
      <c r="C49" s="251"/>
      <c r="D49" s="251"/>
      <c r="E49" s="275"/>
      <c r="F49" s="39"/>
      <c r="G49" s="39"/>
      <c r="H49" s="342">
        <f t="shared" si="0"/>
        <v>0</v>
      </c>
      <c r="I49" s="343"/>
      <c r="J49" s="344" t="str">
        <f t="shared" si="1"/>
        <v/>
      </c>
      <c r="K49" s="345"/>
      <c r="L49" s="333">
        <f>IF(ISERROR(IF(C49&gt;0,IF(OR(C49&gt;$Y$12,E49=Drop!A$13),0,J49*$Y$12),0)),Drop!A$219,IF(C49&gt;0,IF(OR(C49&gt;$Y$12,E49=Drop!A$13),0,J49*$Y$12),0))</f>
        <v>0</v>
      </c>
      <c r="M49" s="333"/>
      <c r="N49" s="334"/>
      <c r="O49" s="335">
        <f>IF(ISERROR(IF(OR(C49&gt;$Y$12,E49=Drop!A$13),H49,0)),Drop!A$219,IF(OR(C49&gt;$Y$12,E49=Drop!A$13),H49,0))</f>
        <v>0</v>
      </c>
      <c r="P49" s="336"/>
      <c r="Q49" s="337"/>
      <c r="R49" s="42"/>
      <c r="S49" s="83"/>
      <c r="T49" s="39"/>
      <c r="U49" s="39"/>
      <c r="V49" s="39"/>
      <c r="W49" s="39"/>
      <c r="X49" s="39"/>
      <c r="Y49" s="39"/>
      <c r="Z49" s="39"/>
      <c r="AA49" s="39"/>
      <c r="AB49" s="82"/>
      <c r="AC49" s="42"/>
      <c r="AF49" s="254">
        <f t="shared" si="5"/>
        <v>12</v>
      </c>
      <c r="AG49" s="254" t="e">
        <f t="shared" si="2"/>
        <v>#N/A</v>
      </c>
      <c r="AH49" s="254" t="e">
        <f t="shared" si="9"/>
        <v>#N/A</v>
      </c>
      <c r="AI49" s="254">
        <f t="shared" si="6"/>
        <v>0</v>
      </c>
      <c r="AJ49" s="112">
        <f t="shared" si="4"/>
        <v>1</v>
      </c>
      <c r="AK49" s="113">
        <f t="shared" si="7"/>
        <v>0</v>
      </c>
      <c r="AL49" s="114" t="e">
        <f t="shared" si="8"/>
        <v>#N/A</v>
      </c>
      <c r="AM49" s="115"/>
    </row>
    <row r="50" spans="2:39" ht="15.75" customHeight="1" x14ac:dyDescent="0.2">
      <c r="B50" s="263"/>
      <c r="C50" s="251"/>
      <c r="D50" s="251"/>
      <c r="E50" s="275"/>
      <c r="F50" s="39"/>
      <c r="G50" s="39"/>
      <c r="H50" s="338">
        <f t="shared" si="0"/>
        <v>0</v>
      </c>
      <c r="I50" s="366"/>
      <c r="J50" s="340" t="str">
        <f t="shared" si="1"/>
        <v/>
      </c>
      <c r="K50" s="341"/>
      <c r="L50" s="333">
        <f>IF(ISERROR(IF(C50&gt;0,IF(OR(C50&gt;$Y$12,E50=Drop!A$13),0,J50*$Y$12),0)),Drop!A$219,IF(C50&gt;0,IF(OR(C50&gt;$Y$12,E50=Drop!A$13),0,J50*$Y$12),0))</f>
        <v>0</v>
      </c>
      <c r="M50" s="333"/>
      <c r="N50" s="334"/>
      <c r="O50" s="335">
        <f>IF(ISERROR(IF(OR(C50&gt;$Y$12,E50=Drop!A$13),H50,0)),Drop!A$219,IF(OR(C50&gt;$Y$12,E50=Drop!A$13),H50,0))</f>
        <v>0</v>
      </c>
      <c r="P50" s="336"/>
      <c r="Q50" s="337"/>
      <c r="R50" s="42"/>
      <c r="S50" s="83"/>
      <c r="T50" s="39"/>
      <c r="U50" s="39"/>
      <c r="V50" s="39"/>
      <c r="W50" s="39"/>
      <c r="X50" s="39"/>
      <c r="Y50" s="39"/>
      <c r="Z50" s="39"/>
      <c r="AA50" s="39"/>
      <c r="AB50" s="82"/>
      <c r="AC50" s="42"/>
      <c r="AF50" s="254">
        <f t="shared" si="5"/>
        <v>13</v>
      </c>
      <c r="AG50" s="254" t="e">
        <f t="shared" si="2"/>
        <v>#N/A</v>
      </c>
      <c r="AH50" s="254" t="e">
        <f t="shared" si="9"/>
        <v>#N/A</v>
      </c>
      <c r="AI50" s="254">
        <f t="shared" si="6"/>
        <v>0</v>
      </c>
      <c r="AJ50" s="112">
        <f t="shared" si="4"/>
        <v>1</v>
      </c>
      <c r="AK50" s="113">
        <f t="shared" si="7"/>
        <v>0</v>
      </c>
      <c r="AL50" s="114" t="e">
        <f t="shared" si="8"/>
        <v>#N/A</v>
      </c>
      <c r="AM50" s="115"/>
    </row>
    <row r="51" spans="2:39" ht="15.75" customHeight="1" x14ac:dyDescent="0.2">
      <c r="B51" s="263"/>
      <c r="C51" s="251"/>
      <c r="D51" s="251"/>
      <c r="E51" s="275"/>
      <c r="F51" s="39"/>
      <c r="G51" s="39"/>
      <c r="H51" s="362">
        <f t="shared" si="0"/>
        <v>0</v>
      </c>
      <c r="I51" s="363"/>
      <c r="J51" s="364" t="str">
        <f t="shared" si="1"/>
        <v/>
      </c>
      <c r="K51" s="365"/>
      <c r="L51" s="333">
        <f>IF(ISERROR(IF(C51&gt;0,IF(OR(C51&gt;$Y$12,E51=Drop!A$13),0,J51*$Y$12),0)),Drop!A$219,IF(C51&gt;0,IF(OR(C51&gt;$Y$12,E51=Drop!A$13),0,J51*$Y$12),0))</f>
        <v>0</v>
      </c>
      <c r="M51" s="333"/>
      <c r="N51" s="334"/>
      <c r="O51" s="335">
        <f>IF(ISERROR(IF(OR(C51&gt;$Y$12,E51=Drop!A$13),H51,0)),Drop!A$219,IF(OR(C51&gt;$Y$12,E51=Drop!A$13),H51,0))</f>
        <v>0</v>
      </c>
      <c r="P51" s="336"/>
      <c r="Q51" s="337"/>
      <c r="R51" s="42"/>
      <c r="S51" s="83"/>
      <c r="T51" s="39"/>
      <c r="U51" s="39"/>
      <c r="V51" s="39"/>
      <c r="W51" s="39"/>
      <c r="X51" s="39"/>
      <c r="Y51" s="39"/>
      <c r="Z51" s="39"/>
      <c r="AA51" s="39"/>
      <c r="AB51" s="82"/>
      <c r="AC51" s="42"/>
      <c r="AF51" s="254">
        <f t="shared" si="5"/>
        <v>14</v>
      </c>
      <c r="AG51" s="254" t="e">
        <f t="shared" si="2"/>
        <v>#N/A</v>
      </c>
      <c r="AH51" s="254" t="e">
        <f t="shared" si="9"/>
        <v>#N/A</v>
      </c>
      <c r="AI51" s="254">
        <f t="shared" si="6"/>
        <v>0</v>
      </c>
      <c r="AJ51" s="112">
        <f t="shared" si="4"/>
        <v>1</v>
      </c>
      <c r="AK51" s="113">
        <f t="shared" si="7"/>
        <v>0</v>
      </c>
      <c r="AL51" s="114" t="e">
        <f t="shared" si="8"/>
        <v>#N/A</v>
      </c>
      <c r="AM51" s="115"/>
    </row>
    <row r="52" spans="2:39" ht="15.75" customHeight="1" x14ac:dyDescent="0.2">
      <c r="B52" s="263"/>
      <c r="C52" s="251"/>
      <c r="D52" s="251"/>
      <c r="E52" s="275"/>
      <c r="F52" s="39"/>
      <c r="G52" s="39"/>
      <c r="H52" s="342">
        <f t="shared" si="0"/>
        <v>0</v>
      </c>
      <c r="I52" s="343"/>
      <c r="J52" s="344" t="str">
        <f t="shared" si="1"/>
        <v/>
      </c>
      <c r="K52" s="345"/>
      <c r="L52" s="332">
        <f>IF(ISERROR(IF(C52&gt;0,IF(OR(C52&gt;$Y$12,E52=Drop!A$13),0,J52*$Y$12),0)),Drop!A$219,IF(C52&gt;0,IF(OR(C52&gt;$Y$12,E52=Drop!A$13),0,J52*$Y$12),0))</f>
        <v>0</v>
      </c>
      <c r="M52" s="333"/>
      <c r="N52" s="334"/>
      <c r="O52" s="335">
        <f>IF(ISERROR(IF(OR(C52&gt;$Y$12,E52=Drop!A$13),H52,0)),Drop!A$219,IF(OR(C52&gt;$Y$12,E52=Drop!A$13),H52,0))</f>
        <v>0</v>
      </c>
      <c r="P52" s="336"/>
      <c r="Q52" s="337"/>
      <c r="R52" s="42"/>
      <c r="S52" s="83"/>
      <c r="T52" s="39"/>
      <c r="U52" s="39"/>
      <c r="V52" s="39"/>
      <c r="W52" s="39"/>
      <c r="X52" s="39"/>
      <c r="Y52" s="39"/>
      <c r="Z52" s="39"/>
      <c r="AA52" s="39"/>
      <c r="AB52" s="82"/>
      <c r="AC52" s="42"/>
      <c r="AF52" s="254">
        <f t="shared" si="5"/>
        <v>15</v>
      </c>
      <c r="AG52" s="254" t="e">
        <f t="shared" si="2"/>
        <v>#N/A</v>
      </c>
      <c r="AH52" s="254" t="e">
        <f t="shared" si="9"/>
        <v>#N/A</v>
      </c>
      <c r="AI52" s="254">
        <f t="shared" si="6"/>
        <v>0</v>
      </c>
      <c r="AJ52" s="112">
        <f t="shared" si="4"/>
        <v>1</v>
      </c>
      <c r="AK52" s="113">
        <f t="shared" si="7"/>
        <v>0</v>
      </c>
      <c r="AL52" s="114" t="e">
        <f t="shared" si="8"/>
        <v>#N/A</v>
      </c>
      <c r="AM52" s="115"/>
    </row>
    <row r="53" spans="2:39" ht="15.75" customHeight="1" x14ac:dyDescent="0.2">
      <c r="B53" s="263"/>
      <c r="C53" s="251"/>
      <c r="D53" s="251"/>
      <c r="E53" s="275"/>
      <c r="F53" s="39"/>
      <c r="G53" s="39"/>
      <c r="H53" s="338">
        <f t="shared" si="0"/>
        <v>0</v>
      </c>
      <c r="I53" s="339"/>
      <c r="J53" s="340" t="str">
        <f t="shared" si="1"/>
        <v/>
      </c>
      <c r="K53" s="341"/>
      <c r="L53" s="332">
        <f>IF(ISERROR(IF(C53&gt;0,IF(OR(C53&gt;$Y$12,E53=Drop!A$13),0,J53*$Y$12),0)),Drop!A$219,IF(C53&gt;0,IF(OR(C53&gt;$Y$12,E53=Drop!A$13),0,J53*$Y$12),0))</f>
        <v>0</v>
      </c>
      <c r="M53" s="333"/>
      <c r="N53" s="334"/>
      <c r="O53" s="335">
        <f>IF(ISERROR(IF(OR(C53&gt;$Y$12,E53=Drop!A$13),H53,0)),Drop!A$219,IF(OR(C53&gt;$Y$12,E53=Drop!A$13),H53,0))</f>
        <v>0</v>
      </c>
      <c r="P53" s="336"/>
      <c r="Q53" s="337"/>
      <c r="R53" s="42"/>
      <c r="S53" s="83"/>
      <c r="T53" s="39"/>
      <c r="U53" s="39"/>
      <c r="V53" s="39"/>
      <c r="W53" s="39"/>
      <c r="X53" s="39"/>
      <c r="Y53" s="39"/>
      <c r="Z53" s="39"/>
      <c r="AA53" s="39"/>
      <c r="AB53" s="82"/>
      <c r="AC53" s="42"/>
      <c r="AF53" s="254">
        <f t="shared" si="5"/>
        <v>16</v>
      </c>
      <c r="AG53" s="254" t="e">
        <f t="shared" si="2"/>
        <v>#N/A</v>
      </c>
      <c r="AH53" s="254" t="e">
        <f t="shared" si="9"/>
        <v>#N/A</v>
      </c>
      <c r="AI53" s="254">
        <f t="shared" si="6"/>
        <v>0</v>
      </c>
      <c r="AJ53" s="112">
        <f t="shared" si="4"/>
        <v>1</v>
      </c>
      <c r="AK53" s="113">
        <f t="shared" si="7"/>
        <v>0</v>
      </c>
      <c r="AL53" s="114" t="e">
        <f t="shared" si="8"/>
        <v>#N/A</v>
      </c>
      <c r="AM53" s="115"/>
    </row>
    <row r="54" spans="2:39" ht="15.75" customHeight="1" x14ac:dyDescent="0.2">
      <c r="B54" s="263"/>
      <c r="C54" s="251"/>
      <c r="D54" s="251"/>
      <c r="E54" s="275"/>
      <c r="F54" s="39"/>
      <c r="G54" s="39"/>
      <c r="H54" s="342">
        <f t="shared" si="0"/>
        <v>0</v>
      </c>
      <c r="I54" s="343"/>
      <c r="J54" s="344" t="str">
        <f t="shared" si="1"/>
        <v/>
      </c>
      <c r="K54" s="345"/>
      <c r="L54" s="332">
        <f>IF(ISERROR(IF(C54&gt;0,IF(OR(C54&gt;$Y$12,E54=Drop!A$13),0,J54*$Y$12),0)),Drop!A$219,IF(C54&gt;0,IF(OR(C54&gt;$Y$12,E54=Drop!A$13),0,J54*$Y$12),0))</f>
        <v>0</v>
      </c>
      <c r="M54" s="333"/>
      <c r="N54" s="334"/>
      <c r="O54" s="335">
        <f>IF(ISERROR(IF(OR(C54&gt;$Y$12,E54=Drop!A$13),H54,0)),Drop!A$219,IF(OR(C54&gt;$Y$12,E54=Drop!A$13),H54,0))</f>
        <v>0</v>
      </c>
      <c r="P54" s="336"/>
      <c r="Q54" s="337"/>
      <c r="R54" s="42"/>
      <c r="S54" s="83"/>
      <c r="T54" s="39"/>
      <c r="U54" s="39"/>
      <c r="V54" s="39"/>
      <c r="W54" s="39"/>
      <c r="X54" s="39"/>
      <c r="Y54" s="39"/>
      <c r="Z54" s="39"/>
      <c r="AA54" s="39"/>
      <c r="AB54" s="82"/>
      <c r="AC54" s="42"/>
      <c r="AF54" s="254">
        <f t="shared" si="5"/>
        <v>17</v>
      </c>
      <c r="AG54" s="254" t="e">
        <f t="shared" si="2"/>
        <v>#N/A</v>
      </c>
      <c r="AH54" s="254" t="e">
        <f t="shared" si="9"/>
        <v>#N/A</v>
      </c>
      <c r="AI54" s="254">
        <f t="shared" si="6"/>
        <v>0</v>
      </c>
      <c r="AJ54" s="112">
        <f t="shared" si="4"/>
        <v>1</v>
      </c>
      <c r="AK54" s="113">
        <f t="shared" si="7"/>
        <v>0</v>
      </c>
      <c r="AL54" s="114" t="e">
        <f t="shared" si="8"/>
        <v>#N/A</v>
      </c>
      <c r="AM54" s="115"/>
    </row>
    <row r="55" spans="2:39" ht="15.75" customHeight="1" x14ac:dyDescent="0.2">
      <c r="B55" s="263"/>
      <c r="C55" s="251"/>
      <c r="D55" s="251"/>
      <c r="E55" s="275"/>
      <c r="F55" s="39"/>
      <c r="G55" s="39"/>
      <c r="H55" s="338">
        <f t="shared" si="0"/>
        <v>0</v>
      </c>
      <c r="I55" s="339"/>
      <c r="J55" s="340" t="str">
        <f t="shared" si="1"/>
        <v/>
      </c>
      <c r="K55" s="341"/>
      <c r="L55" s="332">
        <f>IF(ISERROR(IF(C55&gt;0,IF(OR(C55&gt;$Y$12,E55=Drop!A$13),0,J55*$Y$12),0)),Drop!A$219,IF(C55&gt;0,IF(OR(C55&gt;$Y$12,E55=Drop!A$13),0,J55*$Y$12),0))</f>
        <v>0</v>
      </c>
      <c r="M55" s="333"/>
      <c r="N55" s="334"/>
      <c r="O55" s="335">
        <f>IF(ISERROR(IF(OR(C55&gt;$Y$12,E55=Drop!A$13),H55,0)),Drop!A$219,IF(OR(C55&gt;$Y$12,E55=Drop!A$13),H55,0))</f>
        <v>0</v>
      </c>
      <c r="P55" s="336"/>
      <c r="Q55" s="337"/>
      <c r="R55" s="42"/>
      <c r="S55" s="83"/>
      <c r="T55" s="39"/>
      <c r="U55" s="39"/>
      <c r="V55" s="39"/>
      <c r="W55" s="39"/>
      <c r="X55" s="39"/>
      <c r="Y55" s="39"/>
      <c r="Z55" s="39"/>
      <c r="AA55" s="39"/>
      <c r="AB55" s="82"/>
      <c r="AC55" s="42"/>
      <c r="AF55" s="254">
        <f t="shared" si="5"/>
        <v>18</v>
      </c>
      <c r="AG55" s="254" t="e">
        <f t="shared" si="2"/>
        <v>#N/A</v>
      </c>
      <c r="AH55" s="254" t="e">
        <f t="shared" si="9"/>
        <v>#N/A</v>
      </c>
      <c r="AI55" s="254">
        <f t="shared" si="6"/>
        <v>0</v>
      </c>
      <c r="AJ55" s="112">
        <f t="shared" si="4"/>
        <v>1</v>
      </c>
      <c r="AK55" s="113">
        <f t="shared" si="7"/>
        <v>0</v>
      </c>
      <c r="AL55" s="114" t="e">
        <f t="shared" si="8"/>
        <v>#N/A</v>
      </c>
      <c r="AM55" s="115"/>
    </row>
    <row r="56" spans="2:39" ht="15.75" customHeight="1" x14ac:dyDescent="0.2">
      <c r="B56" s="263"/>
      <c r="C56" s="251"/>
      <c r="D56" s="251"/>
      <c r="E56" s="275"/>
      <c r="F56" s="39"/>
      <c r="G56" s="39"/>
      <c r="H56" s="362">
        <f t="shared" si="0"/>
        <v>0</v>
      </c>
      <c r="I56" s="363"/>
      <c r="J56" s="364" t="str">
        <f t="shared" si="1"/>
        <v/>
      </c>
      <c r="K56" s="365"/>
      <c r="L56" s="332">
        <f>IF(ISERROR(IF(C56&gt;0,IF(OR(C56&gt;$Y$12,E56=Drop!A$13),0,J56*$Y$12),0)),Drop!A$219,IF(C56&gt;0,IF(OR(C56&gt;$Y$12,E56=Drop!A$13),0,J56*$Y$12),0))</f>
        <v>0</v>
      </c>
      <c r="M56" s="333"/>
      <c r="N56" s="334"/>
      <c r="O56" s="335">
        <f>IF(ISERROR(IF(OR(C56&gt;$Y$12,E56=Drop!A$13),H56,0)),Drop!A$219,IF(OR(C56&gt;$Y$12,E56=Drop!A$13),H56,0))</f>
        <v>0</v>
      </c>
      <c r="P56" s="336"/>
      <c r="Q56" s="337"/>
      <c r="R56" s="42"/>
      <c r="S56" s="83"/>
      <c r="T56" s="39"/>
      <c r="U56" s="39"/>
      <c r="V56" s="39"/>
      <c r="W56" s="39"/>
      <c r="X56" s="39"/>
      <c r="Y56" s="39"/>
      <c r="Z56" s="39"/>
      <c r="AA56" s="39"/>
      <c r="AB56" s="82"/>
      <c r="AC56" s="42"/>
      <c r="AF56" s="254">
        <f t="shared" si="5"/>
        <v>19</v>
      </c>
      <c r="AG56" s="254" t="e">
        <f t="shared" si="2"/>
        <v>#N/A</v>
      </c>
      <c r="AH56" s="254" t="e">
        <f t="shared" si="9"/>
        <v>#N/A</v>
      </c>
      <c r="AI56" s="254">
        <f t="shared" si="6"/>
        <v>0</v>
      </c>
      <c r="AJ56" s="112">
        <f t="shared" si="4"/>
        <v>1</v>
      </c>
      <c r="AK56" s="113">
        <f t="shared" si="7"/>
        <v>0</v>
      </c>
      <c r="AL56" s="114" t="e">
        <f t="shared" si="8"/>
        <v>#N/A</v>
      </c>
      <c r="AM56" s="115"/>
    </row>
    <row r="57" spans="2:39" ht="15.75" customHeight="1" thickBot="1" x14ac:dyDescent="0.25">
      <c r="B57" s="83"/>
      <c r="C57" s="355" t="str">
        <f>Drop!A153</f>
        <v>Projected misstatement</v>
      </c>
      <c r="D57" s="355"/>
      <c r="E57" s="355"/>
      <c r="F57" s="356"/>
      <c r="G57" s="39"/>
      <c r="H57" s="357">
        <f>SUM(H37:I56)</f>
        <v>0</v>
      </c>
      <c r="I57" s="358"/>
      <c r="J57" s="39"/>
      <c r="K57" s="39"/>
      <c r="L57" s="332">
        <f>SUM(L37:N56)</f>
        <v>0</v>
      </c>
      <c r="M57" s="333"/>
      <c r="N57" s="334"/>
      <c r="O57" s="359">
        <f>SUM(O37:Q56)</f>
        <v>0</v>
      </c>
      <c r="P57" s="360"/>
      <c r="Q57" s="361"/>
      <c r="R57" s="42"/>
      <c r="S57" s="83" t="str">
        <f>Drop!A162</f>
        <v>Results:</v>
      </c>
      <c r="T57" s="117"/>
      <c r="U57" s="117"/>
      <c r="V57" s="117"/>
      <c r="W57" s="117"/>
      <c r="X57" s="117"/>
      <c r="Y57" s="117"/>
      <c r="Z57" s="117"/>
      <c r="AA57" s="117"/>
      <c r="AB57" s="118"/>
      <c r="AC57" s="42"/>
      <c r="AF57" s="254">
        <f t="shared" si="5"/>
        <v>20</v>
      </c>
      <c r="AG57" s="254" t="e">
        <f t="shared" si="2"/>
        <v>#N/A</v>
      </c>
      <c r="AH57" s="254" t="e">
        <f>AG57-AG56</f>
        <v>#N/A</v>
      </c>
      <c r="AI57" s="254">
        <f t="shared" si="6"/>
        <v>0</v>
      </c>
      <c r="AJ57" s="112">
        <f t="shared" si="4"/>
        <v>1</v>
      </c>
      <c r="AK57" s="113">
        <f t="shared" si="7"/>
        <v>0</v>
      </c>
      <c r="AL57" s="114" t="e">
        <f t="shared" si="8"/>
        <v>#N/A</v>
      </c>
      <c r="AM57" s="115"/>
    </row>
    <row r="58" spans="2:39" ht="15.75" customHeight="1" x14ac:dyDescent="0.2">
      <c r="B58" s="83"/>
      <c r="C58" s="39"/>
      <c r="D58" s="39"/>
      <c r="E58" s="39"/>
      <c r="F58" s="39"/>
      <c r="G58" s="39"/>
      <c r="H58" s="39"/>
      <c r="I58" s="40" t="str">
        <f>Drop!A154</f>
        <v>(Factual)</v>
      </c>
      <c r="J58" s="39"/>
      <c r="K58" s="39"/>
      <c r="L58" s="316">
        <f>IF(ISERROR(SUM(L57:Q57)),Drop!A219,SUM(L57:Q57))</f>
        <v>0</v>
      </c>
      <c r="M58" s="317"/>
      <c r="N58" s="317"/>
      <c r="O58" s="317"/>
      <c r="P58" s="317"/>
      <c r="Q58" s="318"/>
      <c r="R58" s="42"/>
      <c r="S58" s="319" t="str">
        <f>IF(ISERROR(IF(AG74=TRUE,Drop!A71,Drop!A72)),Drop!A219,IF(AG74=TRUE,Drop!A71,Drop!A72))</f>
        <v>Verify all inputs</v>
      </c>
      <c r="T58" s="320"/>
      <c r="U58" s="320"/>
      <c r="V58" s="320"/>
      <c r="W58" s="320"/>
      <c r="X58" s="320"/>
      <c r="Y58" s="320"/>
      <c r="Z58" s="320"/>
      <c r="AA58" s="320"/>
      <c r="AB58" s="321"/>
      <c r="AC58" s="42"/>
    </row>
    <row r="59" spans="2:39" ht="27.6" customHeight="1" x14ac:dyDescent="0.2">
      <c r="B59" s="83"/>
      <c r="C59" s="39"/>
      <c r="D59" s="39"/>
      <c r="E59" s="39"/>
      <c r="F59" s="39"/>
      <c r="G59" s="39"/>
      <c r="H59" s="39"/>
      <c r="I59" s="39"/>
      <c r="J59" s="39"/>
      <c r="K59" s="39"/>
      <c r="L59" s="39"/>
      <c r="M59" s="39"/>
      <c r="N59" s="39"/>
      <c r="O59" s="39"/>
      <c r="P59" s="39"/>
      <c r="Q59" s="120" t="str">
        <f>Drop!A155</f>
        <v>(Total projected)</v>
      </c>
      <c r="R59" s="42"/>
      <c r="S59" s="322"/>
      <c r="T59" s="323"/>
      <c r="U59" s="323"/>
      <c r="V59" s="323"/>
      <c r="W59" s="323"/>
      <c r="X59" s="323"/>
      <c r="Y59" s="323"/>
      <c r="Z59" s="323"/>
      <c r="AA59" s="323"/>
      <c r="AB59" s="324"/>
      <c r="AC59" s="42"/>
      <c r="AF59" s="119" t="s">
        <v>59</v>
      </c>
      <c r="AL59" s="99" t="e">
        <f>SUM(AL38:AL57)</f>
        <v>#N/A</v>
      </c>
    </row>
    <row r="60" spans="2:39" ht="26.25" customHeight="1" x14ac:dyDescent="0.2">
      <c r="B60" s="83"/>
      <c r="C60" s="121"/>
      <c r="D60" s="121"/>
      <c r="E60" s="121"/>
      <c r="F60" s="121"/>
      <c r="G60" s="121"/>
      <c r="H60" s="121"/>
      <c r="I60" s="121"/>
      <c r="J60" s="39"/>
      <c r="K60" s="39"/>
      <c r="L60" s="39"/>
      <c r="M60" s="39"/>
      <c r="N60" s="39"/>
      <c r="O60" s="39"/>
      <c r="P60" s="39"/>
      <c r="Q60" s="82"/>
      <c r="R60" s="42"/>
      <c r="S60" s="322" t="str">
        <f>IF(ISERROR(IF(AG76=TRUE,Drop!A75,"")),Drop!A219,IF(AG76=TRUE,Drop!A75,""))</f>
        <v>Verify all inputs</v>
      </c>
      <c r="T60" s="323"/>
      <c r="U60" s="323"/>
      <c r="V60" s="323"/>
      <c r="W60" s="323"/>
      <c r="X60" s="323"/>
      <c r="Y60" s="323"/>
      <c r="Z60" s="323"/>
      <c r="AA60" s="323"/>
      <c r="AB60" s="324"/>
      <c r="AC60" s="42"/>
      <c r="AF60" s="43" t="s">
        <v>60</v>
      </c>
      <c r="AL60" s="99">
        <f>L57</f>
        <v>0</v>
      </c>
    </row>
    <row r="61" spans="2:39" ht="45" customHeight="1" x14ac:dyDescent="0.2">
      <c r="B61" s="83"/>
      <c r="C61" s="111"/>
      <c r="D61" s="111"/>
      <c r="E61" s="111"/>
      <c r="F61" s="111"/>
      <c r="G61" s="111"/>
      <c r="H61" s="325" t="str">
        <f>IF(AG33=TRUE,Drop!A83,"")</f>
        <v/>
      </c>
      <c r="I61" s="325"/>
      <c r="J61" s="325"/>
      <c r="K61" s="325"/>
      <c r="L61" s="325"/>
      <c r="M61" s="325"/>
      <c r="N61" s="325"/>
      <c r="O61" s="325"/>
      <c r="P61" s="325"/>
      <c r="Q61" s="326"/>
      <c r="R61" s="42"/>
      <c r="S61" s="322"/>
      <c r="T61" s="323"/>
      <c r="U61" s="323"/>
      <c r="V61" s="323"/>
      <c r="W61" s="323"/>
      <c r="X61" s="323"/>
      <c r="Y61" s="323"/>
      <c r="Z61" s="323"/>
      <c r="AA61" s="323"/>
      <c r="AB61" s="324"/>
      <c r="AC61" s="42"/>
      <c r="AF61" s="43" t="s">
        <v>61</v>
      </c>
      <c r="AL61" s="99" t="e">
        <f>AL59-AL60</f>
        <v>#N/A</v>
      </c>
    </row>
    <row r="62" spans="2:39" ht="26.25" customHeight="1" x14ac:dyDescent="0.2">
      <c r="B62" s="83"/>
      <c r="C62" s="111"/>
      <c r="D62" s="111"/>
      <c r="E62" s="111"/>
      <c r="F62" s="111"/>
      <c r="G62" s="111"/>
      <c r="H62" s="325"/>
      <c r="I62" s="325"/>
      <c r="J62" s="325"/>
      <c r="K62" s="325"/>
      <c r="L62" s="325"/>
      <c r="M62" s="325"/>
      <c r="N62" s="325"/>
      <c r="O62" s="325"/>
      <c r="P62" s="325"/>
      <c r="Q62" s="326"/>
      <c r="R62" s="42"/>
      <c r="S62" s="322" t="str">
        <f>IF(ISERROR(IF(AG78=TRUE,Drop!A76,"")),Drop!A219,IF(AG78=TRUE,Drop!A76,""))</f>
        <v>Verify all inputs</v>
      </c>
      <c r="T62" s="323"/>
      <c r="U62" s="323"/>
      <c r="V62" s="323"/>
      <c r="W62" s="323"/>
      <c r="X62" s="323"/>
      <c r="Y62" s="323"/>
      <c r="Z62" s="323"/>
      <c r="AA62" s="323"/>
      <c r="AB62" s="324"/>
      <c r="AC62" s="42"/>
    </row>
    <row r="63" spans="2:39" ht="80.25" customHeight="1" thickBot="1" x14ac:dyDescent="0.25">
      <c r="B63" s="85"/>
      <c r="C63" s="86"/>
      <c r="D63" s="86"/>
      <c r="E63" s="86"/>
      <c r="F63" s="86"/>
      <c r="G63" s="86"/>
      <c r="H63" s="327"/>
      <c r="I63" s="327"/>
      <c r="J63" s="327"/>
      <c r="K63" s="327"/>
      <c r="L63" s="327"/>
      <c r="M63" s="327"/>
      <c r="N63" s="327"/>
      <c r="O63" s="327"/>
      <c r="P63" s="327"/>
      <c r="Q63" s="328"/>
      <c r="R63" s="122"/>
      <c r="S63" s="329"/>
      <c r="T63" s="330"/>
      <c r="U63" s="330"/>
      <c r="V63" s="330"/>
      <c r="W63" s="330"/>
      <c r="X63" s="330"/>
      <c r="Y63" s="330"/>
      <c r="Z63" s="330"/>
      <c r="AA63" s="330"/>
      <c r="AB63" s="331"/>
      <c r="AC63" s="42"/>
      <c r="AF63" s="44" t="s">
        <v>62</v>
      </c>
    </row>
    <row r="64" spans="2:39" ht="15.75" thickBot="1" x14ac:dyDescent="0.3">
      <c r="B64" s="42"/>
      <c r="C64" s="42"/>
      <c r="D64" s="42"/>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F64" s="123" t="s">
        <v>63</v>
      </c>
      <c r="AL64" s="99" t="e">
        <f>AG35</f>
        <v>#VALUE!</v>
      </c>
    </row>
    <row r="65" spans="2:38" ht="15.75" thickBot="1" x14ac:dyDescent="0.3">
      <c r="B65" s="158" t="str">
        <f>Drop!A100</f>
        <v>Step 8 - Document the results of the procedure</v>
      </c>
      <c r="C65" s="125"/>
      <c r="D65" s="125"/>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6"/>
      <c r="AC65" s="42"/>
      <c r="AF65" s="124" t="s">
        <v>64</v>
      </c>
      <c r="AL65" s="99" t="e">
        <f>AL61</f>
        <v>#N/A</v>
      </c>
    </row>
    <row r="66" spans="2:38" ht="15" customHeight="1" x14ac:dyDescent="0.2">
      <c r="B66" s="346"/>
      <c r="C66" s="347"/>
      <c r="D66" s="347"/>
      <c r="E66" s="347"/>
      <c r="F66" s="347"/>
      <c r="G66" s="347"/>
      <c r="H66" s="347"/>
      <c r="I66" s="347"/>
      <c r="J66" s="347"/>
      <c r="K66" s="347"/>
      <c r="L66" s="347"/>
      <c r="M66" s="347"/>
      <c r="N66" s="347"/>
      <c r="O66" s="347"/>
      <c r="P66" s="347"/>
      <c r="Q66" s="347"/>
      <c r="R66" s="347"/>
      <c r="S66" s="347"/>
      <c r="T66" s="347"/>
      <c r="U66" s="347"/>
      <c r="V66" s="347"/>
      <c r="W66" s="347"/>
      <c r="X66" s="347"/>
      <c r="Y66" s="347"/>
      <c r="Z66" s="347"/>
      <c r="AA66" s="347"/>
      <c r="AB66" s="348"/>
      <c r="AC66" s="42"/>
      <c r="AF66" s="43" t="s">
        <v>62</v>
      </c>
      <c r="AL66" s="99" t="e">
        <f>AL64+AL65</f>
        <v>#VALUE!</v>
      </c>
    </row>
    <row r="67" spans="2:38" x14ac:dyDescent="0.2">
      <c r="B67" s="349"/>
      <c r="C67" s="350"/>
      <c r="D67" s="350"/>
      <c r="E67" s="350"/>
      <c r="F67" s="350"/>
      <c r="G67" s="350"/>
      <c r="H67" s="350"/>
      <c r="I67" s="350"/>
      <c r="J67" s="350"/>
      <c r="K67" s="350"/>
      <c r="L67" s="350"/>
      <c r="M67" s="350"/>
      <c r="N67" s="350"/>
      <c r="O67" s="350"/>
      <c r="P67" s="350"/>
      <c r="Q67" s="350"/>
      <c r="R67" s="350"/>
      <c r="S67" s="350"/>
      <c r="T67" s="350"/>
      <c r="U67" s="350"/>
      <c r="V67" s="350"/>
      <c r="W67" s="350"/>
      <c r="X67" s="350"/>
      <c r="Y67" s="350"/>
      <c r="Z67" s="350"/>
      <c r="AA67" s="350"/>
      <c r="AB67" s="351"/>
      <c r="AC67" s="42"/>
      <c r="AL67" s="51"/>
    </row>
    <row r="68" spans="2:38" ht="15" x14ac:dyDescent="0.25">
      <c r="B68" s="349"/>
      <c r="C68" s="350"/>
      <c r="D68" s="350"/>
      <c r="E68" s="350"/>
      <c r="F68" s="350"/>
      <c r="G68" s="350"/>
      <c r="H68" s="350"/>
      <c r="I68" s="350"/>
      <c r="J68" s="350"/>
      <c r="K68" s="350"/>
      <c r="L68" s="350"/>
      <c r="M68" s="350"/>
      <c r="N68" s="350"/>
      <c r="O68" s="350"/>
      <c r="P68" s="350"/>
      <c r="Q68" s="350"/>
      <c r="R68" s="350"/>
      <c r="S68" s="350"/>
      <c r="T68" s="350"/>
      <c r="U68" s="350"/>
      <c r="V68" s="350"/>
      <c r="W68" s="350"/>
      <c r="X68" s="350"/>
      <c r="Y68" s="350"/>
      <c r="Z68" s="350"/>
      <c r="AA68" s="350"/>
      <c r="AB68" s="351"/>
      <c r="AC68" s="42"/>
      <c r="AF68" s="127" t="s">
        <v>65</v>
      </c>
      <c r="AG68" s="123"/>
      <c r="AH68" s="123"/>
      <c r="AI68" s="123"/>
      <c r="AJ68" s="123"/>
      <c r="AK68" s="123"/>
      <c r="AL68" s="51"/>
    </row>
    <row r="69" spans="2:38" ht="15" x14ac:dyDescent="0.25">
      <c r="B69" s="349"/>
      <c r="C69" s="350"/>
      <c r="D69" s="350"/>
      <c r="E69" s="350"/>
      <c r="F69" s="350"/>
      <c r="G69" s="350"/>
      <c r="H69" s="350"/>
      <c r="I69" s="350"/>
      <c r="J69" s="350"/>
      <c r="K69" s="350"/>
      <c r="L69" s="350"/>
      <c r="M69" s="350"/>
      <c r="N69" s="350"/>
      <c r="O69" s="350"/>
      <c r="P69" s="350"/>
      <c r="Q69" s="350"/>
      <c r="R69" s="350"/>
      <c r="S69" s="350"/>
      <c r="T69" s="350"/>
      <c r="U69" s="350"/>
      <c r="V69" s="350"/>
      <c r="W69" s="350"/>
      <c r="X69" s="350"/>
      <c r="Y69" s="350"/>
      <c r="Z69" s="350"/>
      <c r="AA69" s="350"/>
      <c r="AB69" s="351"/>
      <c r="AC69" s="42"/>
      <c r="AF69" s="123" t="s">
        <v>63</v>
      </c>
      <c r="AG69" s="123"/>
      <c r="AH69" s="123"/>
      <c r="AI69" s="123"/>
      <c r="AJ69" s="123"/>
      <c r="AK69" s="123"/>
      <c r="AL69" s="99" t="e">
        <f>AG35</f>
        <v>#VALUE!</v>
      </c>
    </row>
    <row r="70" spans="2:38" ht="15.75" thickBot="1" x14ac:dyDescent="0.3">
      <c r="B70" s="352"/>
      <c r="C70" s="353"/>
      <c r="D70" s="353"/>
      <c r="E70" s="353"/>
      <c r="F70" s="353"/>
      <c r="G70" s="353"/>
      <c r="H70" s="353"/>
      <c r="I70" s="353"/>
      <c r="J70" s="353"/>
      <c r="K70" s="353"/>
      <c r="L70" s="353"/>
      <c r="M70" s="353"/>
      <c r="N70" s="353"/>
      <c r="O70" s="353"/>
      <c r="P70" s="353"/>
      <c r="Q70" s="353"/>
      <c r="R70" s="353"/>
      <c r="S70" s="353"/>
      <c r="T70" s="353"/>
      <c r="U70" s="353"/>
      <c r="V70" s="353"/>
      <c r="W70" s="353"/>
      <c r="X70" s="353"/>
      <c r="Y70" s="353"/>
      <c r="Z70" s="353"/>
      <c r="AA70" s="353"/>
      <c r="AB70" s="354"/>
      <c r="AC70" s="42"/>
      <c r="AF70" s="128" t="s">
        <v>66</v>
      </c>
      <c r="AG70" s="123"/>
      <c r="AH70" s="123"/>
      <c r="AI70" s="123"/>
      <c r="AJ70" s="123"/>
      <c r="AK70" s="123"/>
      <c r="AL70" s="99" t="e">
        <f>AL59</f>
        <v>#N/A</v>
      </c>
    </row>
    <row r="71" spans="2:38" ht="15" x14ac:dyDescent="0.25">
      <c r="B71" s="42"/>
      <c r="C71" s="42"/>
      <c r="D71" s="42"/>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F71" s="128" t="s">
        <v>67</v>
      </c>
      <c r="AG71" s="123"/>
      <c r="AH71" s="123"/>
      <c r="AI71" s="123"/>
      <c r="AJ71" s="123"/>
      <c r="AK71" s="123"/>
      <c r="AL71" s="99">
        <f>O57</f>
        <v>0</v>
      </c>
    </row>
    <row r="72" spans="2:38" s="42" customFormat="1" x14ac:dyDescent="0.2">
      <c r="AF72" s="43" t="s">
        <v>65</v>
      </c>
      <c r="AG72" s="43"/>
      <c r="AH72" s="43"/>
      <c r="AI72" s="43"/>
      <c r="AJ72" s="43"/>
      <c r="AK72" s="43"/>
      <c r="AL72" s="99" t="e">
        <f>SUM(AL69:AL71)</f>
        <v>#VALUE!</v>
      </c>
    </row>
    <row r="73" spans="2:38" x14ac:dyDescent="0.2">
      <c r="AF73" s="42" t="s">
        <v>103</v>
      </c>
      <c r="AG73" s="42"/>
      <c r="AH73" s="42"/>
      <c r="AI73" s="42"/>
      <c r="AJ73" s="42"/>
      <c r="AK73" s="42"/>
      <c r="AL73" s="129" t="e">
        <f>ABS(AL72)</f>
        <v>#VALUE!</v>
      </c>
    </row>
    <row r="74" spans="2:38" x14ac:dyDescent="0.2">
      <c r="AF74" s="43" t="s">
        <v>75</v>
      </c>
      <c r="AG74" s="51" t="e">
        <f>IF(AL73&lt;L5,TRUE,FALSE)</f>
        <v>#VALUE!</v>
      </c>
    </row>
    <row r="75" spans="2:38" x14ac:dyDescent="0.2">
      <c r="AF75" s="43" t="s">
        <v>76</v>
      </c>
      <c r="AG75" s="51" t="e">
        <f>IF((AL73-AA35)&lt;L5,TRUE,FALSE)</f>
        <v>#VALUE!</v>
      </c>
    </row>
    <row r="76" spans="2:38" x14ac:dyDescent="0.2">
      <c r="AF76" s="43" t="s">
        <v>77</v>
      </c>
      <c r="AG76" s="51" t="e">
        <f>AND(AG74=FALSE,AG75=TRUE)</f>
        <v>#VALUE!</v>
      </c>
    </row>
    <row r="77" spans="2:38" x14ac:dyDescent="0.2">
      <c r="AF77" s="119" t="s">
        <v>78</v>
      </c>
      <c r="AG77" s="51" t="e">
        <f>IF((AL73-L58)&lt;L5,TRUE,FALSE)</f>
        <v>#VALUE!</v>
      </c>
    </row>
    <row r="78" spans="2:38" x14ac:dyDescent="0.2">
      <c r="AF78" s="43" t="s">
        <v>298</v>
      </c>
      <c r="AG78" s="51" t="e">
        <f>AND(AG74=FALSE,AG77=TRUE)</f>
        <v>#VALUE!</v>
      </c>
    </row>
  </sheetData>
  <sheetProtection algorithmName="SHA-512" hashValue="x4Un/k+UEHbYjefHoTJ6V/rGKsdziuUvkst1CywpGgONJItbJT9sASkARxWpiMsJMhon2Ah+ZvyqGwRcmUWgoA==" saltValue="pDzsz7mtDZ/h8nYX3jg/AQ==" spinCount="100000" sheet="1" objects="1" scenarios="1"/>
  <mergeCells count="147">
    <mergeCell ref="H9:Q10"/>
    <mergeCell ref="Y10:AB10"/>
    <mergeCell ref="K11:N11"/>
    <mergeCell ref="B10:D10"/>
    <mergeCell ref="B11:D11"/>
    <mergeCell ref="B1:D1"/>
    <mergeCell ref="L4:O4"/>
    <mergeCell ref="L5:O5"/>
    <mergeCell ref="D3:E3"/>
    <mergeCell ref="D4:E4"/>
    <mergeCell ref="D5:E5"/>
    <mergeCell ref="M18:Q18"/>
    <mergeCell ref="S18:Y19"/>
    <mergeCell ref="Z18:AB19"/>
    <mergeCell ref="K19:L19"/>
    <mergeCell ref="M19:Q19"/>
    <mergeCell ref="Y12:AB12"/>
    <mergeCell ref="D14:F14"/>
    <mergeCell ref="B12:D12"/>
    <mergeCell ref="B13:D13"/>
    <mergeCell ref="B18:D18"/>
    <mergeCell ref="B19:D19"/>
    <mergeCell ref="L25:Q25"/>
    <mergeCell ref="L26:Q26"/>
    <mergeCell ref="M22:N22"/>
    <mergeCell ref="O22:Q22"/>
    <mergeCell ref="H23:Q23"/>
    <mergeCell ref="O24:Q24"/>
    <mergeCell ref="K20:L20"/>
    <mergeCell ref="M20:Q20"/>
    <mergeCell ref="K21:L21"/>
    <mergeCell ref="M21:Q21"/>
    <mergeCell ref="L35:Q35"/>
    <mergeCell ref="AA35:AB35"/>
    <mergeCell ref="L36:N36"/>
    <mergeCell ref="O36:Q36"/>
    <mergeCell ref="AL36:AL37"/>
    <mergeCell ref="C34:F34"/>
    <mergeCell ref="H35:I36"/>
    <mergeCell ref="J35:K36"/>
    <mergeCell ref="H27:K27"/>
    <mergeCell ref="L27:Q27"/>
    <mergeCell ref="B28:F28"/>
    <mergeCell ref="B31:AB32"/>
    <mergeCell ref="B33:Q33"/>
    <mergeCell ref="S33:AB33"/>
    <mergeCell ref="C35:C36"/>
    <mergeCell ref="D35:D36"/>
    <mergeCell ref="E35:E36"/>
    <mergeCell ref="H38:I38"/>
    <mergeCell ref="J38:K38"/>
    <mergeCell ref="H37:I37"/>
    <mergeCell ref="J37:K37"/>
    <mergeCell ref="L37:N37"/>
    <mergeCell ref="O37:Q37"/>
    <mergeCell ref="S37:Z39"/>
    <mergeCell ref="AA37:AB39"/>
    <mergeCell ref="L38:N38"/>
    <mergeCell ref="O38:Q38"/>
    <mergeCell ref="L39:N39"/>
    <mergeCell ref="O39:Q39"/>
    <mergeCell ref="L40:N40"/>
    <mergeCell ref="O40:Q40"/>
    <mergeCell ref="H41:I41"/>
    <mergeCell ref="J41:K41"/>
    <mergeCell ref="L41:N41"/>
    <mergeCell ref="O41:Q41"/>
    <mergeCell ref="H40:I40"/>
    <mergeCell ref="J40:K40"/>
    <mergeCell ref="H39:I39"/>
    <mergeCell ref="J39:K39"/>
    <mergeCell ref="AA41:AB41"/>
    <mergeCell ref="H42:I42"/>
    <mergeCell ref="J42:K42"/>
    <mergeCell ref="L42:N42"/>
    <mergeCell ref="O42:Q42"/>
    <mergeCell ref="H45:I45"/>
    <mergeCell ref="J45:K45"/>
    <mergeCell ref="H44:I44"/>
    <mergeCell ref="J44:K44"/>
    <mergeCell ref="L43:N43"/>
    <mergeCell ref="O43:Q43"/>
    <mergeCell ref="S43:T45"/>
    <mergeCell ref="U43:V45"/>
    <mergeCell ref="W43:Z45"/>
    <mergeCell ref="L46:N46"/>
    <mergeCell ref="O46:Q46"/>
    <mergeCell ref="H47:I47"/>
    <mergeCell ref="J47:K47"/>
    <mergeCell ref="L47:N47"/>
    <mergeCell ref="O47:Q47"/>
    <mergeCell ref="H46:I46"/>
    <mergeCell ref="J46:K46"/>
    <mergeCell ref="AA43:AB45"/>
    <mergeCell ref="L44:N44"/>
    <mergeCell ref="O44:Q44"/>
    <mergeCell ref="L45:N45"/>
    <mergeCell ref="O45:Q45"/>
    <mergeCell ref="H43:I43"/>
    <mergeCell ref="J43:K43"/>
    <mergeCell ref="H51:I51"/>
    <mergeCell ref="J51:K51"/>
    <mergeCell ref="L51:N51"/>
    <mergeCell ref="O51:Q51"/>
    <mergeCell ref="H50:I50"/>
    <mergeCell ref="J50:K50"/>
    <mergeCell ref="L48:N48"/>
    <mergeCell ref="O48:Q48"/>
    <mergeCell ref="H49:I49"/>
    <mergeCell ref="J49:K49"/>
    <mergeCell ref="L49:N49"/>
    <mergeCell ref="O49:Q49"/>
    <mergeCell ref="H48:I48"/>
    <mergeCell ref="J48:K48"/>
    <mergeCell ref="B66:AB70"/>
    <mergeCell ref="L56:N56"/>
    <mergeCell ref="O56:Q56"/>
    <mergeCell ref="C57:F57"/>
    <mergeCell ref="H57:I57"/>
    <mergeCell ref="L57:N57"/>
    <mergeCell ref="O57:Q57"/>
    <mergeCell ref="H56:I56"/>
    <mergeCell ref="J56:K56"/>
    <mergeCell ref="B20:D20"/>
    <mergeCell ref="L58:Q58"/>
    <mergeCell ref="S58:AB59"/>
    <mergeCell ref="S60:AB61"/>
    <mergeCell ref="H61:Q63"/>
    <mergeCell ref="S62:AB63"/>
    <mergeCell ref="L54:N54"/>
    <mergeCell ref="O54:Q54"/>
    <mergeCell ref="H55:I55"/>
    <mergeCell ref="J55:K55"/>
    <mergeCell ref="L55:N55"/>
    <mergeCell ref="O55:Q55"/>
    <mergeCell ref="H54:I54"/>
    <mergeCell ref="J54:K54"/>
    <mergeCell ref="L52:N52"/>
    <mergeCell ref="O52:Q52"/>
    <mergeCell ref="H53:I53"/>
    <mergeCell ref="J53:K53"/>
    <mergeCell ref="L53:N53"/>
    <mergeCell ref="O53:Q53"/>
    <mergeCell ref="H52:I52"/>
    <mergeCell ref="J52:K52"/>
    <mergeCell ref="L50:N50"/>
    <mergeCell ref="O50:Q50"/>
  </mergeCells>
  <conditionalFormatting sqref="S58">
    <cfRule type="expression" dxfId="74" priority="81">
      <formula>$AG$74=TRUE</formula>
    </cfRule>
  </conditionalFormatting>
  <conditionalFormatting sqref="M19:Q19">
    <cfRule type="expression" dxfId="73" priority="31">
      <formula>ISTEXT($M$19)</formula>
    </cfRule>
  </conditionalFormatting>
  <conditionalFormatting sqref="Y10:AB10">
    <cfRule type="expression" dxfId="72" priority="29">
      <formula>ISBLANK($Y$10)</formula>
    </cfRule>
  </conditionalFormatting>
  <conditionalFormatting sqref="E10">
    <cfRule type="expression" dxfId="71" priority="28">
      <formula>ISBLANK($E$10)</formula>
    </cfRule>
  </conditionalFormatting>
  <conditionalFormatting sqref="E19">
    <cfRule type="expression" dxfId="70" priority="13">
      <formula>ISBLANK($E$19)</formula>
    </cfRule>
  </conditionalFormatting>
  <conditionalFormatting sqref="M20:Q20">
    <cfRule type="expression" dxfId="69" priority="26">
      <formula>ISTEXT($M$20)</formula>
    </cfRule>
  </conditionalFormatting>
  <conditionalFormatting sqref="M21:Q21">
    <cfRule type="expression" dxfId="68" priority="22">
      <formula>ISTEXT($M$21)</formula>
    </cfRule>
  </conditionalFormatting>
  <conditionalFormatting sqref="K20:L20">
    <cfRule type="expression" dxfId="67" priority="19">
      <formula>ISBLANK($K$20)</formula>
    </cfRule>
  </conditionalFormatting>
  <conditionalFormatting sqref="K21:L21">
    <cfRule type="expression" dxfId="66" priority="18">
      <formula>ISBLANK($K$21)</formula>
    </cfRule>
  </conditionalFormatting>
  <conditionalFormatting sqref="K19:L19">
    <cfRule type="expression" dxfId="65" priority="17">
      <formula>ISBLANK($K$19)</formula>
    </cfRule>
  </conditionalFormatting>
  <conditionalFormatting sqref="E11">
    <cfRule type="expression" dxfId="64" priority="12">
      <formula>ISBLANK($E$11)</formula>
    </cfRule>
  </conditionalFormatting>
  <conditionalFormatting sqref="E12">
    <cfRule type="expression" dxfId="63" priority="11">
      <formula>ISBLANK($E$12)</formula>
    </cfRule>
  </conditionalFormatting>
  <conditionalFormatting sqref="M22:N22">
    <cfRule type="expression" dxfId="62" priority="6">
      <formula>ISBLANK($M$22)</formula>
    </cfRule>
  </conditionalFormatting>
  <conditionalFormatting sqref="L27:Q27">
    <cfRule type="expression" dxfId="61" priority="4">
      <formula>$L$27&lt;&gt;""</formula>
    </cfRule>
  </conditionalFormatting>
  <dataValidations count="9">
    <dataValidation type="list" allowBlank="1" showInputMessage="1" showErrorMessage="1" sqref="K19:K20" xr:uid="{E67B7AC4-14CD-4805-9728-ABCFAF7BE269}">
      <formula1>OtherEvidence</formula1>
    </dataValidation>
    <dataValidation type="list" allowBlank="1" showInputMessage="1" showErrorMessage="1" sqref="E37:F56 E19" xr:uid="{D877FF1D-B34A-4604-BE7A-B510A2344854}">
      <formula1>YesNo</formula1>
    </dataValidation>
    <dataValidation type="list" allowBlank="1" showInputMessage="1" showErrorMessage="1" sqref="K21:L21" xr:uid="{78557AFE-4252-4521-AEE6-4EA0505F6F81}">
      <formula1>ADA</formula1>
    </dataValidation>
    <dataValidation type="decimal" allowBlank="1" errorTitle="test" error="test" sqref="M22:N22" xr:uid="{9FC748AB-15E6-453C-9054-08B6D5963C66}">
      <formula1>0</formula1>
      <formula2>1</formula2>
    </dataValidation>
    <dataValidation type="decimal" operator="greaterThanOrEqual" allowBlank="1" showInputMessage="1" showErrorMessage="1" sqref="C37:D56" xr:uid="{21FABFC6-1A53-4BE8-8A25-11813892C596}">
      <formula1>0</formula1>
    </dataValidation>
    <dataValidation type="decimal" allowBlank="1" showInputMessage="1" showErrorMessage="1" error="Absolute tested value cannot be less than zero or greater than value of population." sqref="E20 F20:F21" xr:uid="{C533BCCF-935A-4871-B16E-8D8B6C6068D0}">
      <formula1>0</formula1>
      <formula2>E18</formula2>
    </dataValidation>
    <dataValidation type="decimal" allowBlank="1" showInputMessage="1" showErrorMessage="1" error="Absolute tested value cannot be less than zero or greater than value of population." sqref="E21" xr:uid="{69D094ED-9F4F-488C-A2F2-7CC17E39B2CC}">
      <formula1>0</formula1>
      <formula2>#REF!</formula2>
    </dataValidation>
    <dataValidation type="list" allowBlank="1" showInputMessage="1" showErrorMessage="1" sqref="E11" xr:uid="{038EE76A-0CF5-4C97-B01E-566F903E8D9B}">
      <formula1>InherentRisk</formula1>
    </dataValidation>
    <dataValidation type="list" allowBlank="1" showErrorMessage="1" prompt="Choose the applicable assertion" sqref="E10" xr:uid="{79C9886B-5903-423D-9BD7-142CA1D270B3}">
      <formula1>Assertions</formula1>
    </dataValidation>
  </dataValidations>
  <pageMargins left="0.25" right="0.25" top="0.75" bottom="0.75" header="0.3" footer="0.3"/>
  <pageSetup scale="40" orientation="landscape" r:id="rId1"/>
  <headerFooter>
    <oddFooter>&amp;C&amp;P of &amp;N&amp;R&amp;A</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27" id="{3EC9CD8D-0304-43A5-887E-D262B80E3846}">
            <xm:f>OR(ISBLANK($K$19),$K$19=Drop!$A$52)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30" id="{070056F4-9828-4ABF-B7F8-F039677A0EF7}">
            <xm:f>AND(OR($K$19=Drop!$A$53,$K$19=Drop!$A$54),ISBLANK($M$19))</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M19:Q19</xm:sqref>
        </x14:conditionalFormatting>
        <x14:conditionalFormatting xmlns:xm="http://schemas.microsoft.com/office/excel/2006/main">
          <x14:cfRule type="expression" priority="23" id="{F703D714-5B32-4FE0-B155-99E8F1651D8D}">
            <xm:f>OR(ISBLANK($K$20),$K$20=Drop!$A$52)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4" id="{BA90206E-9827-45FE-8E0C-658DC720E2E5}">
            <xm:f>AND(OR($K$20=Drop!$A$53,$K$20=Drop!$A$54),ISBLANK($M$20))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M20:Q20</xm:sqref>
        </x14:conditionalFormatting>
        <x14:conditionalFormatting xmlns:xm="http://schemas.microsoft.com/office/excel/2006/main">
          <x14:cfRule type="expression" priority="20" id="{FC9E1BB9-0319-40E4-B317-F0AD31706947}">
            <xm:f>OR(ISBLANK($K$21),$K$21=Drop!$A$58)</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1" id="{1CDA5B02-2DC3-4864-9C09-969F0E55949A}">
            <xm:f>AND($K$21=Drop!$A$59,ISBLANK($M$21))</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M21:Q21</xm:sqref>
        </x14:conditionalFormatting>
        <x14:conditionalFormatting xmlns:xm="http://schemas.microsoft.com/office/excel/2006/main">
          <x14:cfRule type="expression" priority="14" id="{A1C41714-29BD-4BAA-B072-6F77C6D0405B}">
            <xm:f>OR(ISBLANK($E$19),$E$19=Drop!$A$14)</xm:f>
            <x14:dxf>
              <font>
                <color theme="0" tint="-4.9989318521683403E-2"/>
              </font>
              <fill>
                <patternFill>
                  <bgColor theme="0" tint="-4.9989318521683403E-2"/>
                </patternFill>
              </fill>
            </x14:dxf>
          </x14:cfRule>
          <x14:cfRule type="expression" priority="15" id="{197E00B8-D833-4DF4-B476-8BA8292F3B01}">
            <xm:f>AND($E$19=Drop!$A$13,ISBLANK($E$20))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6" id="{F443BF42-964B-4F9A-9E44-23459A50A74E}">
            <xm:f>AND($E$20&gt;0,$E$19=Drop!$A$13)</xm:f>
            <x14:dxf>
              <font>
                <color auto="1"/>
              </font>
              <fill>
                <patternFill>
                  <bgColor theme="0"/>
                </patternFill>
              </fill>
              <border>
                <left style="thin">
                  <color auto="1"/>
                </left>
                <right style="thin">
                  <color auto="1"/>
                </right>
                <top style="thin">
                  <color auto="1"/>
                </top>
                <bottom style="thin">
                  <color auto="1"/>
                </bottom>
                <vertical/>
                <horizontal/>
              </border>
            </x14:dxf>
          </x14:cfRule>
          <xm:sqref>E20</xm:sqref>
        </x14:conditionalFormatting>
        <x14:conditionalFormatting xmlns:xm="http://schemas.microsoft.com/office/excel/2006/main">
          <x14:cfRule type="expression" priority="7" id="{392FBEDD-D8FB-4F0C-B7BF-488A0371F30C}">
            <xm:f>$E$12&lt;&gt;Drop!$A$47</xm:f>
            <x14:dxf>
              <font>
                <color theme="0" tint="-4.9989318521683403E-2"/>
              </font>
              <fill>
                <patternFill>
                  <bgColor theme="0" tint="-4.9989318521683403E-2"/>
                </patternFill>
              </fill>
              <border>
                <left/>
                <right/>
                <bottom/>
              </border>
            </x14:dxf>
          </x14:cfRule>
          <x14:cfRule type="expression" priority="8" id="{7EEEED02-05A5-4720-94F1-648447C5A909}">
            <xm:f>AND(ISBLANK($E$13),$E$12=Drop!$A$47)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0" id="{195E29EC-962B-4C3E-8159-283450EA36D9}">
            <xm:f>$E$12=Drop!$A$47</xm:f>
            <x14:dxf>
              <border>
                <left style="thin">
                  <color auto="1"/>
                </left>
                <bottom style="thin">
                  <color auto="1"/>
                </bottom>
                <vertical/>
                <horizontal/>
              </border>
            </x14:dxf>
          </x14:cfRule>
          <xm:sqref>E13</xm:sqref>
        </x14:conditionalFormatting>
        <x14:conditionalFormatting xmlns:xm="http://schemas.microsoft.com/office/excel/2006/main">
          <x14:cfRule type="expression" priority="2" id="{57DD150F-84D8-4496-8C7B-5D97A187303D}">
            <xm:f>$L$26=Drop!$A$85</xm:f>
            <x14:dxf>
              <font>
                <color auto="1"/>
              </font>
              <fill>
                <patternFill patternType="solid">
                  <bgColor theme="1"/>
                </patternFill>
              </fill>
            </x14:dxf>
          </x14:cfRule>
          <xm:sqref>B36 B33:AB35 B37:AB63 F36:AB36</xm:sqref>
        </x14:conditionalFormatting>
        <x14:conditionalFormatting xmlns:xm="http://schemas.microsoft.com/office/excel/2006/main">
          <x14:cfRule type="expression" priority="85" id="{C3F072DF-B3FA-40C8-A5AC-7815B4FCA351}">
            <xm:f>OR(E19&lt;&gt;Drop!A13,ISBLANK(M22))</xm:f>
            <x14:dxf>
              <fill>
                <patternFill>
                  <bgColor theme="0" tint="-4.9989318521683403E-2"/>
                </patternFill>
              </fill>
              <border>
                <left/>
                <top/>
                <vertical/>
                <horizontal/>
              </border>
            </x14:dxf>
          </x14:cfRule>
          <xm:sqref>O24:Q24</xm:sqref>
        </x14:conditionalFormatting>
        <x14:conditionalFormatting xmlns:xm="http://schemas.microsoft.com/office/excel/2006/main">
          <x14:cfRule type="expression" priority="86" id="{C4B1BB60-D712-4BEF-AA34-9D313953E411}">
            <xm:f>$E$19&lt;&gt;Drop!$A$13</xm:f>
            <x14:dxf>
              <font>
                <color auto="1"/>
              </font>
            </x14:dxf>
          </x14:cfRule>
          <xm:sqref>B20 B21:D21</xm:sqref>
        </x14:conditionalFormatting>
        <x14:conditionalFormatting xmlns:xm="http://schemas.microsoft.com/office/excel/2006/main">
          <x14:cfRule type="expression" priority="95" id="{CC57A171-8623-4082-BC94-845A867E6888}">
            <xm:f>$E$12&lt;&gt;Drop!$A$47</xm:f>
            <x14:dxf>
              <font>
                <color theme="0" tint="-4.9989318521683403E-2"/>
              </font>
              <fill>
                <patternFill>
                  <bgColor theme="0" tint="-4.9989318521683403E-2"/>
                </patternFill>
              </fill>
            </x14:dxf>
          </x14:cfRule>
          <xm:sqref>B13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E6B2E07-A31A-4323-9DF5-EC7B24DCD219}">
          <x14:formula1>
            <xm:f>Drop!$A$62</xm:f>
          </x14:formula1>
          <xm:sqref>Y10:AB10</xm:sqref>
        </x14:dataValidation>
        <x14:dataValidation type="list" allowBlank="1" showInputMessage="1" showErrorMessage="1" xr:uid="{AC64927B-3DED-451D-928C-4ACA8FDE80B8}">
          <x14:formula1>
            <xm:f>Drop!$G$43:$G$44</xm:f>
          </x14:formula1>
          <xm:sqref>E12</xm:sqref>
        </x14:dataValidation>
        <x14:dataValidation type="list" allowBlank="1" showInputMessage="1" showErrorMessage="1" xr:uid="{DC3282B3-40E9-4F93-ABDE-2BAECC10CC0B}">
          <x14:formula1>
            <xm:f>Drop!$A$44:$A$46</xm:f>
          </x14:formula1>
          <xm:sqref>E13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9909D-39A2-4147-B58B-BCE387B55EF1}">
  <sheetPr codeName="sheet0NonStatistical">
    <pageSetUpPr fitToPage="1"/>
  </sheetPr>
  <dimension ref="A1:AL60"/>
  <sheetViews>
    <sheetView showGridLines="0" zoomScale="80" zoomScaleNormal="80" workbookViewId="0">
      <selection activeCell="E10" sqref="E10"/>
    </sheetView>
  </sheetViews>
  <sheetFormatPr defaultColWidth="9.140625" defaultRowHeight="12.75" outlineLevelCol="1" x14ac:dyDescent="0.2"/>
  <cols>
    <col min="1" max="1" width="2.7109375" style="5" customWidth="1"/>
    <col min="2" max="2" width="5.7109375" style="3" customWidth="1"/>
    <col min="3" max="5" width="25.7109375" style="3" customWidth="1"/>
    <col min="6" max="6" width="1.7109375" style="3" customWidth="1"/>
    <col min="7" max="7" width="1.140625" style="3" customWidth="1"/>
    <col min="8" max="8" width="5.7109375" style="3" customWidth="1"/>
    <col min="9" max="9" width="17.7109375" style="3" customWidth="1"/>
    <col min="10" max="11" width="5.7109375" style="3" customWidth="1"/>
    <col min="12" max="12" width="17.7109375" style="3" customWidth="1"/>
    <col min="13" max="13" width="5.7109375" style="3" customWidth="1"/>
    <col min="14" max="14" width="9.7109375" style="3" customWidth="1"/>
    <col min="15" max="15" width="5.7109375" style="3" customWidth="1"/>
    <col min="16" max="16" width="15.7109375" style="3" customWidth="1"/>
    <col min="17" max="17" width="10.7109375" style="3" customWidth="1"/>
    <col min="18" max="18" width="1.42578125" style="3" customWidth="1"/>
    <col min="19" max="21" width="5.7109375" style="3" customWidth="1"/>
    <col min="22" max="22" width="11.7109375" style="3" customWidth="1"/>
    <col min="23" max="27" width="5.7109375" style="3" customWidth="1"/>
    <col min="28" max="28" width="21.7109375" style="3" customWidth="1"/>
    <col min="29" max="29" width="2.7109375" style="3" hidden="1" customWidth="1" outlineLevel="1"/>
    <col min="30" max="30" width="2.7109375" style="5" hidden="1" customWidth="1" outlineLevel="1"/>
    <col min="31" max="31" width="9.140625" style="3" hidden="1" customWidth="1" outlineLevel="1"/>
    <col min="32" max="32" width="19.42578125" style="3" hidden="1" customWidth="1" outlineLevel="1"/>
    <col min="33" max="33" width="15.28515625" style="3" hidden="1" customWidth="1" outlineLevel="1"/>
    <col min="34" max="34" width="14.5703125" style="3" hidden="1" customWidth="1" outlineLevel="1"/>
    <col min="35" max="35" width="14.28515625" style="3" hidden="1" customWidth="1" outlineLevel="1"/>
    <col min="36" max="36" width="15.5703125" style="3" hidden="1" customWidth="1" outlineLevel="1"/>
    <col min="37" max="37" width="9.140625" style="3" hidden="1" customWidth="1" outlineLevel="1"/>
    <col min="38" max="38" width="9.140625" style="3" customWidth="1" collapsed="1"/>
    <col min="39" max="40" width="9.140625" style="3" customWidth="1"/>
    <col min="41" max="16384" width="9.140625" style="3"/>
  </cols>
  <sheetData>
    <row r="1" spans="1:37" ht="21.75" thickBot="1" x14ac:dyDescent="0.3">
      <c r="A1" s="1"/>
      <c r="B1" s="485"/>
      <c r="C1" s="486"/>
      <c r="D1" s="486"/>
      <c r="E1" s="486"/>
      <c r="F1" s="1"/>
      <c r="G1" s="1"/>
      <c r="H1" s="1"/>
      <c r="I1" s="1"/>
      <c r="O1" s="1"/>
      <c r="P1" s="2"/>
      <c r="Q1" s="2"/>
      <c r="R1" s="2"/>
      <c r="S1" s="2"/>
      <c r="T1" s="2"/>
      <c r="U1" s="2"/>
      <c r="V1" s="2"/>
      <c r="W1" s="2"/>
      <c r="X1" s="2"/>
      <c r="Y1" s="2"/>
      <c r="Z1" s="2"/>
      <c r="AA1" s="2"/>
      <c r="AB1" s="2"/>
      <c r="AC1" s="1"/>
      <c r="AF1" s="15" t="s">
        <v>32</v>
      </c>
      <c r="AG1" s="3" t="s">
        <v>1</v>
      </c>
    </row>
    <row r="2" spans="1:37" ht="12.95" customHeight="1" x14ac:dyDescent="0.2">
      <c r="A2" s="12"/>
      <c r="B2" s="46"/>
      <c r="C2" s="47"/>
      <c r="D2" s="47"/>
      <c r="E2" s="47"/>
      <c r="F2" s="47"/>
      <c r="G2" s="47"/>
      <c r="H2" s="47"/>
      <c r="I2" s="47"/>
      <c r="J2" s="48"/>
      <c r="K2" s="48"/>
      <c r="L2" s="48"/>
      <c r="M2" s="49"/>
      <c r="N2" s="49"/>
      <c r="O2" s="49"/>
      <c r="P2" s="49"/>
      <c r="Q2" s="49"/>
      <c r="R2" s="49"/>
      <c r="S2" s="49"/>
      <c r="T2" s="49"/>
      <c r="U2" s="49"/>
      <c r="V2" s="49"/>
      <c r="W2" s="49"/>
      <c r="X2" s="49"/>
      <c r="Y2" s="49"/>
      <c r="Z2" s="49"/>
      <c r="AA2" s="49"/>
      <c r="AB2" s="50"/>
      <c r="AC2" s="5"/>
      <c r="AF2" s="33"/>
      <c r="AG2" s="33"/>
    </row>
    <row r="3" spans="1:37" ht="12.95" customHeight="1" x14ac:dyDescent="0.2">
      <c r="A3" s="21"/>
      <c r="B3" s="53"/>
      <c r="C3" s="55" t="str">
        <f>Drop!A102</f>
        <v>Name of population:</v>
      </c>
      <c r="D3" s="507"/>
      <c r="E3" s="508"/>
      <c r="F3" s="54"/>
      <c r="G3" s="54"/>
      <c r="H3" s="54"/>
      <c r="I3" s="54"/>
      <c r="J3" s="56"/>
      <c r="K3" s="57"/>
      <c r="L3" s="57"/>
      <c r="M3" s="57"/>
      <c r="N3" s="57"/>
      <c r="O3" s="57"/>
      <c r="P3" s="57"/>
      <c r="Q3" s="57"/>
      <c r="R3" s="57"/>
      <c r="S3" s="57"/>
      <c r="T3" s="57"/>
      <c r="U3" s="57"/>
      <c r="V3" s="58"/>
      <c r="W3" s="59"/>
      <c r="X3" s="59"/>
      <c r="Y3" s="59"/>
      <c r="Z3" s="59"/>
      <c r="AA3" s="59"/>
      <c r="AB3" s="60"/>
      <c r="AC3" s="5"/>
      <c r="AF3" s="33"/>
      <c r="AG3" s="33"/>
      <c r="AH3" s="33"/>
      <c r="AI3" s="33"/>
    </row>
    <row r="4" spans="1:37" ht="12.95" customHeight="1" x14ac:dyDescent="0.2">
      <c r="A4" s="1"/>
      <c r="B4" s="61"/>
      <c r="C4" s="55" t="str">
        <f>Drop!A103</f>
        <v>Applicable sampling plan:</v>
      </c>
      <c r="D4" s="509" t="str">
        <f>Summary!D3</f>
        <v>GTSP</v>
      </c>
      <c r="E4" s="510"/>
      <c r="F4" s="54"/>
      <c r="G4" s="54"/>
      <c r="H4" s="54"/>
      <c r="I4" s="54"/>
      <c r="J4" s="54"/>
      <c r="K4" s="57" t="str">
        <f>Drop!A105</f>
        <v>High Confidence (Other Criteria)?:</v>
      </c>
      <c r="L4" s="509" t="str">
        <f>IF(ISBLANK(Summary!D7),Drop!A247,Summary!D7)</f>
        <v>No - not applicable</v>
      </c>
      <c r="M4" s="564"/>
      <c r="N4" s="564"/>
      <c r="O4" s="510"/>
      <c r="P4" s="57"/>
      <c r="Q4" s="57"/>
      <c r="R4" s="57"/>
      <c r="S4" s="57"/>
      <c r="T4" s="57"/>
      <c r="U4" s="57"/>
      <c r="V4" s="58"/>
      <c r="W4" s="59"/>
      <c r="X4" s="59"/>
      <c r="Y4" s="59"/>
      <c r="Z4" s="59"/>
      <c r="AA4" s="59"/>
      <c r="AB4" s="60"/>
      <c r="AC4" s="5"/>
      <c r="AF4" s="33"/>
      <c r="AG4" s="33"/>
      <c r="AH4" s="33"/>
      <c r="AI4" s="33"/>
    </row>
    <row r="5" spans="1:37" ht="12.95" customHeight="1" x14ac:dyDescent="0.2">
      <c r="A5" s="1"/>
      <c r="B5" s="62"/>
      <c r="C5" s="57" t="str">
        <f>Drop!A104</f>
        <v>Listed / Higher Risk?:</v>
      </c>
      <c r="D5" s="497">
        <f>Summary!D5</f>
        <v>0</v>
      </c>
      <c r="E5" s="498"/>
      <c r="F5" s="54"/>
      <c r="G5" s="54"/>
      <c r="H5" s="54"/>
      <c r="I5" s="54"/>
      <c r="J5" s="54"/>
      <c r="K5" s="57" t="str">
        <f>Drop!A106</f>
        <v>Tolerable misstatement:</v>
      </c>
      <c r="L5" s="565">
        <f>Summary!D10</f>
        <v>0</v>
      </c>
      <c r="M5" s="566"/>
      <c r="N5" s="566"/>
      <c r="O5" s="567"/>
      <c r="P5" s="57"/>
      <c r="Q5" s="57"/>
      <c r="R5" s="57"/>
      <c r="S5" s="57"/>
      <c r="T5" s="57"/>
      <c r="U5" s="57"/>
      <c r="V5" s="58"/>
      <c r="W5" s="59"/>
      <c r="X5" s="59"/>
      <c r="Y5" s="59"/>
      <c r="Z5" s="59"/>
      <c r="AA5" s="59"/>
      <c r="AB5" s="60"/>
      <c r="AC5" s="5"/>
      <c r="AF5" s="33" t="s">
        <v>162</v>
      </c>
      <c r="AG5" s="33" t="b">
        <f>OR(E11=Drop!A37)</f>
        <v>0</v>
      </c>
      <c r="AH5" s="16"/>
    </row>
    <row r="6" spans="1:37" ht="12.95" customHeight="1" thickBot="1" x14ac:dyDescent="0.25">
      <c r="A6" s="1"/>
      <c r="B6" s="64"/>
      <c r="C6" s="65"/>
      <c r="D6" s="65"/>
      <c r="E6" s="65"/>
      <c r="F6" s="65"/>
      <c r="G6" s="65"/>
      <c r="H6" s="65"/>
      <c r="I6" s="65"/>
      <c r="J6" s="65"/>
      <c r="K6" s="65"/>
      <c r="L6" s="65"/>
      <c r="M6" s="65"/>
      <c r="N6" s="65"/>
      <c r="O6" s="65"/>
      <c r="P6" s="65"/>
      <c r="Q6" s="65"/>
      <c r="R6" s="65"/>
      <c r="S6" s="65"/>
      <c r="T6" s="65"/>
      <c r="U6" s="65"/>
      <c r="V6" s="65"/>
      <c r="W6" s="65"/>
      <c r="X6" s="65"/>
      <c r="Y6" s="65"/>
      <c r="Z6" s="65"/>
      <c r="AA6" s="65"/>
      <c r="AB6" s="66"/>
      <c r="AC6" s="5"/>
      <c r="AF6" s="33" t="s">
        <v>36</v>
      </c>
      <c r="AG6" s="33" t="b">
        <f>OR(D5=Drop!A13,L4=Drop!A246)</f>
        <v>0</v>
      </c>
      <c r="AH6" s="7"/>
    </row>
    <row r="7" spans="1:37" ht="13.5" thickBot="1" x14ac:dyDescent="0.25">
      <c r="A7" s="4"/>
      <c r="B7" s="69"/>
      <c r="C7" s="69"/>
      <c r="D7" s="69"/>
      <c r="E7" s="69"/>
      <c r="F7" s="68"/>
      <c r="G7" s="68"/>
      <c r="H7" s="68"/>
      <c r="I7" s="68"/>
      <c r="J7" s="68"/>
      <c r="K7" s="68"/>
      <c r="L7" s="68"/>
      <c r="M7" s="68"/>
      <c r="N7" s="68"/>
      <c r="O7" s="68"/>
      <c r="P7" s="68"/>
      <c r="Q7" s="68"/>
      <c r="R7" s="68"/>
      <c r="S7" s="68"/>
      <c r="T7" s="68"/>
      <c r="U7" s="68"/>
      <c r="V7" s="68"/>
      <c r="W7" s="68"/>
      <c r="X7" s="68"/>
      <c r="Y7" s="42"/>
      <c r="Z7" s="42"/>
      <c r="AA7" s="42"/>
      <c r="AB7" s="42"/>
      <c r="AC7" s="5"/>
      <c r="AF7" s="33" t="s">
        <v>37</v>
      </c>
      <c r="AG7" s="34">
        <f>IF(AG6=TRUE,5%,10%)</f>
        <v>0.1</v>
      </c>
      <c r="AH7" s="7"/>
    </row>
    <row r="8" spans="1:37" s="5" customFormat="1" ht="13.5" thickBot="1" x14ac:dyDescent="0.25">
      <c r="B8" s="71" t="str">
        <f>Drop!A93</f>
        <v>Step 1 - Determine the objective of the test</v>
      </c>
      <c r="C8" s="72"/>
      <c r="D8" s="72"/>
      <c r="E8" s="72"/>
      <c r="F8" s="73"/>
      <c r="G8" s="42"/>
      <c r="H8" s="74" t="str">
        <f>Drop!A95</f>
        <v>Step 3 - Sampling technique</v>
      </c>
      <c r="I8" s="75"/>
      <c r="J8" s="75"/>
      <c r="K8" s="75"/>
      <c r="L8" s="75"/>
      <c r="M8" s="75"/>
      <c r="N8" s="75"/>
      <c r="O8" s="75"/>
      <c r="P8" s="75"/>
      <c r="Q8" s="76"/>
      <c r="R8" s="42"/>
      <c r="S8" s="74" t="str">
        <f>Drop!A97</f>
        <v>Step 5 - Select the sample</v>
      </c>
      <c r="T8" s="75"/>
      <c r="U8" s="75"/>
      <c r="V8" s="75"/>
      <c r="W8" s="75"/>
      <c r="X8" s="75"/>
      <c r="Y8" s="75"/>
      <c r="Z8" s="75"/>
      <c r="AA8" s="75"/>
      <c r="AB8" s="76"/>
      <c r="AF8" s="33" t="s">
        <v>27</v>
      </c>
      <c r="AG8" s="32" t="str">
        <f>D4</f>
        <v>GTSP</v>
      </c>
      <c r="AH8" s="17"/>
    </row>
    <row r="9" spans="1:37" s="5" customFormat="1" ht="15" customHeight="1" x14ac:dyDescent="0.2">
      <c r="B9" s="78"/>
      <c r="C9" s="79"/>
      <c r="D9" s="79"/>
      <c r="E9" s="79"/>
      <c r="F9" s="80"/>
      <c r="G9" s="42"/>
      <c r="H9" s="558" t="str">
        <f>IF(AG2=TRUE,Drop!A88,"")</f>
        <v/>
      </c>
      <c r="I9" s="559"/>
      <c r="J9" s="559"/>
      <c r="K9" s="559"/>
      <c r="L9" s="559"/>
      <c r="M9" s="559"/>
      <c r="N9" s="559"/>
      <c r="O9" s="559"/>
      <c r="P9" s="559"/>
      <c r="Q9" s="560"/>
      <c r="R9" s="42"/>
      <c r="S9" s="81"/>
      <c r="T9" s="39"/>
      <c r="U9" s="39"/>
      <c r="V9" s="39"/>
      <c r="W9" s="39"/>
      <c r="X9" s="39"/>
      <c r="Y9" s="39"/>
      <c r="Z9" s="39"/>
      <c r="AA9" s="39"/>
      <c r="AB9" s="82"/>
      <c r="AF9" s="33" t="s">
        <v>43</v>
      </c>
      <c r="AG9" s="32">
        <f>VLOOKUP(AG8,Drop!A17:B19,2,FALSE)</f>
        <v>2</v>
      </c>
      <c r="AH9" s="17"/>
    </row>
    <row r="10" spans="1:37" ht="20.100000000000001" customHeight="1" x14ac:dyDescent="0.2">
      <c r="B10" s="482" t="str">
        <f>Drop!A108</f>
        <v>Assertion being tested</v>
      </c>
      <c r="C10" s="483"/>
      <c r="D10" s="484"/>
      <c r="E10" s="278"/>
      <c r="F10" s="261"/>
      <c r="G10" s="42"/>
      <c r="H10" s="561"/>
      <c r="I10" s="562"/>
      <c r="J10" s="562"/>
      <c r="K10" s="562"/>
      <c r="L10" s="562"/>
      <c r="M10" s="562"/>
      <c r="N10" s="562"/>
      <c r="O10" s="562"/>
      <c r="P10" s="562"/>
      <c r="Q10" s="563"/>
      <c r="R10" s="42"/>
      <c r="S10" s="154" t="str">
        <f>Drop!A139</f>
        <v>Selection method used</v>
      </c>
      <c r="T10" s="39"/>
      <c r="U10" s="39"/>
      <c r="V10" s="39"/>
      <c r="W10" s="39"/>
      <c r="X10" s="39"/>
      <c r="Y10" s="448"/>
      <c r="Z10" s="450"/>
      <c r="AA10" s="450"/>
      <c r="AB10" s="451"/>
      <c r="AC10" s="5"/>
      <c r="AF10" s="33" t="s">
        <v>39</v>
      </c>
      <c r="AG10" s="34" t="e">
        <f>VLOOKUP(E11,Drop!A37:D39,AG9,FALSE)</f>
        <v>#N/A</v>
      </c>
      <c r="AH10" s="16"/>
    </row>
    <row r="11" spans="1:37" ht="26.1" customHeight="1" x14ac:dyDescent="0.2">
      <c r="B11" s="482" t="str">
        <f>Drop!A109</f>
        <v>Inherent risk assessment</v>
      </c>
      <c r="C11" s="483"/>
      <c r="D11" s="484"/>
      <c r="E11" s="277"/>
      <c r="F11" s="261"/>
      <c r="G11" s="42"/>
      <c r="H11" s="130"/>
      <c r="I11" s="111"/>
      <c r="J11" s="111"/>
      <c r="K11" s="131" t="str">
        <f>Drop!A121</f>
        <v>Non-Statistical Sampling</v>
      </c>
      <c r="L11" s="111"/>
      <c r="M11" s="131"/>
      <c r="N11" s="131"/>
      <c r="O11" s="39"/>
      <c r="P11" s="39"/>
      <c r="Q11" s="82"/>
      <c r="R11" s="42"/>
      <c r="S11" s="83"/>
      <c r="T11" s="39"/>
      <c r="U11" s="39"/>
      <c r="V11" s="39"/>
      <c r="W11" s="39"/>
      <c r="X11" s="39"/>
      <c r="Y11" s="39"/>
      <c r="Z11" s="39"/>
      <c r="AA11" s="39"/>
      <c r="AB11" s="82"/>
      <c r="AC11" s="5"/>
      <c r="AF11" s="33" t="s">
        <v>40</v>
      </c>
      <c r="AG11" s="70" t="str">
        <f>IF(ISBLANK(E12),"",IF(E12=Drop!A43,Drop!B43,VLOOKUP(E13,Drop!A44:D46,AG9,FALSE)))</f>
        <v/>
      </c>
      <c r="AH11" s="35" t="s">
        <v>168</v>
      </c>
      <c r="AI11" s="33" t="b">
        <f>E12=Drop!A45</f>
        <v>0</v>
      </c>
      <c r="AJ11" s="33" t="str">
        <f>IF(AI$11=TRUE,Drop!A13,"")</f>
        <v/>
      </c>
      <c r="AK11" s="33" t="str">
        <f>IF(AI$11=TRUE,Drop!A14,"")</f>
        <v/>
      </c>
    </row>
    <row r="12" spans="1:37" ht="26.1" customHeight="1" x14ac:dyDescent="0.2">
      <c r="B12" s="469" t="str">
        <f>Drop!A110</f>
        <v>Nature of reliance on controls</v>
      </c>
      <c r="C12" s="470"/>
      <c r="D12" s="471"/>
      <c r="E12" s="278"/>
      <c r="F12" s="261"/>
      <c r="G12" s="42"/>
      <c r="H12" s="130"/>
      <c r="I12" s="111"/>
      <c r="J12" s="132"/>
      <c r="K12" s="132"/>
      <c r="L12" s="132"/>
      <c r="M12" s="132"/>
      <c r="N12" s="153" t="str">
        <f>Drop!A122</f>
        <v>Nature of the population?</v>
      </c>
      <c r="O12" s="556"/>
      <c r="P12" s="557"/>
      <c r="Q12" s="82"/>
      <c r="R12" s="42"/>
      <c r="S12" s="154" t="str">
        <f>Drop!A140</f>
        <v>Sampling interval</v>
      </c>
      <c r="T12" s="39"/>
      <c r="U12" s="39"/>
      <c r="V12" s="39"/>
      <c r="W12" s="39"/>
      <c r="X12" s="39"/>
      <c r="Y12" s="464" t="str" cm="1">
        <f t="array" ref="Y12">_xlfn.IFS(ISBLANK(Y10),"",AND(Y10=Drop!A62,O12=Drop!A125),Drop!A228,Y10&lt;&gt;Drop!A62,Drop!A222,ISERROR(AG25),Drop!A219,TRUE,AG25)</f>
        <v/>
      </c>
      <c r="Z12" s="465"/>
      <c r="AA12" s="465"/>
      <c r="AB12" s="466"/>
      <c r="AC12" s="5"/>
      <c r="AF12" s="33" t="s">
        <v>41</v>
      </c>
      <c r="AG12" s="34" t="e">
        <f>VLOOKUP(K19,Drop!A52:D54,AG9,FALSE)</f>
        <v>#N/A</v>
      </c>
      <c r="AH12" s="16"/>
      <c r="AJ12" s="3" t="str">
        <f>IF(AI$11=TRUE,Drop!A14,"")</f>
        <v/>
      </c>
    </row>
    <row r="13" spans="1:37" ht="20.100000000000001" customHeight="1" x14ac:dyDescent="0.2">
      <c r="B13" s="469" t="str">
        <f>Drop!A48</f>
        <v>Extent of reliance on controls</v>
      </c>
      <c r="C13" s="470"/>
      <c r="D13" s="470"/>
      <c r="E13" s="278"/>
      <c r="F13" s="261"/>
      <c r="G13" s="42"/>
      <c r="H13" s="130"/>
      <c r="I13" s="111"/>
      <c r="J13" s="132"/>
      <c r="K13" s="132"/>
      <c r="L13" s="132"/>
      <c r="M13" s="132"/>
      <c r="N13" s="233"/>
      <c r="O13" s="132"/>
      <c r="P13" s="233"/>
      <c r="Q13" s="82"/>
      <c r="R13" s="42"/>
      <c r="S13" s="154"/>
      <c r="T13" s="39"/>
      <c r="U13" s="39"/>
      <c r="V13" s="39"/>
      <c r="W13" s="39"/>
      <c r="X13" s="39"/>
      <c r="Y13" s="234"/>
      <c r="Z13" s="234"/>
      <c r="AA13" s="234"/>
      <c r="AB13" s="235"/>
      <c r="AC13" s="5"/>
      <c r="AF13" s="33"/>
      <c r="AG13" s="34"/>
      <c r="AH13" s="16"/>
    </row>
    <row r="14" spans="1:37" ht="15.75" customHeight="1" thickBot="1" x14ac:dyDescent="0.25">
      <c r="B14" s="215"/>
      <c r="C14" s="216"/>
      <c r="D14" s="216"/>
      <c r="E14" s="216"/>
      <c r="F14" s="262"/>
      <c r="G14" s="42"/>
      <c r="H14" s="85"/>
      <c r="I14" s="86"/>
      <c r="J14" s="86"/>
      <c r="K14" s="86"/>
      <c r="L14" s="86"/>
      <c r="M14" s="86"/>
      <c r="N14" s="86"/>
      <c r="O14" s="86"/>
      <c r="P14" s="86"/>
      <c r="Q14" s="87"/>
      <c r="R14" s="42"/>
      <c r="S14" s="85"/>
      <c r="T14" s="86"/>
      <c r="U14" s="86"/>
      <c r="V14" s="86"/>
      <c r="W14" s="86"/>
      <c r="X14" s="86"/>
      <c r="Y14" s="86"/>
      <c r="Z14" s="86"/>
      <c r="AA14" s="86"/>
      <c r="AB14" s="87"/>
      <c r="AC14" s="5"/>
      <c r="AF14" s="33" t="s">
        <v>38</v>
      </c>
      <c r="AG14" s="34" t="e">
        <f>VLOOKUP(K20,Drop!A52:D54,AG9,FALSE)</f>
        <v>#N/A</v>
      </c>
      <c r="AH14" s="18"/>
    </row>
    <row r="15" spans="1:37" ht="13.5" thickBot="1" x14ac:dyDescent="0.25">
      <c r="B15" s="42"/>
      <c r="C15" s="42"/>
      <c r="D15" s="42"/>
      <c r="E15" s="42"/>
      <c r="F15" s="42"/>
      <c r="G15" s="42"/>
      <c r="H15" s="42"/>
      <c r="I15" s="42"/>
      <c r="J15" s="42"/>
      <c r="K15" s="42"/>
      <c r="L15" s="42"/>
      <c r="M15" s="42"/>
      <c r="N15" s="42"/>
      <c r="O15" s="42"/>
      <c r="P15" s="42"/>
      <c r="Q15" s="42"/>
      <c r="R15" s="42"/>
      <c r="S15" s="89"/>
      <c r="T15" s="90"/>
      <c r="U15" s="90"/>
      <c r="V15" s="90"/>
      <c r="W15" s="90"/>
      <c r="X15" s="90"/>
      <c r="Y15" s="90"/>
      <c r="Z15" s="90"/>
      <c r="AA15" s="90"/>
      <c r="AB15" s="90"/>
      <c r="AC15" s="5"/>
      <c r="AF15" s="33" t="s">
        <v>212</v>
      </c>
      <c r="AG15" s="34" t="e">
        <f>VLOOKUP(K21,Drop!A58:D59,AG9,FALSE)</f>
        <v>#N/A</v>
      </c>
      <c r="AH15" s="19"/>
    </row>
    <row r="16" spans="1:37" ht="13.5" thickBot="1" x14ac:dyDescent="0.25">
      <c r="B16" s="74" t="str">
        <f>Drop!A94</f>
        <v>Step 2 - Define and analyze the population</v>
      </c>
      <c r="C16" s="75"/>
      <c r="D16" s="75"/>
      <c r="E16" s="75"/>
      <c r="F16" s="76"/>
      <c r="G16" s="42"/>
      <c r="H16" s="74" t="str">
        <f>Drop!A96</f>
        <v>Step 4 - Determine the sample size</v>
      </c>
      <c r="I16" s="75"/>
      <c r="J16" s="75"/>
      <c r="K16" s="75"/>
      <c r="L16" s="75"/>
      <c r="M16" s="75"/>
      <c r="N16" s="75"/>
      <c r="O16" s="75"/>
      <c r="P16" s="75"/>
      <c r="Q16" s="76"/>
      <c r="R16" s="42"/>
      <c r="S16" s="74" t="str">
        <f>Drop!A98</f>
        <v>Step 6 - Test the sampled items</v>
      </c>
      <c r="T16" s="75"/>
      <c r="U16" s="75"/>
      <c r="V16" s="75"/>
      <c r="W16" s="75"/>
      <c r="X16" s="75"/>
      <c r="Y16" s="75"/>
      <c r="Z16" s="75"/>
      <c r="AA16" s="75"/>
      <c r="AB16" s="76"/>
      <c r="AC16" s="5"/>
      <c r="AF16" s="33" t="s">
        <v>45</v>
      </c>
      <c r="AG16" s="34" t="e">
        <f>AG7/(AG10*AG11*AG12*AG14*AG15)</f>
        <v>#N/A</v>
      </c>
    </row>
    <row r="17" spans="1:33" x14ac:dyDescent="0.2">
      <c r="B17" s="94"/>
      <c r="C17" s="95"/>
      <c r="D17" s="95"/>
      <c r="E17" s="95"/>
      <c r="F17" s="96"/>
      <c r="G17" s="42"/>
      <c r="H17" s="94"/>
      <c r="I17" s="95"/>
      <c r="J17" s="95"/>
      <c r="K17" s="95"/>
      <c r="L17" s="95"/>
      <c r="M17" s="95"/>
      <c r="N17" s="95"/>
      <c r="O17" s="95"/>
      <c r="P17" s="95"/>
      <c r="Q17" s="96"/>
      <c r="R17" s="42"/>
      <c r="S17" s="83"/>
      <c r="T17" s="39"/>
      <c r="U17" s="39"/>
      <c r="V17" s="39"/>
      <c r="W17" s="39"/>
      <c r="X17" s="39"/>
      <c r="Y17" s="39"/>
      <c r="Z17" s="39"/>
      <c r="AA17" s="39"/>
      <c r="AB17" s="82"/>
      <c r="AC17" s="5"/>
      <c r="AF17" s="33" t="s">
        <v>46</v>
      </c>
      <c r="AG17" s="36" t="e">
        <f>1-AG16</f>
        <v>#N/A</v>
      </c>
    </row>
    <row r="18" spans="1:33" ht="15" x14ac:dyDescent="0.25">
      <c r="B18" s="511" t="str">
        <f>Drop!A112</f>
        <v>Absolute value of the population</v>
      </c>
      <c r="C18" s="512"/>
      <c r="D18" s="513"/>
      <c r="E18" s="294"/>
      <c r="F18" s="261"/>
      <c r="G18" s="42"/>
      <c r="H18" s="154" t="str">
        <f>Drop!A130</f>
        <v>Evidence provided by:</v>
      </c>
      <c r="I18" s="39"/>
      <c r="J18" s="39"/>
      <c r="K18" s="39"/>
      <c r="L18" s="39"/>
      <c r="M18" s="452" t="str">
        <f>Drop!A82</f>
        <v>Describe procedures</v>
      </c>
      <c r="N18" s="453"/>
      <c r="O18" s="453"/>
      <c r="P18" s="453"/>
      <c r="Q18" s="454"/>
      <c r="R18" s="42"/>
      <c r="S18" s="455" t="str">
        <f>Drop!A142</f>
        <v>Reference working paper where testing is documented:</v>
      </c>
      <c r="T18" s="456"/>
      <c r="U18" s="456"/>
      <c r="V18" s="456"/>
      <c r="W18" s="456"/>
      <c r="X18" s="456"/>
      <c r="Y18" s="457"/>
      <c r="Z18" s="550"/>
      <c r="AA18" s="551"/>
      <c r="AB18" s="552"/>
      <c r="AC18" s="5"/>
      <c r="AF18" s="33" t="s">
        <v>48</v>
      </c>
      <c r="AG18" s="37">
        <f>IF(E19=Drop!A14,(E18-E24-E25),(E20 - E24-E25))</f>
        <v>0</v>
      </c>
    </row>
    <row r="19" spans="1:33" ht="30" customHeight="1" x14ac:dyDescent="0.2">
      <c r="B19" s="511" t="str">
        <f>Drop!A67</f>
        <v>Testing less than 100% of the population?</v>
      </c>
      <c r="C19" s="512"/>
      <c r="D19" s="513"/>
      <c r="E19" s="277"/>
      <c r="F19" s="261"/>
      <c r="G19" s="155"/>
      <c r="H19" s="154" t="str">
        <f>Drop!A131</f>
        <v>Analytical procedures</v>
      </c>
      <c r="I19" s="103"/>
      <c r="J19" s="144"/>
      <c r="K19" s="448"/>
      <c r="L19" s="449"/>
      <c r="M19" s="448"/>
      <c r="N19" s="450"/>
      <c r="O19" s="450"/>
      <c r="P19" s="450"/>
      <c r="Q19" s="451"/>
      <c r="R19" s="42"/>
      <c r="S19" s="455"/>
      <c r="T19" s="456"/>
      <c r="U19" s="456"/>
      <c r="V19" s="456"/>
      <c r="W19" s="456"/>
      <c r="X19" s="456"/>
      <c r="Y19" s="457"/>
      <c r="Z19" s="553"/>
      <c r="AA19" s="554"/>
      <c r="AB19" s="555"/>
      <c r="AC19" s="5"/>
      <c r="AF19" s="33" t="s">
        <v>49</v>
      </c>
      <c r="AG19" s="33" t="b">
        <f>OR(E24&gt;0,E25&gt;0,D24&gt;0,D25&gt;0)</f>
        <v>0</v>
      </c>
    </row>
    <row r="20" spans="1:33" ht="30" customHeight="1" thickBot="1" x14ac:dyDescent="0.25">
      <c r="B20" s="514" t="str">
        <f>IF(OR(ISBLANK(E19),E19=Drop!A14),"",Drop!A68)</f>
        <v/>
      </c>
      <c r="C20" s="515"/>
      <c r="D20" s="515"/>
      <c r="E20" s="260"/>
      <c r="F20" s="261"/>
      <c r="G20" s="155"/>
      <c r="H20" s="156" t="str">
        <f>Drop!A132</f>
        <v>Other tests of details</v>
      </c>
      <c r="I20" s="103"/>
      <c r="J20" s="144"/>
      <c r="K20" s="448"/>
      <c r="L20" s="449"/>
      <c r="M20" s="448"/>
      <c r="N20" s="450"/>
      <c r="O20" s="450"/>
      <c r="P20" s="450"/>
      <c r="Q20" s="451"/>
      <c r="R20" s="42"/>
      <c r="S20" s="85"/>
      <c r="T20" s="86"/>
      <c r="U20" s="86"/>
      <c r="V20" s="86"/>
      <c r="W20" s="86"/>
      <c r="X20" s="86"/>
      <c r="Y20" s="86"/>
      <c r="Z20" s="86"/>
      <c r="AA20" s="86"/>
      <c r="AB20" s="87"/>
      <c r="AC20" s="5"/>
      <c r="AF20" s="191" t="s">
        <v>99</v>
      </c>
      <c r="AG20" s="33" t="str">
        <f>IF(ISERROR(OR(AG12&lt;100%,AG14&lt;100%)),"",OR(AG12&lt;100%,AG14&lt;100%))</f>
        <v/>
      </c>
    </row>
    <row r="21" spans="1:33" ht="30" customHeight="1" x14ac:dyDescent="0.2">
      <c r="B21" s="258"/>
      <c r="C21" s="259"/>
      <c r="D21" s="259"/>
      <c r="E21" s="259"/>
      <c r="F21" s="261"/>
      <c r="G21" s="155"/>
      <c r="H21" s="156" t="str">
        <f>Drop!A133</f>
        <v>Audit data analytics</v>
      </c>
      <c r="I21" s="103"/>
      <c r="J21" s="144"/>
      <c r="K21" s="448"/>
      <c r="L21" s="449"/>
      <c r="M21" s="448"/>
      <c r="N21" s="450"/>
      <c r="O21" s="450"/>
      <c r="P21" s="450"/>
      <c r="Q21" s="451"/>
      <c r="R21" s="42"/>
      <c r="S21" s="68"/>
      <c r="T21" s="68"/>
      <c r="U21" s="68"/>
      <c r="V21" s="68"/>
      <c r="W21" s="68"/>
      <c r="X21" s="68"/>
      <c r="Y21" s="68"/>
      <c r="Z21" s="68"/>
      <c r="AA21" s="68"/>
      <c r="AB21" s="68"/>
      <c r="AC21" s="5"/>
      <c r="AF21" s="230" t="s">
        <v>206</v>
      </c>
      <c r="AG21" s="231" t="b">
        <f>OR(O12=Drop!A125,O12=Drop!A126,Y10=Drop!A62)</f>
        <v>0</v>
      </c>
    </row>
    <row r="22" spans="1:33" s="161" customFormat="1" ht="23.25" customHeight="1" x14ac:dyDescent="0.2">
      <c r="A22" s="160"/>
      <c r="B22" s="209" t="str">
        <f>Drop!A113</f>
        <v>High value or key items that will be tested separately:</v>
      </c>
      <c r="C22" s="210"/>
      <c r="D22" s="210"/>
      <c r="E22" s="210"/>
      <c r="F22" s="202"/>
      <c r="G22" s="155"/>
      <c r="H22" s="156" t="str">
        <f>Drop!A134</f>
        <v>Expected Aggregate Misstatement</v>
      </c>
      <c r="I22" s="103"/>
      <c r="J22" s="103"/>
      <c r="K22" s="103"/>
      <c r="L22" s="103"/>
      <c r="M22" s="440">
        <v>0.1</v>
      </c>
      <c r="N22" s="441"/>
      <c r="O22" s="442">
        <f>IF(ISBLANK(M22),"",$L$5*M22)</f>
        <v>0</v>
      </c>
      <c r="P22" s="443"/>
      <c r="Q22" s="444"/>
      <c r="R22" s="155"/>
      <c r="S22" s="155"/>
      <c r="T22" s="155"/>
      <c r="U22" s="155"/>
      <c r="V22" s="155"/>
      <c r="W22" s="155"/>
      <c r="X22" s="155"/>
      <c r="Y22" s="155"/>
      <c r="Z22" s="155"/>
      <c r="AA22" s="155"/>
      <c r="AB22" s="155"/>
      <c r="AC22" s="160"/>
      <c r="AD22" s="160"/>
      <c r="AF22" s="191"/>
      <c r="AG22" s="33"/>
    </row>
    <row r="23" spans="1:33" x14ac:dyDescent="0.2">
      <c r="B23" s="220"/>
      <c r="C23" s="222"/>
      <c r="D23" s="257" t="str">
        <f>Drop!A114</f>
        <v>Total number of items</v>
      </c>
      <c r="E23" s="254" t="str">
        <f>Drop!A115</f>
        <v>Total value</v>
      </c>
      <c r="F23" s="100"/>
      <c r="G23" s="42"/>
      <c r="H23" s="445" t="str" cm="1">
        <f t="array" ref="H23">_xlfn.IFS(ISBLANK(M22),"",ISERROR(O22),Drop!A219,M22&lt;Drop!F62,Drop!A79,M22&gt;=Drop!H62,Drop!A81,M22&gt;Drop!G62,Drop!A80,TRUE,"")</f>
        <v/>
      </c>
      <c r="I23" s="446"/>
      <c r="J23" s="446"/>
      <c r="K23" s="446"/>
      <c r="L23" s="446"/>
      <c r="M23" s="446"/>
      <c r="N23" s="446"/>
      <c r="O23" s="446"/>
      <c r="P23" s="446"/>
      <c r="Q23" s="447"/>
      <c r="R23" s="42"/>
      <c r="S23" s="43"/>
      <c r="T23" s="43"/>
      <c r="U23" s="43"/>
      <c r="V23" s="43"/>
      <c r="W23" s="43"/>
      <c r="X23" s="43"/>
      <c r="Y23" s="43"/>
      <c r="Z23" s="43"/>
      <c r="AA23" s="43"/>
      <c r="AB23" s="213" t="str">
        <f>Drop!A243</f>
        <v>Legend</v>
      </c>
      <c r="AC23" s="5"/>
      <c r="AF23" s="229" t="s">
        <v>85</v>
      </c>
      <c r="AG23" s="229" t="str">
        <f>IF(OR(ISBLANK(O12),ISBLANK(Y10)),"",IF(AG21,1,1.5))</f>
        <v/>
      </c>
    </row>
    <row r="24" spans="1:33" ht="24.95" customHeight="1" x14ac:dyDescent="0.2">
      <c r="B24" s="220"/>
      <c r="C24" s="281" t="str">
        <f>Drop!A116</f>
        <v>Qualitative</v>
      </c>
      <c r="D24" s="256"/>
      <c r="E24" s="284"/>
      <c r="F24" s="100"/>
      <c r="G24" s="101"/>
      <c r="H24" s="228" t="str">
        <f>IF(E19=Drop!A13,Drop!A137,"")</f>
        <v/>
      </c>
      <c r="I24" s="255"/>
      <c r="J24" s="255"/>
      <c r="K24" s="255"/>
      <c r="L24" s="221"/>
      <c r="M24" s="221"/>
      <c r="N24" s="221"/>
      <c r="O24" s="442" t="str">
        <f>IF(AND(E19=Drop!A13,ISBLANK(M22)=FALSE),O22*E20/E18,"")</f>
        <v/>
      </c>
      <c r="P24" s="443"/>
      <c r="Q24" s="444"/>
      <c r="R24" s="42"/>
      <c r="S24" s="43"/>
      <c r="T24" s="43"/>
      <c r="U24" s="43"/>
      <c r="V24" s="43"/>
      <c r="W24" s="43"/>
      <c r="X24" s="43"/>
      <c r="Y24" s="43"/>
      <c r="Z24" s="43"/>
      <c r="AA24" s="186" t="str">
        <f>Drop!A234</f>
        <v>System driven or calculated value</v>
      </c>
      <c r="AB24" s="188"/>
      <c r="AC24" s="5"/>
      <c r="AF24" s="33" t="s">
        <v>12</v>
      </c>
      <c r="AG24" s="159" t="str">
        <f>IF(ISBLANK(E19),Drop!A219,IF(E19=Drop!A13,IF(AG17&gt;0,ROUNDUP(PoissonSample(AG16,((O22*(E20/E18))/AG18),((L5*(E20/E18))/AG18))*AG23,0),0),IF(E19=Drop!A14,IF(AG17&gt;0,ROUNDUP(PoissonSample(AG16,((O22)/AG18),((L5)/AG18))*AG23,0),0))))</f>
        <v>Verify all inputs</v>
      </c>
    </row>
    <row r="25" spans="1:33" ht="24.95" customHeight="1" x14ac:dyDescent="0.2">
      <c r="B25" s="220"/>
      <c r="C25" s="281" t="str">
        <f>Drop!A117</f>
        <v>Quantitative</v>
      </c>
      <c r="D25" s="256"/>
      <c r="E25" s="284"/>
      <c r="F25" s="100"/>
      <c r="G25" s="42"/>
      <c r="H25" s="102" t="str">
        <f>Drop!A135</f>
        <v>Designed Confidence Level</v>
      </c>
      <c r="I25" s="134"/>
      <c r="J25" s="103"/>
      <c r="K25" s="103"/>
      <c r="L25" s="435" t="str">
        <f>IF(ISERROR(IF(AG17&lt;=0,Drop!A69,AG17)),Drop!A219,IF(AG17&lt;=0,Drop!A69,AG17))</f>
        <v>Verify all inputs</v>
      </c>
      <c r="M25" s="435"/>
      <c r="N25" s="435"/>
      <c r="O25" s="435"/>
      <c r="P25" s="435"/>
      <c r="Q25" s="436"/>
      <c r="R25" s="42"/>
      <c r="S25" s="43"/>
      <c r="T25" s="43"/>
      <c r="U25" s="43"/>
      <c r="V25" s="43"/>
      <c r="W25" s="43"/>
      <c r="X25" s="43"/>
      <c r="Y25" s="43"/>
      <c r="Z25" s="43"/>
      <c r="AA25" s="186" t="str">
        <f>Drop!A235</f>
        <v>Required user selection for sample determination</v>
      </c>
      <c r="AB25" s="185"/>
      <c r="AC25" s="5"/>
      <c r="AF25" s="33" t="s">
        <v>106</v>
      </c>
      <c r="AG25" s="164" t="e" cm="1">
        <f t="array" ref="AG25">_xlfn.IFS(L26=Drop!A85,Drop!A227,L26=Drop!A84,ROUND(AG18/5,0),TRUE,ROUND(AG18/L26,0))</f>
        <v>#VALUE!</v>
      </c>
    </row>
    <row r="26" spans="1:33" ht="24.95" customHeight="1" x14ac:dyDescent="0.2">
      <c r="B26" s="220"/>
      <c r="C26" s="222"/>
      <c r="D26" s="280" t="str">
        <f>Drop!A118</f>
        <v>Population subject to sampling</v>
      </c>
      <c r="E26" s="285">
        <f>AG18</f>
        <v>0</v>
      </c>
      <c r="F26" s="223"/>
      <c r="G26" s="42"/>
      <c r="H26" s="102" t="str">
        <f>Drop!A136</f>
        <v>Sample size</v>
      </c>
      <c r="I26" s="134"/>
      <c r="J26" s="103"/>
      <c r="K26" s="103"/>
      <c r="L26" s="548" t="str" cm="1">
        <f t="array" ref="L26">_xlfn.IFS(AG18&lt;=L5,Drop!A89,AG26=TRUE,Drop!A219,O22="",Drop!A219,ISERROR(AG24&gt;=5),Drop!A219,AG24&gt;=5,AG24,AG17&lt;=0,Drop!A85,TRUE,Drop!A84)</f>
        <v>Warning - Amount being sampled is less than or equal to PM.</v>
      </c>
      <c r="M26" s="548"/>
      <c r="N26" s="548"/>
      <c r="O26" s="548"/>
      <c r="P26" s="548"/>
      <c r="Q26" s="549"/>
      <c r="R26" s="42"/>
      <c r="S26" s="43"/>
      <c r="T26" s="43"/>
      <c r="U26" s="43"/>
      <c r="V26" s="43"/>
      <c r="W26" s="43"/>
      <c r="X26" s="43"/>
      <c r="Y26" s="43"/>
      <c r="Z26" s="43"/>
      <c r="AA26" s="186" t="str">
        <f>Drop!A236</f>
        <v>Additional user input field</v>
      </c>
      <c r="AB26" s="189"/>
      <c r="AC26" s="5"/>
      <c r="AF26" s="191" t="s">
        <v>267</v>
      </c>
      <c r="AG26" s="164" t="b">
        <f>M22&gt;=Drop!H62</f>
        <v>0</v>
      </c>
    </row>
    <row r="27" spans="1:33" ht="24.95" customHeight="1" x14ac:dyDescent="0.2">
      <c r="B27" s="220"/>
      <c r="C27" s="222"/>
      <c r="D27" s="222"/>
      <c r="E27" s="222"/>
      <c r="F27" s="223"/>
      <c r="G27" s="42"/>
      <c r="H27" s="416" t="str">
        <f>IF(AG19=TRUE,Drop!A70,"")</f>
        <v/>
      </c>
      <c r="I27" s="417"/>
      <c r="J27" s="417"/>
      <c r="K27" s="417"/>
      <c r="L27" s="418" t="str">
        <f>IF(AG19=TRUE,D24+D25,"")</f>
        <v/>
      </c>
      <c r="M27" s="419"/>
      <c r="N27" s="419" t="str">
        <f>IF(AG19=TRUE,D24+D25,"")</f>
        <v/>
      </c>
      <c r="O27" s="419"/>
      <c r="P27" s="419"/>
      <c r="Q27" s="420"/>
      <c r="R27" s="42"/>
      <c r="S27" s="43"/>
      <c r="T27" s="43"/>
      <c r="U27" s="43"/>
      <c r="V27" s="43"/>
      <c r="W27" s="43"/>
      <c r="X27" s="43"/>
      <c r="Y27" s="43"/>
      <c r="Z27" s="43"/>
      <c r="AA27" s="186"/>
      <c r="AB27" s="42"/>
      <c r="AC27" s="5"/>
    </row>
    <row r="28" spans="1:33" ht="34.15" customHeight="1" thickBot="1" x14ac:dyDescent="0.25">
      <c r="B28" s="421" t="str" cm="1">
        <f t="array" ref="B28">_xlfn.IFS(AG28=TRUE,Drop!A220,AG29=TRUE,Drop!A223,AG30=TRUE,Drop!A221,TRUE,"")</f>
        <v/>
      </c>
      <c r="C28" s="422"/>
      <c r="D28" s="422"/>
      <c r="E28" s="422"/>
      <c r="F28" s="423"/>
      <c r="G28" s="42"/>
      <c r="H28" s="85"/>
      <c r="I28" s="86"/>
      <c r="J28" s="86"/>
      <c r="K28" s="86"/>
      <c r="L28" s="86"/>
      <c r="M28" s="86"/>
      <c r="N28" s="86"/>
      <c r="O28" s="104"/>
      <c r="P28" s="86"/>
      <c r="Q28" s="105"/>
      <c r="R28" s="42"/>
      <c r="S28" s="43"/>
      <c r="T28" s="43"/>
      <c r="U28" s="43"/>
      <c r="V28" s="43"/>
      <c r="W28" s="43"/>
      <c r="X28" s="43"/>
      <c r="Y28" s="43"/>
      <c r="Z28" s="43"/>
      <c r="AA28" s="43"/>
      <c r="AB28" s="43"/>
      <c r="AC28" s="5"/>
      <c r="AF28" s="192" t="s">
        <v>207</v>
      </c>
      <c r="AG28" s="273" t="str">
        <f>IF(ISBLANK(E18),"",IF(E19=Drop!A13,SUM(E24:E25)&gt;E20,SUM(E24:E25)&gt;E18))</f>
        <v/>
      </c>
    </row>
    <row r="29" spans="1:33" ht="24.95" customHeight="1" thickBot="1" x14ac:dyDescent="0.25">
      <c r="B29" s="106"/>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5"/>
      <c r="AF29" s="192" t="s">
        <v>208</v>
      </c>
      <c r="AG29" s="273" t="str">
        <f>IF(ISBLANK(E18),"",IF(E19=Drop!A13,(SUM(E24:E25)/E20)&gt;Drop!E223,(SUM(E24:E25)/E18)&gt;Drop!E223))</f>
        <v/>
      </c>
    </row>
    <row r="30" spans="1:33" ht="13.5" thickBot="1" x14ac:dyDescent="0.25">
      <c r="B30" s="74" t="str">
        <f>Drop!A99</f>
        <v>Step 7 - Evaluate the sample results</v>
      </c>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6"/>
      <c r="AC30" s="5"/>
      <c r="AF30" s="33" t="s">
        <v>256</v>
      </c>
      <c r="AG30" s="33" t="b">
        <f>OR(E24&lt;0,E25&lt;0)</f>
        <v>0</v>
      </c>
    </row>
    <row r="31" spans="1:33" ht="15" customHeight="1" x14ac:dyDescent="0.2">
      <c r="B31" s="424" t="str" cm="1">
        <f t="array" ref="B31">_xlfn.IFS(L26=Drop!A85,Drop!A86,L26=Drop!A84,Drop!A87,ISERROR(L26),Drop!A219,TRUE,"")</f>
        <v/>
      </c>
      <c r="C31" s="425"/>
      <c r="D31" s="425"/>
      <c r="E31" s="425"/>
      <c r="F31" s="425"/>
      <c r="G31" s="425"/>
      <c r="H31" s="425"/>
      <c r="I31" s="425"/>
      <c r="J31" s="425"/>
      <c r="K31" s="425"/>
      <c r="L31" s="425"/>
      <c r="M31" s="425"/>
      <c r="N31" s="425"/>
      <c r="O31" s="425"/>
      <c r="P31" s="425"/>
      <c r="Q31" s="425"/>
      <c r="R31" s="425"/>
      <c r="S31" s="425"/>
      <c r="T31" s="425"/>
      <c r="U31" s="425"/>
      <c r="V31" s="425"/>
      <c r="W31" s="425"/>
      <c r="X31" s="425"/>
      <c r="Y31" s="425"/>
      <c r="Z31" s="425"/>
      <c r="AA31" s="425"/>
      <c r="AB31" s="426"/>
      <c r="AC31" s="5"/>
    </row>
    <row r="32" spans="1:33" ht="15.75" customHeight="1" thickBot="1" x14ac:dyDescent="0.25">
      <c r="B32" s="427"/>
      <c r="C32" s="428"/>
      <c r="D32" s="428"/>
      <c r="E32" s="428"/>
      <c r="F32" s="428"/>
      <c r="G32" s="428"/>
      <c r="H32" s="428"/>
      <c r="I32" s="428"/>
      <c r="J32" s="428"/>
      <c r="K32" s="428"/>
      <c r="L32" s="428"/>
      <c r="M32" s="428"/>
      <c r="N32" s="428"/>
      <c r="O32" s="428"/>
      <c r="P32" s="428"/>
      <c r="Q32" s="428"/>
      <c r="R32" s="428"/>
      <c r="S32" s="428"/>
      <c r="T32" s="428"/>
      <c r="U32" s="428"/>
      <c r="V32" s="428"/>
      <c r="W32" s="428"/>
      <c r="X32" s="428"/>
      <c r="Y32" s="428"/>
      <c r="Z32" s="428"/>
      <c r="AA32" s="428"/>
      <c r="AB32" s="429"/>
      <c r="AC32" s="5"/>
    </row>
    <row r="33" spans="2:35" ht="15.75" customHeight="1" thickBot="1" x14ac:dyDescent="0.25">
      <c r="B33" s="430" t="str">
        <f>Drop!A164</f>
        <v>Misstatements noted</v>
      </c>
      <c r="C33" s="431"/>
      <c r="D33" s="431"/>
      <c r="E33" s="431"/>
      <c r="F33" s="431"/>
      <c r="G33" s="431"/>
      <c r="H33" s="431"/>
      <c r="I33" s="431"/>
      <c r="J33" s="431"/>
      <c r="K33" s="431"/>
      <c r="L33" s="431"/>
      <c r="M33" s="431"/>
      <c r="N33" s="431"/>
      <c r="O33" s="431"/>
      <c r="P33" s="431"/>
      <c r="Q33" s="432"/>
      <c r="R33" s="42"/>
      <c r="S33" s="430" t="s">
        <v>68</v>
      </c>
      <c r="T33" s="431"/>
      <c r="U33" s="431"/>
      <c r="V33" s="431"/>
      <c r="W33" s="431"/>
      <c r="X33" s="431"/>
      <c r="Y33" s="431"/>
      <c r="Z33" s="431"/>
      <c r="AA33" s="431"/>
      <c r="AB33" s="432"/>
      <c r="AC33" s="5"/>
    </row>
    <row r="34" spans="2:35" x14ac:dyDescent="0.2">
      <c r="B34" s="264"/>
      <c r="C34" s="107"/>
      <c r="D34" s="107"/>
      <c r="E34" s="107"/>
      <c r="F34" s="107"/>
      <c r="G34" s="107"/>
      <c r="H34" s="107"/>
      <c r="I34" s="107"/>
      <c r="J34" s="107"/>
      <c r="K34" s="107"/>
      <c r="L34" s="107"/>
      <c r="M34" s="107"/>
      <c r="N34" s="107"/>
      <c r="O34" s="107"/>
      <c r="P34" s="107"/>
      <c r="Q34" s="108"/>
      <c r="R34" s="42"/>
      <c r="S34" s="83"/>
      <c r="T34" s="39"/>
      <c r="U34" s="39"/>
      <c r="V34" s="39"/>
      <c r="W34" s="39"/>
      <c r="X34" s="39"/>
      <c r="Y34" s="39"/>
      <c r="Z34" s="39"/>
      <c r="AA34" s="39"/>
      <c r="AB34" s="82"/>
      <c r="AC34" s="5"/>
      <c r="AF34" s="33" t="s">
        <v>105</v>
      </c>
      <c r="AG34" s="33">
        <f>COUNT(D37)</f>
        <v>0</v>
      </c>
      <c r="AH34" s="19"/>
    </row>
    <row r="35" spans="2:35" x14ac:dyDescent="0.2">
      <c r="B35" s="81"/>
      <c r="C35" s="39"/>
      <c r="D35" s="505" t="str">
        <f>Drop!A165</f>
        <v>Stratum 1</v>
      </c>
      <c r="E35" s="505" t="str">
        <f>Drop!A166</f>
        <v>Stratum 2</v>
      </c>
      <c r="F35" s="39"/>
      <c r="G35" s="39"/>
      <c r="H35" s="537" t="str">
        <f>Drop!A167</f>
        <v>High value or key items</v>
      </c>
      <c r="I35" s="538"/>
      <c r="J35" s="111"/>
      <c r="K35" s="541" t="str">
        <f>Drop!A168</f>
        <v>Total</v>
      </c>
      <c r="L35" s="542"/>
      <c r="M35" s="111"/>
      <c r="N35" s="111"/>
      <c r="O35" s="111"/>
      <c r="P35" s="111"/>
      <c r="Q35" s="100"/>
      <c r="R35" s="42"/>
      <c r="S35" s="545" t="str">
        <f>Drop!A175</f>
        <v>Factual misstatement in the sample:</v>
      </c>
      <c r="T35" s="546"/>
      <c r="U35" s="546"/>
      <c r="V35" s="546"/>
      <c r="W35" s="546"/>
      <c r="X35" s="546"/>
      <c r="Y35" s="546"/>
      <c r="Z35" s="547"/>
      <c r="AA35" s="359">
        <f>K37</f>
        <v>0</v>
      </c>
      <c r="AB35" s="361"/>
      <c r="AC35" s="5"/>
      <c r="AF35" s="33" t="s">
        <v>184</v>
      </c>
      <c r="AG35" s="33">
        <f>COUNT(E37)</f>
        <v>0</v>
      </c>
    </row>
    <row r="36" spans="2:35" x14ac:dyDescent="0.2">
      <c r="B36" s="135"/>
      <c r="C36" s="39"/>
      <c r="D36" s="506"/>
      <c r="E36" s="506"/>
      <c r="F36" s="39"/>
      <c r="G36" s="39"/>
      <c r="H36" s="539"/>
      <c r="I36" s="540"/>
      <c r="J36" s="111"/>
      <c r="K36" s="543"/>
      <c r="L36" s="544"/>
      <c r="M36" s="110"/>
      <c r="N36" s="110"/>
      <c r="O36" s="110"/>
      <c r="P36" s="110"/>
      <c r="Q36" s="136"/>
      <c r="R36" s="42"/>
      <c r="S36" s="545" t="str">
        <f>Drop!A176</f>
        <v>Projected misstatement</v>
      </c>
      <c r="T36" s="546"/>
      <c r="U36" s="546"/>
      <c r="V36" s="546"/>
      <c r="W36" s="546"/>
      <c r="X36" s="546"/>
      <c r="Y36" s="546"/>
      <c r="Z36" s="547"/>
      <c r="AA36" s="359" t="str">
        <f>IFERROR(K45,"")</f>
        <v/>
      </c>
      <c r="AB36" s="361"/>
      <c r="AC36" s="5"/>
      <c r="AF36" s="33" t="s">
        <v>185</v>
      </c>
      <c r="AG36" s="33">
        <f>COUNT(H37)</f>
        <v>0</v>
      </c>
      <c r="AH36" s="20"/>
    </row>
    <row r="37" spans="2:35" ht="13.5" thickBot="1" x14ac:dyDescent="0.25">
      <c r="B37" s="499" t="str">
        <f>Drop!A169</f>
        <v>Total misstatements noted</v>
      </c>
      <c r="C37" s="501"/>
      <c r="D37" s="286"/>
      <c r="E37" s="286"/>
      <c r="F37" s="39"/>
      <c r="G37" s="39"/>
      <c r="H37" s="526"/>
      <c r="I37" s="527"/>
      <c r="J37" s="138"/>
      <c r="K37" s="335">
        <f>D37+E37+H37</f>
        <v>0</v>
      </c>
      <c r="L37" s="525"/>
      <c r="M37" s="139"/>
      <c r="N37" s="139"/>
      <c r="O37" s="139"/>
      <c r="P37" s="139"/>
      <c r="Q37" s="133"/>
      <c r="R37" s="42"/>
      <c r="S37" s="83" t="str">
        <f>Drop!A177</f>
        <v>Results:</v>
      </c>
      <c r="T37" s="117"/>
      <c r="U37" s="117"/>
      <c r="V37" s="117"/>
      <c r="W37" s="117"/>
      <c r="X37" s="117"/>
      <c r="Y37" s="117"/>
      <c r="Z37" s="117"/>
      <c r="AA37" s="117"/>
      <c r="AB37" s="118"/>
      <c r="AC37" s="5"/>
      <c r="AF37" s="33" t="s">
        <v>86</v>
      </c>
      <c r="AG37" s="38"/>
      <c r="AH37" s="20"/>
      <c r="AI37" s="19"/>
    </row>
    <row r="38" spans="2:35" ht="12.75" customHeight="1" x14ac:dyDescent="0.2">
      <c r="B38" s="83"/>
      <c r="C38" s="39"/>
      <c r="D38" s="139"/>
      <c r="E38" s="140"/>
      <c r="F38" s="39"/>
      <c r="G38" s="39"/>
      <c r="H38" s="140"/>
      <c r="I38" s="140"/>
      <c r="J38" s="138"/>
      <c r="K38" s="138"/>
      <c r="L38" s="139"/>
      <c r="M38" s="139"/>
      <c r="N38" s="139"/>
      <c r="O38" s="139"/>
      <c r="P38" s="139"/>
      <c r="Q38" s="133"/>
      <c r="R38" s="42"/>
      <c r="S38" s="528" t="str">
        <f>IF(O12=Drop!A125,IF(COUNTA(D43:E43)&lt;2,Drop!A219,IF(ISERROR(IF(AG38=FALSE,Drop!A77,Drop!A78)),Drop!A219,IF(AG38=FALSE,Drop!A77,Drop!A78))),IF(ISBLANK(O12),Drop!A219,IF(COUNTA(D43:D43)&lt;1,Drop!A219,IF(ISERROR(IF(AG38=FALSE,Drop!A77,Drop!A78)),Drop!A219,IF(AG38=FALSE,Drop!A77,Drop!A78)))))</f>
        <v>Verify all inputs</v>
      </c>
      <c r="T38" s="529"/>
      <c r="U38" s="529"/>
      <c r="V38" s="529"/>
      <c r="W38" s="529"/>
      <c r="X38" s="529"/>
      <c r="Y38" s="529"/>
      <c r="Z38" s="529"/>
      <c r="AA38" s="529"/>
      <c r="AB38" s="530"/>
      <c r="AC38" s="5"/>
      <c r="AF38" s="33" t="s">
        <v>88</v>
      </c>
      <c r="AG38" s="38" t="e">
        <f>IF(ABS(U43)&gt;O22,TRUE,FALSE)</f>
        <v>#VALUE!</v>
      </c>
      <c r="AH38" s="20"/>
      <c r="AI38" s="19"/>
    </row>
    <row r="39" spans="2:35" x14ac:dyDescent="0.2">
      <c r="B39" s="499" t="str">
        <f>Drop!A170</f>
        <v>Book value sample items</v>
      </c>
      <c r="C39" s="501"/>
      <c r="D39" s="286"/>
      <c r="E39" s="252"/>
      <c r="F39" s="39"/>
      <c r="G39" s="39"/>
      <c r="H39" s="139"/>
      <c r="I39" s="139"/>
      <c r="J39" s="138"/>
      <c r="K39" s="139"/>
      <c r="L39" s="139"/>
      <c r="M39" s="139"/>
      <c r="N39" s="139"/>
      <c r="O39" s="139"/>
      <c r="P39" s="139"/>
      <c r="Q39" s="133"/>
      <c r="R39" s="42"/>
      <c r="S39" s="531"/>
      <c r="T39" s="532"/>
      <c r="U39" s="532"/>
      <c r="V39" s="532"/>
      <c r="W39" s="532"/>
      <c r="X39" s="532"/>
      <c r="Y39" s="532"/>
      <c r="Z39" s="532"/>
      <c r="AA39" s="532"/>
      <c r="AB39" s="533"/>
      <c r="AC39" s="5"/>
      <c r="AF39" s="20"/>
      <c r="AG39" s="20"/>
      <c r="AH39" s="20"/>
      <c r="AI39" s="19"/>
    </row>
    <row r="40" spans="2:35" x14ac:dyDescent="0.2">
      <c r="B40" s="83"/>
      <c r="C40" s="39"/>
      <c r="D40" s="139"/>
      <c r="E40" s="140"/>
      <c r="F40" s="39"/>
      <c r="G40" s="39"/>
      <c r="H40" s="140"/>
      <c r="I40" s="140"/>
      <c r="J40" s="138"/>
      <c r="K40" s="138"/>
      <c r="L40" s="139"/>
      <c r="M40" s="139"/>
      <c r="N40" s="139"/>
      <c r="O40" s="139"/>
      <c r="P40" s="139"/>
      <c r="Q40" s="133"/>
      <c r="R40" s="42"/>
      <c r="S40" s="531"/>
      <c r="T40" s="532"/>
      <c r="U40" s="532"/>
      <c r="V40" s="532"/>
      <c r="W40" s="532"/>
      <c r="X40" s="532"/>
      <c r="Y40" s="532"/>
      <c r="Z40" s="532"/>
      <c r="AA40" s="532"/>
      <c r="AB40" s="533"/>
      <c r="AC40" s="5"/>
      <c r="AF40" s="20"/>
      <c r="AG40" s="20"/>
      <c r="AH40" s="20"/>
      <c r="AI40" s="19"/>
    </row>
    <row r="41" spans="2:35" ht="32.25" customHeight="1" thickBot="1" x14ac:dyDescent="0.25">
      <c r="B41" s="499" t="str">
        <f>Drop!A171</f>
        <v>Misstatement rate</v>
      </c>
      <c r="C41" s="500"/>
      <c r="D41" s="282" t="str">
        <f>IF(AG34=1,D37/D39,"")</f>
        <v/>
      </c>
      <c r="E41" s="283" t="str">
        <f>IFERROR( IF(AG35=1,E37/E39,""),"")</f>
        <v/>
      </c>
      <c r="F41" s="39"/>
      <c r="G41" s="39"/>
      <c r="H41" s="139"/>
      <c r="I41" s="139"/>
      <c r="J41" s="138"/>
      <c r="K41" s="139"/>
      <c r="L41" s="139"/>
      <c r="M41" s="139"/>
      <c r="N41" s="139"/>
      <c r="O41" s="139"/>
      <c r="P41" s="139"/>
      <c r="Q41" s="133"/>
      <c r="R41" s="42"/>
      <c r="S41" s="534"/>
      <c r="T41" s="535"/>
      <c r="U41" s="535"/>
      <c r="V41" s="535"/>
      <c r="W41" s="535"/>
      <c r="X41" s="535"/>
      <c r="Y41" s="535"/>
      <c r="Z41" s="535"/>
      <c r="AA41" s="535"/>
      <c r="AB41" s="536"/>
      <c r="AC41" s="5"/>
      <c r="AF41" s="20"/>
      <c r="AG41" s="20"/>
      <c r="AH41" s="20"/>
      <c r="AI41" s="19"/>
    </row>
    <row r="42" spans="2:35" x14ac:dyDescent="0.2">
      <c r="B42" s="137"/>
      <c r="C42" s="39"/>
      <c r="D42" s="139"/>
      <c r="E42" s="140"/>
      <c r="F42" s="39"/>
      <c r="G42" s="39"/>
      <c r="H42" s="140"/>
      <c r="I42" s="140"/>
      <c r="J42" s="138"/>
      <c r="K42" s="138"/>
      <c r="L42" s="139"/>
      <c r="M42" s="139"/>
      <c r="N42" s="139"/>
      <c r="O42" s="139"/>
      <c r="P42" s="139"/>
      <c r="Q42" s="133"/>
      <c r="R42" s="42"/>
      <c r="S42" s="83"/>
      <c r="T42" s="39"/>
      <c r="U42" s="39"/>
      <c r="V42" s="39"/>
      <c r="W42" s="39"/>
      <c r="X42" s="39"/>
      <c r="Y42" s="39"/>
      <c r="Z42" s="39"/>
      <c r="AA42" s="39"/>
      <c r="AB42" s="82"/>
      <c r="AC42" s="5"/>
      <c r="AF42" s="20"/>
      <c r="AG42" s="20"/>
      <c r="AH42" s="20"/>
      <c r="AI42" s="19"/>
    </row>
    <row r="43" spans="2:35" ht="12.75" customHeight="1" x14ac:dyDescent="0.2">
      <c r="B43" s="499" t="str">
        <f>Drop!A172</f>
        <v>Total book value of the population</v>
      </c>
      <c r="C43" s="501"/>
      <c r="D43" s="252"/>
      <c r="E43" s="252"/>
      <c r="F43" s="39"/>
      <c r="G43" s="39"/>
      <c r="H43" s="139"/>
      <c r="I43" s="139"/>
      <c r="J43" s="138"/>
      <c r="K43" s="139"/>
      <c r="L43" s="139"/>
      <c r="M43" s="139"/>
      <c r="N43" s="139"/>
      <c r="O43" s="139"/>
      <c r="P43" s="139"/>
      <c r="Q43" s="133"/>
      <c r="R43" s="42"/>
      <c r="S43" s="379" t="str">
        <f>Drop!A178</f>
        <v xml:space="preserve">The amount of </v>
      </c>
      <c r="T43" s="380"/>
      <c r="U43" s="516" t="e">
        <f>K45</f>
        <v>#VALUE!</v>
      </c>
      <c r="V43" s="517"/>
      <c r="W43" s="522" t="str">
        <f>Drop!A179</f>
        <v>should be reported to the document where misstatements are accumulated.</v>
      </c>
      <c r="X43" s="523"/>
      <c r="Y43" s="523"/>
      <c r="Z43" s="523"/>
      <c r="AA43" s="523"/>
      <c r="AB43" s="524"/>
      <c r="AC43" s="5"/>
      <c r="AF43" s="20"/>
      <c r="AG43" s="20"/>
      <c r="AH43" s="20"/>
      <c r="AI43" s="19"/>
    </row>
    <row r="44" spans="2:35" x14ac:dyDescent="0.2">
      <c r="B44" s="137"/>
      <c r="C44" s="39"/>
      <c r="D44" s="139"/>
      <c r="E44" s="140"/>
      <c r="F44" s="39"/>
      <c r="G44" s="39"/>
      <c r="H44" s="140"/>
      <c r="I44" s="140"/>
      <c r="J44" s="138"/>
      <c r="K44" s="138"/>
      <c r="L44" s="139"/>
      <c r="M44" s="139"/>
      <c r="N44" s="139"/>
      <c r="O44" s="139"/>
      <c r="P44" s="139"/>
      <c r="Q44" s="133"/>
      <c r="R44" s="42"/>
      <c r="S44" s="379"/>
      <c r="T44" s="380"/>
      <c r="U44" s="518"/>
      <c r="V44" s="519"/>
      <c r="W44" s="522"/>
      <c r="X44" s="523"/>
      <c r="Y44" s="523"/>
      <c r="Z44" s="523"/>
      <c r="AA44" s="523"/>
      <c r="AB44" s="524"/>
      <c r="AC44" s="5"/>
      <c r="AF44" s="20"/>
      <c r="AG44" s="20"/>
      <c r="AH44" s="20"/>
      <c r="AI44" s="19"/>
    </row>
    <row r="45" spans="2:35" x14ac:dyDescent="0.2">
      <c r="B45" s="499" t="str">
        <f>Drop!A173</f>
        <v>Projected misstatement</v>
      </c>
      <c r="C45" s="500"/>
      <c r="D45" s="253" t="str">
        <f>IF(AG34=1,D41*D43,"")</f>
        <v/>
      </c>
      <c r="E45" s="253" t="str">
        <f>IF(AG35=1,E41*E43,"")</f>
        <v/>
      </c>
      <c r="F45" s="141"/>
      <c r="G45" s="141"/>
      <c r="H45" s="335">
        <f>IF(AG36=1,H37,0)</f>
        <v>0</v>
      </c>
      <c r="I45" s="525"/>
      <c r="J45" s="138"/>
      <c r="K45" s="335" t="e">
        <f>IF(O12=Drop!A125,D45+E45+H45,D45+H45)</f>
        <v>#VALUE!</v>
      </c>
      <c r="L45" s="525"/>
      <c r="M45" s="139"/>
      <c r="N45" s="139"/>
      <c r="O45" s="139"/>
      <c r="P45" s="139"/>
      <c r="Q45" s="133"/>
      <c r="R45" s="42"/>
      <c r="S45" s="379"/>
      <c r="T45" s="380"/>
      <c r="U45" s="520"/>
      <c r="V45" s="521"/>
      <c r="W45" s="522"/>
      <c r="X45" s="523"/>
      <c r="Y45" s="523"/>
      <c r="Z45" s="523"/>
      <c r="AA45" s="523"/>
      <c r="AB45" s="524"/>
      <c r="AC45" s="5"/>
      <c r="AF45" s="20"/>
      <c r="AG45" s="20"/>
      <c r="AH45" s="20"/>
      <c r="AI45" s="19"/>
    </row>
    <row r="46" spans="2:35" ht="13.5" thickBot="1" x14ac:dyDescent="0.25">
      <c r="B46" s="85"/>
      <c r="C46" s="86"/>
      <c r="D46" s="86"/>
      <c r="E46" s="86"/>
      <c r="F46" s="86"/>
      <c r="G46" s="86"/>
      <c r="H46" s="86"/>
      <c r="I46" s="86"/>
      <c r="J46" s="86"/>
      <c r="K46" s="86"/>
      <c r="L46" s="86"/>
      <c r="M46" s="86"/>
      <c r="N46" s="86"/>
      <c r="O46" s="86"/>
      <c r="P46" s="86"/>
      <c r="Q46" s="87"/>
      <c r="R46" s="122"/>
      <c r="S46" s="502"/>
      <c r="T46" s="503"/>
      <c r="U46" s="503"/>
      <c r="V46" s="503"/>
      <c r="W46" s="503"/>
      <c r="X46" s="503"/>
      <c r="Y46" s="503"/>
      <c r="Z46" s="503"/>
      <c r="AA46" s="503"/>
      <c r="AB46" s="504"/>
      <c r="AC46" s="5"/>
      <c r="AF46" s="20"/>
      <c r="AG46" s="20"/>
      <c r="AI46" s="19"/>
    </row>
    <row r="47" spans="2:35" ht="15.75" thickBot="1" x14ac:dyDescent="0.3">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5"/>
      <c r="AF47" s="8"/>
      <c r="AI47" s="19"/>
    </row>
    <row r="48" spans="2:35" ht="15.75" thickBot="1" x14ac:dyDescent="0.3">
      <c r="B48" s="74" t="str">
        <f>Drop!A100</f>
        <v>Step 8 - Document the results of the procedure</v>
      </c>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143"/>
      <c r="AC48" s="5"/>
      <c r="AF48" s="9"/>
      <c r="AI48" s="19"/>
    </row>
    <row r="49" spans="2:35" ht="15" customHeight="1" x14ac:dyDescent="0.2">
      <c r="B49" s="346"/>
      <c r="C49" s="347"/>
      <c r="D49" s="347"/>
      <c r="E49" s="347"/>
      <c r="F49" s="347"/>
      <c r="G49" s="347"/>
      <c r="H49" s="347"/>
      <c r="I49" s="347"/>
      <c r="J49" s="347"/>
      <c r="K49" s="347"/>
      <c r="L49" s="347"/>
      <c r="M49" s="347"/>
      <c r="N49" s="347"/>
      <c r="O49" s="347"/>
      <c r="P49" s="347"/>
      <c r="Q49" s="347"/>
      <c r="R49" s="347"/>
      <c r="S49" s="347"/>
      <c r="T49" s="347"/>
      <c r="U49" s="347"/>
      <c r="V49" s="347"/>
      <c r="W49" s="347"/>
      <c r="X49" s="347"/>
      <c r="Y49" s="347"/>
      <c r="Z49" s="347"/>
      <c r="AA49" s="347"/>
      <c r="AB49" s="348"/>
      <c r="AC49" s="5"/>
    </row>
    <row r="50" spans="2:35" ht="15" x14ac:dyDescent="0.25">
      <c r="B50" s="349"/>
      <c r="C50" s="350"/>
      <c r="D50" s="350"/>
      <c r="E50" s="350"/>
      <c r="F50" s="350"/>
      <c r="G50" s="350"/>
      <c r="H50" s="350"/>
      <c r="I50" s="350"/>
      <c r="J50" s="350"/>
      <c r="K50" s="350"/>
      <c r="L50" s="350"/>
      <c r="M50" s="350"/>
      <c r="N50" s="350"/>
      <c r="O50" s="350"/>
      <c r="P50" s="350"/>
      <c r="Q50" s="350"/>
      <c r="R50" s="350"/>
      <c r="S50" s="350"/>
      <c r="T50" s="350"/>
      <c r="U50" s="350"/>
      <c r="V50" s="350"/>
      <c r="W50" s="350"/>
      <c r="X50" s="350"/>
      <c r="Y50" s="350"/>
      <c r="Z50" s="350"/>
      <c r="AA50" s="350"/>
      <c r="AB50" s="351"/>
      <c r="AC50" s="5"/>
      <c r="AH50" s="8"/>
    </row>
    <row r="51" spans="2:35" ht="15" x14ac:dyDescent="0.25">
      <c r="B51" s="349"/>
      <c r="C51" s="350"/>
      <c r="D51" s="350"/>
      <c r="E51" s="350"/>
      <c r="F51" s="350"/>
      <c r="G51" s="350"/>
      <c r="H51" s="350"/>
      <c r="I51" s="350"/>
      <c r="J51" s="350"/>
      <c r="K51" s="350"/>
      <c r="L51" s="350"/>
      <c r="M51" s="350"/>
      <c r="N51" s="350"/>
      <c r="O51" s="350"/>
      <c r="P51" s="350"/>
      <c r="Q51" s="350"/>
      <c r="R51" s="350"/>
      <c r="S51" s="350"/>
      <c r="T51" s="350"/>
      <c r="U51" s="350"/>
      <c r="V51" s="350"/>
      <c r="W51" s="350"/>
      <c r="X51" s="350"/>
      <c r="Y51" s="350"/>
      <c r="Z51" s="350"/>
      <c r="AA51" s="350"/>
      <c r="AB51" s="351"/>
      <c r="AC51" s="5"/>
      <c r="AF51" s="10"/>
      <c r="AG51" s="8"/>
      <c r="AH51" s="8"/>
      <c r="AI51" s="19"/>
    </row>
    <row r="52" spans="2:35" ht="15" x14ac:dyDescent="0.25">
      <c r="B52" s="349"/>
      <c r="C52" s="350"/>
      <c r="D52" s="350"/>
      <c r="E52" s="350"/>
      <c r="F52" s="350"/>
      <c r="G52" s="350"/>
      <c r="H52" s="350"/>
      <c r="I52" s="350"/>
      <c r="J52" s="350"/>
      <c r="K52" s="350"/>
      <c r="L52" s="350"/>
      <c r="M52" s="350"/>
      <c r="N52" s="350"/>
      <c r="O52" s="350"/>
      <c r="P52" s="350"/>
      <c r="Q52" s="350"/>
      <c r="R52" s="350"/>
      <c r="S52" s="350"/>
      <c r="T52" s="350"/>
      <c r="U52" s="350"/>
      <c r="V52" s="350"/>
      <c r="W52" s="350"/>
      <c r="X52" s="350"/>
      <c r="Y52" s="350"/>
      <c r="Z52" s="350"/>
      <c r="AA52" s="350"/>
      <c r="AB52" s="351"/>
      <c r="AC52" s="5"/>
      <c r="AF52" s="8"/>
      <c r="AG52" s="8"/>
      <c r="AH52" s="8"/>
      <c r="AI52" s="19"/>
    </row>
    <row r="53" spans="2:35" ht="15.75" thickBot="1" x14ac:dyDescent="0.3">
      <c r="B53" s="352"/>
      <c r="C53" s="353"/>
      <c r="D53" s="353"/>
      <c r="E53" s="353"/>
      <c r="F53" s="353"/>
      <c r="G53" s="353"/>
      <c r="H53" s="353"/>
      <c r="I53" s="353"/>
      <c r="J53" s="353"/>
      <c r="K53" s="353"/>
      <c r="L53" s="353"/>
      <c r="M53" s="353"/>
      <c r="N53" s="353"/>
      <c r="O53" s="353"/>
      <c r="P53" s="353"/>
      <c r="Q53" s="353"/>
      <c r="R53" s="353"/>
      <c r="S53" s="353"/>
      <c r="T53" s="353"/>
      <c r="U53" s="353"/>
      <c r="V53" s="353"/>
      <c r="W53" s="353"/>
      <c r="X53" s="353"/>
      <c r="Y53" s="353"/>
      <c r="Z53" s="353"/>
      <c r="AA53" s="353"/>
      <c r="AB53" s="354"/>
      <c r="AC53" s="5"/>
      <c r="AF53" s="11"/>
      <c r="AG53" s="8"/>
      <c r="AH53" s="8"/>
      <c r="AI53" s="19"/>
    </row>
    <row r="54" spans="2:35" ht="15" x14ac:dyDescent="0.2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F54" s="11"/>
      <c r="AG54" s="8"/>
      <c r="AI54" s="19"/>
    </row>
    <row r="55" spans="2:35" s="5" customFormat="1" x14ac:dyDescent="0.2">
      <c r="AF55" s="3"/>
      <c r="AG55" s="3"/>
    </row>
    <row r="56" spans="2:35" x14ac:dyDescent="0.2">
      <c r="AF56" s="5"/>
      <c r="AG56" s="5"/>
    </row>
    <row r="60" spans="2:35" x14ac:dyDescent="0.2">
      <c r="AF60" s="6"/>
    </row>
  </sheetData>
  <sheetProtection algorithmName="SHA-512" hashValue="4Fi94B8w0Jm7HTnP/nGyWFMKVZUprmcm2MuMZJnxS6gYT/1St/BjR3uLQcMI6NhjnsMGX7bDmaioJL/t0hW6Lg==" saltValue="GNGsdFXA5P2fbigdVRp/OA==" spinCount="100000" sheet="1" objects="1" scenarios="1"/>
  <mergeCells count="61">
    <mergeCell ref="H9:Q10"/>
    <mergeCell ref="Y10:AB10"/>
    <mergeCell ref="B1:E1"/>
    <mergeCell ref="L4:O4"/>
    <mergeCell ref="L5:O5"/>
    <mergeCell ref="S18:Y19"/>
    <mergeCell ref="Z18:AB19"/>
    <mergeCell ref="K19:L19"/>
    <mergeCell ref="M19:Q19"/>
    <mergeCell ref="O12:P12"/>
    <mergeCell ref="Y12:AB12"/>
    <mergeCell ref="K20:L20"/>
    <mergeCell ref="M20:Q20"/>
    <mergeCell ref="K21:L21"/>
    <mergeCell ref="M21:Q21"/>
    <mergeCell ref="M18:Q18"/>
    <mergeCell ref="L25:Q25"/>
    <mergeCell ref="L26:Q26"/>
    <mergeCell ref="M22:N22"/>
    <mergeCell ref="O22:Q22"/>
    <mergeCell ref="H23:Q23"/>
    <mergeCell ref="O24:Q24"/>
    <mergeCell ref="H27:K27"/>
    <mergeCell ref="L27:Q27"/>
    <mergeCell ref="B28:F28"/>
    <mergeCell ref="B31:AB32"/>
    <mergeCell ref="B33:Q33"/>
    <mergeCell ref="S33:AB33"/>
    <mergeCell ref="K37:L37"/>
    <mergeCell ref="S38:AB41"/>
    <mergeCell ref="H35:I36"/>
    <mergeCell ref="K35:L36"/>
    <mergeCell ref="S35:Z35"/>
    <mergeCell ref="AA35:AB35"/>
    <mergeCell ref="S36:Z36"/>
    <mergeCell ref="AA36:AB36"/>
    <mergeCell ref="S46:AB46"/>
    <mergeCell ref="B49:AB53"/>
    <mergeCell ref="D35:D36"/>
    <mergeCell ref="E35:E36"/>
    <mergeCell ref="D3:E3"/>
    <mergeCell ref="D4:E4"/>
    <mergeCell ref="D5:E5"/>
    <mergeCell ref="B18:D18"/>
    <mergeCell ref="B19:D19"/>
    <mergeCell ref="B20:D20"/>
    <mergeCell ref="S43:T45"/>
    <mergeCell ref="U43:V45"/>
    <mergeCell ref="W43:AB45"/>
    <mergeCell ref="H45:I45"/>
    <mergeCell ref="K45:L45"/>
    <mergeCell ref="H37:I37"/>
    <mergeCell ref="B41:C41"/>
    <mergeCell ref="B43:C43"/>
    <mergeCell ref="B45:C45"/>
    <mergeCell ref="B10:D10"/>
    <mergeCell ref="B11:D11"/>
    <mergeCell ref="B12:D12"/>
    <mergeCell ref="B13:D13"/>
    <mergeCell ref="B37:C37"/>
    <mergeCell ref="B39:C39"/>
  </mergeCells>
  <conditionalFormatting sqref="S38">
    <cfRule type="expression" dxfId="44" priority="117">
      <formula>$AG$38=FALSE</formula>
    </cfRule>
  </conditionalFormatting>
  <conditionalFormatting sqref="O12:P12">
    <cfRule type="expression" dxfId="43" priority="50">
      <formula>ISBLANK($O$12)</formula>
    </cfRule>
  </conditionalFormatting>
  <conditionalFormatting sqref="Y10:AB10">
    <cfRule type="expression" dxfId="42" priority="48">
      <formula>ISBLANK($Y$10)</formula>
    </cfRule>
  </conditionalFormatting>
  <conditionalFormatting sqref="E39">
    <cfRule type="expression" dxfId="41" priority="47">
      <formula>$AG$23=1.5</formula>
    </cfRule>
  </conditionalFormatting>
  <conditionalFormatting sqref="E43">
    <cfRule type="expression" dxfId="40" priority="46">
      <formula>$AG$23=1.5</formula>
    </cfRule>
  </conditionalFormatting>
  <conditionalFormatting sqref="K21:L21">
    <cfRule type="expression" dxfId="39" priority="43">
      <formula>ISBLANK($K$21)</formula>
    </cfRule>
  </conditionalFormatting>
  <conditionalFormatting sqref="M20:Q20">
    <cfRule type="expression" dxfId="38" priority="37">
      <formula>ISTEXT($M$20)</formula>
    </cfRule>
  </conditionalFormatting>
  <conditionalFormatting sqref="M21:Q21">
    <cfRule type="expression" dxfId="37" priority="34">
      <formula>ISTEXT($M$21)</formula>
    </cfRule>
  </conditionalFormatting>
  <conditionalFormatting sqref="K19:L19">
    <cfRule type="expression" dxfId="36" priority="31">
      <formula>ISBLANK($K$19)</formula>
    </cfRule>
  </conditionalFormatting>
  <conditionalFormatting sqref="K20:L20">
    <cfRule type="expression" dxfId="35" priority="30">
      <formula>ISBLANK($K$20)</formula>
    </cfRule>
  </conditionalFormatting>
  <conditionalFormatting sqref="M22:N22">
    <cfRule type="expression" dxfId="34" priority="29">
      <formula>ISBLANK($M$22)</formula>
    </cfRule>
  </conditionalFormatting>
  <conditionalFormatting sqref="L27:Q27">
    <cfRule type="expression" dxfId="33" priority="25">
      <formula>$L$27&lt;&gt;""</formula>
    </cfRule>
  </conditionalFormatting>
  <conditionalFormatting sqref="E37">
    <cfRule type="expression" dxfId="32" priority="144">
      <formula>ABS($E$37)&gt;0</formula>
    </cfRule>
  </conditionalFormatting>
  <conditionalFormatting sqref="E39">
    <cfRule type="expression" dxfId="31" priority="146">
      <formula>ABS($E$39)&gt;0</formula>
    </cfRule>
  </conditionalFormatting>
  <conditionalFormatting sqref="E43">
    <cfRule type="expression" dxfId="30" priority="148">
      <formula>ABS($E$43)&gt;0</formula>
    </cfRule>
  </conditionalFormatting>
  <conditionalFormatting sqref="D37">
    <cfRule type="expression" dxfId="29" priority="171">
      <formula>AND($AG$23&gt;=1,ISBLANK($D$37))</formula>
    </cfRule>
  </conditionalFormatting>
  <conditionalFormatting sqref="D39">
    <cfRule type="expression" dxfId="28" priority="173">
      <formula>AND($AG$23&gt;=1,OR(ISBLANK($D$39),$D$39=0))</formula>
    </cfRule>
  </conditionalFormatting>
  <conditionalFormatting sqref="D43">
    <cfRule type="expression" dxfId="27" priority="175">
      <formula>ABS($D$43)&gt;0</formula>
    </cfRule>
    <cfRule type="expression" dxfId="26" priority="176">
      <formula>AND($AG$23&gt;=1,OR(ISBLANK($D$43),$D$43=0))</formula>
    </cfRule>
  </conditionalFormatting>
  <conditionalFormatting sqref="E19">
    <cfRule type="expression" dxfId="25" priority="16">
      <formula>ISBLANK($E$19)</formula>
    </cfRule>
  </conditionalFormatting>
  <conditionalFormatting sqref="E10">
    <cfRule type="expression" dxfId="24" priority="15">
      <formula>ISBLANK($E$10)</formula>
    </cfRule>
  </conditionalFormatting>
  <conditionalFormatting sqref="E11">
    <cfRule type="expression" dxfId="23" priority="14">
      <formula>ISBLANK($E$11)</formula>
    </cfRule>
  </conditionalFormatting>
  <conditionalFormatting sqref="E12">
    <cfRule type="expression" dxfId="22" priority="13">
      <formula>ISBLANK($E$12)</formula>
    </cfRule>
  </conditionalFormatting>
  <conditionalFormatting sqref="E41">
    <cfRule type="expression" dxfId="21" priority="9">
      <formula>$AG$23=1.5</formula>
    </cfRule>
  </conditionalFormatting>
  <dataValidations count="10">
    <dataValidation type="list" allowBlank="1" showInputMessage="1" showErrorMessage="1" sqref="O12:P12" xr:uid="{7A54325A-8C1A-4F51-9121-776BDE3F3B21}">
      <formula1>NatureOfPop</formula1>
    </dataValidation>
    <dataValidation type="list" allowBlank="1" showInputMessage="1" showErrorMessage="1" sqref="E11" xr:uid="{EAAE2AD8-F6ED-4D87-8A6F-0527D90DD9BF}">
      <formula1>InherentRisk</formula1>
    </dataValidation>
    <dataValidation type="list" allowBlank="1" showInputMessage="1" showErrorMessage="1" sqref="Y10" xr:uid="{5C340518-8E04-4F2F-906C-FA6C0CDB0B45}">
      <formula1>SelectionMethods</formula1>
    </dataValidation>
    <dataValidation type="list" allowBlank="1" showInputMessage="1" showErrorMessage="1" sqref="E19" xr:uid="{5D4695CC-EA5B-4060-BEB1-DB42D745D60E}">
      <formula1>YesNo</formula1>
    </dataValidation>
    <dataValidation type="list" allowBlank="1" showInputMessage="1" showErrorMessage="1" sqref="K19:K20" xr:uid="{91ACCA11-B26D-43E1-9A62-E20415E7D91E}">
      <formula1>OtherEvidence</formula1>
    </dataValidation>
    <dataValidation type="list" allowBlank="1" showErrorMessage="1" error="Choose a relevant or applicable assertion" prompt="Choose the applicable assertion" sqref="E10" xr:uid="{520A8E0F-3BE8-40ED-908C-7AE7142BFC01}">
      <formula1>Assertions</formula1>
    </dataValidation>
    <dataValidation type="decimal" allowBlank="1" showInputMessage="1" showErrorMessage="1" error="Absolute tested value cannot be less than zero or greater than value of population." sqref="E20 F21" xr:uid="{8D7EFCD0-4DB2-4447-9679-F3D892BD8A8F}">
      <formula1>0</formula1>
      <formula2>E18</formula2>
    </dataValidation>
    <dataValidation type="list" allowBlank="1" showInputMessage="1" showErrorMessage="1" sqref="K21:L21" xr:uid="{63730155-92DB-4C25-9553-09186E1D08C7}">
      <formula1>ADA</formula1>
    </dataValidation>
    <dataValidation type="decimal" allowBlank="1" errorTitle="test" error="test" sqref="M22:N22" xr:uid="{9C6BEA88-38FF-47C7-898A-A502CA8AE927}">
      <formula1>0</formula1>
      <formula2>1</formula2>
    </dataValidation>
    <dataValidation operator="greaterThanOrEqual" allowBlank="1" errorTitle="test1" error="test2" sqref="E24" xr:uid="{FF4D52FA-5F36-46A3-BF22-3BBCE8E1AE4D}"/>
  </dataValidations>
  <pageMargins left="0.25" right="0.25" top="0.75" bottom="0.75" header="0.3" footer="0.3"/>
  <pageSetup scale="50" orientation="landscape" r:id="rId1"/>
  <headerFooter>
    <oddFooter>&amp;C&amp;P of &amp;N&amp;R&amp;A</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8" id="{00000000-000E-0000-0600-000005000000}">
            <xm:f>O12=Drop!A125</xm:f>
            <x14:dxf>
              <fill>
                <patternFill patternType="solid">
                  <bgColor rgb="FFCCCCFF"/>
                </patternFill>
              </fill>
              <border>
                <left style="thin">
                  <color auto="1"/>
                </left>
                <right style="thin">
                  <color auto="1"/>
                </right>
                <top style="thin">
                  <color auto="1"/>
                </top>
                <bottom style="thin">
                  <color auto="1"/>
                </bottom>
                <vertical/>
                <horizontal/>
              </border>
            </x14:dxf>
          </x14:cfRule>
          <xm:sqref>E41</xm:sqref>
        </x14:conditionalFormatting>
        <x14:conditionalFormatting xmlns:xm="http://schemas.microsoft.com/office/excel/2006/main">
          <x14:cfRule type="expression" priority="44" id="{DC7AC5B5-EF6B-43F3-8071-69FC2774710A}">
            <xm:f>$O$12&lt;&gt;Drop!$A$125</xm:f>
            <x14:dxf>
              <fill>
                <patternFill>
                  <bgColor theme="0" tint="-4.9989318521683403E-2"/>
                </patternFill>
              </fill>
              <border>
                <right/>
                <bottom/>
              </border>
            </x14:dxf>
          </x14:cfRule>
          <xm:sqref>E37</xm:sqref>
        </x14:conditionalFormatting>
        <x14:conditionalFormatting xmlns:xm="http://schemas.microsoft.com/office/excel/2006/main">
          <x14:cfRule type="expression" priority="45" id="{33B05D4F-8F52-4771-B899-DB452E0AE926}">
            <xm:f>OR(ISBLANK($K$19),$K$19=Drop!$A$52)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51" id="{E89D885B-81D6-427F-97F0-E308E3659DB5}">
            <xm:f>AND(OR($K$19=Drop!$A$53,$K$19=Drop!$A$54),ISBLANK($M$19))</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M19:Q19</xm:sqref>
        </x14:conditionalFormatting>
        <x14:conditionalFormatting xmlns:xm="http://schemas.microsoft.com/office/excel/2006/main">
          <x14:cfRule type="expression" priority="35" id="{919F4F94-3283-4A18-BCF3-C52F3770D697}">
            <xm:f>OR(ISBLANK($K$20),$K$20=Drop!$A$52)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36" id="{59480DDC-901A-4025-B8BA-6FA17CA7E0B3}">
            <xm:f>AND(OR($K$20=Drop!$A$53,$K$20=Drop!$A$54),ISBLANK($M$20))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M20:Q20</xm:sqref>
        </x14:conditionalFormatting>
        <x14:conditionalFormatting xmlns:xm="http://schemas.microsoft.com/office/excel/2006/main">
          <x14:cfRule type="expression" priority="32" id="{32FF19F7-E1AC-4130-BA70-75D27C44F23D}">
            <xm:f>OR(ISBLANK($K$21),$K$21=Drop!$A$58)</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33" id="{D3499F9F-EC1D-4C48-81E8-332337D2DEFC}">
            <xm:f>AND($K$21=Drop!$A$59,ISBLANK($M$21))</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M21:Q21</xm:sqref>
        </x14:conditionalFormatting>
        <x14:conditionalFormatting xmlns:xm="http://schemas.microsoft.com/office/excel/2006/main">
          <x14:cfRule type="expression" priority="5" id="{14CCF1E9-B35D-42F7-AC0C-FB236855A6E2}">
            <xm:f>$L$26=Drop!$A$85</xm:f>
            <x14:dxf>
              <font>
                <color auto="1"/>
              </font>
              <fill>
                <patternFill patternType="solid">
                  <bgColor theme="1"/>
                </patternFill>
              </fill>
              <border>
                <left style="thin">
                  <color auto="1"/>
                </left>
                <right style="thin">
                  <color auto="1"/>
                </right>
                <top style="thin">
                  <color auto="1"/>
                </top>
                <bottom style="thin">
                  <color auto="1"/>
                </bottom>
              </border>
            </x14:dxf>
          </x14:cfRule>
          <xm:sqref>B33:AB46</xm:sqref>
        </x14:conditionalFormatting>
        <x14:conditionalFormatting xmlns:xm="http://schemas.microsoft.com/office/excel/2006/main">
          <x14:cfRule type="expression" priority="131" id="{42299E56-9B9F-4B16-8A85-329BB2E5648C}">
            <xm:f>$E$12&lt;&gt;Drop!$A$47</xm:f>
            <x14:dxf>
              <font>
                <color theme="0" tint="-4.9989318521683403E-2"/>
              </font>
              <fill>
                <patternFill>
                  <bgColor theme="0" tint="-4.9989318521683403E-2"/>
                </patternFill>
              </fill>
            </x14:dxf>
          </x14:cfRule>
          <xm:sqref>B13</xm:sqref>
        </x14:conditionalFormatting>
        <x14:conditionalFormatting xmlns:xm="http://schemas.microsoft.com/office/excel/2006/main">
          <x14:cfRule type="expression" priority="152" id="{3613AC93-7DAE-4F51-8CA7-DE1A8A5BCA34}">
            <xm:f>AND(O12=Drop!A125,ISBLANK($E$37))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E37</xm:sqref>
        </x14:conditionalFormatting>
        <x14:conditionalFormatting xmlns:xm="http://schemas.microsoft.com/office/excel/2006/main">
          <x14:cfRule type="expression" priority="154" id="{EBC25B89-69A4-4240-B7F1-E56743B7B79C}">
            <xm:f>O12=Drop!A125</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E39 E41</xm:sqref>
        </x14:conditionalFormatting>
        <x14:conditionalFormatting xmlns:xm="http://schemas.microsoft.com/office/excel/2006/main">
          <x14:cfRule type="expression" priority="156" id="{B9435514-C704-4F5A-B283-B77A07553E56}">
            <xm:f>O12=Drop!A125</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E43</xm:sqref>
        </x14:conditionalFormatting>
        <x14:conditionalFormatting xmlns:xm="http://schemas.microsoft.com/office/excel/2006/main">
          <x14:cfRule type="expression" priority="162" id="{1CD1994D-D73B-4EE6-A790-BD4826B690DB}">
            <xm:f>$E$19&lt;&gt;Drop!$A$13</xm:f>
            <x14:dxf>
              <font>
                <color auto="1"/>
              </font>
            </x14:dxf>
          </x14:cfRule>
          <xm:sqref>B21:E21 B20</xm:sqref>
        </x14:conditionalFormatting>
        <x14:conditionalFormatting xmlns:xm="http://schemas.microsoft.com/office/excel/2006/main">
          <x14:cfRule type="expression" priority="177" id="{964DB120-371C-4DF4-B5D6-2DA1CA7E933D}">
            <xm:f>OR(E19&lt;&gt;Drop!A13,ISBLANK(M22))</xm:f>
            <x14:dxf>
              <fill>
                <patternFill>
                  <bgColor theme="0" tint="-4.9989318521683403E-2"/>
                </patternFill>
              </fill>
              <border>
                <left/>
                <top/>
                <vertical/>
                <horizontal/>
              </border>
            </x14:dxf>
          </x14:cfRule>
          <xm:sqref>O24:Q24</xm:sqref>
        </x14:conditionalFormatting>
        <x14:conditionalFormatting xmlns:xm="http://schemas.microsoft.com/office/excel/2006/main">
          <x14:cfRule type="expression" priority="17" id="{68304976-481E-4B59-89A0-01FC6D46878E}">
            <xm:f>OR(ISBLANK($E$19),$E$19=Drop!$A$14)</xm:f>
            <x14:dxf>
              <font>
                <color theme="0" tint="-4.9989318521683403E-2"/>
              </font>
              <fill>
                <patternFill>
                  <bgColor theme="0" tint="-4.9989318521683403E-2"/>
                </patternFill>
              </fill>
            </x14:dxf>
          </x14:cfRule>
          <x14:cfRule type="expression" priority="18" id="{9DD2570F-CDF4-4809-9EDA-587F6BCDD3C6}">
            <xm:f>AND($E$19=Drop!$A$13,ISBLANK($E$20))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9" id="{5DA1E3BF-8143-4CC6-9FF7-7DC63C6770B2}">
            <xm:f>AND($E$20&gt;0,$E$19=Drop!$A$13)</xm:f>
            <x14:dxf>
              <font>
                <color auto="1"/>
              </font>
              <fill>
                <patternFill>
                  <bgColor theme="0"/>
                </patternFill>
              </fill>
              <border>
                <left style="thin">
                  <color auto="1"/>
                </left>
                <right style="thin">
                  <color auto="1"/>
                </right>
                <top style="thin">
                  <color auto="1"/>
                </top>
                <bottom style="thin">
                  <color auto="1"/>
                </bottom>
                <vertical/>
                <horizontal/>
              </border>
            </x14:dxf>
          </x14:cfRule>
          <xm:sqref>E20</xm:sqref>
        </x14:conditionalFormatting>
        <x14:conditionalFormatting xmlns:xm="http://schemas.microsoft.com/office/excel/2006/main">
          <x14:cfRule type="expression" priority="10" id="{2DDE6187-1DA4-417B-9C41-4C704DB67217}">
            <xm:f>$E$12&lt;&gt;Drop!$A$47</xm:f>
            <x14:dxf>
              <font>
                <color theme="0" tint="-4.9989318521683403E-2"/>
              </font>
              <fill>
                <patternFill>
                  <bgColor theme="0" tint="-4.9989318521683403E-2"/>
                </patternFill>
              </fill>
              <border>
                <left/>
                <right/>
                <bottom/>
              </border>
            </x14:dxf>
          </x14:cfRule>
          <x14:cfRule type="expression" priority="11" id="{2DD32D3D-C43F-4A7A-A66C-9E9C7237C487}">
            <xm:f>AND(ISBLANK($E$13),$E$12=Drop!$A$47)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2" id="{608B4991-AD10-4F29-A1C0-3872034F45DA}">
            <xm:f>$E$12=Drop!$A$47</xm:f>
            <x14:dxf>
              <border>
                <left style="thin">
                  <color auto="1"/>
                </left>
                <bottom style="thin">
                  <color auto="1"/>
                </bottom>
                <vertical/>
                <horizontal/>
              </border>
            </x14:dxf>
          </x14:cfRule>
          <xm:sqref>E13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58CA9631-3F7A-43EF-B717-85CB3EAA587B}">
          <x14:formula1>
            <xm:f>Drop!$G$43:$G$44</xm:f>
          </x14:formula1>
          <xm:sqref>E12</xm:sqref>
        </x14:dataValidation>
        <x14:dataValidation type="list" allowBlank="1" showInputMessage="1" showErrorMessage="1" xr:uid="{7D2A0714-1917-42C1-98FA-D53FF3A27D18}">
          <x14:formula1>
            <xm:f>Drop!$A$44:$A$46</xm:f>
          </x14:formula1>
          <xm:sqref>E13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Translation">
    <pageSetUpPr fitToPage="1"/>
  </sheetPr>
  <dimension ref="A1:P253"/>
  <sheetViews>
    <sheetView showGridLines="0" workbookViewId="0">
      <selection activeCell="B7" sqref="B7"/>
    </sheetView>
  </sheetViews>
  <sheetFormatPr defaultColWidth="11.42578125" defaultRowHeight="15" x14ac:dyDescent="0.25"/>
  <cols>
    <col min="1" max="2" width="50.7109375" style="166" customWidth="1"/>
    <col min="3" max="3" width="11.42578125" style="166"/>
    <col min="4" max="4" width="24.140625" style="166" customWidth="1"/>
    <col min="5" max="5" width="30.7109375" style="166" customWidth="1"/>
    <col min="6" max="6" width="30.28515625" style="166" customWidth="1"/>
    <col min="7" max="7" width="27.42578125" style="166" bestFit="1" customWidth="1"/>
    <col min="8" max="8" width="27.42578125" style="166" customWidth="1"/>
    <col min="9" max="9" width="13.42578125" style="166" bestFit="1" customWidth="1"/>
    <col min="10" max="16384" width="11.42578125" style="166"/>
  </cols>
  <sheetData>
    <row r="1" spans="1:16" x14ac:dyDescent="0.25">
      <c r="A1" s="165" t="s">
        <v>112</v>
      </c>
    </row>
    <row r="2" spans="1:16" x14ac:dyDescent="0.25">
      <c r="A2" s="165"/>
    </row>
    <row r="3" spans="1:16" x14ac:dyDescent="0.25">
      <c r="A3" s="167" t="s">
        <v>120</v>
      </c>
      <c r="C3" s="168"/>
    </row>
    <row r="4" spans="1:16" x14ac:dyDescent="0.25">
      <c r="A4" s="167"/>
      <c r="C4" s="195"/>
    </row>
    <row r="5" spans="1:16" x14ac:dyDescent="0.25">
      <c r="A5" s="171" t="s">
        <v>213</v>
      </c>
      <c r="B5" s="178" t="s">
        <v>113</v>
      </c>
    </row>
    <row r="6" spans="1:16" s="198" customFormat="1" ht="60" x14ac:dyDescent="0.25">
      <c r="A6" s="196" t="s">
        <v>306</v>
      </c>
      <c r="B6" s="197" t="s">
        <v>245</v>
      </c>
    </row>
    <row r="7" spans="1:16" s="198" customFormat="1" ht="180" x14ac:dyDescent="0.25">
      <c r="A7" s="196" t="s">
        <v>299</v>
      </c>
      <c r="B7" s="197" t="s">
        <v>246</v>
      </c>
    </row>
    <row r="8" spans="1:16" s="198" customFormat="1" ht="180" x14ac:dyDescent="0.25">
      <c r="A8" s="196" t="s">
        <v>217</v>
      </c>
      <c r="B8" s="197" t="s">
        <v>217</v>
      </c>
    </row>
    <row r="9" spans="1:16" s="198" customFormat="1" x14ac:dyDescent="0.25">
      <c r="A9" s="196" t="s">
        <v>218</v>
      </c>
      <c r="B9" s="197" t="s">
        <v>218</v>
      </c>
    </row>
    <row r="10" spans="1:16" s="198" customFormat="1" x14ac:dyDescent="0.25">
      <c r="A10" s="199"/>
      <c r="B10" s="200"/>
    </row>
    <row r="11" spans="1:16" x14ac:dyDescent="0.25">
      <c r="M11" s="219"/>
      <c r="N11" s="219"/>
      <c r="O11" s="219"/>
      <c r="P11" s="219"/>
    </row>
    <row r="12" spans="1:16" x14ac:dyDescent="0.25">
      <c r="A12" s="169" t="s">
        <v>28</v>
      </c>
      <c r="B12" s="170" t="s">
        <v>113</v>
      </c>
      <c r="D12" s="123"/>
      <c r="E12" s="123"/>
      <c r="F12" s="123"/>
      <c r="L12" s="219"/>
    </row>
    <row r="13" spans="1:16" x14ac:dyDescent="0.25">
      <c r="A13" s="145" t="s">
        <v>6</v>
      </c>
      <c r="B13" s="149" t="s">
        <v>6</v>
      </c>
      <c r="D13" s="123"/>
      <c r="E13" s="123"/>
      <c r="F13" s="123"/>
    </row>
    <row r="14" spans="1:16" x14ac:dyDescent="0.25">
      <c r="A14" s="145" t="s">
        <v>7</v>
      </c>
      <c r="B14" s="149" t="s">
        <v>7</v>
      </c>
      <c r="D14" s="123"/>
      <c r="E14" s="123"/>
      <c r="F14" s="123"/>
    </row>
    <row r="15" spans="1:16" x14ac:dyDescent="0.25">
      <c r="D15" s="123"/>
      <c r="E15" s="123"/>
      <c r="F15" s="123"/>
    </row>
    <row r="16" spans="1:16" x14ac:dyDescent="0.25">
      <c r="A16" s="169" t="s">
        <v>27</v>
      </c>
      <c r="B16" s="171" t="s">
        <v>114</v>
      </c>
      <c r="D16" s="123"/>
      <c r="E16" s="123"/>
      <c r="F16" s="123"/>
    </row>
    <row r="17" spans="1:6" x14ac:dyDescent="0.25">
      <c r="A17" s="172" t="s">
        <v>247</v>
      </c>
      <c r="B17" s="172">
        <v>2</v>
      </c>
      <c r="D17" s="123"/>
      <c r="E17" s="123"/>
      <c r="F17" s="123"/>
    </row>
    <row r="18" spans="1:6" x14ac:dyDescent="0.25">
      <c r="A18" s="265"/>
      <c r="B18" s="172">
        <v>3</v>
      </c>
      <c r="D18" s="123"/>
      <c r="E18" s="123"/>
      <c r="F18" s="123"/>
    </row>
    <row r="19" spans="1:6" x14ac:dyDescent="0.25">
      <c r="A19" s="265"/>
      <c r="B19" s="172">
        <v>4</v>
      </c>
      <c r="D19" s="123"/>
      <c r="E19" s="123"/>
      <c r="F19" s="123"/>
    </row>
    <row r="20" spans="1:6" x14ac:dyDescent="0.25">
      <c r="D20" s="123"/>
      <c r="E20" s="123"/>
      <c r="F20" s="123"/>
    </row>
    <row r="21" spans="1:6" x14ac:dyDescent="0.25">
      <c r="A21" s="169" t="s">
        <v>4</v>
      </c>
      <c r="B21" s="170" t="s">
        <v>113</v>
      </c>
      <c r="C21" s="123"/>
      <c r="D21" s="123"/>
      <c r="E21" s="123"/>
      <c r="F21" s="123"/>
    </row>
    <row r="22" spans="1:6" x14ac:dyDescent="0.25">
      <c r="A22" s="145" t="s">
        <v>5</v>
      </c>
      <c r="B22" s="149" t="s">
        <v>5</v>
      </c>
      <c r="C22" s="123"/>
    </row>
    <row r="23" spans="1:6" x14ac:dyDescent="0.25">
      <c r="A23" s="145" t="s">
        <v>111</v>
      </c>
      <c r="B23" s="149" t="s">
        <v>111</v>
      </c>
      <c r="C23" s="123"/>
    </row>
    <row r="24" spans="1:6" x14ac:dyDescent="0.25">
      <c r="A24" s="145" t="s">
        <v>95</v>
      </c>
      <c r="B24" s="149" t="s">
        <v>95</v>
      </c>
      <c r="C24" s="123"/>
    </row>
    <row r="26" spans="1:6" x14ac:dyDescent="0.25">
      <c r="A26" s="169" t="s">
        <v>115</v>
      </c>
      <c r="B26" s="583" t="s">
        <v>113</v>
      </c>
      <c r="C26" s="585"/>
    </row>
    <row r="27" spans="1:6" x14ac:dyDescent="0.25">
      <c r="A27" s="145" t="s">
        <v>31</v>
      </c>
      <c r="B27" s="594" t="s">
        <v>31</v>
      </c>
      <c r="C27" s="595"/>
      <c r="D27" s="147" t="str">
        <f>A27</f>
        <v>Completeness</v>
      </c>
    </row>
    <row r="28" spans="1:6" x14ac:dyDescent="0.25">
      <c r="A28" s="145" t="s">
        <v>156</v>
      </c>
      <c r="B28" s="594" t="s">
        <v>156</v>
      </c>
      <c r="C28" s="595"/>
      <c r="D28" s="147" t="str">
        <f t="shared" ref="D28:D33" si="0">A28</f>
        <v>Existence</v>
      </c>
    </row>
    <row r="29" spans="1:6" x14ac:dyDescent="0.25">
      <c r="A29" s="145" t="s">
        <v>157</v>
      </c>
      <c r="B29" s="594" t="s">
        <v>157</v>
      </c>
      <c r="C29" s="595"/>
      <c r="D29" s="147" t="str">
        <f t="shared" si="0"/>
        <v>Occurrence</v>
      </c>
    </row>
    <row r="30" spans="1:6" x14ac:dyDescent="0.25">
      <c r="A30" s="145" t="s">
        <v>158</v>
      </c>
      <c r="B30" s="592" t="s">
        <v>158</v>
      </c>
      <c r="C30" s="593"/>
      <c r="D30" s="147" t="str">
        <f t="shared" si="0"/>
        <v>Accuracy</v>
      </c>
    </row>
    <row r="31" spans="1:6" x14ac:dyDescent="0.25">
      <c r="A31" s="145" t="s">
        <v>174</v>
      </c>
      <c r="B31" s="594" t="s">
        <v>174</v>
      </c>
      <c r="C31" s="595"/>
      <c r="D31" s="147" t="str">
        <f t="shared" si="0"/>
        <v>Valuation and allocation</v>
      </c>
    </row>
    <row r="32" spans="1:6" x14ac:dyDescent="0.25">
      <c r="A32" s="145" t="s">
        <v>155</v>
      </c>
      <c r="B32" s="594" t="s">
        <v>155</v>
      </c>
      <c r="C32" s="595"/>
      <c r="D32" s="147" t="str">
        <f t="shared" si="0"/>
        <v>Rights and Obligations</v>
      </c>
    </row>
    <row r="33" spans="1:7" x14ac:dyDescent="0.25">
      <c r="A33" s="145" t="s">
        <v>159</v>
      </c>
      <c r="B33" s="594" t="s">
        <v>159</v>
      </c>
      <c r="C33" s="595"/>
      <c r="D33" s="147" t="str">
        <f t="shared" si="0"/>
        <v>Presentation</v>
      </c>
    </row>
    <row r="34" spans="1:7" x14ac:dyDescent="0.25">
      <c r="A34" s="173"/>
    </row>
    <row r="35" spans="1:7" x14ac:dyDescent="0.25">
      <c r="B35" s="166" t="s">
        <v>44</v>
      </c>
    </row>
    <row r="36" spans="1:7" x14ac:dyDescent="0.25">
      <c r="A36" s="170" t="s">
        <v>29</v>
      </c>
      <c r="B36" s="174">
        <v>2</v>
      </c>
      <c r="C36" s="174">
        <v>3</v>
      </c>
      <c r="D36" s="174">
        <v>4</v>
      </c>
      <c r="E36" s="170" t="s">
        <v>113</v>
      </c>
    </row>
    <row r="37" spans="1:7" x14ac:dyDescent="0.25">
      <c r="A37" s="145" t="s">
        <v>292</v>
      </c>
      <c r="B37" s="175">
        <v>0.2</v>
      </c>
      <c r="C37" s="175">
        <v>0.2</v>
      </c>
      <c r="D37" s="175">
        <v>0.2</v>
      </c>
      <c r="E37" s="172" t="s">
        <v>160</v>
      </c>
      <c r="F37" s="147" t="str">
        <f>A37</f>
        <v>Other / Material Only / Applicable Assertion</v>
      </c>
    </row>
    <row r="38" spans="1:7" x14ac:dyDescent="0.25">
      <c r="A38" s="145" t="s">
        <v>164</v>
      </c>
      <c r="B38" s="175">
        <v>0.5</v>
      </c>
      <c r="C38" s="175">
        <v>0.5</v>
      </c>
      <c r="D38" s="175">
        <v>0.5</v>
      </c>
      <c r="E38" s="172" t="s">
        <v>164</v>
      </c>
      <c r="F38" s="147" t="str">
        <f t="shared" ref="F38:F39" si="1">A38</f>
        <v>Normal</v>
      </c>
    </row>
    <row r="39" spans="1:7" x14ac:dyDescent="0.25">
      <c r="A39" s="145" t="s">
        <v>151</v>
      </c>
      <c r="B39" s="175">
        <v>1</v>
      </c>
      <c r="C39" s="175">
        <v>1</v>
      </c>
      <c r="D39" s="175">
        <v>1</v>
      </c>
      <c r="E39" s="172" t="s">
        <v>151</v>
      </c>
      <c r="F39" s="147" t="str">
        <f t="shared" si="1"/>
        <v>Elevated</v>
      </c>
    </row>
    <row r="41" spans="1:7" x14ac:dyDescent="0.25">
      <c r="B41" s="166" t="s">
        <v>44</v>
      </c>
    </row>
    <row r="42" spans="1:7" x14ac:dyDescent="0.25">
      <c r="A42" s="176" t="s">
        <v>30</v>
      </c>
      <c r="B42" s="177">
        <v>2</v>
      </c>
      <c r="C42" s="177">
        <v>3</v>
      </c>
      <c r="D42" s="177">
        <v>4</v>
      </c>
      <c r="E42" s="178" t="s">
        <v>113</v>
      </c>
      <c r="G42" s="178" t="s">
        <v>255</v>
      </c>
    </row>
    <row r="43" spans="1:7" x14ac:dyDescent="0.25">
      <c r="A43" s="145" t="s">
        <v>11</v>
      </c>
      <c r="B43" s="175">
        <v>1</v>
      </c>
      <c r="C43" s="175">
        <v>1</v>
      </c>
      <c r="D43" s="175">
        <v>1</v>
      </c>
      <c r="E43" s="172" t="s">
        <v>11</v>
      </c>
      <c r="F43" s="147" t="str">
        <f>A43</f>
        <v>None</v>
      </c>
      <c r="G43" s="172" t="str">
        <f>A43</f>
        <v>None</v>
      </c>
    </row>
    <row r="44" spans="1:7" x14ac:dyDescent="0.25">
      <c r="A44" s="145" t="s">
        <v>248</v>
      </c>
      <c r="B44" s="175">
        <v>0.5</v>
      </c>
      <c r="C44" s="175">
        <v>0.5</v>
      </c>
      <c r="D44" s="175">
        <v>0.5</v>
      </c>
      <c r="E44" s="172" t="s">
        <v>173</v>
      </c>
      <c r="F44" s="147" t="str">
        <f>A44</f>
        <v>Limited</v>
      </c>
      <c r="G44" s="172" t="str">
        <f>A47</f>
        <v>Operating</v>
      </c>
    </row>
    <row r="45" spans="1:7" x14ac:dyDescent="0.25">
      <c r="A45" s="145" t="s">
        <v>164</v>
      </c>
      <c r="B45" s="175">
        <v>0.15</v>
      </c>
      <c r="C45" s="175">
        <v>0.15</v>
      </c>
      <c r="D45" s="175">
        <v>0.15</v>
      </c>
      <c r="E45" s="172" t="s">
        <v>172</v>
      </c>
      <c r="F45" s="147" t="str">
        <f>A45</f>
        <v>Normal</v>
      </c>
    </row>
    <row r="46" spans="1:7" x14ac:dyDescent="0.25">
      <c r="A46" s="145" t="s">
        <v>250</v>
      </c>
      <c r="B46" s="175">
        <v>0.1</v>
      </c>
      <c r="C46" s="175">
        <v>0.1</v>
      </c>
      <c r="D46" s="175">
        <v>0.1</v>
      </c>
      <c r="E46" s="172" t="s">
        <v>161</v>
      </c>
      <c r="F46" s="147" t="str">
        <f>A46</f>
        <v>Extended</v>
      </c>
    </row>
    <row r="47" spans="1:7" x14ac:dyDescent="0.25">
      <c r="A47" s="145" t="s">
        <v>172</v>
      </c>
      <c r="B47" s="606" t="s">
        <v>249</v>
      </c>
      <c r="C47" s="606"/>
      <c r="D47" s="606"/>
      <c r="E47" s="172" t="s">
        <v>172</v>
      </c>
      <c r="F47" s="147"/>
    </row>
    <row r="48" spans="1:7" x14ac:dyDescent="0.25">
      <c r="A48" s="145" t="s">
        <v>259</v>
      </c>
      <c r="B48" s="606"/>
      <c r="C48" s="606"/>
      <c r="D48" s="606"/>
      <c r="E48" s="172" t="s">
        <v>4</v>
      </c>
      <c r="F48" s="147"/>
    </row>
    <row r="50" spans="1:8" x14ac:dyDescent="0.25">
      <c r="B50" s="166" t="s">
        <v>44</v>
      </c>
    </row>
    <row r="51" spans="1:8" x14ac:dyDescent="0.25">
      <c r="A51" s="169" t="s">
        <v>33</v>
      </c>
      <c r="B51" s="174">
        <v>2</v>
      </c>
      <c r="C51" s="174">
        <v>3</v>
      </c>
      <c r="D51" s="174">
        <v>4</v>
      </c>
      <c r="E51" s="170" t="s">
        <v>113</v>
      </c>
    </row>
    <row r="52" spans="1:8" x14ac:dyDescent="0.25">
      <c r="A52" s="145" t="s">
        <v>11</v>
      </c>
      <c r="B52" s="175">
        <v>1</v>
      </c>
      <c r="C52" s="175">
        <v>1</v>
      </c>
      <c r="D52" s="175">
        <v>1</v>
      </c>
      <c r="E52" s="172" t="s">
        <v>11</v>
      </c>
      <c r="F52" s="147" t="str">
        <f t="shared" ref="F52:F54" si="2">A52</f>
        <v>None</v>
      </c>
    </row>
    <row r="53" spans="1:8" x14ac:dyDescent="0.25">
      <c r="A53" s="145" t="s">
        <v>166</v>
      </c>
      <c r="B53" s="175">
        <v>0.7</v>
      </c>
      <c r="C53" s="175">
        <v>0.7</v>
      </c>
      <c r="D53" s="175">
        <v>0.7</v>
      </c>
      <c r="E53" s="172" t="s">
        <v>166</v>
      </c>
      <c r="F53" s="147" t="str">
        <f t="shared" si="2"/>
        <v>Less extensive</v>
      </c>
    </row>
    <row r="54" spans="1:8" x14ac:dyDescent="0.25">
      <c r="A54" s="145" t="s">
        <v>167</v>
      </c>
      <c r="B54" s="175">
        <v>0.4</v>
      </c>
      <c r="C54" s="175">
        <v>0.4</v>
      </c>
      <c r="D54" s="175">
        <v>0.4</v>
      </c>
      <c r="E54" s="172" t="s">
        <v>167</v>
      </c>
      <c r="F54" s="147" t="str">
        <f t="shared" si="2"/>
        <v>More extensive</v>
      </c>
    </row>
    <row r="56" spans="1:8" x14ac:dyDescent="0.25">
      <c r="B56" s="166" t="s">
        <v>44</v>
      </c>
    </row>
    <row r="57" spans="1:8" x14ac:dyDescent="0.25">
      <c r="A57" s="169" t="s">
        <v>211</v>
      </c>
      <c r="B57" s="174">
        <v>2</v>
      </c>
      <c r="C57" s="174">
        <v>3</v>
      </c>
      <c r="D57" s="174">
        <v>4</v>
      </c>
      <c r="E57" s="170" t="s">
        <v>113</v>
      </c>
    </row>
    <row r="58" spans="1:8" x14ac:dyDescent="0.25">
      <c r="A58" s="145" t="s">
        <v>11</v>
      </c>
      <c r="B58" s="175">
        <v>1</v>
      </c>
      <c r="C58" s="175">
        <v>1</v>
      </c>
      <c r="D58" s="175">
        <v>1</v>
      </c>
      <c r="E58" s="172" t="s">
        <v>11</v>
      </c>
      <c r="F58" s="147" t="str">
        <f t="shared" ref="F58:F59" si="3">A58</f>
        <v>None</v>
      </c>
    </row>
    <row r="59" spans="1:8" x14ac:dyDescent="0.25">
      <c r="A59" s="145" t="s">
        <v>216</v>
      </c>
      <c r="B59" s="175">
        <v>0.2</v>
      </c>
      <c r="C59" s="175">
        <v>0.2</v>
      </c>
      <c r="D59" s="175">
        <v>0.2</v>
      </c>
      <c r="E59" s="172" t="s">
        <v>216</v>
      </c>
      <c r="F59" s="147" t="str">
        <f t="shared" si="3"/>
        <v>Audit data analytics</v>
      </c>
    </row>
    <row r="61" spans="1:8" ht="30" x14ac:dyDescent="0.25">
      <c r="A61" s="169" t="s">
        <v>47</v>
      </c>
      <c r="B61" s="583" t="s">
        <v>113</v>
      </c>
      <c r="C61" s="585"/>
      <c r="E61"/>
      <c r="F61" s="179" t="s">
        <v>176</v>
      </c>
      <c r="G61" s="179" t="s">
        <v>265</v>
      </c>
      <c r="H61" s="179" t="s">
        <v>266</v>
      </c>
    </row>
    <row r="62" spans="1:8" x14ac:dyDescent="0.25">
      <c r="A62" s="145" t="s">
        <v>187</v>
      </c>
      <c r="B62" s="592" t="s">
        <v>187</v>
      </c>
      <c r="C62" s="593"/>
      <c r="E62"/>
      <c r="F62" s="175">
        <v>0.05</v>
      </c>
      <c r="G62" s="175">
        <v>0.5</v>
      </c>
      <c r="H62" s="175">
        <v>0.95</v>
      </c>
    </row>
    <row r="63" spans="1:8" x14ac:dyDescent="0.25">
      <c r="A63" s="145" t="s">
        <v>14</v>
      </c>
      <c r="B63" s="592" t="s">
        <v>14</v>
      </c>
      <c r="C63" s="593"/>
    </row>
    <row r="64" spans="1:8" x14ac:dyDescent="0.25">
      <c r="A64" s="145" t="s">
        <v>15</v>
      </c>
      <c r="B64" s="592" t="s">
        <v>15</v>
      </c>
      <c r="C64" s="593"/>
    </row>
    <row r="66" spans="1:8" x14ac:dyDescent="0.25">
      <c r="A66" s="604" t="s">
        <v>146</v>
      </c>
      <c r="B66" s="604"/>
      <c r="C66" s="604"/>
      <c r="D66" s="605"/>
      <c r="E66" s="596" t="s">
        <v>113</v>
      </c>
      <c r="F66" s="597"/>
      <c r="G66" s="597"/>
      <c r="H66" s="597"/>
    </row>
    <row r="67" spans="1:8" ht="15" customHeight="1" x14ac:dyDescent="0.25">
      <c r="A67" s="571" t="s">
        <v>203</v>
      </c>
      <c r="B67" s="572"/>
      <c r="C67" s="572"/>
      <c r="D67" s="573"/>
      <c r="E67" s="598" t="s">
        <v>203</v>
      </c>
      <c r="F67" s="599"/>
      <c r="G67" s="599"/>
      <c r="H67" s="600"/>
    </row>
    <row r="68" spans="1:8" ht="15" customHeight="1" x14ac:dyDescent="0.25">
      <c r="A68" s="571" t="s">
        <v>204</v>
      </c>
      <c r="B68" s="572"/>
      <c r="C68" s="572"/>
      <c r="D68" s="573"/>
      <c r="E68" s="598" t="s">
        <v>204</v>
      </c>
      <c r="F68" s="599"/>
      <c r="G68" s="599"/>
      <c r="H68" s="600"/>
    </row>
    <row r="69" spans="1:8" ht="15" customHeight="1" x14ac:dyDescent="0.25">
      <c r="A69" s="571" t="s">
        <v>186</v>
      </c>
      <c r="B69" s="572"/>
      <c r="C69" s="572"/>
      <c r="D69" s="573"/>
      <c r="E69" s="598" t="s">
        <v>186</v>
      </c>
      <c r="F69" s="599"/>
      <c r="G69" s="599"/>
      <c r="H69" s="600"/>
    </row>
    <row r="70" spans="1:8" x14ac:dyDescent="0.25">
      <c r="A70" s="571" t="s">
        <v>200</v>
      </c>
      <c r="B70" s="572"/>
      <c r="C70" s="572"/>
      <c r="D70" s="573"/>
      <c r="E70" s="601" t="s">
        <v>200</v>
      </c>
      <c r="F70" s="602"/>
      <c r="G70" s="602"/>
      <c r="H70" s="603"/>
    </row>
    <row r="71" spans="1:8" ht="35.25" customHeight="1" x14ac:dyDescent="0.25">
      <c r="A71" s="571" t="s">
        <v>178</v>
      </c>
      <c r="B71" s="572"/>
      <c r="C71" s="572"/>
      <c r="D71" s="573"/>
      <c r="E71" s="598" t="s">
        <v>178</v>
      </c>
      <c r="F71" s="599"/>
      <c r="G71" s="599"/>
      <c r="H71" s="600"/>
    </row>
    <row r="72" spans="1:8" ht="36" customHeight="1" x14ac:dyDescent="0.25">
      <c r="A72" s="571" t="s">
        <v>179</v>
      </c>
      <c r="B72" s="572"/>
      <c r="C72" s="572"/>
      <c r="D72" s="573"/>
      <c r="E72" s="598" t="s">
        <v>179</v>
      </c>
      <c r="F72" s="599"/>
      <c r="G72" s="599"/>
      <c r="H72" s="600"/>
    </row>
    <row r="73" spans="1:8" x14ac:dyDescent="0.25">
      <c r="A73" s="571" t="s">
        <v>10</v>
      </c>
      <c r="B73" s="572"/>
      <c r="C73" s="572"/>
      <c r="D73" s="573"/>
      <c r="E73" s="598" t="s">
        <v>10</v>
      </c>
      <c r="F73" s="599"/>
      <c r="G73" s="599"/>
      <c r="H73" s="600"/>
    </row>
    <row r="74" spans="1:8" ht="15" customHeight="1" x14ac:dyDescent="0.25">
      <c r="A74" s="571" t="s">
        <v>220</v>
      </c>
      <c r="B74" s="572"/>
      <c r="C74" s="572"/>
      <c r="D74" s="573"/>
      <c r="E74" s="598" t="s">
        <v>220</v>
      </c>
      <c r="F74" s="599"/>
      <c r="G74" s="599"/>
      <c r="H74" s="600"/>
    </row>
    <row r="75" spans="1:8" ht="47.25" customHeight="1" x14ac:dyDescent="0.25">
      <c r="A75" s="571" t="s">
        <v>180</v>
      </c>
      <c r="B75" s="572"/>
      <c r="C75" s="572"/>
      <c r="D75" s="573"/>
      <c r="E75" s="601" t="s">
        <v>180</v>
      </c>
      <c r="F75" s="602"/>
      <c r="G75" s="602"/>
      <c r="H75" s="603"/>
    </row>
    <row r="76" spans="1:8" ht="78" customHeight="1" x14ac:dyDescent="0.25">
      <c r="A76" s="571" t="s">
        <v>181</v>
      </c>
      <c r="B76" s="572"/>
      <c r="C76" s="572"/>
      <c r="D76" s="573"/>
      <c r="E76" s="598" t="s">
        <v>181</v>
      </c>
      <c r="F76" s="599"/>
      <c r="G76" s="599"/>
      <c r="H76" s="600"/>
    </row>
    <row r="77" spans="1:8" ht="15" customHeight="1" x14ac:dyDescent="0.25">
      <c r="A77" s="571" t="s">
        <v>87</v>
      </c>
      <c r="B77" s="572"/>
      <c r="C77" s="572"/>
      <c r="D77" s="573"/>
      <c r="E77" s="598" t="s">
        <v>87</v>
      </c>
      <c r="F77" s="599"/>
      <c r="G77" s="599"/>
      <c r="H77" s="600"/>
    </row>
    <row r="78" spans="1:8" ht="66.75" customHeight="1" x14ac:dyDescent="0.25">
      <c r="A78" s="571" t="s">
        <v>182</v>
      </c>
      <c r="B78" s="572"/>
      <c r="C78" s="572"/>
      <c r="D78" s="573"/>
      <c r="E78" s="598" t="s">
        <v>182</v>
      </c>
      <c r="F78" s="599"/>
      <c r="G78" s="599"/>
      <c r="H78" s="600"/>
    </row>
    <row r="79" spans="1:8" ht="15" customHeight="1" x14ac:dyDescent="0.25">
      <c r="A79" s="571" t="s">
        <v>183</v>
      </c>
      <c r="B79" s="572"/>
      <c r="C79" s="572"/>
      <c r="D79" s="573"/>
      <c r="E79" s="598" t="s">
        <v>183</v>
      </c>
      <c r="F79" s="599"/>
      <c r="G79" s="599"/>
      <c r="H79" s="600"/>
    </row>
    <row r="80" spans="1:8" ht="15" customHeight="1" x14ac:dyDescent="0.25">
      <c r="A80" s="571" t="s">
        <v>263</v>
      </c>
      <c r="B80" s="572"/>
      <c r="C80" s="572"/>
      <c r="D80" s="573"/>
      <c r="E80" s="598" t="s">
        <v>263</v>
      </c>
      <c r="F80" s="599"/>
      <c r="G80" s="599"/>
      <c r="H80" s="600"/>
    </row>
    <row r="81" spans="1:10" ht="15" customHeight="1" x14ac:dyDescent="0.25">
      <c r="A81" s="571" t="s">
        <v>264</v>
      </c>
      <c r="B81" s="572"/>
      <c r="C81" s="572"/>
      <c r="D81" s="573"/>
      <c r="E81" s="598" t="s">
        <v>264</v>
      </c>
      <c r="F81" s="599"/>
      <c r="G81" s="599"/>
      <c r="H81" s="600"/>
    </row>
    <row r="82" spans="1:10" x14ac:dyDescent="0.25">
      <c r="A82" s="571" t="s">
        <v>98</v>
      </c>
      <c r="B82" s="572"/>
      <c r="C82" s="572"/>
      <c r="D82" s="573"/>
      <c r="E82" s="598" t="s">
        <v>98</v>
      </c>
      <c r="F82" s="599"/>
      <c r="G82" s="599"/>
      <c r="H82" s="600"/>
    </row>
    <row r="83" spans="1:10" ht="77.25" customHeight="1" x14ac:dyDescent="0.25">
      <c r="A83" s="571" t="s">
        <v>170</v>
      </c>
      <c r="B83" s="572"/>
      <c r="C83" s="572"/>
      <c r="D83" s="573"/>
      <c r="E83" s="598" t="s">
        <v>170</v>
      </c>
      <c r="F83" s="599"/>
      <c r="G83" s="599"/>
      <c r="H83" s="600"/>
    </row>
    <row r="84" spans="1:10" x14ac:dyDescent="0.25">
      <c r="A84" s="571" t="s">
        <v>107</v>
      </c>
      <c r="B84" s="572"/>
      <c r="C84" s="572"/>
      <c r="D84" s="573"/>
      <c r="E84" s="598" t="s">
        <v>107</v>
      </c>
      <c r="F84" s="599"/>
      <c r="G84" s="599"/>
      <c r="H84" s="600"/>
      <c r="I84" s="607" t="s">
        <v>294</v>
      </c>
      <c r="J84" s="608"/>
    </row>
    <row r="85" spans="1:10" x14ac:dyDescent="0.25">
      <c r="A85" s="571" t="s">
        <v>297</v>
      </c>
      <c r="B85" s="572"/>
      <c r="C85" s="572"/>
      <c r="D85" s="573"/>
      <c r="E85" s="598" t="s">
        <v>297</v>
      </c>
      <c r="F85" s="599"/>
      <c r="G85" s="599"/>
      <c r="H85" s="600"/>
      <c r="I85" s="607"/>
      <c r="J85" s="608"/>
    </row>
    <row r="86" spans="1:10" ht="45" customHeight="1" x14ac:dyDescent="0.25">
      <c r="A86" s="571" t="s">
        <v>295</v>
      </c>
      <c r="B86" s="572"/>
      <c r="C86" s="572"/>
      <c r="D86" s="573"/>
      <c r="E86" s="601" t="s">
        <v>295</v>
      </c>
      <c r="F86" s="602"/>
      <c r="G86" s="602"/>
      <c r="H86" s="603"/>
    </row>
    <row r="87" spans="1:10" ht="45" customHeight="1" x14ac:dyDescent="0.25">
      <c r="A87" s="571" t="s">
        <v>296</v>
      </c>
      <c r="B87" s="572"/>
      <c r="C87" s="572"/>
      <c r="D87" s="573"/>
      <c r="E87" s="601" t="s">
        <v>296</v>
      </c>
      <c r="F87" s="602"/>
      <c r="G87" s="602"/>
      <c r="H87" s="603"/>
    </row>
    <row r="88" spans="1:10" ht="36.75" customHeight="1" x14ac:dyDescent="0.25">
      <c r="A88" s="571" t="s">
        <v>108</v>
      </c>
      <c r="B88" s="572"/>
      <c r="C88" s="572"/>
      <c r="D88" s="573"/>
      <c r="E88" s="601" t="s">
        <v>108</v>
      </c>
      <c r="F88" s="602"/>
      <c r="G88" s="602"/>
      <c r="H88" s="603"/>
    </row>
    <row r="89" spans="1:10" ht="36.75" customHeight="1" x14ac:dyDescent="0.25">
      <c r="A89" s="571" t="s">
        <v>244</v>
      </c>
      <c r="B89" s="572"/>
      <c r="C89" s="572"/>
      <c r="D89" s="573"/>
      <c r="E89" s="574" t="s">
        <v>244</v>
      </c>
      <c r="F89" s="575"/>
      <c r="G89" s="575"/>
      <c r="H89" s="576"/>
    </row>
    <row r="91" spans="1:10" x14ac:dyDescent="0.25">
      <c r="A91" s="127" t="s">
        <v>116</v>
      </c>
    </row>
    <row r="92" spans="1:10" x14ac:dyDescent="0.25">
      <c r="A92" s="580" t="s">
        <v>117</v>
      </c>
      <c r="B92" s="581"/>
      <c r="C92" s="581"/>
      <c r="D92" s="582"/>
      <c r="E92" s="583" t="s">
        <v>113</v>
      </c>
      <c r="F92" s="584"/>
      <c r="G92" s="584"/>
      <c r="H92" s="585"/>
    </row>
    <row r="93" spans="1:10" ht="15" customHeight="1" x14ac:dyDescent="0.25">
      <c r="A93" s="571" t="s">
        <v>8</v>
      </c>
      <c r="B93" s="572"/>
      <c r="C93" s="572"/>
      <c r="D93" s="573"/>
      <c r="E93" s="574" t="s">
        <v>8</v>
      </c>
      <c r="F93" s="575"/>
      <c r="G93" s="575"/>
      <c r="H93" s="576"/>
    </row>
    <row r="94" spans="1:10" ht="15" customHeight="1" x14ac:dyDescent="0.25">
      <c r="A94" s="571" t="s">
        <v>122</v>
      </c>
      <c r="B94" s="572"/>
      <c r="C94" s="572"/>
      <c r="D94" s="573"/>
      <c r="E94" s="568" t="s">
        <v>122</v>
      </c>
      <c r="F94" s="569"/>
      <c r="G94" s="569"/>
      <c r="H94" s="570"/>
    </row>
    <row r="95" spans="1:10" x14ac:dyDescent="0.25">
      <c r="A95" s="571" t="s">
        <v>34</v>
      </c>
      <c r="B95" s="572"/>
      <c r="C95" s="572"/>
      <c r="D95" s="573"/>
      <c r="E95" s="568" t="s">
        <v>34</v>
      </c>
      <c r="F95" s="569"/>
      <c r="G95" s="569"/>
      <c r="H95" s="570"/>
    </row>
    <row r="96" spans="1:10" ht="15" customHeight="1" x14ac:dyDescent="0.25">
      <c r="A96" s="571" t="s">
        <v>9</v>
      </c>
      <c r="B96" s="572"/>
      <c r="C96" s="572"/>
      <c r="D96" s="573"/>
      <c r="E96" s="568" t="s">
        <v>9</v>
      </c>
      <c r="F96" s="569"/>
      <c r="G96" s="569"/>
      <c r="H96" s="570"/>
    </row>
    <row r="97" spans="1:8" x14ac:dyDescent="0.25">
      <c r="A97" s="571" t="s">
        <v>16</v>
      </c>
      <c r="B97" s="572"/>
      <c r="C97" s="572"/>
      <c r="D97" s="573"/>
      <c r="E97" s="568" t="s">
        <v>16</v>
      </c>
      <c r="F97" s="569"/>
      <c r="G97" s="569"/>
      <c r="H97" s="570"/>
    </row>
    <row r="98" spans="1:8" ht="15" customHeight="1" x14ac:dyDescent="0.25">
      <c r="A98" s="571" t="s">
        <v>145</v>
      </c>
      <c r="B98" s="572"/>
      <c r="C98" s="572"/>
      <c r="D98" s="573"/>
      <c r="E98" s="574" t="s">
        <v>145</v>
      </c>
      <c r="F98" s="575"/>
      <c r="G98" s="575"/>
      <c r="H98" s="576"/>
    </row>
    <row r="99" spans="1:8" ht="15" customHeight="1" x14ac:dyDescent="0.25">
      <c r="A99" s="571" t="s">
        <v>17</v>
      </c>
      <c r="B99" s="572"/>
      <c r="C99" s="572"/>
      <c r="D99" s="573"/>
      <c r="E99" s="568" t="s">
        <v>17</v>
      </c>
      <c r="F99" s="569"/>
      <c r="G99" s="569"/>
      <c r="H99" s="570"/>
    </row>
    <row r="100" spans="1:8" ht="15" customHeight="1" x14ac:dyDescent="0.25">
      <c r="A100" s="571" t="s">
        <v>74</v>
      </c>
      <c r="B100" s="572"/>
      <c r="C100" s="572"/>
      <c r="D100" s="573"/>
      <c r="E100" s="568" t="s">
        <v>74</v>
      </c>
      <c r="F100" s="569"/>
      <c r="G100" s="569"/>
      <c r="H100" s="570"/>
    </row>
    <row r="101" spans="1:8" x14ac:dyDescent="0.25">
      <c r="A101" s="580" t="s">
        <v>118</v>
      </c>
      <c r="B101" s="581"/>
      <c r="C101" s="581"/>
      <c r="D101" s="582"/>
      <c r="E101" s="583" t="s">
        <v>113</v>
      </c>
      <c r="F101" s="584"/>
      <c r="G101" s="584"/>
      <c r="H101" s="585"/>
    </row>
    <row r="102" spans="1:8" x14ac:dyDescent="0.25">
      <c r="A102" s="571" t="s">
        <v>109</v>
      </c>
      <c r="B102" s="572"/>
      <c r="C102" s="572"/>
      <c r="D102" s="573"/>
      <c r="E102" s="574" t="s">
        <v>109</v>
      </c>
      <c r="F102" s="575"/>
      <c r="G102" s="575"/>
      <c r="H102" s="576"/>
    </row>
    <row r="103" spans="1:8" x14ac:dyDescent="0.25">
      <c r="A103" s="571" t="s">
        <v>214</v>
      </c>
      <c r="B103" s="572"/>
      <c r="C103" s="572"/>
      <c r="D103" s="573"/>
      <c r="E103" s="574" t="s">
        <v>215</v>
      </c>
      <c r="F103" s="575"/>
      <c r="G103" s="575"/>
      <c r="H103" s="576"/>
    </row>
    <row r="104" spans="1:8" x14ac:dyDescent="0.25">
      <c r="A104" s="571" t="s">
        <v>290</v>
      </c>
      <c r="B104" s="572"/>
      <c r="C104" s="572"/>
      <c r="D104" s="573"/>
      <c r="E104" s="574" t="s">
        <v>80</v>
      </c>
      <c r="F104" s="575"/>
      <c r="G104" s="575"/>
      <c r="H104" s="576"/>
    </row>
    <row r="105" spans="1:8" x14ac:dyDescent="0.25">
      <c r="A105" s="571" t="s">
        <v>291</v>
      </c>
      <c r="B105" s="572"/>
      <c r="C105" s="572"/>
      <c r="D105" s="573"/>
      <c r="E105" s="574" t="s">
        <v>81</v>
      </c>
      <c r="F105" s="575"/>
      <c r="G105" s="575"/>
      <c r="H105" s="576"/>
    </row>
    <row r="106" spans="1:8" x14ac:dyDescent="0.25">
      <c r="A106" s="571" t="s">
        <v>190</v>
      </c>
      <c r="B106" s="572"/>
      <c r="C106" s="572"/>
      <c r="D106" s="573"/>
      <c r="E106" s="574" t="s">
        <v>190</v>
      </c>
      <c r="F106" s="575"/>
      <c r="G106" s="575"/>
      <c r="H106" s="576"/>
    </row>
    <row r="107" spans="1:8" x14ac:dyDescent="0.25">
      <c r="A107" s="580" t="str">
        <f>A93</f>
        <v>Step 1 - Determine the objective of the test</v>
      </c>
      <c r="B107" s="581"/>
      <c r="C107" s="581"/>
      <c r="D107" s="582"/>
      <c r="E107" s="583" t="s">
        <v>113</v>
      </c>
      <c r="F107" s="584"/>
      <c r="G107" s="584"/>
      <c r="H107" s="585"/>
    </row>
    <row r="108" spans="1:8" x14ac:dyDescent="0.25">
      <c r="A108" s="571" t="s">
        <v>144</v>
      </c>
      <c r="B108" s="572"/>
      <c r="C108" s="572"/>
      <c r="D108" s="573"/>
      <c r="E108" s="574" t="s">
        <v>144</v>
      </c>
      <c r="F108" s="575"/>
      <c r="G108" s="575"/>
      <c r="H108" s="576"/>
    </row>
    <row r="109" spans="1:8" x14ac:dyDescent="0.25">
      <c r="A109" s="571" t="s">
        <v>171</v>
      </c>
      <c r="B109" s="572"/>
      <c r="C109" s="572"/>
      <c r="D109" s="573"/>
      <c r="E109" s="574" t="s">
        <v>171</v>
      </c>
      <c r="F109" s="575"/>
      <c r="G109" s="575"/>
      <c r="H109" s="576"/>
    </row>
    <row r="110" spans="1:8" x14ac:dyDescent="0.25">
      <c r="A110" s="571" t="s">
        <v>258</v>
      </c>
      <c r="B110" s="572"/>
      <c r="C110" s="572"/>
      <c r="D110" s="573"/>
      <c r="E110" s="574" t="s">
        <v>121</v>
      </c>
      <c r="F110" s="575"/>
      <c r="G110" s="575"/>
      <c r="H110" s="576"/>
    </row>
    <row r="111" spans="1:8" x14ac:dyDescent="0.25">
      <c r="A111" s="583" t="str">
        <f>A94</f>
        <v>Step 2 - Define and analyze the population</v>
      </c>
      <c r="B111" s="584"/>
      <c r="C111" s="584"/>
      <c r="D111" s="585"/>
      <c r="E111" s="583" t="s">
        <v>113</v>
      </c>
      <c r="F111" s="584"/>
      <c r="G111" s="584"/>
      <c r="H111" s="585"/>
    </row>
    <row r="112" spans="1:8" x14ac:dyDescent="0.25">
      <c r="A112" s="571" t="s">
        <v>205</v>
      </c>
      <c r="B112" s="572"/>
      <c r="C112" s="572"/>
      <c r="D112" s="573"/>
      <c r="E112" s="574" t="s">
        <v>205</v>
      </c>
      <c r="F112" s="575"/>
      <c r="G112" s="575"/>
      <c r="H112" s="576"/>
    </row>
    <row r="113" spans="1:8" ht="15" customHeight="1" x14ac:dyDescent="0.25">
      <c r="A113" s="571" t="s">
        <v>199</v>
      </c>
      <c r="B113" s="572"/>
      <c r="C113" s="572"/>
      <c r="D113" s="573"/>
      <c r="E113" s="574" t="s">
        <v>199</v>
      </c>
      <c r="F113" s="575"/>
      <c r="G113" s="575"/>
      <c r="H113" s="576"/>
    </row>
    <row r="114" spans="1:8" x14ac:dyDescent="0.25">
      <c r="A114" s="571" t="s">
        <v>101</v>
      </c>
      <c r="B114" s="572"/>
      <c r="C114" s="572"/>
      <c r="D114" s="573"/>
      <c r="E114" s="574" t="s">
        <v>101</v>
      </c>
      <c r="F114" s="575"/>
      <c r="G114" s="575"/>
      <c r="H114" s="576"/>
    </row>
    <row r="115" spans="1:8" x14ac:dyDescent="0.25">
      <c r="A115" s="571" t="s">
        <v>69</v>
      </c>
      <c r="B115" s="572"/>
      <c r="C115" s="572"/>
      <c r="D115" s="573"/>
      <c r="E115" s="574" t="s">
        <v>69</v>
      </c>
      <c r="F115" s="575"/>
      <c r="G115" s="575"/>
      <c r="H115" s="576"/>
    </row>
    <row r="116" spans="1:8" x14ac:dyDescent="0.25">
      <c r="A116" s="571" t="s">
        <v>18</v>
      </c>
      <c r="B116" s="572"/>
      <c r="C116" s="572"/>
      <c r="D116" s="573"/>
      <c r="E116" s="574" t="s">
        <v>18</v>
      </c>
      <c r="F116" s="575"/>
      <c r="G116" s="575"/>
      <c r="H116" s="576"/>
    </row>
    <row r="117" spans="1:8" x14ac:dyDescent="0.25">
      <c r="A117" s="571" t="s">
        <v>19</v>
      </c>
      <c r="B117" s="572"/>
      <c r="C117" s="572"/>
      <c r="D117" s="573"/>
      <c r="E117" s="574" t="s">
        <v>19</v>
      </c>
      <c r="F117" s="575"/>
      <c r="G117" s="575"/>
      <c r="H117" s="576"/>
    </row>
    <row r="118" spans="1:8" x14ac:dyDescent="0.25">
      <c r="A118" s="203" t="s">
        <v>219</v>
      </c>
      <c r="B118" s="204"/>
      <c r="C118" s="204"/>
      <c r="D118" s="205"/>
      <c r="E118" s="206" t="s">
        <v>219</v>
      </c>
      <c r="F118" s="207"/>
      <c r="G118" s="207"/>
      <c r="H118" s="208"/>
    </row>
    <row r="119" spans="1:8" x14ac:dyDescent="0.25">
      <c r="A119" s="577" t="str">
        <f>A95</f>
        <v>Step 3 - Sampling technique</v>
      </c>
      <c r="B119" s="578"/>
      <c r="C119" s="578"/>
      <c r="D119" s="579"/>
      <c r="E119" s="583" t="s">
        <v>113</v>
      </c>
      <c r="F119" s="584"/>
      <c r="G119" s="584"/>
      <c r="H119" s="585"/>
    </row>
    <row r="120" spans="1:8" x14ac:dyDescent="0.25">
      <c r="A120" s="571" t="s">
        <v>35</v>
      </c>
      <c r="B120" s="572"/>
      <c r="C120" s="572"/>
      <c r="D120" s="573"/>
      <c r="E120" s="574" t="s">
        <v>35</v>
      </c>
      <c r="F120" s="575"/>
      <c r="G120" s="575"/>
      <c r="H120" s="576"/>
    </row>
    <row r="121" spans="1:8" x14ac:dyDescent="0.25">
      <c r="A121" s="571" t="s">
        <v>79</v>
      </c>
      <c r="B121" s="572"/>
      <c r="C121" s="572"/>
      <c r="D121" s="573"/>
      <c r="E121" s="574" t="s">
        <v>79</v>
      </c>
      <c r="F121" s="575"/>
      <c r="G121" s="575"/>
      <c r="H121" s="576"/>
    </row>
    <row r="122" spans="1:8" ht="15" customHeight="1" x14ac:dyDescent="0.25">
      <c r="A122" s="571" t="s">
        <v>242</v>
      </c>
      <c r="B122" s="572"/>
      <c r="C122" s="572"/>
      <c r="D122" s="573"/>
      <c r="E122" s="574" t="s">
        <v>242</v>
      </c>
      <c r="F122" s="575"/>
      <c r="G122" s="575"/>
      <c r="H122" s="576"/>
    </row>
    <row r="123" spans="1:8" ht="15" customHeight="1" x14ac:dyDescent="0.25">
      <c r="A123"/>
      <c r="B123"/>
      <c r="C123"/>
      <c r="D123"/>
      <c r="E123"/>
      <c r="F123"/>
      <c r="G123"/>
      <c r="H123"/>
    </row>
    <row r="124" spans="1:8" ht="15" customHeight="1" x14ac:dyDescent="0.25">
      <c r="A124" s="169" t="s">
        <v>286</v>
      </c>
      <c r="B124" s="170" t="s">
        <v>113</v>
      </c>
      <c r="C124"/>
      <c r="D124"/>
      <c r="E124"/>
      <c r="F124"/>
      <c r="G124"/>
      <c r="H124"/>
    </row>
    <row r="125" spans="1:8" ht="15" customHeight="1" x14ac:dyDescent="0.25">
      <c r="A125" s="145" t="s">
        <v>239</v>
      </c>
      <c r="B125" s="149" t="s">
        <v>239</v>
      </c>
      <c r="C125"/>
      <c r="D125"/>
      <c r="E125"/>
      <c r="F125"/>
      <c r="G125"/>
      <c r="H125"/>
    </row>
    <row r="126" spans="1:8" ht="15" customHeight="1" x14ac:dyDescent="0.25">
      <c r="A126" s="145" t="s">
        <v>240</v>
      </c>
      <c r="B126" s="149" t="s">
        <v>240</v>
      </c>
      <c r="C126"/>
      <c r="D126"/>
      <c r="E126"/>
      <c r="F126"/>
      <c r="G126"/>
      <c r="H126"/>
    </row>
    <row r="127" spans="1:8" ht="15" customHeight="1" x14ac:dyDescent="0.25">
      <c r="A127" s="145" t="s">
        <v>241</v>
      </c>
      <c r="B127" s="149" t="s">
        <v>241</v>
      </c>
      <c r="C127"/>
      <c r="D127"/>
      <c r="E127"/>
      <c r="F127"/>
      <c r="G127"/>
      <c r="H127"/>
    </row>
    <row r="128" spans="1:8" ht="15" customHeight="1" x14ac:dyDescent="0.25">
      <c r="A128"/>
      <c r="B128"/>
      <c r="C128"/>
      <c r="D128"/>
      <c r="E128"/>
      <c r="F128"/>
      <c r="G128"/>
      <c r="H128"/>
    </row>
    <row r="129" spans="1:8" x14ac:dyDescent="0.25">
      <c r="A129" s="577" t="str">
        <f>A96</f>
        <v>Step 4 - Determine the sample size</v>
      </c>
      <c r="B129" s="578"/>
      <c r="C129" s="578"/>
      <c r="D129" s="579"/>
      <c r="E129" s="583" t="s">
        <v>113</v>
      </c>
      <c r="F129" s="584"/>
      <c r="G129" s="584"/>
      <c r="H129" s="585"/>
    </row>
    <row r="130" spans="1:8" x14ac:dyDescent="0.25">
      <c r="A130" s="571" t="s">
        <v>97</v>
      </c>
      <c r="B130" s="572"/>
      <c r="C130" s="572"/>
      <c r="D130" s="573"/>
      <c r="E130" s="574" t="s">
        <v>97</v>
      </c>
      <c r="F130" s="575"/>
      <c r="G130" s="575"/>
      <c r="H130" s="576"/>
    </row>
    <row r="131" spans="1:8" x14ac:dyDescent="0.25">
      <c r="A131" s="571" t="s">
        <v>96</v>
      </c>
      <c r="B131" s="572"/>
      <c r="C131" s="572"/>
      <c r="D131" s="573"/>
      <c r="E131" s="574" t="s">
        <v>96</v>
      </c>
      <c r="F131" s="575"/>
      <c r="G131" s="575"/>
      <c r="H131" s="576"/>
    </row>
    <row r="132" spans="1:8" x14ac:dyDescent="0.25">
      <c r="A132" s="571" t="s">
        <v>165</v>
      </c>
      <c r="B132" s="572"/>
      <c r="C132" s="572"/>
      <c r="D132" s="573"/>
      <c r="E132" s="574" t="s">
        <v>165</v>
      </c>
      <c r="F132" s="575"/>
      <c r="G132" s="575"/>
      <c r="H132" s="576"/>
    </row>
    <row r="133" spans="1:8" x14ac:dyDescent="0.25">
      <c r="A133" s="571" t="s">
        <v>216</v>
      </c>
      <c r="B133" s="572"/>
      <c r="C133" s="572"/>
      <c r="D133" s="573"/>
      <c r="E133" s="574" t="s">
        <v>216</v>
      </c>
      <c r="F133" s="575"/>
      <c r="G133" s="575"/>
      <c r="H133" s="576"/>
    </row>
    <row r="134" spans="1:8" ht="15" customHeight="1" x14ac:dyDescent="0.25">
      <c r="A134" s="571" t="s">
        <v>251</v>
      </c>
      <c r="B134" s="572"/>
      <c r="C134" s="572"/>
      <c r="D134" s="573"/>
      <c r="E134" s="574" t="s">
        <v>251</v>
      </c>
      <c r="F134" s="575"/>
      <c r="G134" s="575"/>
      <c r="H134" s="576"/>
    </row>
    <row r="135" spans="1:8" x14ac:dyDescent="0.25">
      <c r="A135" s="571" t="s">
        <v>123</v>
      </c>
      <c r="B135" s="572"/>
      <c r="C135" s="572"/>
      <c r="D135" s="573"/>
      <c r="E135" s="574" t="s">
        <v>123</v>
      </c>
      <c r="F135" s="575"/>
      <c r="G135" s="575"/>
      <c r="H135" s="576"/>
    </row>
    <row r="136" spans="1:8" x14ac:dyDescent="0.25">
      <c r="A136" s="571" t="s">
        <v>12</v>
      </c>
      <c r="B136" s="572"/>
      <c r="C136" s="572"/>
      <c r="D136" s="573"/>
      <c r="E136" s="574" t="s">
        <v>12</v>
      </c>
      <c r="F136" s="575"/>
      <c r="G136" s="575"/>
      <c r="H136" s="576"/>
    </row>
    <row r="137" spans="1:8" x14ac:dyDescent="0.25">
      <c r="A137" s="571" t="s">
        <v>243</v>
      </c>
      <c r="B137" s="572"/>
      <c r="C137" s="572"/>
      <c r="D137" s="573"/>
      <c r="E137" s="574" t="s">
        <v>243</v>
      </c>
      <c r="F137" s="575"/>
      <c r="G137" s="575"/>
      <c r="H137" s="576"/>
    </row>
    <row r="138" spans="1:8" x14ac:dyDescent="0.25">
      <c r="A138" s="577" t="str">
        <f>A97</f>
        <v>Step 5 - Select the sample</v>
      </c>
      <c r="B138" s="578"/>
      <c r="C138" s="578"/>
      <c r="D138" s="579"/>
      <c r="E138" s="583" t="s">
        <v>113</v>
      </c>
      <c r="F138" s="584"/>
      <c r="G138" s="584"/>
      <c r="H138" s="585"/>
    </row>
    <row r="139" spans="1:8" x14ac:dyDescent="0.25">
      <c r="A139" s="571" t="s">
        <v>13</v>
      </c>
      <c r="B139" s="572"/>
      <c r="C139" s="572"/>
      <c r="D139" s="573"/>
      <c r="E139" s="568" t="s">
        <v>13</v>
      </c>
      <c r="F139" s="569"/>
      <c r="G139" s="569"/>
      <c r="H139" s="570"/>
    </row>
    <row r="140" spans="1:8" x14ac:dyDescent="0.25">
      <c r="A140" s="571" t="s">
        <v>24</v>
      </c>
      <c r="B140" s="572"/>
      <c r="C140" s="572"/>
      <c r="D140" s="573"/>
      <c r="E140" s="568" t="s">
        <v>24</v>
      </c>
      <c r="F140" s="569"/>
      <c r="G140" s="569"/>
      <c r="H140" s="570"/>
    </row>
    <row r="141" spans="1:8" x14ac:dyDescent="0.25">
      <c r="A141" s="580" t="str">
        <f>A98</f>
        <v>Step 6 - Test the sampled items</v>
      </c>
      <c r="B141" s="581"/>
      <c r="C141" s="581"/>
      <c r="D141" s="582"/>
      <c r="E141" s="583" t="s">
        <v>113</v>
      </c>
      <c r="F141" s="584"/>
      <c r="G141" s="584"/>
      <c r="H141" s="585"/>
    </row>
    <row r="142" spans="1:8" ht="15" customHeight="1" x14ac:dyDescent="0.25">
      <c r="A142" s="571" t="s">
        <v>73</v>
      </c>
      <c r="B142" s="572"/>
      <c r="C142" s="572"/>
      <c r="D142" s="573"/>
      <c r="E142" s="568" t="s">
        <v>73</v>
      </c>
      <c r="F142" s="569"/>
      <c r="G142" s="569"/>
      <c r="H142" s="570"/>
    </row>
    <row r="143" spans="1:8" x14ac:dyDescent="0.25">
      <c r="A143" s="577" t="str">
        <f>A120&amp;" - "&amp;A99</f>
        <v>Statistical Sampling - Step 7 - Evaluate the sample results</v>
      </c>
      <c r="B143" s="578"/>
      <c r="C143" s="578"/>
      <c r="D143" s="579"/>
      <c r="E143" s="583" t="s">
        <v>113</v>
      </c>
      <c r="F143" s="584"/>
      <c r="G143" s="584"/>
      <c r="H143" s="585"/>
    </row>
    <row r="144" spans="1:8" x14ac:dyDescent="0.25">
      <c r="A144" s="571" t="s">
        <v>90</v>
      </c>
      <c r="B144" s="572"/>
      <c r="C144" s="572"/>
      <c r="D144" s="573"/>
      <c r="E144" s="574" t="s">
        <v>90</v>
      </c>
      <c r="F144" s="575"/>
      <c r="G144" s="575"/>
      <c r="H144" s="576"/>
    </row>
    <row r="145" spans="1:8" x14ac:dyDescent="0.25">
      <c r="A145" s="571" t="s">
        <v>21</v>
      </c>
      <c r="B145" s="572"/>
      <c r="C145" s="572"/>
      <c r="D145" s="573"/>
      <c r="E145" s="574" t="s">
        <v>21</v>
      </c>
      <c r="F145" s="575"/>
      <c r="G145" s="575"/>
      <c r="H145" s="576"/>
    </row>
    <row r="146" spans="1:8" x14ac:dyDescent="0.25">
      <c r="A146" s="571" t="s">
        <v>22</v>
      </c>
      <c r="B146" s="572"/>
      <c r="C146" s="572"/>
      <c r="D146" s="573"/>
      <c r="E146" s="574" t="s">
        <v>22</v>
      </c>
      <c r="F146" s="575"/>
      <c r="G146" s="575"/>
      <c r="H146" s="576"/>
    </row>
    <row r="147" spans="1:8" x14ac:dyDescent="0.25">
      <c r="A147" s="571" t="s">
        <v>201</v>
      </c>
      <c r="B147" s="572"/>
      <c r="C147" s="572"/>
      <c r="D147" s="573"/>
      <c r="E147" s="574" t="s">
        <v>201</v>
      </c>
      <c r="F147" s="575"/>
      <c r="G147" s="575"/>
      <c r="H147" s="576"/>
    </row>
    <row r="148" spans="1:8" x14ac:dyDescent="0.25">
      <c r="A148" s="571" t="s">
        <v>25</v>
      </c>
      <c r="B148" s="572"/>
      <c r="C148" s="572"/>
      <c r="D148" s="573"/>
      <c r="E148" s="574" t="s">
        <v>25</v>
      </c>
      <c r="F148" s="575"/>
      <c r="G148" s="575"/>
      <c r="H148" s="576"/>
    </row>
    <row r="149" spans="1:8" x14ac:dyDescent="0.25">
      <c r="A149" s="571" t="s">
        <v>23</v>
      </c>
      <c r="B149" s="572"/>
      <c r="C149" s="572"/>
      <c r="D149" s="573"/>
      <c r="E149" s="574" t="s">
        <v>23</v>
      </c>
      <c r="F149" s="575"/>
      <c r="G149" s="575"/>
      <c r="H149" s="576"/>
    </row>
    <row r="150" spans="1:8" x14ac:dyDescent="0.25">
      <c r="A150" s="571" t="s">
        <v>20</v>
      </c>
      <c r="B150" s="572"/>
      <c r="C150" s="572"/>
      <c r="D150" s="573"/>
      <c r="E150" s="574" t="s">
        <v>20</v>
      </c>
      <c r="F150" s="575"/>
      <c r="G150" s="575"/>
      <c r="H150" s="576"/>
    </row>
    <row r="151" spans="1:8" x14ac:dyDescent="0.25">
      <c r="A151" s="571" t="s">
        <v>93</v>
      </c>
      <c r="B151" s="572"/>
      <c r="C151" s="572"/>
      <c r="D151" s="573"/>
      <c r="E151" s="574" t="s">
        <v>93</v>
      </c>
      <c r="F151" s="575"/>
      <c r="G151" s="575"/>
      <c r="H151" s="576"/>
    </row>
    <row r="152" spans="1:8" x14ac:dyDescent="0.25">
      <c r="A152" s="571" t="s">
        <v>94</v>
      </c>
      <c r="B152" s="572"/>
      <c r="C152" s="572"/>
      <c r="D152" s="573"/>
      <c r="E152" s="574" t="s">
        <v>94</v>
      </c>
      <c r="F152" s="575"/>
      <c r="G152" s="575"/>
      <c r="H152" s="576"/>
    </row>
    <row r="153" spans="1:8" x14ac:dyDescent="0.25">
      <c r="A153" s="571" t="s">
        <v>50</v>
      </c>
      <c r="B153" s="572"/>
      <c r="C153" s="572"/>
      <c r="D153" s="573"/>
      <c r="E153" s="574" t="s">
        <v>50</v>
      </c>
      <c r="F153" s="575"/>
      <c r="G153" s="575"/>
      <c r="H153" s="576"/>
    </row>
    <row r="154" spans="1:8" x14ac:dyDescent="0.25">
      <c r="A154" s="571" t="s">
        <v>51</v>
      </c>
      <c r="B154" s="572"/>
      <c r="C154" s="572"/>
      <c r="D154" s="573"/>
      <c r="E154" s="574" t="s">
        <v>51</v>
      </c>
      <c r="F154" s="575"/>
      <c r="G154" s="575"/>
      <c r="H154" s="576"/>
    </row>
    <row r="155" spans="1:8" x14ac:dyDescent="0.25">
      <c r="A155" s="571" t="s">
        <v>52</v>
      </c>
      <c r="B155" s="572"/>
      <c r="C155" s="572"/>
      <c r="D155" s="573"/>
      <c r="E155" s="568" t="s">
        <v>52</v>
      </c>
      <c r="F155" s="569"/>
      <c r="G155" s="569"/>
      <c r="H155" s="570"/>
    </row>
    <row r="156" spans="1:8" x14ac:dyDescent="0.25">
      <c r="A156" s="571" t="s">
        <v>68</v>
      </c>
      <c r="B156" s="572"/>
      <c r="C156" s="572"/>
      <c r="D156" s="573"/>
      <c r="E156" s="574" t="s">
        <v>68</v>
      </c>
      <c r="F156" s="575"/>
      <c r="G156" s="575"/>
      <c r="H156" s="576"/>
    </row>
    <row r="157" spans="1:8" ht="15" customHeight="1" x14ac:dyDescent="0.25">
      <c r="A157" s="571" t="s">
        <v>72</v>
      </c>
      <c r="B157" s="572"/>
      <c r="C157" s="572"/>
      <c r="D157" s="573"/>
      <c r="E157" s="574" t="s">
        <v>72</v>
      </c>
      <c r="F157" s="575"/>
      <c r="G157" s="575"/>
      <c r="H157" s="576"/>
    </row>
    <row r="158" spans="1:8" ht="15" customHeight="1" x14ac:dyDescent="0.25">
      <c r="A158" s="571" t="s">
        <v>119</v>
      </c>
      <c r="B158" s="572"/>
      <c r="C158" s="572"/>
      <c r="D158" s="573"/>
      <c r="E158" s="574" t="s">
        <v>119</v>
      </c>
      <c r="F158" s="575"/>
      <c r="G158" s="575"/>
      <c r="H158" s="576"/>
    </row>
    <row r="159" spans="1:8" x14ac:dyDescent="0.25">
      <c r="A159" s="571" t="s">
        <v>53</v>
      </c>
      <c r="B159" s="572"/>
      <c r="C159" s="572"/>
      <c r="D159" s="573"/>
      <c r="E159" s="574" t="s">
        <v>53</v>
      </c>
      <c r="F159" s="575"/>
      <c r="G159" s="575"/>
      <c r="H159" s="576"/>
    </row>
    <row r="160" spans="1:8" x14ac:dyDescent="0.25">
      <c r="A160" s="571" t="s">
        <v>54</v>
      </c>
      <c r="B160" s="572"/>
      <c r="C160" s="572"/>
      <c r="D160" s="573"/>
      <c r="E160" s="574" t="s">
        <v>54</v>
      </c>
      <c r="F160" s="575"/>
      <c r="G160" s="575"/>
      <c r="H160" s="576"/>
    </row>
    <row r="161" spans="1:8" ht="15" customHeight="1" x14ac:dyDescent="0.25">
      <c r="A161" s="571" t="s">
        <v>55</v>
      </c>
      <c r="B161" s="572"/>
      <c r="C161" s="572"/>
      <c r="D161" s="573"/>
      <c r="E161" s="574" t="s">
        <v>55</v>
      </c>
      <c r="F161" s="575"/>
      <c r="G161" s="575"/>
      <c r="H161" s="576"/>
    </row>
    <row r="162" spans="1:8" x14ac:dyDescent="0.25">
      <c r="A162" s="571" t="s">
        <v>71</v>
      </c>
      <c r="B162" s="572"/>
      <c r="C162" s="572"/>
      <c r="D162" s="573"/>
      <c r="E162" s="574" t="s">
        <v>71</v>
      </c>
      <c r="F162" s="575"/>
      <c r="G162" s="575"/>
      <c r="H162" s="576"/>
    </row>
    <row r="163" spans="1:8" x14ac:dyDescent="0.25">
      <c r="A163" s="577" t="str">
        <f>A121&amp;" - "&amp;A99</f>
        <v>Non-Statistical Sampling - Step 7 - Evaluate the sample results</v>
      </c>
      <c r="B163" s="578"/>
      <c r="C163" s="578"/>
      <c r="D163" s="579"/>
      <c r="E163" s="583" t="s">
        <v>113</v>
      </c>
      <c r="F163" s="584"/>
      <c r="G163" s="584"/>
      <c r="H163" s="585"/>
    </row>
    <row r="164" spans="1:8" x14ac:dyDescent="0.25">
      <c r="A164" s="571" t="s">
        <v>90</v>
      </c>
      <c r="B164" s="572"/>
      <c r="C164" s="572"/>
      <c r="D164" s="573"/>
      <c r="E164" s="574" t="s">
        <v>90</v>
      </c>
      <c r="F164" s="575"/>
      <c r="G164" s="575"/>
      <c r="H164" s="576"/>
    </row>
    <row r="165" spans="1:8" x14ac:dyDescent="0.25">
      <c r="A165" s="571" t="s">
        <v>83</v>
      </c>
      <c r="B165" s="572"/>
      <c r="C165" s="572"/>
      <c r="D165" s="573"/>
      <c r="E165" s="574" t="s">
        <v>83</v>
      </c>
      <c r="F165" s="575"/>
      <c r="G165" s="575"/>
      <c r="H165" s="576"/>
    </row>
    <row r="166" spans="1:8" x14ac:dyDescent="0.25">
      <c r="A166" s="571" t="s">
        <v>84</v>
      </c>
      <c r="B166" s="572"/>
      <c r="C166" s="572"/>
      <c r="D166" s="573"/>
      <c r="E166" s="574" t="s">
        <v>84</v>
      </c>
      <c r="F166" s="575"/>
      <c r="G166" s="575"/>
      <c r="H166" s="576"/>
    </row>
    <row r="167" spans="1:8" x14ac:dyDescent="0.25">
      <c r="A167" s="571" t="s">
        <v>202</v>
      </c>
      <c r="B167" s="572"/>
      <c r="C167" s="572"/>
      <c r="D167" s="573"/>
      <c r="E167" s="574" t="s">
        <v>202</v>
      </c>
      <c r="F167" s="575"/>
      <c r="G167" s="575"/>
      <c r="H167" s="576"/>
    </row>
    <row r="168" spans="1:8" x14ac:dyDescent="0.25">
      <c r="A168" s="571" t="s">
        <v>26</v>
      </c>
      <c r="B168" s="572"/>
      <c r="C168" s="572"/>
      <c r="D168" s="573"/>
      <c r="E168" s="574" t="s">
        <v>26</v>
      </c>
      <c r="F168" s="575"/>
      <c r="G168" s="575"/>
      <c r="H168" s="576"/>
    </row>
    <row r="169" spans="1:8" x14ac:dyDescent="0.25">
      <c r="A169" s="571" t="s">
        <v>124</v>
      </c>
      <c r="B169" s="572"/>
      <c r="C169" s="572"/>
      <c r="D169" s="573"/>
      <c r="E169" s="574" t="s">
        <v>124</v>
      </c>
      <c r="F169" s="575"/>
      <c r="G169" s="575"/>
      <c r="H169" s="576"/>
    </row>
    <row r="170" spans="1:8" x14ac:dyDescent="0.25">
      <c r="A170" s="571" t="s">
        <v>82</v>
      </c>
      <c r="B170" s="572"/>
      <c r="C170" s="572"/>
      <c r="D170" s="573"/>
      <c r="E170" s="574" t="s">
        <v>82</v>
      </c>
      <c r="F170" s="575"/>
      <c r="G170" s="575"/>
      <c r="H170" s="576"/>
    </row>
    <row r="171" spans="1:8" x14ac:dyDescent="0.25">
      <c r="A171" s="571" t="s">
        <v>125</v>
      </c>
      <c r="B171" s="572"/>
      <c r="C171" s="572"/>
      <c r="D171" s="573"/>
      <c r="E171" s="574" t="s">
        <v>125</v>
      </c>
      <c r="F171" s="575"/>
      <c r="G171" s="575"/>
      <c r="H171" s="576"/>
    </row>
    <row r="172" spans="1:8" ht="15" customHeight="1" x14ac:dyDescent="0.25">
      <c r="A172" s="571" t="s">
        <v>126</v>
      </c>
      <c r="B172" s="572"/>
      <c r="C172" s="572"/>
      <c r="D172" s="573"/>
      <c r="E172" s="574" t="s">
        <v>126</v>
      </c>
      <c r="F172" s="575"/>
      <c r="G172" s="575"/>
      <c r="H172" s="576"/>
    </row>
    <row r="173" spans="1:8" x14ac:dyDescent="0.25">
      <c r="A173" s="571" t="s">
        <v>50</v>
      </c>
      <c r="B173" s="572"/>
      <c r="C173" s="572"/>
      <c r="D173" s="573"/>
      <c r="E173" s="574" t="s">
        <v>50</v>
      </c>
      <c r="F173" s="575"/>
      <c r="G173" s="575"/>
      <c r="H173" s="576"/>
    </row>
    <row r="174" spans="1:8" x14ac:dyDescent="0.25">
      <c r="A174" s="571" t="s">
        <v>68</v>
      </c>
      <c r="B174" s="572"/>
      <c r="C174" s="572"/>
      <c r="D174" s="573"/>
      <c r="E174" s="574" t="s">
        <v>68</v>
      </c>
      <c r="F174" s="575"/>
      <c r="G174" s="575"/>
      <c r="H174" s="576"/>
    </row>
    <row r="175" spans="1:8" ht="15" customHeight="1" x14ac:dyDescent="0.25">
      <c r="A175" s="571" t="s">
        <v>72</v>
      </c>
      <c r="B175" s="572"/>
      <c r="C175" s="572"/>
      <c r="D175" s="573"/>
      <c r="E175" s="574" t="s">
        <v>72</v>
      </c>
      <c r="F175" s="575"/>
      <c r="G175" s="575"/>
      <c r="H175" s="576"/>
    </row>
    <row r="176" spans="1:8" x14ac:dyDescent="0.25">
      <c r="A176" s="571" t="s">
        <v>50</v>
      </c>
      <c r="B176" s="572"/>
      <c r="C176" s="572"/>
      <c r="D176" s="573"/>
      <c r="E176" s="574" t="s">
        <v>50</v>
      </c>
      <c r="F176" s="575"/>
      <c r="G176" s="575"/>
      <c r="H176" s="576"/>
    </row>
    <row r="177" spans="1:8" x14ac:dyDescent="0.25">
      <c r="A177" s="571" t="s">
        <v>71</v>
      </c>
      <c r="B177" s="572"/>
      <c r="C177" s="572"/>
      <c r="D177" s="573"/>
      <c r="E177" s="574" t="s">
        <v>71</v>
      </c>
      <c r="F177" s="575"/>
      <c r="G177" s="575"/>
      <c r="H177" s="576"/>
    </row>
    <row r="178" spans="1:8" x14ac:dyDescent="0.25">
      <c r="A178" s="571" t="s">
        <v>89</v>
      </c>
      <c r="B178" s="572"/>
      <c r="C178" s="572"/>
      <c r="D178" s="573"/>
      <c r="E178" s="574" t="s">
        <v>89</v>
      </c>
      <c r="F178" s="575"/>
      <c r="G178" s="575"/>
      <c r="H178" s="576"/>
    </row>
    <row r="179" spans="1:8" ht="15" customHeight="1" x14ac:dyDescent="0.25">
      <c r="A179" s="571" t="s">
        <v>127</v>
      </c>
      <c r="B179" s="572"/>
      <c r="C179" s="572"/>
      <c r="D179" s="573"/>
      <c r="E179" s="574" t="s">
        <v>127</v>
      </c>
      <c r="F179" s="575"/>
      <c r="G179" s="575"/>
      <c r="H179" s="576"/>
    </row>
    <row r="181" spans="1:8" x14ac:dyDescent="0.25">
      <c r="A181" s="580" t="s">
        <v>100</v>
      </c>
      <c r="B181" s="581"/>
      <c r="C181" s="581"/>
      <c r="D181" s="582"/>
      <c r="E181" s="583" t="s">
        <v>113</v>
      </c>
      <c r="F181" s="584"/>
      <c r="G181" s="584"/>
      <c r="H181" s="585"/>
    </row>
    <row r="182" spans="1:8" x14ac:dyDescent="0.25">
      <c r="A182" s="571" t="s">
        <v>100</v>
      </c>
      <c r="B182" s="572"/>
      <c r="C182" s="572"/>
      <c r="D182" s="573"/>
      <c r="E182" s="574" t="s">
        <v>100</v>
      </c>
      <c r="F182" s="575"/>
      <c r="G182" s="575"/>
      <c r="H182" s="576"/>
    </row>
    <row r="183" spans="1:8" x14ac:dyDescent="0.25">
      <c r="A183" s="571" t="s">
        <v>153</v>
      </c>
      <c r="B183" s="572"/>
      <c r="C183" s="572"/>
      <c r="D183" s="573"/>
      <c r="E183" s="568" t="s">
        <v>153</v>
      </c>
      <c r="F183" s="569"/>
      <c r="G183" s="569"/>
      <c r="H183" s="570"/>
    </row>
    <row r="184" spans="1:8" x14ac:dyDescent="0.25">
      <c r="A184" s="571" t="s">
        <v>110</v>
      </c>
      <c r="B184" s="572"/>
      <c r="C184" s="572"/>
      <c r="D184" s="573"/>
      <c r="E184" s="568" t="s">
        <v>110</v>
      </c>
      <c r="F184" s="569"/>
      <c r="G184" s="569"/>
      <c r="H184" s="570"/>
    </row>
    <row r="185" spans="1:8" x14ac:dyDescent="0.25">
      <c r="A185" s="571" t="s">
        <v>289</v>
      </c>
      <c r="B185" s="572"/>
      <c r="C185" s="572"/>
      <c r="D185" s="573"/>
      <c r="E185" s="574" t="s">
        <v>253</v>
      </c>
      <c r="F185" s="575"/>
      <c r="G185" s="575"/>
      <c r="H185" s="576"/>
    </row>
    <row r="186" spans="1:8" ht="15" customHeight="1" x14ac:dyDescent="0.25">
      <c r="A186" s="571" t="s">
        <v>252</v>
      </c>
      <c r="B186" s="572"/>
      <c r="C186" s="572"/>
      <c r="D186" s="573"/>
      <c r="E186" s="574" t="s">
        <v>252</v>
      </c>
      <c r="F186" s="575"/>
      <c r="G186" s="575"/>
      <c r="H186" s="576"/>
    </row>
    <row r="187" spans="1:8" x14ac:dyDescent="0.25">
      <c r="A187" s="571" t="s">
        <v>152</v>
      </c>
      <c r="B187" s="572"/>
      <c r="C187" s="572"/>
      <c r="D187" s="573"/>
      <c r="E187" s="574" t="s">
        <v>152</v>
      </c>
      <c r="F187" s="575"/>
      <c r="G187" s="575"/>
      <c r="H187" s="576"/>
    </row>
    <row r="188" spans="1:8" x14ac:dyDescent="0.25">
      <c r="A188" s="571" t="s">
        <v>0</v>
      </c>
      <c r="B188" s="572"/>
      <c r="C188" s="572"/>
      <c r="D188" s="573"/>
      <c r="E188" s="574" t="s">
        <v>0</v>
      </c>
      <c r="F188" s="575"/>
      <c r="G188" s="575"/>
      <c r="H188" s="576"/>
    </row>
    <row r="189" spans="1:8" x14ac:dyDescent="0.25">
      <c r="A189" s="571" t="s">
        <v>2</v>
      </c>
      <c r="B189" s="572"/>
      <c r="C189" s="572"/>
      <c r="D189" s="573"/>
      <c r="E189" s="574" t="s">
        <v>2</v>
      </c>
      <c r="F189" s="575"/>
      <c r="G189" s="575"/>
      <c r="H189" s="576"/>
    </row>
    <row r="190" spans="1:8" x14ac:dyDescent="0.25">
      <c r="A190" s="571" t="s">
        <v>3</v>
      </c>
      <c r="B190" s="572"/>
      <c r="C190" s="572"/>
      <c r="D190" s="573"/>
      <c r="E190" s="574" t="s">
        <v>3</v>
      </c>
      <c r="F190" s="575"/>
      <c r="G190" s="575"/>
      <c r="H190" s="576"/>
    </row>
    <row r="191" spans="1:8" x14ac:dyDescent="0.25">
      <c r="A191" s="571" t="s">
        <v>197</v>
      </c>
      <c r="B191" s="572"/>
      <c r="C191" s="572"/>
      <c r="D191" s="573"/>
      <c r="E191" s="574" t="s">
        <v>197</v>
      </c>
      <c r="F191" s="575"/>
      <c r="G191" s="575"/>
      <c r="H191" s="576"/>
    </row>
    <row r="192" spans="1:8" x14ac:dyDescent="0.25">
      <c r="A192" s="571" t="s">
        <v>4</v>
      </c>
      <c r="B192" s="572"/>
      <c r="C192" s="572"/>
      <c r="D192" s="573"/>
      <c r="E192" s="574" t="s">
        <v>4</v>
      </c>
      <c r="F192" s="575"/>
      <c r="G192" s="575"/>
      <c r="H192" s="576"/>
    </row>
    <row r="193" spans="1:8" x14ac:dyDescent="0.25">
      <c r="A193" s="571" t="s">
        <v>163</v>
      </c>
      <c r="B193" s="572"/>
      <c r="C193" s="572"/>
      <c r="D193" s="573"/>
      <c r="E193" s="574" t="s">
        <v>163</v>
      </c>
      <c r="F193" s="575"/>
      <c r="G193" s="575"/>
      <c r="H193" s="576"/>
    </row>
    <row r="194" spans="1:8" x14ac:dyDescent="0.25">
      <c r="A194" s="571" t="s">
        <v>26</v>
      </c>
      <c r="B194" s="572"/>
      <c r="C194" s="572"/>
      <c r="D194" s="573"/>
      <c r="E194" s="574" t="s">
        <v>26</v>
      </c>
      <c r="F194" s="575"/>
      <c r="G194" s="575"/>
      <c r="H194" s="576"/>
    </row>
    <row r="195" spans="1:8" customFormat="1" ht="14.45" customHeight="1" x14ac:dyDescent="0.25"/>
    <row r="196" spans="1:8" customFormat="1" ht="14.45" customHeight="1" x14ac:dyDescent="0.25"/>
    <row r="197" spans="1:8" x14ac:dyDescent="0.25">
      <c r="A197" s="169" t="s">
        <v>149</v>
      </c>
      <c r="B197" s="170" t="s">
        <v>113</v>
      </c>
    </row>
    <row r="198" spans="1:8" x14ac:dyDescent="0.25">
      <c r="A198" s="201" t="str">
        <f>B198</f>
        <v>Summary</v>
      </c>
      <c r="B198" s="149" t="s">
        <v>100</v>
      </c>
    </row>
    <row r="199" spans="1:8" x14ac:dyDescent="0.25">
      <c r="A199" s="201" t="str">
        <f>B199</f>
        <v>Statistical</v>
      </c>
      <c r="B199" s="149" t="s">
        <v>147</v>
      </c>
    </row>
    <row r="200" spans="1:8" x14ac:dyDescent="0.25">
      <c r="A200" s="201" t="str">
        <f>B200</f>
        <v>Non-Statistical</v>
      </c>
      <c r="B200" s="149" t="s">
        <v>148</v>
      </c>
    </row>
    <row r="202" spans="1:8" x14ac:dyDescent="0.25">
      <c r="A202" s="169" t="s">
        <v>150</v>
      </c>
      <c r="B202" s="170" t="s">
        <v>113</v>
      </c>
    </row>
    <row r="203" spans="1:8" x14ac:dyDescent="0.25">
      <c r="A203" s="201">
        <v>1</v>
      </c>
      <c r="B203" s="149">
        <v>1</v>
      </c>
    </row>
    <row r="204" spans="1:8" x14ac:dyDescent="0.25">
      <c r="A204" s="201">
        <v>2</v>
      </c>
      <c r="B204" s="149">
        <v>2</v>
      </c>
    </row>
    <row r="205" spans="1:8" x14ac:dyDescent="0.25">
      <c r="A205" s="201">
        <v>3</v>
      </c>
      <c r="B205" s="149">
        <v>3</v>
      </c>
    </row>
    <row r="206" spans="1:8" x14ac:dyDescent="0.25">
      <c r="A206" s="201">
        <v>4</v>
      </c>
      <c r="B206" s="149">
        <v>4</v>
      </c>
    </row>
    <row r="207" spans="1:8" x14ac:dyDescent="0.25">
      <c r="A207" s="201">
        <v>5</v>
      </c>
      <c r="B207" s="149">
        <v>5</v>
      </c>
    </row>
    <row r="208" spans="1:8" x14ac:dyDescent="0.25">
      <c r="A208" s="201">
        <v>6</v>
      </c>
      <c r="B208" s="149">
        <v>6</v>
      </c>
    </row>
    <row r="209" spans="1:12" x14ac:dyDescent="0.25">
      <c r="A209" s="201">
        <v>7</v>
      </c>
      <c r="B209" s="149">
        <v>7</v>
      </c>
    </row>
    <row r="210" spans="1:12" x14ac:dyDescent="0.25">
      <c r="A210" s="201">
        <v>8</v>
      </c>
      <c r="B210" s="149">
        <v>8</v>
      </c>
    </row>
    <row r="211" spans="1:12" x14ac:dyDescent="0.25">
      <c r="A211" s="201">
        <v>9</v>
      </c>
      <c r="B211" s="149">
        <v>9</v>
      </c>
    </row>
    <row r="212" spans="1:12" x14ac:dyDescent="0.25">
      <c r="A212" s="201">
        <v>10</v>
      </c>
      <c r="B212" s="149">
        <v>10</v>
      </c>
    </row>
    <row r="213" spans="1:12" x14ac:dyDescent="0.25">
      <c r="I213" s="123"/>
      <c r="J213" s="123"/>
      <c r="K213" s="123"/>
      <c r="L213" s="123"/>
    </row>
    <row r="214" spans="1:12" customFormat="1" x14ac:dyDescent="0.25">
      <c r="A214" s="586" t="s">
        <v>154</v>
      </c>
      <c r="B214" s="587"/>
    </row>
    <row r="215" spans="1:12" customFormat="1" ht="36.75" customHeight="1" x14ac:dyDescent="0.25">
      <c r="A215" s="148" t="s">
        <v>154</v>
      </c>
      <c r="B215" s="586" t="s">
        <v>154</v>
      </c>
      <c r="C215" s="587"/>
      <c r="D215" s="588"/>
    </row>
    <row r="216" spans="1:12" x14ac:dyDescent="0.25">
      <c r="A216" s="148" t="s">
        <v>254</v>
      </c>
      <c r="B216" s="586" t="s">
        <v>254</v>
      </c>
      <c r="C216" s="587"/>
      <c r="D216" s="588"/>
      <c r="I216" s="123"/>
    </row>
    <row r="217" spans="1:12" x14ac:dyDescent="0.25">
      <c r="A217"/>
      <c r="B217"/>
      <c r="C217"/>
      <c r="D217"/>
      <c r="I217" s="123"/>
    </row>
    <row r="218" spans="1:12" x14ac:dyDescent="0.25">
      <c r="A218" s="236" t="s">
        <v>169</v>
      </c>
      <c r="B218" s="170" t="s">
        <v>113</v>
      </c>
      <c r="C218" s="237"/>
      <c r="D218" s="238"/>
    </row>
    <row r="219" spans="1:12" x14ac:dyDescent="0.25">
      <c r="A219" s="148" t="s">
        <v>175</v>
      </c>
      <c r="B219" s="589" t="s">
        <v>175</v>
      </c>
      <c r="C219" s="590"/>
      <c r="D219" s="591"/>
    </row>
    <row r="220" spans="1:12" ht="30" x14ac:dyDescent="0.25">
      <c r="A220" s="148" t="s">
        <v>209</v>
      </c>
      <c r="B220" s="586" t="s">
        <v>209</v>
      </c>
      <c r="C220" s="587"/>
      <c r="D220" s="588"/>
    </row>
    <row r="221" spans="1:12" x14ac:dyDescent="0.25">
      <c r="A221" s="148" t="s">
        <v>257</v>
      </c>
      <c r="B221" s="586" t="s">
        <v>257</v>
      </c>
      <c r="C221" s="587"/>
      <c r="D221" s="588"/>
    </row>
    <row r="222" spans="1:12" x14ac:dyDescent="0.25">
      <c r="A222" s="148" t="s">
        <v>177</v>
      </c>
      <c r="B222" s="586" t="s">
        <v>177</v>
      </c>
      <c r="C222" s="587"/>
      <c r="D222" s="588"/>
    </row>
    <row r="223" spans="1:12" s="181" customFormat="1" ht="60" x14ac:dyDescent="0.25">
      <c r="A223" s="148" t="s">
        <v>198</v>
      </c>
      <c r="B223" s="586" t="s">
        <v>198</v>
      </c>
      <c r="C223" s="587"/>
      <c r="D223" s="588"/>
      <c r="E223" s="180">
        <v>0.75</v>
      </c>
    </row>
    <row r="224" spans="1:12" x14ac:dyDescent="0.25">
      <c r="A224" s="148" t="s">
        <v>188</v>
      </c>
      <c r="B224" s="586" t="s">
        <v>188</v>
      </c>
      <c r="C224" s="587"/>
      <c r="D224" s="588"/>
    </row>
    <row r="225" spans="1:4" x14ac:dyDescent="0.25">
      <c r="A225" s="148" t="s">
        <v>189</v>
      </c>
      <c r="B225" s="586" t="s">
        <v>189</v>
      </c>
      <c r="C225" s="587"/>
      <c r="D225" s="588"/>
    </row>
    <row r="226" spans="1:4" x14ac:dyDescent="0.25">
      <c r="A226" s="148" t="s">
        <v>191</v>
      </c>
      <c r="B226" s="586" t="s">
        <v>191</v>
      </c>
      <c r="C226" s="587"/>
      <c r="D226" s="588"/>
    </row>
    <row r="227" spans="1:4" x14ac:dyDescent="0.25">
      <c r="A227" s="148" t="s">
        <v>196</v>
      </c>
      <c r="B227" s="586" t="s">
        <v>196</v>
      </c>
      <c r="C227" s="587"/>
      <c r="D227" s="588"/>
    </row>
    <row r="228" spans="1:4" ht="30" x14ac:dyDescent="0.25">
      <c r="A228" s="148" t="s">
        <v>287</v>
      </c>
      <c r="B228" s="586" t="s">
        <v>287</v>
      </c>
      <c r="C228" s="587"/>
      <c r="D228" s="588"/>
    </row>
    <row r="229" spans="1:4" ht="30" x14ac:dyDescent="0.25">
      <c r="A229" s="148" t="s">
        <v>288</v>
      </c>
      <c r="B229" s="586" t="s">
        <v>288</v>
      </c>
      <c r="C229" s="587"/>
      <c r="D229" s="588"/>
    </row>
    <row r="230" spans="1:4" ht="135" x14ac:dyDescent="0.25">
      <c r="A230" s="148" t="s">
        <v>293</v>
      </c>
      <c r="B230" s="586" t="s">
        <v>293</v>
      </c>
      <c r="C230" s="587"/>
      <c r="D230" s="588"/>
    </row>
    <row r="231" spans="1:4" ht="30" x14ac:dyDescent="0.25">
      <c r="A231" s="148" t="s">
        <v>300</v>
      </c>
      <c r="B231" s="586" t="s">
        <v>300</v>
      </c>
      <c r="C231" s="587"/>
      <c r="D231" s="588"/>
    </row>
    <row r="233" spans="1:4" x14ac:dyDescent="0.25">
      <c r="A233" s="580" t="s">
        <v>192</v>
      </c>
      <c r="B233" s="581"/>
      <c r="C233" s="581"/>
      <c r="D233" s="582"/>
    </row>
    <row r="234" spans="1:4" x14ac:dyDescent="0.25">
      <c r="A234" s="148" t="s">
        <v>193</v>
      </c>
      <c r="B234" s="589" t="s">
        <v>193</v>
      </c>
      <c r="C234" s="590"/>
      <c r="D234" s="591"/>
    </row>
    <row r="235" spans="1:4" x14ac:dyDescent="0.25">
      <c r="A235" s="148" t="s">
        <v>194</v>
      </c>
      <c r="B235" s="589" t="s">
        <v>194</v>
      </c>
      <c r="C235" s="590"/>
      <c r="D235" s="591"/>
    </row>
    <row r="236" spans="1:4" x14ac:dyDescent="0.25">
      <c r="A236" s="148" t="s">
        <v>195</v>
      </c>
      <c r="B236" s="589" t="s">
        <v>195</v>
      </c>
      <c r="C236" s="590"/>
      <c r="D236" s="591"/>
    </row>
    <row r="239" spans="1:4" x14ac:dyDescent="0.25">
      <c r="A239" s="236" t="s">
        <v>221</v>
      </c>
      <c r="B239" s="170" t="s">
        <v>113</v>
      </c>
      <c r="C239"/>
      <c r="D239"/>
    </row>
    <row r="240" spans="1:4" x14ac:dyDescent="0.25">
      <c r="A240" s="211">
        <v>-0.5</v>
      </c>
      <c r="B240" s="149">
        <v>-0.5</v>
      </c>
      <c r="C240"/>
      <c r="D240"/>
    </row>
    <row r="241" spans="1:4" x14ac:dyDescent="0.25">
      <c r="C241"/>
      <c r="D241"/>
    </row>
    <row r="242" spans="1:4" x14ac:dyDescent="0.25">
      <c r="A242" s="236" t="s">
        <v>222</v>
      </c>
      <c r="B242" s="170" t="s">
        <v>113</v>
      </c>
      <c r="C242"/>
      <c r="D242"/>
    </row>
    <row r="243" spans="1:4" x14ac:dyDescent="0.25">
      <c r="A243" s="211" t="s">
        <v>223</v>
      </c>
      <c r="B243" s="149" t="s">
        <v>223</v>
      </c>
      <c r="C243"/>
      <c r="D243"/>
    </row>
    <row r="244" spans="1:4" x14ac:dyDescent="0.25">
      <c r="C244"/>
      <c r="D244"/>
    </row>
    <row r="245" spans="1:4" x14ac:dyDescent="0.25">
      <c r="A245" s="169" t="s">
        <v>236</v>
      </c>
      <c r="B245" s="170" t="s">
        <v>113</v>
      </c>
      <c r="C245"/>
      <c r="D245"/>
    </row>
    <row r="246" spans="1:4" x14ac:dyDescent="0.25">
      <c r="A246" s="145" t="s">
        <v>235</v>
      </c>
      <c r="B246" s="149" t="s">
        <v>6</v>
      </c>
    </row>
    <row r="247" spans="1:4" x14ac:dyDescent="0.25">
      <c r="A247" s="145" t="s">
        <v>237</v>
      </c>
      <c r="B247" s="149" t="s">
        <v>7</v>
      </c>
    </row>
    <row r="251" spans="1:4" x14ac:dyDescent="0.25">
      <c r="A251" s="266" t="s">
        <v>260</v>
      </c>
      <c r="B251" s="170" t="s">
        <v>113</v>
      </c>
    </row>
    <row r="252" spans="1:4" x14ac:dyDescent="0.25">
      <c r="A252" s="145" t="s">
        <v>210</v>
      </c>
      <c r="B252" s="149" t="s">
        <v>210</v>
      </c>
    </row>
    <row r="253" spans="1:4" ht="210" x14ac:dyDescent="0.25">
      <c r="A253" s="148" t="s">
        <v>261</v>
      </c>
      <c r="B253" s="240" t="s">
        <v>262</v>
      </c>
    </row>
  </sheetData>
  <sheetProtection selectLockedCells="1"/>
  <mergeCells count="272">
    <mergeCell ref="E85:H85"/>
    <mergeCell ref="A85:D85"/>
    <mergeCell ref="I84:J85"/>
    <mergeCell ref="A87:D87"/>
    <mergeCell ref="E87:H87"/>
    <mergeCell ref="E89:H89"/>
    <mergeCell ref="A137:D137"/>
    <mergeCell ref="E137:H137"/>
    <mergeCell ref="B228:D228"/>
    <mergeCell ref="A183:D183"/>
    <mergeCell ref="A181:D181"/>
    <mergeCell ref="A184:D184"/>
    <mergeCell ref="E183:H183"/>
    <mergeCell ref="E179:H179"/>
    <mergeCell ref="E178:H178"/>
    <mergeCell ref="E177:H177"/>
    <mergeCell ref="A188:D188"/>
    <mergeCell ref="A190:D190"/>
    <mergeCell ref="A194:D194"/>
    <mergeCell ref="A193:D193"/>
    <mergeCell ref="A192:D192"/>
    <mergeCell ref="A214:B214"/>
    <mergeCell ref="B219:D219"/>
    <mergeCell ref="B220:D220"/>
    <mergeCell ref="B221:D221"/>
    <mergeCell ref="B222:D222"/>
    <mergeCell ref="B215:D215"/>
    <mergeCell ref="A189:D189"/>
    <mergeCell ref="E189:H189"/>
    <mergeCell ref="B216:D216"/>
    <mergeCell ref="A191:D191"/>
    <mergeCell ref="E182:H182"/>
    <mergeCell ref="E181:H181"/>
    <mergeCell ref="A187:D187"/>
    <mergeCell ref="A186:D186"/>
    <mergeCell ref="A182:D182"/>
    <mergeCell ref="A185:D185"/>
    <mergeCell ref="E188:H188"/>
    <mergeCell ref="E187:H187"/>
    <mergeCell ref="E186:H186"/>
    <mergeCell ref="E185:H185"/>
    <mergeCell ref="E184:H184"/>
    <mergeCell ref="E194:H194"/>
    <mergeCell ref="E193:H193"/>
    <mergeCell ref="E192:H192"/>
    <mergeCell ref="E191:H191"/>
    <mergeCell ref="E190:H190"/>
    <mergeCell ref="A176:D176"/>
    <mergeCell ref="A175:D175"/>
    <mergeCell ref="A179:D179"/>
    <mergeCell ref="A178:D178"/>
    <mergeCell ref="A174:D174"/>
    <mergeCell ref="A173:D173"/>
    <mergeCell ref="A171:D171"/>
    <mergeCell ref="E156:H156"/>
    <mergeCell ref="A157:D157"/>
    <mergeCell ref="A156:D156"/>
    <mergeCell ref="A170:D170"/>
    <mergeCell ref="A169:D169"/>
    <mergeCell ref="E176:H176"/>
    <mergeCell ref="E175:H175"/>
    <mergeCell ref="E174:H174"/>
    <mergeCell ref="E173:H173"/>
    <mergeCell ref="E172:H172"/>
    <mergeCell ref="E171:H171"/>
    <mergeCell ref="A172:D172"/>
    <mergeCell ref="E161:H161"/>
    <mergeCell ref="E162:H162"/>
    <mergeCell ref="A177:D177"/>
    <mergeCell ref="E150:H150"/>
    <mergeCell ref="E160:H160"/>
    <mergeCell ref="E159:H159"/>
    <mergeCell ref="E158:H158"/>
    <mergeCell ref="E157:H157"/>
    <mergeCell ref="E134:H134"/>
    <mergeCell ref="E151:H151"/>
    <mergeCell ref="E133:H133"/>
    <mergeCell ref="E153:H153"/>
    <mergeCell ref="E154:H154"/>
    <mergeCell ref="E155:H155"/>
    <mergeCell ref="E131:H131"/>
    <mergeCell ref="E141:H141"/>
    <mergeCell ref="E170:H170"/>
    <mergeCell ref="E169:H169"/>
    <mergeCell ref="A167:D167"/>
    <mergeCell ref="A168:D168"/>
    <mergeCell ref="A166:D166"/>
    <mergeCell ref="A165:D165"/>
    <mergeCell ref="A164:D164"/>
    <mergeCell ref="A163:D163"/>
    <mergeCell ref="E168:H168"/>
    <mergeCell ref="E167:H167"/>
    <mergeCell ref="E166:H166"/>
    <mergeCell ref="E165:H165"/>
    <mergeCell ref="E164:H164"/>
    <mergeCell ref="E163:H163"/>
    <mergeCell ref="A138:D138"/>
    <mergeCell ref="E142:H142"/>
    <mergeCell ref="E143:H143"/>
    <mergeCell ref="E144:H144"/>
    <mergeCell ref="E132:H132"/>
    <mergeCell ref="E147:H147"/>
    <mergeCell ref="E148:H148"/>
    <mergeCell ref="E149:H149"/>
    <mergeCell ref="E98:H98"/>
    <mergeCell ref="E135:H135"/>
    <mergeCell ref="E136:H136"/>
    <mergeCell ref="E97:H97"/>
    <mergeCell ref="E96:H96"/>
    <mergeCell ref="E138:H138"/>
    <mergeCell ref="E139:H139"/>
    <mergeCell ref="A160:D160"/>
    <mergeCell ref="A159:D159"/>
    <mergeCell ref="A158:D158"/>
    <mergeCell ref="A145:D145"/>
    <mergeCell ref="A146:D146"/>
    <mergeCell ref="A139:D139"/>
    <mergeCell ref="E100:H100"/>
    <mergeCell ref="E101:H101"/>
    <mergeCell ref="E102:H102"/>
    <mergeCell ref="E103:H103"/>
    <mergeCell ref="E152:H152"/>
    <mergeCell ref="E99:H99"/>
    <mergeCell ref="A140:D140"/>
    <mergeCell ref="A132:D132"/>
    <mergeCell ref="A134:D134"/>
    <mergeCell ref="A135:D135"/>
    <mergeCell ref="A136:D136"/>
    <mergeCell ref="A129:D129"/>
    <mergeCell ref="A143:D143"/>
    <mergeCell ref="A144:D144"/>
    <mergeCell ref="A150:D150"/>
    <mergeCell ref="A162:D162"/>
    <mergeCell ref="A161:D161"/>
    <mergeCell ref="A152:D152"/>
    <mergeCell ref="A151:D151"/>
    <mergeCell ref="A155:D155"/>
    <mergeCell ref="A154:D154"/>
    <mergeCell ref="A153:D153"/>
    <mergeCell ref="A147:D147"/>
    <mergeCell ref="A149:D149"/>
    <mergeCell ref="A148:D148"/>
    <mergeCell ref="E120:H120"/>
    <mergeCell ref="A131:D131"/>
    <mergeCell ref="A106:D106"/>
    <mergeCell ref="A133:D133"/>
    <mergeCell ref="A141:D141"/>
    <mergeCell ref="E109:H109"/>
    <mergeCell ref="E111:H111"/>
    <mergeCell ref="E112:H112"/>
    <mergeCell ref="E115:H115"/>
    <mergeCell ref="E116:H116"/>
    <mergeCell ref="E117:H117"/>
    <mergeCell ref="A122:D122"/>
    <mergeCell ref="E106:H106"/>
    <mergeCell ref="E119:H119"/>
    <mergeCell ref="E113:H113"/>
    <mergeCell ref="E114:H114"/>
    <mergeCell ref="E121:H121"/>
    <mergeCell ref="E122:H122"/>
    <mergeCell ref="E129:H129"/>
    <mergeCell ref="E130:H130"/>
    <mergeCell ref="E108:H108"/>
    <mergeCell ref="A107:D107"/>
    <mergeCell ref="E140:H140"/>
    <mergeCell ref="A116:D116"/>
    <mergeCell ref="B31:C31"/>
    <mergeCell ref="B33:C33"/>
    <mergeCell ref="A66:D66"/>
    <mergeCell ref="A94:D94"/>
    <mergeCell ref="A95:D95"/>
    <mergeCell ref="A96:D96"/>
    <mergeCell ref="A76:D76"/>
    <mergeCell ref="A77:D77"/>
    <mergeCell ref="A78:D78"/>
    <mergeCell ref="A79:D79"/>
    <mergeCell ref="A70:D70"/>
    <mergeCell ref="A71:D71"/>
    <mergeCell ref="A72:D72"/>
    <mergeCell ref="A86:D86"/>
    <mergeCell ref="A88:D88"/>
    <mergeCell ref="A82:D82"/>
    <mergeCell ref="A83:D83"/>
    <mergeCell ref="A84:D84"/>
    <mergeCell ref="A92:D92"/>
    <mergeCell ref="B47:D48"/>
    <mergeCell ref="A89:D89"/>
    <mergeCell ref="A69:D69"/>
    <mergeCell ref="E66:H66"/>
    <mergeCell ref="A93:D93"/>
    <mergeCell ref="E92:H92"/>
    <mergeCell ref="E93:H93"/>
    <mergeCell ref="E78:H78"/>
    <mergeCell ref="E79:H79"/>
    <mergeCell ref="E82:H82"/>
    <mergeCell ref="E83:H83"/>
    <mergeCell ref="E72:H72"/>
    <mergeCell ref="E67:H67"/>
    <mergeCell ref="E68:H68"/>
    <mergeCell ref="E69:H69"/>
    <mergeCell ref="E70:H70"/>
    <mergeCell ref="E71:H71"/>
    <mergeCell ref="E73:H73"/>
    <mergeCell ref="E74:H74"/>
    <mergeCell ref="E75:H75"/>
    <mergeCell ref="E76:H76"/>
    <mergeCell ref="E86:H86"/>
    <mergeCell ref="E80:H80"/>
    <mergeCell ref="E88:H88"/>
    <mergeCell ref="E77:H77"/>
    <mergeCell ref="E84:H84"/>
    <mergeCell ref="E81:H81"/>
    <mergeCell ref="B26:C26"/>
    <mergeCell ref="B62:C62"/>
    <mergeCell ref="A99:D99"/>
    <mergeCell ref="A109:D109"/>
    <mergeCell ref="A111:D111"/>
    <mergeCell ref="A112:D112"/>
    <mergeCell ref="A110:D110"/>
    <mergeCell ref="A73:D73"/>
    <mergeCell ref="A74:D74"/>
    <mergeCell ref="A75:D75"/>
    <mergeCell ref="A97:D97"/>
    <mergeCell ref="A98:D98"/>
    <mergeCell ref="B27:C27"/>
    <mergeCell ref="B28:C28"/>
    <mergeCell ref="B63:C63"/>
    <mergeCell ref="B64:C64"/>
    <mergeCell ref="B61:C61"/>
    <mergeCell ref="A67:D67"/>
    <mergeCell ref="A68:D68"/>
    <mergeCell ref="A80:D80"/>
    <mergeCell ref="A81:D81"/>
    <mergeCell ref="B29:C29"/>
    <mergeCell ref="B30:C30"/>
    <mergeCell ref="B32:C32"/>
    <mergeCell ref="B227:D227"/>
    <mergeCell ref="A233:D233"/>
    <mergeCell ref="B234:D234"/>
    <mergeCell ref="B235:D235"/>
    <mergeCell ref="B236:D236"/>
    <mergeCell ref="B223:D223"/>
    <mergeCell ref="B224:D224"/>
    <mergeCell ref="B226:D226"/>
    <mergeCell ref="B225:D225"/>
    <mergeCell ref="B229:D229"/>
    <mergeCell ref="B230:D230"/>
    <mergeCell ref="B231:D231"/>
    <mergeCell ref="E94:H94"/>
    <mergeCell ref="A142:D142"/>
    <mergeCell ref="E145:H145"/>
    <mergeCell ref="E146:H146"/>
    <mergeCell ref="A120:D120"/>
    <mergeCell ref="A121:D121"/>
    <mergeCell ref="A113:D113"/>
    <mergeCell ref="A114:D114"/>
    <mergeCell ref="E95:H95"/>
    <mergeCell ref="A130:D130"/>
    <mergeCell ref="E110:H110"/>
    <mergeCell ref="A117:D117"/>
    <mergeCell ref="A119:D119"/>
    <mergeCell ref="A115:D115"/>
    <mergeCell ref="A108:D108"/>
    <mergeCell ref="A100:D100"/>
    <mergeCell ref="E104:H104"/>
    <mergeCell ref="E105:H105"/>
    <mergeCell ref="A105:D105"/>
    <mergeCell ref="A101:D101"/>
    <mergeCell ref="A102:D102"/>
    <mergeCell ref="A103:D103"/>
    <mergeCell ref="A104:D104"/>
    <mergeCell ref="E107:H107"/>
  </mergeCells>
  <dataValidations count="1">
    <dataValidation type="decimal" allowBlank="1" showInputMessage="1" showErrorMessage="1" error="Must be between 0 and -100%" sqref="A240" xr:uid="{00000000-0002-0000-0400-000000000000}">
      <formula1>-1</formula1>
      <formula2>0</formula2>
    </dataValidation>
  </dataValidations>
  <pageMargins left="0.25" right="0.25" top="0.75" bottom="0.75" header="0.3" footer="0.3"/>
  <pageSetup scale="39" fitToHeight="0"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START"/>
  <dimension ref="B5:M20"/>
  <sheetViews>
    <sheetView tabSelected="1" workbookViewId="0"/>
  </sheetViews>
  <sheetFormatPr defaultColWidth="9.140625" defaultRowHeight="15" x14ac:dyDescent="0.25"/>
  <cols>
    <col min="1" max="16384" width="9.140625" style="194"/>
  </cols>
  <sheetData>
    <row r="5" spans="2:13" ht="19.5" x14ac:dyDescent="0.3">
      <c r="B5" s="239" t="str">
        <f>Drop!A252</f>
        <v>YOU MUST ENABLE MACROS TO USE THIS WORKBOOK</v>
      </c>
      <c r="C5" s="193"/>
      <c r="D5" s="193"/>
      <c r="E5" s="193"/>
      <c r="F5" s="193"/>
      <c r="G5" s="193"/>
    </row>
    <row r="7" spans="2:13" x14ac:dyDescent="0.25">
      <c r="B7" s="609" t="str">
        <f>Drop!A253</f>
        <v>If this is the only visible worksheet and macros have been enabled, it is generally due to one of the following situations:
1. Upon opening the workbook and enabling macros, the worksheet does not disappear and the remaining worksheets in the workbook do not appear. 
2. Upon attempting to close the workbook when auto-save is turned on, 'Cancel' has been selected in a resulting message box due to an interruption of the auto-save process. 
If either of these situations arise, save and close all open Excel file and re-open the workbook.</v>
      </c>
      <c r="C7" s="610"/>
      <c r="D7" s="610"/>
      <c r="E7" s="610"/>
      <c r="F7" s="610"/>
      <c r="G7" s="610"/>
      <c r="H7" s="610"/>
      <c r="I7" s="610"/>
      <c r="J7" s="610"/>
      <c r="K7" s="610"/>
      <c r="L7" s="610"/>
      <c r="M7" s="610"/>
    </row>
    <row r="8" spans="2:13" x14ac:dyDescent="0.25">
      <c r="B8" s="610"/>
      <c r="C8" s="610"/>
      <c r="D8" s="610"/>
      <c r="E8" s="610"/>
      <c r="F8" s="610"/>
      <c r="G8" s="610"/>
      <c r="H8" s="610"/>
      <c r="I8" s="610"/>
      <c r="J8" s="610"/>
      <c r="K8" s="610"/>
      <c r="L8" s="610"/>
      <c r="M8" s="610"/>
    </row>
    <row r="9" spans="2:13" x14ac:dyDescent="0.25">
      <c r="B9" s="610"/>
      <c r="C9" s="610"/>
      <c r="D9" s="610"/>
      <c r="E9" s="610"/>
      <c r="F9" s="610"/>
      <c r="G9" s="610"/>
      <c r="H9" s="610"/>
      <c r="I9" s="610"/>
      <c r="J9" s="610"/>
      <c r="K9" s="610"/>
      <c r="L9" s="610"/>
      <c r="M9" s="610"/>
    </row>
    <row r="10" spans="2:13" x14ac:dyDescent="0.25">
      <c r="B10" s="610"/>
      <c r="C10" s="610"/>
      <c r="D10" s="610"/>
      <c r="E10" s="610"/>
      <c r="F10" s="610"/>
      <c r="G10" s="610"/>
      <c r="H10" s="610"/>
      <c r="I10" s="610"/>
      <c r="J10" s="610"/>
      <c r="K10" s="610"/>
      <c r="L10" s="610"/>
      <c r="M10" s="610"/>
    </row>
    <row r="11" spans="2:13" x14ac:dyDescent="0.25">
      <c r="B11" s="610"/>
      <c r="C11" s="610"/>
      <c r="D11" s="610"/>
      <c r="E11" s="610"/>
      <c r="F11" s="610"/>
      <c r="G11" s="610"/>
      <c r="H11" s="610"/>
      <c r="I11" s="610"/>
      <c r="J11" s="610"/>
      <c r="K11" s="610"/>
      <c r="L11" s="610"/>
      <c r="M11" s="610"/>
    </row>
    <row r="12" spans="2:13" x14ac:dyDescent="0.25">
      <c r="B12" s="610"/>
      <c r="C12" s="610"/>
      <c r="D12" s="610"/>
      <c r="E12" s="610"/>
      <c r="F12" s="610"/>
      <c r="G12" s="610"/>
      <c r="H12" s="610"/>
      <c r="I12" s="610"/>
      <c r="J12" s="610"/>
      <c r="K12" s="610"/>
      <c r="L12" s="610"/>
      <c r="M12" s="610"/>
    </row>
    <row r="13" spans="2:13" x14ac:dyDescent="0.25">
      <c r="B13" s="610"/>
      <c r="C13" s="610"/>
      <c r="D13" s="610"/>
      <c r="E13" s="610"/>
      <c r="F13" s="610"/>
      <c r="G13" s="610"/>
      <c r="H13" s="610"/>
      <c r="I13" s="610"/>
      <c r="J13" s="610"/>
      <c r="K13" s="610"/>
      <c r="L13" s="610"/>
      <c r="M13" s="610"/>
    </row>
    <row r="14" spans="2:13" x14ac:dyDescent="0.25">
      <c r="B14" s="610"/>
      <c r="C14" s="610"/>
      <c r="D14" s="610"/>
      <c r="E14" s="610"/>
      <c r="F14" s="610"/>
      <c r="G14" s="610"/>
      <c r="H14" s="610"/>
      <c r="I14" s="610"/>
      <c r="J14" s="610"/>
      <c r="K14" s="610"/>
      <c r="L14" s="610"/>
      <c r="M14" s="610"/>
    </row>
    <row r="15" spans="2:13" x14ac:dyDescent="0.25">
      <c r="B15" s="610"/>
      <c r="C15" s="610"/>
      <c r="D15" s="610"/>
      <c r="E15" s="610"/>
      <c r="F15" s="610"/>
      <c r="G15" s="610"/>
      <c r="H15" s="610"/>
      <c r="I15" s="610"/>
      <c r="J15" s="610"/>
      <c r="K15" s="610"/>
      <c r="L15" s="610"/>
      <c r="M15" s="610"/>
    </row>
    <row r="16" spans="2:13" x14ac:dyDescent="0.25">
      <c r="B16" s="610"/>
      <c r="C16" s="610"/>
      <c r="D16" s="610"/>
      <c r="E16" s="610"/>
      <c r="F16" s="610"/>
      <c r="G16" s="610"/>
      <c r="H16" s="610"/>
      <c r="I16" s="610"/>
      <c r="J16" s="610"/>
      <c r="K16" s="610"/>
      <c r="L16" s="610"/>
      <c r="M16" s="610"/>
    </row>
    <row r="17" spans="2:13" x14ac:dyDescent="0.25">
      <c r="B17" s="610"/>
      <c r="C17" s="610"/>
      <c r="D17" s="610"/>
      <c r="E17" s="610"/>
      <c r="F17" s="610"/>
      <c r="G17" s="610"/>
      <c r="H17" s="610"/>
      <c r="I17" s="610"/>
      <c r="J17" s="610"/>
      <c r="K17" s="610"/>
      <c r="L17" s="610"/>
      <c r="M17" s="610"/>
    </row>
    <row r="18" spans="2:13" x14ac:dyDescent="0.25">
      <c r="B18" s="610"/>
      <c r="C18" s="610"/>
      <c r="D18" s="610"/>
      <c r="E18" s="610"/>
      <c r="F18" s="610"/>
      <c r="G18" s="610"/>
      <c r="H18" s="610"/>
      <c r="I18" s="610"/>
      <c r="J18" s="610"/>
      <c r="K18" s="610"/>
      <c r="L18" s="610"/>
      <c r="M18" s="610"/>
    </row>
    <row r="19" spans="2:13" x14ac:dyDescent="0.25">
      <c r="B19" s="610"/>
      <c r="C19" s="610"/>
      <c r="D19" s="610"/>
      <c r="E19" s="610"/>
      <c r="F19" s="610"/>
      <c r="G19" s="610"/>
      <c r="H19" s="610"/>
      <c r="I19" s="610"/>
      <c r="J19" s="610"/>
      <c r="K19" s="610"/>
      <c r="L19" s="610"/>
      <c r="M19" s="610"/>
    </row>
    <row r="20" spans="2:13" x14ac:dyDescent="0.25">
      <c r="B20" s="610"/>
      <c r="C20" s="610"/>
      <c r="D20" s="610"/>
      <c r="E20" s="610"/>
      <c r="F20" s="610"/>
      <c r="G20" s="610"/>
      <c r="H20" s="610"/>
      <c r="I20" s="610"/>
      <c r="J20" s="610"/>
      <c r="K20" s="610"/>
      <c r="L20" s="610"/>
      <c r="M20" s="610"/>
    </row>
  </sheetData>
  <sheetProtection algorithmName="SHA-512" hashValue="s+h4CHrczAo/pLDOEWq+Bpinm21wV9g9iifm7BI4JnQnljsb4GhtjzFWV+zfwnTKpbX6ra2Pd/fGl+cb6mCndg==" saltValue="KXCGgX8pmlHN3aZ0HuEaIQ==" spinCount="100000" sheet="1" objects="1" scenarios="1"/>
  <mergeCells count="1">
    <mergeCell ref="B7:M20"/>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GTCustom"/>
  <dimension ref="A1:B8"/>
  <sheetViews>
    <sheetView workbookViewId="0"/>
  </sheetViews>
  <sheetFormatPr defaultRowHeight="15" x14ac:dyDescent="0.25"/>
  <sheetData>
    <row r="1" spans="1:2" x14ac:dyDescent="0.25">
      <c r="A1" t="s">
        <v>128</v>
      </c>
      <c r="B1" t="s">
        <v>129</v>
      </c>
    </row>
    <row r="2" spans="1:2" x14ac:dyDescent="0.25">
      <c r="A2" t="s">
        <v>130</v>
      </c>
      <c r="B2" t="s">
        <v>131</v>
      </c>
    </row>
    <row r="3" spans="1:2" x14ac:dyDescent="0.25">
      <c r="A3" t="s">
        <v>132</v>
      </c>
      <c r="B3" t="s">
        <v>133</v>
      </c>
    </row>
    <row r="4" spans="1:2" x14ac:dyDescent="0.25">
      <c r="A4" t="s">
        <v>134</v>
      </c>
      <c r="B4" t="s">
        <v>135</v>
      </c>
    </row>
    <row r="5" spans="1:2" x14ac:dyDescent="0.25">
      <c r="A5" t="s">
        <v>136</v>
      </c>
      <c r="B5" t="s">
        <v>137</v>
      </c>
    </row>
    <row r="6" spans="1:2" x14ac:dyDescent="0.25">
      <c r="A6" t="s">
        <v>138</v>
      </c>
      <c r="B6" t="s">
        <v>139</v>
      </c>
    </row>
    <row r="7" spans="1:2" x14ac:dyDescent="0.25">
      <c r="A7" t="s">
        <v>140</v>
      </c>
      <c r="B7" t="s">
        <v>141</v>
      </c>
    </row>
    <row r="8" spans="1:2" x14ac:dyDescent="0.25">
      <c r="A8" t="s">
        <v>142</v>
      </c>
      <c r="B8" t="s">
        <v>143</v>
      </c>
    </row>
  </sheetData>
  <sheetProtection algorithmName="SHA-512" hashValue="9iW6D5wCQNfFQ1sX6v/bf0/3ANOypsvRDawTKGQpW4VyLtLxQ1K5NgxcUOUROQ2L6RVF+k82PLCtdn+KYvYp0Q==" saltValue="A/vk5ZQZOalah91+t7DOIQ==" spinCount="100000" sheet="1" objects="1" scenarios="1" formatCells="0" formatColumns="0" select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Release_x0020_Date xmlns="c86ca360-63c2-42cd-b254-cbb1fe750fea">2022-10-19T05:00:00+00:00</Release_x0020_Date>
    <Topic xmlns="c86ca360-63c2-42cd-b254-cbb1fe750fea">Sampling</Topic>
    <Standard xmlns="c86ca360-63c2-42cd-b254-cbb1fe750fea">AICPA or PCAOB</Standard>
    <Industry_x002f_Other xmlns="c86ca360-63c2-42cd-b254-cbb1fe750fea" xsi:nil="true"/>
    <Tool xmlns="c86ca360-63c2-42cd-b254-cbb1fe750fea">Horizon masterfile Leap masterfile, Leap platform</Too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F336B2D3F1F0B47B83A799D32CBD522" ma:contentTypeVersion="32" ma:contentTypeDescription="Create a new document." ma:contentTypeScope="" ma:versionID="7bad526ece6745804187a6d908f56221">
  <xsd:schema xmlns:xsd="http://www.w3.org/2001/XMLSchema" xmlns:xs="http://www.w3.org/2001/XMLSchema" xmlns:p="http://schemas.microsoft.com/office/2006/metadata/properties" xmlns:ns1="http://schemas.microsoft.com/sharepoint/v3" xmlns:ns2="09f9bc55-a7a1-410d-8372-6c53085102bf" xmlns:ns3="bb0eabce-1d9a-4bb1-b921-06bb96e89da8" targetNamespace="http://schemas.microsoft.com/office/2006/metadata/properties" ma:root="true" ma:fieldsID="3f0aa47aa5da739e130229c34bdcd3ba" ns1:_="" ns2:_="" ns3:_="">
    <xsd:import namespace="http://schemas.microsoft.com/sharepoint/v3"/>
    <xsd:import namespace="09f9bc55-a7a1-410d-8372-6c53085102bf"/>
    <xsd:import namespace="bb0eabce-1d9a-4bb1-b921-06bb96e89da8"/>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2:SharedWithUsers" minOccurs="0"/>
                <xsd:element ref="ns2:SharedWithDetails" minOccurs="0"/>
                <xsd:element ref="ns3:MediaServiceDateTaken" minOccurs="0"/>
                <xsd:element ref="ns3:Version_x0020_comment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7" nillable="true" ma:displayName="Unified Compliance Policy Properties" ma:hidden="true" ma:internalName="_ip_UnifiedCompliancePolicyProperties">
      <xsd:simpleType>
        <xsd:restriction base="dms:Note"/>
      </xsd:simpleType>
    </xsd:element>
    <xsd:element name="_ip_UnifiedCompliancePolicyUIAction" ma:index="1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9f9bc55-a7a1-410d-8372-6c53085102b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b0eabce-1d9a-4bb1-b921-06bb96e89da8"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Version_x0020_comments" ma:index="16" nillable="true" ma:displayName="Version comments" ma:internalName="Version_x0020_comment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ct:contentTypeSchema xmlns:ct="http://schemas.microsoft.com/office/2006/metadata/contentType" xmlns:ma="http://schemas.microsoft.com/office/2006/metadata/properties/metaAttributes" ct:_="" ma:_="" ma:contentTypeName="Document" ma:contentTypeID="0x010100F5F98F540CFD01418290ABBC9899E204" ma:contentTypeVersion="7" ma:contentTypeDescription="Create a new document." ma:contentTypeScope="" ma:versionID="88d798b8db85bbb726800ce76a934c22">
  <xsd:schema xmlns:xsd="http://www.w3.org/2001/XMLSchema" xmlns:xs="http://www.w3.org/2001/XMLSchema" xmlns:p="http://schemas.microsoft.com/office/2006/metadata/properties" xmlns:ns2="c86ca360-63c2-42cd-b254-cbb1fe750fea" targetNamespace="http://schemas.microsoft.com/office/2006/metadata/properties" ma:root="true" ma:fieldsID="cbfb8ea0e9d20e2d24113445db3f3a0c" ns2:_="">
    <xsd:import namespace="c86ca360-63c2-42cd-b254-cbb1fe750fea"/>
    <xsd:element name="properties">
      <xsd:complexType>
        <xsd:sequence>
          <xsd:element name="documentManagement">
            <xsd:complexType>
              <xsd:all>
                <xsd:element ref="ns2:MediaServiceMetadata" minOccurs="0"/>
                <xsd:element ref="ns2:MediaServiceFastMetadata" minOccurs="0"/>
                <xsd:element ref="ns2:Release_x0020_Date" minOccurs="0"/>
                <xsd:element ref="ns2:Tool" minOccurs="0"/>
                <xsd:element ref="ns2:Standard" minOccurs="0"/>
                <xsd:element ref="ns2:Topic" minOccurs="0"/>
                <xsd:element ref="ns2:Industry_x002f_Oth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86ca360-63c2-42cd-b254-cbb1fe750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Release_x0020_Date" ma:index="10" nillable="true" ma:displayName="Release Date" ma:format="DateOnly" ma:internalName="Release_x0020_Date">
      <xsd:simpleType>
        <xsd:restriction base="dms:DateTime"/>
      </xsd:simpleType>
    </xsd:element>
    <xsd:element name="Tool" ma:index="11" nillable="true" ma:displayName="Tool" ma:format="Dropdown" ma:internalName="Tool">
      <xsd:simpleType>
        <xsd:restriction base="dms:Choice">
          <xsd:enumeration value="Horizon masterfile"/>
          <xsd:enumeration value="Horizon masterfile Leap masterfile"/>
          <xsd:enumeration value="Horizon masterfile Leap masterfile, Leap platform"/>
          <xsd:enumeration value="Leap masterfile"/>
        </xsd:restriction>
      </xsd:simpleType>
    </xsd:element>
    <xsd:element name="Standard" ma:index="12" nillable="true" ma:displayName="Standard" ma:format="Dropdown" ma:internalName="Standard">
      <xsd:simpleType>
        <xsd:restriction base="dms:Choice">
          <xsd:enumeration value="AICPA"/>
          <xsd:enumeration value="AICPA or PCAOB"/>
          <xsd:enumeration value="AICPA &amp; GAGAS"/>
          <xsd:enumeration value="AICPA, GAGAS, &amp; Uniform Guidance"/>
          <xsd:enumeration value="GAGAS"/>
          <xsd:enumeration value="Uniform Guidance"/>
          <xsd:enumeration value="PCAOB"/>
          <xsd:enumeration value="NYSE"/>
        </xsd:restriction>
      </xsd:simpleType>
    </xsd:element>
    <xsd:element name="Topic" ma:index="13" nillable="true" ma:displayName="Topic" ma:format="Dropdown" ma:internalName="Topic">
      <xsd:simpleType>
        <xsd:restriction base="dms:Choice">
          <xsd:enumeration value="Accounting Estimates, Including Fair Value"/>
          <xsd:enumeration value="Accounts or Notes Payable"/>
          <xsd:enumeration value="Accounts or Notes Receivable"/>
          <xsd:enumeration value="Actuarial Information"/>
          <xsd:enumeration value="Annual"/>
          <xsd:enumeration value="Audit Response - Audit Data Analytics"/>
          <xsd:enumeration value="Audit Response - Cash"/>
          <xsd:enumeration value="Audit Response - Contributions or Distributions"/>
          <xsd:enumeration value="Audit Response - Current Expected Credit Losses (CECL)"/>
          <xsd:enumeration value="Audit Response - Disclosures"/>
          <xsd:enumeration value="Audit Response - Inventory"/>
          <xsd:enumeration value="Audit Response - Leases"/>
          <xsd:enumeration value="Audit Response - Loans"/>
          <xsd:enumeration value="Audit Response - Revenue"/>
          <xsd:enumeration value="Audit Response - Transfers"/>
          <xsd:enumeration value="Business Processes"/>
          <xsd:enumeration value="Cash &amp; Compensating Balances"/>
          <xsd:enumeration value="Cayman Islands"/>
          <xsd:enumeration value="Compliance"/>
          <xsd:enumeration value="Contributions or Distributions"/>
          <xsd:enumeration value="Controls"/>
          <xsd:enumeration value="Controls - Current Expected Credit Losses (CECL)"/>
          <xsd:enumeration value="Controls - Revenue"/>
          <xsd:enumeration value="Controls - ITGC"/>
          <xsd:enumeration value="Controls - Leases"/>
          <xsd:enumeration value="Controls - ONESOURCE SOC"/>
          <xsd:enumeration value="Controls - SOC Report"/>
          <xsd:enumeration value="Critical Audit Matters"/>
          <xsd:enumeration value="Customer Assets"/>
          <xsd:enumeration value="Cybersecurity"/>
          <xsd:enumeration value="Debt &amp; Other Liabilities"/>
          <xsd:enumeration value="Documentation Completion &amp; Archive"/>
          <xsd:enumeration value="Entrance-Exit Conference"/>
          <xsd:enumeration value="Financial Support"/>
          <xsd:enumeration value="Independence"/>
          <xsd:enumeration value="Initial Audit"/>
          <xsd:enumeration value="Inspection"/>
          <xsd:enumeration value="Internal Control"/>
          <xsd:enumeration value="Inventory"/>
          <xsd:enumeration value="Investments"/>
          <xsd:enumeration value="Legal  Counsel"/>
          <xsd:enumeration value="Life Insurance"/>
          <xsd:enumeration value="Matters for Partner Attention"/>
          <xsd:enumeration value="Misstatements"/>
          <xsd:enumeration value="Other - Advisory Comments"/>
          <xsd:enumeration value="Other - Exempt Offerings"/>
          <xsd:enumeration value="Other - Indirect Compensation"/>
          <xsd:enumeration value="Other - Major Programs"/>
          <xsd:enumeration value="Other - Regulation AB"/>
          <xsd:enumeration value="Other - Surprise Custody Examination"/>
          <xsd:enumeration value="Planning"/>
          <xsd:enumeration value="Quarterly &amp; Other"/>
          <xsd:enumeration value="Risk Assessment &amp; Planning"/>
          <xsd:enumeration value="Sampling"/>
          <xsd:enumeration value="Stock"/>
        </xsd:restriction>
      </xsd:simpleType>
    </xsd:element>
    <xsd:element name="Industry_x002f_Other" ma:index="14" nillable="true" ma:displayName="Industry/Other" ma:format="Dropdown" ma:internalName="Industry_x002f_Other">
      <xsd:simpleType>
        <xsd:restriction base="dms:Choice">
          <xsd:enumeration value="Broker-Dealers"/>
          <xsd:enumeration value="Depository &amp; Lending"/>
          <xsd:enumeration value="Employee Benefit Plan"/>
          <xsd:enumeration value="Energy"/>
          <xsd:enumeration value="Federal Agency"/>
          <xsd:enumeration value="For Profit Federal Funding"/>
          <xsd:enumeration value="Higher Education"/>
          <xsd:enumeration value="Private Equity"/>
          <xsd:enumeration value="Regulation AB"/>
          <xsd:enumeration value="SEC Custody Rule"/>
          <xsd:enumeration value="IFRS Conversion"/>
          <xsd:enumeration value="Private Equity Group"/>
          <xsd:enumeration value="Funds"/>
          <xsd:enumeration value="Financial Institutions"/>
          <xsd:enumeration value="Retail, Restaurant, &amp; Hospitality"/>
          <xsd:enumeration value="Investment Companies, Investment Advisors, and Funds"/>
          <xsd:enumeration value="Cryptocurrency"/>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4A8C9B-4E93-4EA3-A56D-601F9DD7C8E3}">
  <ds:schemaRefs>
    <ds:schemaRef ds:uri="http://purl.org/dc/terms/"/>
    <ds:schemaRef ds:uri="http://schemas.microsoft.com/office/2006/documentManagement/types"/>
    <ds:schemaRef ds:uri="http://schemas.microsoft.com/sharepoint/v3"/>
    <ds:schemaRef ds:uri="http://purl.org/dc/elements/1.1/"/>
    <ds:schemaRef ds:uri="http://www.w3.org/XML/1998/namespace"/>
    <ds:schemaRef ds:uri="09f9bc55-a7a1-410d-8372-6c53085102bf"/>
    <ds:schemaRef ds:uri="http://schemas.microsoft.com/office/infopath/2007/PartnerControls"/>
    <ds:schemaRef ds:uri="http://schemas.microsoft.com/office/2006/metadata/properties"/>
    <ds:schemaRef ds:uri="http://schemas.openxmlformats.org/package/2006/metadata/core-properties"/>
    <ds:schemaRef ds:uri="bb0eabce-1d9a-4bb1-b921-06bb96e89da8"/>
    <ds:schemaRef ds:uri="http://purl.org/dc/dcmitype/"/>
  </ds:schemaRefs>
</ds:datastoreItem>
</file>

<file path=customXml/itemProps2.xml><?xml version="1.0" encoding="utf-8"?>
<ds:datastoreItem xmlns:ds="http://schemas.openxmlformats.org/officeDocument/2006/customXml" ds:itemID="{92E6D39A-F825-4B5A-BCF5-F2B54E24A591}">
  <ds:schemaRefs>
    <ds:schemaRef ds:uri="http://schemas.microsoft.com/sharepoint/v3/contenttype/forms"/>
  </ds:schemaRefs>
</ds:datastoreItem>
</file>

<file path=customXml/itemProps3.xml><?xml version="1.0" encoding="utf-8"?>
<ds:datastoreItem xmlns:ds="http://schemas.openxmlformats.org/officeDocument/2006/customXml" ds:itemID="{0A01486B-CCEF-415F-B2BF-12CD3BD3DE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9f9bc55-a7a1-410d-8372-6c53085102bf"/>
    <ds:schemaRef ds:uri="bb0eabce-1d9a-4bb1-b921-06bb96e89d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AB2D3F2-88CD-4B54-8FC4-DA678D906A4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29</vt:i4>
      </vt:variant>
    </vt:vector>
  </HeadingPairs>
  <TitlesOfParts>
    <vt:vector size="34" baseType="lpstr">
      <vt:lpstr>Statistical Template</vt:lpstr>
      <vt:lpstr>Non-StatisticalTemplate</vt:lpstr>
      <vt:lpstr>Drop</vt:lpstr>
      <vt:lpstr>START</vt:lpstr>
      <vt:lpstr>GT_Custom</vt:lpstr>
      <vt:lpstr>ADA</vt:lpstr>
      <vt:lpstr>Assertions</vt:lpstr>
      <vt:lpstr>Context</vt:lpstr>
      <vt:lpstr>ControlReliance</vt:lpstr>
      <vt:lpstr>dropError11</vt:lpstr>
      <vt:lpstr>dropError12</vt:lpstr>
      <vt:lpstr>dropError13</vt:lpstr>
      <vt:lpstr>Engagement</vt:lpstr>
      <vt:lpstr>Environnements</vt:lpstr>
      <vt:lpstr>Extent</vt:lpstr>
      <vt:lpstr>extentNonStat</vt:lpstr>
      <vt:lpstr>extentStat</vt:lpstr>
      <vt:lpstr>Increased_Engagement_Risk</vt:lpstr>
      <vt:lpstr>InherentRisk</vt:lpstr>
      <vt:lpstr>Listed_Entity</vt:lpstr>
      <vt:lpstr>NatureOfPop</vt:lpstr>
      <vt:lpstr>'Non-StatisticalTemplate'!NonStat_Selection_Method</vt:lpstr>
      <vt:lpstr>OtherEvidence</vt:lpstr>
      <vt:lpstr>Performance_Materiality</vt:lpstr>
      <vt:lpstr>Scoping_Unit</vt:lpstr>
      <vt:lpstr>Scoping_Unit_Value</vt:lpstr>
      <vt:lpstr>SelectionMethods</vt:lpstr>
      <vt:lpstr>'Statistical Template'!Stat_Verify_all_inputs</vt:lpstr>
      <vt:lpstr>tabNonStatistical</vt:lpstr>
      <vt:lpstr>tabNumbers</vt:lpstr>
      <vt:lpstr>tabStatistical</vt:lpstr>
      <vt:lpstr>tabSummary</vt:lpstr>
      <vt:lpstr>YesNo</vt:lpstr>
      <vt:lpstr>YesNoApp</vt:lpstr>
    </vt:vector>
  </TitlesOfParts>
  <Company>Grant Thornton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Cii Technology Solutions</dc:creator>
  <cp:lastModifiedBy>Kosinski, Kacper</cp:lastModifiedBy>
  <cp:lastPrinted>2017-08-22T21:23:40Z</cp:lastPrinted>
  <dcterms:created xsi:type="dcterms:W3CDTF">2015-09-04T00:59:44Z</dcterms:created>
  <dcterms:modified xsi:type="dcterms:W3CDTF">2022-10-11T20:18:18Z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0x010100F5F98F540CFD01418290ABBC9899E204</vt:lpwstr>
  </property>
  <property fmtid="{D5CDD505-2E9C-101B-9397-08002B2CF9AE}" pid="3" name="_dlc_DocIdItemGuid">
    <vt:lpwstr>3e09ce43-1a4d-4fa7-ab8e-67d8d0f194a7</vt:lpwstr>
  </property>
</Properties>
</file>