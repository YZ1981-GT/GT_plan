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ustomProperty1.bin" ContentType="application/vnd.openxmlformats-officedocument.spreadsheetml.customProperty"/>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ustomProperty2.bin" ContentType="application/vnd.openxmlformats-officedocument.spreadsheetml.customProperty"/>
  <Override PartName="/xl/comments6.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omments7.xml" ContentType="application/vnd.openxmlformats-officedocument.spreadsheetml.comments+xml"/>
  <Override PartName="/xl/customProperty4.bin" ContentType="application/vnd.openxmlformats-officedocument.spreadsheetml.customProperty"/>
  <Override PartName="/xl/comments8.xml" ContentType="application/vnd.openxmlformats-officedocument.spreadsheetml.comments+xml"/>
  <Override PartName="/xl/customProperty5.bin" ContentType="application/vnd.openxmlformats-officedocument.spreadsheetml.customProperty"/>
  <Override PartName="/xl/comments9.xml" ContentType="application/vnd.openxmlformats-officedocument.spreadsheetml.comments+xml"/>
  <Override PartName="/xl/customProperty6.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showInkAnnotation="0" codeName="ThisWorkbook"/>
  <mc:AlternateContent xmlns:mc="http://schemas.openxmlformats.org/markup-compatibility/2006">
    <mc:Choice Requires="x15">
      <x15ac:absPath xmlns:x15ac="http://schemas.microsoft.com/office/spreadsheetml/2010/11/ac" url="C:\Users\birdie.bai\Downloads\"/>
    </mc:Choice>
  </mc:AlternateContent>
  <xr:revisionPtr revIDLastSave="0" documentId="13_ncr:1_{63D327A8-55C1-46F5-A851-A3F407D7D553}" xr6:coauthVersionLast="47" xr6:coauthVersionMax="47" xr10:uidLastSave="{00000000-0000-0000-0000-000000000000}"/>
  <workbookProtection workbookAlgorithmName="SHA-512" workbookHashValue="8pxF+ZcaZXzM8H0zQZRNftAUC6g4/GirJFzJcnGHzMM5jtwgvryrvq3TLY6Kc1GEUhZly9L62Keucsy4sbcIWQ==" workbookSaltValue="T8PfPfRLpG9K8GXbPCdD6w==" workbookSpinCount="100000" lockStructure="1"/>
  <bookViews>
    <workbookView xWindow="-120" yWindow="-120" windowWidth="29040" windowHeight="15990" tabRatio="802" firstSheet="12" activeTab="12" xr2:uid="{00000000-000D-0000-FFFF-FFFF00000000}"/>
  </bookViews>
  <sheets>
    <sheet name="GTI-Column-Mapping" sheetId="35" state="veryHidden" r:id="rId1"/>
    <sheet name="指引" sheetId="39" state="veryHidden" r:id="rId2"/>
    <sheet name="汇总" sheetId="2" state="veryHidden" r:id="rId3"/>
    <sheet name="3 - 非统计" sheetId="72" state="hidden" r:id="rId4"/>
    <sheet name="Statistical Template" sheetId="64" state="hidden" r:id="rId5"/>
    <sheet name="Non-StatisticalTemplate" sheetId="65" state="hidden" r:id="rId6"/>
    <sheet name="Drop" sheetId="3" state="hidden" r:id="rId7"/>
    <sheet name="1 - 非统计" sheetId="67" state="hidden" r:id="rId8"/>
    <sheet name="1 - Statistical" sheetId="66" state="hidden" r:id="rId9"/>
    <sheet name="2 - 非统计" sheetId="70" state="hidden" r:id="rId10"/>
    <sheet name="2 - 统计" sheetId="69" state="hidden" r:id="rId11"/>
    <sheet name="3 - 统计" sheetId="71" state="hidden" r:id="rId12"/>
    <sheet name="START" sheetId="36" r:id="rId13"/>
    <sheet name="GT_Custom" sheetId="14" state="hidden" r:id="rId14"/>
  </sheets>
  <functionGroups builtInGroupCount="19"/>
  <externalReferences>
    <externalReference r:id="rId15"/>
  </externalReferences>
  <definedNames>
    <definedName name="_sheetScratch_A_1" hidden="1">'[1]Content Translation'!$A$3</definedName>
    <definedName name="_sheetScratch_A_10" hidden="1">'[1]Content Translation'!$A$12</definedName>
    <definedName name="_sheetScratch_A_11" hidden="1">'[1]Content Translation'!$A$13</definedName>
    <definedName name="_sheetScratch_A_12" hidden="1">'[1]Content Translation'!$A$14</definedName>
    <definedName name="_sheetScratch_A_13" hidden="1">'[1]Content Translation'!$A$15</definedName>
    <definedName name="_sheetScratch_A_14" hidden="1">'[1]Content Translation'!$A$16</definedName>
    <definedName name="_sheetScratch_A_15" hidden="1">'[1]Content Translation'!$A$17</definedName>
    <definedName name="_sheetScratch_A_16" hidden="1">'[1]Content Translation'!$A$18</definedName>
    <definedName name="_sheetScratch_A_17" hidden="1">'[1]Content Translation'!$A$19</definedName>
    <definedName name="_sheetScratch_A_18" hidden="1">'[1]Content Translation'!$A$20</definedName>
    <definedName name="_sheetScratch_A_19" hidden="1">'[1]Content Translation'!$A$21</definedName>
    <definedName name="_sheetScratch_A_2" hidden="1">'[1]Content Translation'!$A$4</definedName>
    <definedName name="_sheetScratch_A_20" hidden="1">'[1]Content Translation'!$A$22</definedName>
    <definedName name="_sheetScratch_A_21" hidden="1">'[1]Content Translation'!$A$23</definedName>
    <definedName name="_sheetScratch_A_22" hidden="1">'[1]Content Translation'!$A$24</definedName>
    <definedName name="_sheetScratch_A_23" hidden="1">'[1]Content Translation'!$A$25</definedName>
    <definedName name="_sheetScratch_A_24" hidden="1">'[1]Content Translation'!$A$26</definedName>
    <definedName name="_sheetScratch_A_25" hidden="1">'[1]Content Translation'!$A$27</definedName>
    <definedName name="_sheetScratch_A_26" hidden="1">'[1]Content Translation'!$A$28</definedName>
    <definedName name="_sheetScratch_A_27" hidden="1">'[1]Content Translation'!$A$29</definedName>
    <definedName name="_sheetScratch_A_28" hidden="1">'[1]Content Translation'!$A$30</definedName>
    <definedName name="_sheetScratch_A_29" hidden="1">'[1]Content Translation'!$A$31</definedName>
    <definedName name="_sheetScratch_A_3" hidden="1">'[1]Content Translation'!$A$5</definedName>
    <definedName name="_sheetScratch_A_30" hidden="1">'[1]Content Translation'!$A$32</definedName>
    <definedName name="_sheetScratch_A_31" hidden="1">'[1]Content Translation'!$A$33</definedName>
    <definedName name="_sheetScratch_A_4" hidden="1">'[1]Content Translation'!$A$6</definedName>
    <definedName name="_sheetScratch_A_5" hidden="1">'[1]Content Translation'!$A$7</definedName>
    <definedName name="_sheetScratch_A_6" hidden="1">'[1]Content Translation'!$A$8</definedName>
    <definedName name="_sheetScratch_A_7" hidden="1">'[1]Content Translation'!$A$9</definedName>
    <definedName name="_sheetScratch_A_8" hidden="1">'[1]Content Translation'!$A$10</definedName>
    <definedName name="_sheetScratch_A_9" hidden="1">'[1]Content Translation'!$A$11</definedName>
    <definedName name="ADA">Drop!$A$58:$A$59</definedName>
    <definedName name="Assertions">Drop!$A$27:$A$33</definedName>
    <definedName name="Context">Drop!$A$17:$A$19</definedName>
    <definedName name="ControlReliance">Drop!$A$43:$A$46</definedName>
    <definedName name="dropError11">Drop!$A$229</definedName>
    <definedName name="dropError12">Drop!$A$230</definedName>
    <definedName name="dropError13">Drop!$A$231</definedName>
    <definedName name="Engagement">汇总!$G$3</definedName>
    <definedName name="Environnements">Drop!$A$16:$A$19</definedName>
    <definedName name="Extent">Drop!$A$22:$A$24</definedName>
    <definedName name="extentNonStat">Drop!$A$23</definedName>
    <definedName name="extentStat">Drop!$A$22</definedName>
    <definedName name="Increased_Engagement_Risk">汇总!$D$7</definedName>
    <definedName name="InherentRisk">Drop!$A$37:$A$39</definedName>
    <definedName name="Listed_Entity">汇总!$D$5</definedName>
    <definedName name="NatureOfPop">Drop!$A$125:$A$127</definedName>
    <definedName name="NonStat_Selection_Method" localSheetId="7">'1 - 非统计'!$Y$10:$AB$10</definedName>
    <definedName name="NonStat_Selection_Method" localSheetId="9">'2 - 非统计'!$Y$10:$AB$10</definedName>
    <definedName name="NonStat_Selection_Method" localSheetId="3">'3 - 非统计'!$Y$10:$AB$10</definedName>
    <definedName name="NonStat_Selection_Method" localSheetId="5">'Non-StatisticalTemplate'!$Y$10:$AB$10</definedName>
    <definedName name="OtherEvidence">Drop!$A$52:$A$54</definedName>
    <definedName name="Performance_Materiality">汇总!$D$10</definedName>
    <definedName name="Scoping_Unit">汇总!$G$5</definedName>
    <definedName name="Scoping_Unit_Value">汇总!$G$7</definedName>
    <definedName name="SelectionMethods">Drop!$A$62:$A$64</definedName>
    <definedName name="Stat_Verify_all_inputs" localSheetId="8">'1 - Statistical'!$AA$43</definedName>
    <definedName name="Stat_Verify_all_inputs" localSheetId="10">'2 - 统计'!$AA$43</definedName>
    <definedName name="Stat_Verify_all_inputs" localSheetId="11">'3 - 统计'!$AA$43</definedName>
    <definedName name="Stat_Verify_all_inputs" localSheetId="4">'Statistical Template'!$AA$43</definedName>
    <definedName name="tabNonStatistical">Drop!$A$200</definedName>
    <definedName name="tabNumbers">Drop!$A$203:$A$212</definedName>
    <definedName name="tabStatistical">Drop!$A$199</definedName>
    <definedName name="tabSummary">Drop!$A$198</definedName>
    <definedName name="YesNo">Drop!$A$13:$A$14</definedName>
    <definedName name="YesNoApp">Drop!$A$246:$A$247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11" i="66" l="1"/>
  <c r="B48" i="72" l="1"/>
  <c r="B45" i="72"/>
  <c r="W43" i="72"/>
  <c r="S43" i="72"/>
  <c r="B43" i="72"/>
  <c r="B41" i="72"/>
  <c r="B39" i="72"/>
  <c r="S38" i="72"/>
  <c r="S37" i="72"/>
  <c r="K37" i="72"/>
  <c r="AA35" i="72" s="1"/>
  <c r="B37" i="72"/>
  <c r="AG36" i="72"/>
  <c r="H45" i="72" s="1"/>
  <c r="S36" i="72"/>
  <c r="AG35" i="72"/>
  <c r="E41" i="72" s="1"/>
  <c r="S35" i="72"/>
  <c r="K35" i="72"/>
  <c r="H35" i="72"/>
  <c r="E35" i="72"/>
  <c r="D35" i="72"/>
  <c r="AG34" i="72"/>
  <c r="D45" i="72" s="1"/>
  <c r="B33" i="72"/>
  <c r="AG30" i="72"/>
  <c r="B30" i="72"/>
  <c r="AG29" i="72"/>
  <c r="AG28" i="72"/>
  <c r="AG26" i="72"/>
  <c r="AA26" i="72"/>
  <c r="H26" i="72"/>
  <c r="D26" i="72"/>
  <c r="AA25" i="72"/>
  <c r="H25" i="72"/>
  <c r="C25" i="72"/>
  <c r="AG24" i="72"/>
  <c r="AA24" i="72"/>
  <c r="O24" i="72"/>
  <c r="H24" i="72"/>
  <c r="C24" i="72"/>
  <c r="AG23" i="72"/>
  <c r="AB23" i="72"/>
  <c r="E23" i="72"/>
  <c r="D23" i="72"/>
  <c r="H22" i="72"/>
  <c r="B22" i="72"/>
  <c r="AG21" i="72"/>
  <c r="H21" i="72"/>
  <c r="H20" i="72"/>
  <c r="B20" i="72"/>
  <c r="AG19" i="72"/>
  <c r="L27" i="72" s="1"/>
  <c r="H19" i="72"/>
  <c r="B19" i="72"/>
  <c r="AG18" i="72"/>
  <c r="S18" i="72"/>
  <c r="M18" i="72"/>
  <c r="H18" i="72"/>
  <c r="B18" i="72"/>
  <c r="S16" i="72"/>
  <c r="H16" i="72"/>
  <c r="B16" i="72"/>
  <c r="AG15" i="72"/>
  <c r="AG14" i="72"/>
  <c r="B13" i="72"/>
  <c r="AG12" i="72"/>
  <c r="S12" i="72"/>
  <c r="N12" i="72"/>
  <c r="B12" i="72"/>
  <c r="AI11" i="72"/>
  <c r="AK11" i="72" s="1"/>
  <c r="AG11" i="72"/>
  <c r="K11" i="72"/>
  <c r="B11" i="72"/>
  <c r="AG10" i="72"/>
  <c r="S10" i="72"/>
  <c r="B10" i="72"/>
  <c r="H9" i="72"/>
  <c r="S8" i="72"/>
  <c r="H8" i="72"/>
  <c r="B8" i="72"/>
  <c r="AG5" i="72"/>
  <c r="L5" i="72"/>
  <c r="O22" i="72" s="1"/>
  <c r="H23" i="72" s="1" a="1"/>
  <c r="H23" i="72" s="1"/>
  <c r="K5" i="72"/>
  <c r="D5" i="72"/>
  <c r="C5" i="72"/>
  <c r="L4" i="72"/>
  <c r="K4" i="72"/>
  <c r="D4" i="72"/>
  <c r="AG8" i="72" s="1"/>
  <c r="AG9" i="72" s="1"/>
  <c r="C4" i="72"/>
  <c r="C3" i="72"/>
  <c r="B65" i="71"/>
  <c r="Q59" i="71"/>
  <c r="I58" i="71"/>
  <c r="S57" i="71"/>
  <c r="C57" i="71"/>
  <c r="L56" i="71"/>
  <c r="AK57" i="71" s="1"/>
  <c r="J56" i="71"/>
  <c r="H56" i="71"/>
  <c r="L55" i="71"/>
  <c r="AI56" i="71" s="1"/>
  <c r="J55" i="71"/>
  <c r="H55" i="71"/>
  <c r="L54" i="71"/>
  <c r="AK55" i="71" s="1"/>
  <c r="J54" i="71"/>
  <c r="H54" i="71"/>
  <c r="L53" i="71"/>
  <c r="AI54" i="71" s="1"/>
  <c r="J53" i="71"/>
  <c r="H53" i="71"/>
  <c r="L52" i="71"/>
  <c r="AI53" i="71" s="1"/>
  <c r="J52" i="71"/>
  <c r="H52" i="71"/>
  <c r="L51" i="71"/>
  <c r="AK52" i="71" s="1"/>
  <c r="J51" i="71"/>
  <c r="H51" i="71"/>
  <c r="L50" i="71"/>
  <c r="AK51" i="71" s="1"/>
  <c r="J50" i="71"/>
  <c r="H50" i="71"/>
  <c r="L49" i="71"/>
  <c r="AI50" i="71" s="1"/>
  <c r="J49" i="71"/>
  <c r="H49" i="71"/>
  <c r="L48" i="71"/>
  <c r="AI49" i="71" s="1"/>
  <c r="J48" i="71"/>
  <c r="H48" i="71"/>
  <c r="L47" i="71"/>
  <c r="AK48" i="71" s="1"/>
  <c r="J47" i="71"/>
  <c r="H47" i="71"/>
  <c r="L46" i="71"/>
  <c r="AK47" i="71" s="1"/>
  <c r="J46" i="71"/>
  <c r="H46" i="71"/>
  <c r="L45" i="71"/>
  <c r="AI46" i="71" s="1"/>
  <c r="J45" i="71"/>
  <c r="H45" i="71"/>
  <c r="L44" i="71"/>
  <c r="AI45" i="71" s="1"/>
  <c r="J44" i="71"/>
  <c r="H44" i="71"/>
  <c r="W43" i="71"/>
  <c r="S43" i="71"/>
  <c r="L43" i="71"/>
  <c r="AK44" i="71" s="1"/>
  <c r="J43" i="71"/>
  <c r="H43" i="71"/>
  <c r="L42" i="71"/>
  <c r="AK43" i="71" s="1"/>
  <c r="J42" i="71"/>
  <c r="H42" i="71"/>
  <c r="S41" i="71"/>
  <c r="L41" i="71"/>
  <c r="AI42" i="71" s="1"/>
  <c r="J41" i="71"/>
  <c r="H41" i="71"/>
  <c r="L40" i="71"/>
  <c r="AI41" i="71" s="1"/>
  <c r="J40" i="71"/>
  <c r="H40" i="71"/>
  <c r="L39" i="71"/>
  <c r="AI40" i="71" s="1"/>
  <c r="J39" i="71"/>
  <c r="H39" i="71"/>
  <c r="AF38" i="71"/>
  <c r="AF39" i="71" s="1"/>
  <c r="AF40" i="71" s="1"/>
  <c r="AF41" i="71" s="1"/>
  <c r="AF42" i="71" s="1"/>
  <c r="AF43" i="71" s="1"/>
  <c r="AF44" i="71" s="1"/>
  <c r="AF45" i="71" s="1"/>
  <c r="AF46" i="71" s="1"/>
  <c r="AF47" i="71" s="1"/>
  <c r="AF48" i="71" s="1"/>
  <c r="AF49" i="71" s="1"/>
  <c r="AF50" i="71" s="1"/>
  <c r="AF51" i="71" s="1"/>
  <c r="AF52" i="71" s="1"/>
  <c r="AF53" i="71" s="1"/>
  <c r="AF54" i="71" s="1"/>
  <c r="AF55" i="71" s="1"/>
  <c r="AF56" i="71" s="1"/>
  <c r="AF57" i="71" s="1"/>
  <c r="L38" i="71"/>
  <c r="AI39" i="71" s="1"/>
  <c r="J38" i="71"/>
  <c r="H38" i="71"/>
  <c r="S37" i="71"/>
  <c r="L37" i="71"/>
  <c r="J37" i="71"/>
  <c r="H37" i="71"/>
  <c r="O36" i="71"/>
  <c r="L36" i="71"/>
  <c r="S35" i="71"/>
  <c r="L35" i="71"/>
  <c r="J35" i="71"/>
  <c r="H35" i="71"/>
  <c r="E35" i="71"/>
  <c r="D35" i="71"/>
  <c r="C35" i="71"/>
  <c r="S33" i="71"/>
  <c r="B33" i="71"/>
  <c r="AG30" i="71"/>
  <c r="B30" i="71"/>
  <c r="AG29" i="71"/>
  <c r="AG28" i="71"/>
  <c r="AG26" i="71"/>
  <c r="AA26" i="71"/>
  <c r="H26" i="71"/>
  <c r="D26" i="71"/>
  <c r="AA25" i="71"/>
  <c r="H25" i="71"/>
  <c r="C25" i="71"/>
  <c r="AG24" i="71"/>
  <c r="N26" i="71" s="1"/>
  <c r="AA24" i="71"/>
  <c r="O24" i="71"/>
  <c r="H24" i="71"/>
  <c r="C24" i="71"/>
  <c r="AB23" i="71"/>
  <c r="E23" i="71"/>
  <c r="D23" i="71"/>
  <c r="H22" i="71"/>
  <c r="B22" i="71"/>
  <c r="H21" i="71"/>
  <c r="AG20" i="71"/>
  <c r="H20" i="71"/>
  <c r="B20" i="71"/>
  <c r="H19" i="71"/>
  <c r="B19" i="71"/>
  <c r="AG18" i="71"/>
  <c r="E26" i="71" s="1"/>
  <c r="S18" i="71"/>
  <c r="M18" i="71"/>
  <c r="H18" i="71"/>
  <c r="B18" i="71"/>
  <c r="S16" i="71"/>
  <c r="H16" i="71"/>
  <c r="B16" i="71"/>
  <c r="AG15" i="71"/>
  <c r="AG14" i="71"/>
  <c r="B13" i="71"/>
  <c r="AG12" i="71"/>
  <c r="S12" i="71"/>
  <c r="B12" i="71"/>
  <c r="AI11" i="71"/>
  <c r="AK11" i="71" s="1"/>
  <c r="AG11" i="71"/>
  <c r="K11" i="71"/>
  <c r="B11" i="71"/>
  <c r="AG10" i="71"/>
  <c r="S10" i="71"/>
  <c r="B10" i="71"/>
  <c r="H9" i="71"/>
  <c r="S8" i="71"/>
  <c r="H8" i="71"/>
  <c r="B8" i="71"/>
  <c r="AG5" i="71"/>
  <c r="L5" i="71"/>
  <c r="O22" i="71" s="1"/>
  <c r="H23" i="71" s="1" a="1"/>
  <c r="H23" i="71" s="1"/>
  <c r="K5" i="71"/>
  <c r="D5" i="71"/>
  <c r="C5" i="71"/>
  <c r="L4" i="71"/>
  <c r="K4" i="71"/>
  <c r="D4" i="71"/>
  <c r="AG8" i="71" s="1"/>
  <c r="AG9" i="71" s="1"/>
  <c r="C4" i="71"/>
  <c r="C3" i="71"/>
  <c r="B48" i="70"/>
  <c r="B45" i="70"/>
  <c r="W43" i="70"/>
  <c r="S43" i="70"/>
  <c r="B43" i="70"/>
  <c r="B41" i="70"/>
  <c r="B39" i="70"/>
  <c r="S38" i="70"/>
  <c r="S37" i="70"/>
  <c r="K37" i="70"/>
  <c r="AA35" i="70" s="1"/>
  <c r="B37" i="70"/>
  <c r="AG36" i="70"/>
  <c r="H45" i="70" s="1"/>
  <c r="S36" i="70"/>
  <c r="AG35" i="70"/>
  <c r="E41" i="70" s="1"/>
  <c r="S35" i="70"/>
  <c r="K35" i="70"/>
  <c r="H35" i="70"/>
  <c r="E35" i="70"/>
  <c r="D35" i="70"/>
  <c r="AG34" i="70"/>
  <c r="D45" i="70" s="1"/>
  <c r="B33" i="70"/>
  <c r="AG30" i="70"/>
  <c r="B30" i="70"/>
  <c r="AG29" i="70"/>
  <c r="AG28" i="70"/>
  <c r="AG26" i="70"/>
  <c r="AA26" i="70"/>
  <c r="H26" i="70"/>
  <c r="D26" i="70"/>
  <c r="AA25" i="70"/>
  <c r="H25" i="70"/>
  <c r="C25" i="70"/>
  <c r="AA24" i="70"/>
  <c r="O24" i="70"/>
  <c r="H24" i="70"/>
  <c r="C24" i="70"/>
  <c r="AB23" i="70"/>
  <c r="E23" i="70"/>
  <c r="D23" i="70"/>
  <c r="H22" i="70"/>
  <c r="B22" i="70"/>
  <c r="AG21" i="70"/>
  <c r="AG23" i="70" s="1"/>
  <c r="H21" i="70"/>
  <c r="H20" i="70"/>
  <c r="B20" i="70"/>
  <c r="AG19" i="70"/>
  <c r="L27" i="70" s="1"/>
  <c r="H19" i="70"/>
  <c r="B19" i="70"/>
  <c r="AG18" i="70"/>
  <c r="S18" i="70"/>
  <c r="M18" i="70"/>
  <c r="H18" i="70"/>
  <c r="B18" i="70"/>
  <c r="S16" i="70"/>
  <c r="H16" i="70"/>
  <c r="B16" i="70"/>
  <c r="B13" i="70"/>
  <c r="S12" i="70"/>
  <c r="N12" i="70"/>
  <c r="B12" i="70"/>
  <c r="AI11" i="70"/>
  <c r="AJ11" i="70" s="1"/>
  <c r="K11" i="70"/>
  <c r="B11" i="70"/>
  <c r="S10" i="70"/>
  <c r="B10" i="70"/>
  <c r="H9" i="70"/>
  <c r="S8" i="70"/>
  <c r="H8" i="70"/>
  <c r="B8" i="70"/>
  <c r="AG5" i="70"/>
  <c r="L5" i="70"/>
  <c r="O22" i="70" s="1"/>
  <c r="H23" i="70" s="1" a="1"/>
  <c r="H23" i="70" s="1"/>
  <c r="K5" i="70"/>
  <c r="D5" i="70"/>
  <c r="C5" i="70"/>
  <c r="L4" i="70"/>
  <c r="K4" i="70"/>
  <c r="D4" i="70"/>
  <c r="AG8" i="70" s="1"/>
  <c r="AG9" i="70" s="1"/>
  <c r="AG15" i="70" s="1"/>
  <c r="C4" i="70"/>
  <c r="C3" i="70"/>
  <c r="B65" i="69"/>
  <c r="Q59" i="69"/>
  <c r="I58" i="69"/>
  <c r="S57" i="69"/>
  <c r="C57" i="69"/>
  <c r="L56" i="69"/>
  <c r="AK57" i="69" s="1"/>
  <c r="J56" i="69"/>
  <c r="H56" i="69"/>
  <c r="L55" i="69"/>
  <c r="AK56" i="69" s="1"/>
  <c r="J55" i="69"/>
  <c r="H55" i="69"/>
  <c r="L54" i="69"/>
  <c r="AK55" i="69" s="1"/>
  <c r="J54" i="69"/>
  <c r="H54" i="69"/>
  <c r="L53" i="69"/>
  <c r="AI54" i="69" s="1"/>
  <c r="J53" i="69"/>
  <c r="H53" i="69"/>
  <c r="L52" i="69"/>
  <c r="AI53" i="69" s="1"/>
  <c r="J52" i="69"/>
  <c r="H52" i="69"/>
  <c r="L51" i="69"/>
  <c r="AK52" i="69" s="1"/>
  <c r="J51" i="69"/>
  <c r="H51" i="69"/>
  <c r="L50" i="69"/>
  <c r="AK51" i="69" s="1"/>
  <c r="J50" i="69"/>
  <c r="H50" i="69"/>
  <c r="L49" i="69"/>
  <c r="AI50" i="69" s="1"/>
  <c r="J49" i="69"/>
  <c r="H49" i="69"/>
  <c r="L48" i="69"/>
  <c r="AI49" i="69" s="1"/>
  <c r="J48" i="69"/>
  <c r="H48" i="69"/>
  <c r="L47" i="69"/>
  <c r="AK48" i="69" s="1"/>
  <c r="J47" i="69"/>
  <c r="H47" i="69"/>
  <c r="L46" i="69"/>
  <c r="J46" i="69"/>
  <c r="H46" i="69"/>
  <c r="L45" i="69"/>
  <c r="AI46" i="69" s="1"/>
  <c r="J45" i="69"/>
  <c r="H45" i="69"/>
  <c r="L44" i="69"/>
  <c r="AI45" i="69" s="1"/>
  <c r="J44" i="69"/>
  <c r="H44" i="69"/>
  <c r="W43" i="69"/>
  <c r="S43" i="69"/>
  <c r="L43" i="69"/>
  <c r="AK44" i="69" s="1"/>
  <c r="J43" i="69"/>
  <c r="H43" i="69"/>
  <c r="L42" i="69"/>
  <c r="AK43" i="69" s="1"/>
  <c r="J42" i="69"/>
  <c r="H42" i="69"/>
  <c r="S41" i="69"/>
  <c r="L41" i="69"/>
  <c r="AI42" i="69" s="1"/>
  <c r="J41" i="69"/>
  <c r="H41" i="69"/>
  <c r="L40" i="69"/>
  <c r="AI41" i="69" s="1"/>
  <c r="J40" i="69"/>
  <c r="H40" i="69"/>
  <c r="L39" i="69"/>
  <c r="AI40" i="69" s="1"/>
  <c r="J39" i="69"/>
  <c r="H39" i="69"/>
  <c r="AF38" i="69"/>
  <c r="AF39" i="69" s="1"/>
  <c r="AF40" i="69" s="1"/>
  <c r="AF41" i="69" s="1"/>
  <c r="AF42" i="69" s="1"/>
  <c r="AF43" i="69" s="1"/>
  <c r="AF44" i="69" s="1"/>
  <c r="AF45" i="69" s="1"/>
  <c r="AF46" i="69" s="1"/>
  <c r="AF47" i="69" s="1"/>
  <c r="AF48" i="69" s="1"/>
  <c r="AF49" i="69" s="1"/>
  <c r="AF50" i="69" s="1"/>
  <c r="AF51" i="69" s="1"/>
  <c r="AF52" i="69" s="1"/>
  <c r="AF53" i="69" s="1"/>
  <c r="AF54" i="69" s="1"/>
  <c r="AF55" i="69" s="1"/>
  <c r="AF56" i="69" s="1"/>
  <c r="AF57" i="69" s="1"/>
  <c r="L38" i="69"/>
  <c r="AI39" i="69" s="1"/>
  <c r="J38" i="69"/>
  <c r="H38" i="69"/>
  <c r="S37" i="69"/>
  <c r="L37" i="69"/>
  <c r="J37" i="69"/>
  <c r="H37" i="69"/>
  <c r="O36" i="69"/>
  <c r="L36" i="69"/>
  <c r="S35" i="69"/>
  <c r="L35" i="69"/>
  <c r="J35" i="69"/>
  <c r="H35" i="69"/>
  <c r="E35" i="69"/>
  <c r="D35" i="69"/>
  <c r="C35" i="69"/>
  <c r="S33" i="69"/>
  <c r="B33" i="69"/>
  <c r="AG30" i="69"/>
  <c r="B30" i="69"/>
  <c r="AG29" i="69"/>
  <c r="AG28" i="69"/>
  <c r="AG26" i="69"/>
  <c r="AA26" i="69"/>
  <c r="H26" i="69"/>
  <c r="D26" i="69"/>
  <c r="AA25" i="69"/>
  <c r="H25" i="69"/>
  <c r="C25" i="69"/>
  <c r="AA24" i="69"/>
  <c r="O24" i="69"/>
  <c r="H24" i="69"/>
  <c r="C24" i="69"/>
  <c r="AB23" i="69"/>
  <c r="E23" i="69"/>
  <c r="D23" i="69"/>
  <c r="H22" i="69"/>
  <c r="B22" i="69"/>
  <c r="H21" i="69"/>
  <c r="AG20" i="69"/>
  <c r="L27" i="69" s="1"/>
  <c r="H20" i="69"/>
  <c r="B20" i="69"/>
  <c r="H19" i="69"/>
  <c r="B19" i="69"/>
  <c r="AG18" i="69"/>
  <c r="E26" i="69" s="1"/>
  <c r="S18" i="69"/>
  <c r="M18" i="69"/>
  <c r="H18" i="69"/>
  <c r="B18" i="69"/>
  <c r="S16" i="69"/>
  <c r="H16" i="69"/>
  <c r="B16" i="69"/>
  <c r="B13" i="69"/>
  <c r="S12" i="69"/>
  <c r="B12" i="69"/>
  <c r="AI11" i="69"/>
  <c r="AJ11" i="69" s="1"/>
  <c r="K11" i="69"/>
  <c r="B11" i="69"/>
  <c r="S10" i="69"/>
  <c r="B10" i="69"/>
  <c r="H9" i="69"/>
  <c r="S8" i="69"/>
  <c r="H8" i="69"/>
  <c r="B8" i="69"/>
  <c r="AG5" i="69"/>
  <c r="L5" i="69"/>
  <c r="O22" i="69" s="1"/>
  <c r="H23" i="69" s="1" a="1"/>
  <c r="H23" i="69" s="1"/>
  <c r="K5" i="69"/>
  <c r="D5" i="69"/>
  <c r="C5" i="69"/>
  <c r="L4" i="69"/>
  <c r="K4" i="69"/>
  <c r="D4" i="69"/>
  <c r="AG8" i="69" s="1"/>
  <c r="AG9" i="69" s="1"/>
  <c r="C4" i="69"/>
  <c r="C3" i="69"/>
  <c r="B28" i="71" l="1" a="1"/>
  <c r="B28" i="71" s="1"/>
  <c r="K45" i="72"/>
  <c r="AA36" i="72" s="1"/>
  <c r="AG10" i="70"/>
  <c r="AJ11" i="71"/>
  <c r="AG6" i="71"/>
  <c r="AG7" i="71" s="1"/>
  <c r="AG16" i="71" s="1"/>
  <c r="U43" i="71" s="1"/>
  <c r="H57" i="71"/>
  <c r="AA35" i="71" s="1"/>
  <c r="AG20" i="72"/>
  <c r="B28" i="72" a="1"/>
  <c r="B28" i="72" s="1"/>
  <c r="AG6" i="72"/>
  <c r="AG7" i="72" s="1"/>
  <c r="AG16" i="72" s="1"/>
  <c r="AG17" i="72" s="1"/>
  <c r="L25" i="72" s="1"/>
  <c r="AG11" i="70"/>
  <c r="AG14" i="70"/>
  <c r="AK11" i="70"/>
  <c r="AG12" i="70"/>
  <c r="B28" i="70" a="1"/>
  <c r="B28" i="70" s="1"/>
  <c r="AG6" i="70"/>
  <c r="AG7" i="70" s="1"/>
  <c r="AJ12" i="70"/>
  <c r="AG10" i="69"/>
  <c r="AG12" i="69"/>
  <c r="AG11" i="69"/>
  <c r="AG15" i="69"/>
  <c r="AG14" i="69"/>
  <c r="AG6" i="69"/>
  <c r="AG7" i="69" s="1"/>
  <c r="H57" i="69"/>
  <c r="AA35" i="69" s="1"/>
  <c r="AK45" i="71"/>
  <c r="AK46" i="71"/>
  <c r="AI57" i="71"/>
  <c r="E26" i="72"/>
  <c r="N27" i="72"/>
  <c r="D41" i="72"/>
  <c r="E45" i="72"/>
  <c r="AI48" i="71"/>
  <c r="AK49" i="71"/>
  <c r="AK50" i="71"/>
  <c r="AJ11" i="72"/>
  <c r="AJ12" i="72"/>
  <c r="AK39" i="71"/>
  <c r="AK40" i="71"/>
  <c r="AI44" i="71"/>
  <c r="H27" i="72"/>
  <c r="AK53" i="71"/>
  <c r="AK54" i="71"/>
  <c r="AK42" i="71"/>
  <c r="AG21" i="71"/>
  <c r="L27" i="71"/>
  <c r="H27" i="71"/>
  <c r="L57" i="71"/>
  <c r="AK38" i="71"/>
  <c r="AI38" i="71"/>
  <c r="AI52" i="71"/>
  <c r="AK56" i="71"/>
  <c r="AK41" i="71"/>
  <c r="AI43" i="71"/>
  <c r="AI47" i="71"/>
  <c r="AI51" i="71"/>
  <c r="AI55" i="71"/>
  <c r="AK11" i="69"/>
  <c r="AK46" i="69"/>
  <c r="B28" i="69" a="1"/>
  <c r="B28" i="69" s="1"/>
  <c r="AK45" i="69"/>
  <c r="AK49" i="69"/>
  <c r="AK50" i="69"/>
  <c r="AI57" i="69"/>
  <c r="E26" i="70"/>
  <c r="N27" i="70"/>
  <c r="D41" i="70"/>
  <c r="E45" i="70"/>
  <c r="K45" i="70" s="1"/>
  <c r="H27" i="70"/>
  <c r="AK39" i="69"/>
  <c r="AK40" i="69"/>
  <c r="AI52" i="69"/>
  <c r="AK53" i="69"/>
  <c r="AK54" i="69"/>
  <c r="AK42" i="69"/>
  <c r="AK47" i="69"/>
  <c r="AI47" i="69"/>
  <c r="AI56" i="69"/>
  <c r="H27" i="69"/>
  <c r="L57" i="69"/>
  <c r="AK38" i="69"/>
  <c r="AI44" i="69"/>
  <c r="AI38" i="69"/>
  <c r="AK41" i="69"/>
  <c r="AI43" i="69"/>
  <c r="AI48" i="69"/>
  <c r="AI51" i="69"/>
  <c r="AI55" i="69"/>
  <c r="H35" i="66"/>
  <c r="AG20" i="70" l="1"/>
  <c r="U43" i="72"/>
  <c r="AG38" i="72" s="1"/>
  <c r="AG21" i="69"/>
  <c r="AJ47" i="71"/>
  <c r="AG17" i="71"/>
  <c r="L26" i="71" s="1" a="1"/>
  <c r="L26" i="71" s="1"/>
  <c r="AG25" i="71" s="1" a="1"/>
  <c r="AG25" i="71" s="1"/>
  <c r="Y12" i="71" s="1" a="1"/>
  <c r="Y12" i="71" s="1"/>
  <c r="AG16" i="69"/>
  <c r="AG17" i="69" s="1"/>
  <c r="AG47" i="69" s="1"/>
  <c r="L26" i="72" a="1"/>
  <c r="L26" i="72" s="1"/>
  <c r="AG25" i="72" s="1" a="1"/>
  <c r="AG25" i="72" s="1"/>
  <c r="Y12" i="72" s="1" a="1"/>
  <c r="Y12" i="72" s="1"/>
  <c r="AG16" i="70"/>
  <c r="AG17" i="70" s="1"/>
  <c r="L25" i="70" s="1"/>
  <c r="U43" i="70"/>
  <c r="AG38" i="70" s="1"/>
  <c r="AA36" i="70"/>
  <c r="AJ56" i="71"/>
  <c r="AJ53" i="71"/>
  <c r="AJ43" i="71"/>
  <c r="AJ38" i="71"/>
  <c r="AJ45" i="71"/>
  <c r="AJ54" i="71"/>
  <c r="AJ50" i="71"/>
  <c r="AJ46" i="71"/>
  <c r="AJ49" i="71"/>
  <c r="AJ52" i="71"/>
  <c r="AJ44" i="71"/>
  <c r="AJ57" i="71"/>
  <c r="AJ55" i="71"/>
  <c r="AJ48" i="71"/>
  <c r="AJ41" i="71"/>
  <c r="AJ51" i="71"/>
  <c r="AL60" i="71"/>
  <c r="AJ40" i="71"/>
  <c r="AJ42" i="71"/>
  <c r="AJ39" i="71"/>
  <c r="AJ41" i="69"/>
  <c r="AJ52" i="69"/>
  <c r="AJ48" i="69"/>
  <c r="AJ57" i="69"/>
  <c r="AJ43" i="69"/>
  <c r="AJ50" i="69"/>
  <c r="AL60" i="69"/>
  <c r="AJ45" i="69"/>
  <c r="AJ51" i="69"/>
  <c r="AJ54" i="69"/>
  <c r="AJ40" i="69"/>
  <c r="AJ46" i="69"/>
  <c r="AJ49" i="69"/>
  <c r="AJ38" i="69"/>
  <c r="AJ44" i="69"/>
  <c r="AJ56" i="69"/>
  <c r="AJ42" i="69"/>
  <c r="AJ39" i="69"/>
  <c r="AJ47" i="69"/>
  <c r="AJ53" i="69"/>
  <c r="AJ55" i="69"/>
  <c r="D5" i="66"/>
  <c r="B20" i="66"/>
  <c r="C3" i="2"/>
  <c r="B48" i="67"/>
  <c r="B45" i="67"/>
  <c r="W43" i="67"/>
  <c r="S43" i="67"/>
  <c r="B43" i="67"/>
  <c r="B41" i="67"/>
  <c r="B39" i="67"/>
  <c r="S37" i="67"/>
  <c r="K37" i="67"/>
  <c r="AA35" i="67" s="1"/>
  <c r="B37" i="67"/>
  <c r="AG36" i="67"/>
  <c r="H45" i="67" s="1"/>
  <c r="S36" i="67"/>
  <c r="AG35" i="67"/>
  <c r="E41" i="67" s="1"/>
  <c r="S35" i="67"/>
  <c r="K35" i="67"/>
  <c r="H35" i="67"/>
  <c r="E35" i="67"/>
  <c r="D35" i="67"/>
  <c r="AG34" i="67"/>
  <c r="B33" i="67"/>
  <c r="AG30" i="67"/>
  <c r="B30" i="67"/>
  <c r="AG29" i="67"/>
  <c r="AG28" i="67"/>
  <c r="AG26" i="67"/>
  <c r="AA26" i="67"/>
  <c r="H26" i="67"/>
  <c r="D26" i="67"/>
  <c r="AA25" i="67"/>
  <c r="H25" i="67"/>
  <c r="C25" i="67"/>
  <c r="AA24" i="67"/>
  <c r="O24" i="67"/>
  <c r="H24" i="67"/>
  <c r="C24" i="67"/>
  <c r="AB23" i="67"/>
  <c r="E23" i="67"/>
  <c r="D23" i="67"/>
  <c r="H22" i="67"/>
  <c r="B22" i="67"/>
  <c r="AG21" i="67"/>
  <c r="AG23" i="67" s="1"/>
  <c r="H21" i="67"/>
  <c r="H20" i="67"/>
  <c r="B20" i="67"/>
  <c r="AG19" i="67"/>
  <c r="L27" i="67" s="1"/>
  <c r="H19" i="67"/>
  <c r="B19" i="67"/>
  <c r="AG18" i="67"/>
  <c r="E26" i="67" s="1"/>
  <c r="S18" i="67"/>
  <c r="M18" i="67"/>
  <c r="H18" i="67"/>
  <c r="B18" i="67"/>
  <c r="S16" i="67"/>
  <c r="H16" i="67"/>
  <c r="B16" i="67"/>
  <c r="B13" i="67"/>
  <c r="S12" i="67"/>
  <c r="N12" i="67"/>
  <c r="B12" i="67"/>
  <c r="AI11" i="67"/>
  <c r="AK11" i="67" s="1"/>
  <c r="K11" i="67"/>
  <c r="B11" i="67"/>
  <c r="S10" i="67"/>
  <c r="B10" i="67"/>
  <c r="H9" i="67"/>
  <c r="S8" i="67"/>
  <c r="H8" i="67"/>
  <c r="B8" i="67"/>
  <c r="AG5" i="67"/>
  <c r="L5" i="67"/>
  <c r="O22" i="67" s="1"/>
  <c r="H23" i="67" s="1" a="1"/>
  <c r="H23" i="67" s="1"/>
  <c r="K5" i="67"/>
  <c r="D5" i="67"/>
  <c r="C5" i="67"/>
  <c r="L4" i="67"/>
  <c r="K4" i="67"/>
  <c r="D4" i="67"/>
  <c r="AG8" i="67" s="1"/>
  <c r="AG9" i="67" s="1"/>
  <c r="AG10" i="67" s="1"/>
  <c r="C4" i="67"/>
  <c r="C3" i="67"/>
  <c r="B65" i="66"/>
  <c r="Q59" i="66"/>
  <c r="I58" i="66"/>
  <c r="S57" i="66"/>
  <c r="C57" i="66"/>
  <c r="L56" i="66"/>
  <c r="AK57" i="66" s="1"/>
  <c r="J56" i="66"/>
  <c r="H56" i="66"/>
  <c r="L55" i="66"/>
  <c r="AK56" i="66" s="1"/>
  <c r="J55" i="66"/>
  <c r="H55" i="66"/>
  <c r="L54" i="66"/>
  <c r="AI55" i="66" s="1"/>
  <c r="J54" i="66"/>
  <c r="H54" i="66"/>
  <c r="L53" i="66"/>
  <c r="AI54" i="66" s="1"/>
  <c r="J53" i="66"/>
  <c r="H53" i="66"/>
  <c r="L52" i="66"/>
  <c r="AI53" i="66" s="1"/>
  <c r="J52" i="66"/>
  <c r="H52" i="66"/>
  <c r="L51" i="66"/>
  <c r="AK52" i="66" s="1"/>
  <c r="J51" i="66"/>
  <c r="H51" i="66"/>
  <c r="L50" i="66"/>
  <c r="AI51" i="66" s="1"/>
  <c r="J50" i="66"/>
  <c r="H50" i="66"/>
  <c r="L49" i="66"/>
  <c r="AI50" i="66" s="1"/>
  <c r="J49" i="66"/>
  <c r="H49" i="66"/>
  <c r="L48" i="66"/>
  <c r="AI49" i="66" s="1"/>
  <c r="J48" i="66"/>
  <c r="H48" i="66"/>
  <c r="L47" i="66"/>
  <c r="AK48" i="66" s="1"/>
  <c r="J47" i="66"/>
  <c r="H47" i="66"/>
  <c r="L46" i="66"/>
  <c r="AI47" i="66" s="1"/>
  <c r="J46" i="66"/>
  <c r="H46" i="66"/>
  <c r="L45" i="66"/>
  <c r="AI46" i="66" s="1"/>
  <c r="J45" i="66"/>
  <c r="H45" i="66"/>
  <c r="L44" i="66"/>
  <c r="AI45" i="66" s="1"/>
  <c r="J44" i="66"/>
  <c r="H44" i="66"/>
  <c r="W43" i="66"/>
  <c r="S43" i="66"/>
  <c r="L43" i="66"/>
  <c r="AK44" i="66" s="1"/>
  <c r="J43" i="66"/>
  <c r="H43" i="66"/>
  <c r="L42" i="66"/>
  <c r="AI43" i="66" s="1"/>
  <c r="J42" i="66"/>
  <c r="H42" i="66"/>
  <c r="S41" i="66"/>
  <c r="L41" i="66"/>
  <c r="AI42" i="66" s="1"/>
  <c r="J41" i="66"/>
  <c r="H41" i="66"/>
  <c r="L40" i="66"/>
  <c r="AK41" i="66" s="1"/>
  <c r="J40" i="66"/>
  <c r="H40" i="66"/>
  <c r="L39" i="66"/>
  <c r="AI40" i="66" s="1"/>
  <c r="J39" i="66"/>
  <c r="H39" i="66"/>
  <c r="AF38" i="66"/>
  <c r="AF39" i="66" s="1"/>
  <c r="AF40" i="66" s="1"/>
  <c r="AF41" i="66" s="1"/>
  <c r="AF42" i="66" s="1"/>
  <c r="AF43" i="66" s="1"/>
  <c r="AF44" i="66" s="1"/>
  <c r="AF45" i="66" s="1"/>
  <c r="AF46" i="66" s="1"/>
  <c r="AF47" i="66" s="1"/>
  <c r="AF48" i="66" s="1"/>
  <c r="AF49" i="66" s="1"/>
  <c r="AF50" i="66" s="1"/>
  <c r="AF51" i="66" s="1"/>
  <c r="AF52" i="66" s="1"/>
  <c r="AF53" i="66" s="1"/>
  <c r="AF54" i="66" s="1"/>
  <c r="AF55" i="66" s="1"/>
  <c r="AF56" i="66" s="1"/>
  <c r="AF57" i="66" s="1"/>
  <c r="L38" i="66"/>
  <c r="AI39" i="66" s="1"/>
  <c r="J38" i="66"/>
  <c r="H38" i="66"/>
  <c r="S37" i="66"/>
  <c r="L37" i="66"/>
  <c r="J37" i="66"/>
  <c r="H37" i="66"/>
  <c r="O36" i="66"/>
  <c r="L36" i="66"/>
  <c r="S35" i="66"/>
  <c r="L35" i="66"/>
  <c r="J35" i="66"/>
  <c r="E35" i="66"/>
  <c r="D35" i="66"/>
  <c r="C35" i="66"/>
  <c r="S33" i="66"/>
  <c r="B33" i="66"/>
  <c r="AG30" i="66"/>
  <c r="B30" i="66"/>
  <c r="AG29" i="66"/>
  <c r="AG28" i="66"/>
  <c r="AG26" i="66"/>
  <c r="AA26" i="66"/>
  <c r="H26" i="66"/>
  <c r="D26" i="66"/>
  <c r="AA25" i="66"/>
  <c r="H25" i="66"/>
  <c r="C25" i="66"/>
  <c r="AA24" i="66"/>
  <c r="O24" i="66"/>
  <c r="H24" i="66"/>
  <c r="C24" i="66"/>
  <c r="AB23" i="66"/>
  <c r="E23" i="66"/>
  <c r="D23" i="66"/>
  <c r="H22" i="66"/>
  <c r="B22" i="66"/>
  <c r="H21" i="66"/>
  <c r="AG20" i="66"/>
  <c r="L27" i="66" s="1"/>
  <c r="H20" i="66"/>
  <c r="H19" i="66"/>
  <c r="B19" i="66"/>
  <c r="AG18" i="66"/>
  <c r="E26" i="66" s="1"/>
  <c r="S18" i="66"/>
  <c r="M18" i="66"/>
  <c r="H18" i="66"/>
  <c r="B18" i="66"/>
  <c r="S16" i="66"/>
  <c r="H16" i="66"/>
  <c r="B16" i="66"/>
  <c r="B13" i="66"/>
  <c r="S12" i="66"/>
  <c r="B12" i="66"/>
  <c r="AI11" i="66"/>
  <c r="AK11" i="66" s="1"/>
  <c r="K11" i="66"/>
  <c r="B11" i="66"/>
  <c r="S10" i="66"/>
  <c r="B10" i="66"/>
  <c r="H9" i="66"/>
  <c r="S8" i="66"/>
  <c r="H8" i="66"/>
  <c r="B8" i="66"/>
  <c r="AG5" i="66"/>
  <c r="L5" i="66"/>
  <c r="O22" i="66" s="1"/>
  <c r="H23" i="66" s="1" a="1"/>
  <c r="H23" i="66" s="1"/>
  <c r="K5" i="66"/>
  <c r="C5" i="66"/>
  <c r="L4" i="66"/>
  <c r="K4" i="66"/>
  <c r="D4" i="66"/>
  <c r="AG8" i="66" s="1"/>
  <c r="AG9" i="66" s="1"/>
  <c r="AG10" i="66" s="1"/>
  <c r="C4" i="66"/>
  <c r="C3" i="66"/>
  <c r="AG50" i="71" l="1"/>
  <c r="AG46" i="71"/>
  <c r="AG48" i="71"/>
  <c r="AG39" i="71"/>
  <c r="AG45" i="69"/>
  <c r="AG53" i="71"/>
  <c r="AG52" i="69"/>
  <c r="AG55" i="71"/>
  <c r="AG24" i="70"/>
  <c r="L26" i="70" s="1" a="1"/>
  <c r="L26" i="70" s="1"/>
  <c r="B31" i="70" s="1" a="1"/>
  <c r="B31" i="70" s="1"/>
  <c r="AG54" i="71"/>
  <c r="L25" i="71"/>
  <c r="AG52" i="71"/>
  <c r="AG41" i="71"/>
  <c r="AG43" i="71"/>
  <c r="AG37" i="71"/>
  <c r="AG38" i="71"/>
  <c r="AG56" i="71"/>
  <c r="AG45" i="71"/>
  <c r="AG47" i="71"/>
  <c r="AH48" i="71" s="1"/>
  <c r="AG42" i="71"/>
  <c r="AG40" i="71"/>
  <c r="AG44" i="71"/>
  <c r="AH44" i="71" s="1"/>
  <c r="AG57" i="71"/>
  <c r="AG49" i="71"/>
  <c r="AH50" i="71" s="1"/>
  <c r="AG51" i="71"/>
  <c r="AH51" i="71" s="1"/>
  <c r="B31" i="71" a="1"/>
  <c r="B31" i="71" s="1"/>
  <c r="AG37" i="69"/>
  <c r="AG53" i="69"/>
  <c r="AG46" i="69"/>
  <c r="AH46" i="69" s="1"/>
  <c r="AG51" i="69"/>
  <c r="AG39" i="69"/>
  <c r="AG54" i="69"/>
  <c r="AG38" i="69"/>
  <c r="AH38" i="69" s="1"/>
  <c r="AL41" i="69" s="1"/>
  <c r="AG56" i="69"/>
  <c r="L25" i="69"/>
  <c r="AG55" i="69"/>
  <c r="AG41" i="69"/>
  <c r="AG40" i="69"/>
  <c r="AG44" i="69"/>
  <c r="AH45" i="69" s="1"/>
  <c r="AG57" i="69"/>
  <c r="AG43" i="69"/>
  <c r="AH43" i="69" s="1"/>
  <c r="AG24" i="69"/>
  <c r="N26" i="69" s="1"/>
  <c r="AG50" i="69"/>
  <c r="AG42" i="69"/>
  <c r="AG48" i="69"/>
  <c r="AH48" i="69" s="1"/>
  <c r="AG49" i="69"/>
  <c r="U43" i="69"/>
  <c r="AH41" i="71"/>
  <c r="B31" i="72" a="1"/>
  <c r="B31" i="72" s="1"/>
  <c r="AG14" i="67"/>
  <c r="AG33" i="71"/>
  <c r="H61" i="71" s="1"/>
  <c r="O53" i="71"/>
  <c r="O49" i="71"/>
  <c r="O45" i="71"/>
  <c r="O39" i="71"/>
  <c r="AG35" i="71"/>
  <c r="O43" i="71"/>
  <c r="O41" i="71"/>
  <c r="O54" i="71"/>
  <c r="O50" i="71"/>
  <c r="O46" i="71"/>
  <c r="O42" i="71"/>
  <c r="O40" i="71"/>
  <c r="O55" i="71"/>
  <c r="O51" i="71"/>
  <c r="O47" i="71"/>
  <c r="O37" i="71"/>
  <c r="O56" i="71"/>
  <c r="O48" i="71"/>
  <c r="O38" i="71"/>
  <c r="O52" i="71"/>
  <c r="O44" i="71"/>
  <c r="AG33" i="69"/>
  <c r="H61" i="69" s="1"/>
  <c r="AG14" i="66"/>
  <c r="AG15" i="66"/>
  <c r="AG15" i="67"/>
  <c r="AG12" i="66"/>
  <c r="AG12" i="67"/>
  <c r="H57" i="66"/>
  <c r="AA35" i="66" s="1"/>
  <c r="AG11" i="67"/>
  <c r="AG6" i="67"/>
  <c r="AG7" i="67" s="1"/>
  <c r="B28" i="66" a="1"/>
  <c r="B28" i="66" s="1"/>
  <c r="D41" i="67"/>
  <c r="D45" i="67" s="1"/>
  <c r="E45" i="67"/>
  <c r="N27" i="67"/>
  <c r="AG6" i="66"/>
  <c r="AG7" i="66" s="1"/>
  <c r="AI41" i="66"/>
  <c r="B28" i="67" a="1"/>
  <c r="B28" i="67" s="1"/>
  <c r="AK43" i="66"/>
  <c r="AK50" i="66"/>
  <c r="AK51" i="66"/>
  <c r="AJ11" i="67"/>
  <c r="AJ12" i="67"/>
  <c r="H27" i="67"/>
  <c r="L57" i="66"/>
  <c r="AL60" i="66" s="1"/>
  <c r="AK40" i="66"/>
  <c r="AK46" i="66"/>
  <c r="AK47" i="66"/>
  <c r="AK54" i="66"/>
  <c r="AK55" i="66"/>
  <c r="AI38" i="66"/>
  <c r="AK42" i="66"/>
  <c r="AI44" i="66"/>
  <c r="AI48" i="66"/>
  <c r="AI52" i="66"/>
  <c r="AI56" i="66"/>
  <c r="AI57" i="66"/>
  <c r="AJ11" i="66"/>
  <c r="AK39" i="66"/>
  <c r="AK45" i="66"/>
  <c r="AK49" i="66"/>
  <c r="AK53" i="66"/>
  <c r="H27" i="66"/>
  <c r="AK38" i="66"/>
  <c r="K45" i="67" l="1"/>
  <c r="U43" i="67" s="1"/>
  <c r="AG38" i="67" s="1"/>
  <c r="S38" i="67" s="1"/>
  <c r="AG20" i="67"/>
  <c r="AH55" i="69"/>
  <c r="AH51" i="69"/>
  <c r="AH53" i="71"/>
  <c r="AH56" i="71"/>
  <c r="AH40" i="69"/>
  <c r="AH52" i="69"/>
  <c r="AH45" i="71"/>
  <c r="AH54" i="71"/>
  <c r="AH46" i="71"/>
  <c r="AH55" i="71"/>
  <c r="AH40" i="71"/>
  <c r="AH38" i="71"/>
  <c r="AL43" i="71" s="1"/>
  <c r="AH53" i="69"/>
  <c r="AH43" i="71"/>
  <c r="AH42" i="69"/>
  <c r="AH39" i="71"/>
  <c r="AH49" i="71"/>
  <c r="AH57" i="69"/>
  <c r="AH57" i="71"/>
  <c r="AL47" i="71"/>
  <c r="AH42" i="71"/>
  <c r="AH54" i="69"/>
  <c r="AG25" i="70" a="1"/>
  <c r="AG25" i="70" s="1"/>
  <c r="Y12" i="70" s="1" a="1"/>
  <c r="Y12" i="70" s="1"/>
  <c r="AH47" i="71"/>
  <c r="AH52" i="71"/>
  <c r="AH56" i="69"/>
  <c r="AH47" i="69"/>
  <c r="AH44" i="69"/>
  <c r="AH49" i="69"/>
  <c r="AH39" i="69"/>
  <c r="AH41" i="69"/>
  <c r="L26" i="69" a="1"/>
  <c r="L26" i="69" s="1"/>
  <c r="B31" i="69" s="1" a="1"/>
  <c r="B31" i="69" s="1"/>
  <c r="AH50" i="69"/>
  <c r="AL50" i="69"/>
  <c r="AG21" i="66"/>
  <c r="AL53" i="69"/>
  <c r="AL55" i="69"/>
  <c r="AL38" i="69"/>
  <c r="AL59" i="69" s="1"/>
  <c r="AL61" i="69" s="1"/>
  <c r="AL65" i="69" s="1"/>
  <c r="AL42" i="69"/>
  <c r="AL69" i="71"/>
  <c r="AL72" i="71" s="1"/>
  <c r="AL64" i="71"/>
  <c r="O57" i="71"/>
  <c r="AL47" i="69"/>
  <c r="AL57" i="69"/>
  <c r="AL45" i="69"/>
  <c r="AL51" i="69"/>
  <c r="AL46" i="69"/>
  <c r="AL39" i="69"/>
  <c r="AL44" i="69"/>
  <c r="AL48" i="69"/>
  <c r="AL54" i="69"/>
  <c r="AL40" i="69"/>
  <c r="AL43" i="69"/>
  <c r="AL52" i="69"/>
  <c r="AL56" i="69"/>
  <c r="AL49" i="69"/>
  <c r="AG16" i="66"/>
  <c r="AG17" i="66" s="1"/>
  <c r="L25" i="66" s="1"/>
  <c r="AG16" i="67"/>
  <c r="AG17" i="67" s="1"/>
  <c r="AJ52" i="66"/>
  <c r="AJ45" i="66"/>
  <c r="AJ42" i="66"/>
  <c r="AJ53" i="66"/>
  <c r="AJ48" i="66"/>
  <c r="AJ55" i="66"/>
  <c r="AJ40" i="66"/>
  <c r="AJ50" i="66"/>
  <c r="AJ51" i="66"/>
  <c r="AJ43" i="66"/>
  <c r="AJ57" i="66"/>
  <c r="AJ44" i="66"/>
  <c r="AJ49" i="66"/>
  <c r="AJ39" i="66"/>
  <c r="AJ41" i="66"/>
  <c r="AJ38" i="66"/>
  <c r="AJ46" i="66"/>
  <c r="AJ56" i="66"/>
  <c r="AJ47" i="66"/>
  <c r="AJ54" i="66"/>
  <c r="AG24" i="66"/>
  <c r="AA36" i="67" l="1"/>
  <c r="AL53" i="71"/>
  <c r="AL42" i="71"/>
  <c r="AL48" i="71"/>
  <c r="AL49" i="71"/>
  <c r="AL41" i="71"/>
  <c r="AL54" i="71"/>
  <c r="AL50" i="71"/>
  <c r="AL56" i="71"/>
  <c r="AL46" i="71"/>
  <c r="AL51" i="71"/>
  <c r="AL38" i="71"/>
  <c r="AL59" i="71" s="1"/>
  <c r="AL70" i="71" s="1"/>
  <c r="AL57" i="71"/>
  <c r="AL70" i="69"/>
  <c r="AL52" i="71"/>
  <c r="AL44" i="71"/>
  <c r="AL40" i="71"/>
  <c r="AL45" i="71"/>
  <c r="AL39" i="71"/>
  <c r="AL55" i="71"/>
  <c r="AG25" i="69" a="1"/>
  <c r="AG25" i="69" s="1"/>
  <c r="Y12" i="69" s="1" a="1"/>
  <c r="Y12" i="69" s="1"/>
  <c r="O55" i="69" s="1"/>
  <c r="AL71" i="71"/>
  <c r="L58" i="71"/>
  <c r="AA37" i="71" s="1"/>
  <c r="AL73" i="71"/>
  <c r="AA43" i="71"/>
  <c r="N26" i="66"/>
  <c r="L25" i="67"/>
  <c r="U43" i="66"/>
  <c r="L26" i="66" a="1"/>
  <c r="L26" i="66" s="1"/>
  <c r="B31" i="66" s="1" a="1"/>
  <c r="B31" i="66" s="1"/>
  <c r="AG44" i="66"/>
  <c r="AG54" i="66"/>
  <c r="AG55" i="66"/>
  <c r="AG40" i="66"/>
  <c r="AG57" i="66"/>
  <c r="AG49" i="66"/>
  <c r="AG42" i="66"/>
  <c r="AG39" i="66"/>
  <c r="AG53" i="66"/>
  <c r="AG48" i="66"/>
  <c r="AG43" i="66"/>
  <c r="AG46" i="66"/>
  <c r="AG41" i="66"/>
  <c r="AG52" i="66"/>
  <c r="AG47" i="66"/>
  <c r="AG37" i="66"/>
  <c r="AG50" i="66"/>
  <c r="AG45" i="66"/>
  <c r="AG38" i="66"/>
  <c r="AG56" i="66"/>
  <c r="AG51" i="66"/>
  <c r="AG33" i="66"/>
  <c r="H61" i="66" s="1"/>
  <c r="AG24" i="67"/>
  <c r="AH50" i="66" l="1"/>
  <c r="AL61" i="71"/>
  <c r="AL65" i="71" s="1"/>
  <c r="AL66" i="71" s="1"/>
  <c r="AA41" i="71" s="1"/>
  <c r="AH43" i="66"/>
  <c r="AH47" i="66"/>
  <c r="AH40" i="66"/>
  <c r="O39" i="69"/>
  <c r="O43" i="69"/>
  <c r="O37" i="69"/>
  <c r="O54" i="69"/>
  <c r="O40" i="69"/>
  <c r="O56" i="69"/>
  <c r="O41" i="69"/>
  <c r="O51" i="69"/>
  <c r="O50" i="69"/>
  <c r="O52" i="69"/>
  <c r="O45" i="69"/>
  <c r="O49" i="69"/>
  <c r="AG35" i="69"/>
  <c r="AL64" i="69" s="1"/>
  <c r="AL66" i="69" s="1"/>
  <c r="AA41" i="69" s="1"/>
  <c r="O42" i="69"/>
  <c r="O44" i="69"/>
  <c r="O48" i="69"/>
  <c r="O38" i="69"/>
  <c r="O53" i="69"/>
  <c r="O47" i="69"/>
  <c r="O46" i="69"/>
  <c r="AG74" i="71"/>
  <c r="AG77" i="71"/>
  <c r="AG75" i="71"/>
  <c r="L26" i="67" a="1"/>
  <c r="L26" i="67" s="1"/>
  <c r="AG25" i="67" s="1" a="1"/>
  <c r="AG25" i="67" s="1"/>
  <c r="Y12" i="67" s="1" a="1"/>
  <c r="Y12" i="67" s="1"/>
  <c r="AH45" i="66"/>
  <c r="AH44" i="66"/>
  <c r="AH55" i="66"/>
  <c r="AH56" i="66"/>
  <c r="AH49" i="66"/>
  <c r="AH51" i="66"/>
  <c r="AH54" i="66"/>
  <c r="AG25" i="66" a="1"/>
  <c r="AG25" i="66" s="1"/>
  <c r="Y12" i="66" s="1" a="1"/>
  <c r="Y12" i="66" s="1"/>
  <c r="O39" i="66" s="1"/>
  <c r="AH41" i="66"/>
  <c r="AH46" i="66"/>
  <c r="AH53" i="66"/>
  <c r="AH52" i="66"/>
  <c r="AH38" i="66"/>
  <c r="AL44" i="66" s="1"/>
  <c r="AH42" i="66"/>
  <c r="AH57" i="66"/>
  <c r="AH48" i="66"/>
  <c r="AH39" i="66"/>
  <c r="AL69" i="69" l="1"/>
  <c r="AL72" i="69" s="1"/>
  <c r="AA43" i="69" s="1"/>
  <c r="O57" i="69"/>
  <c r="AL71" i="69" s="1"/>
  <c r="AG78" i="71"/>
  <c r="S62" i="71" s="1"/>
  <c r="AG76" i="71"/>
  <c r="S60" i="71" s="1"/>
  <c r="S58" i="71"/>
  <c r="B31" i="67" a="1"/>
  <c r="B31" i="67" s="1"/>
  <c r="AL56" i="66"/>
  <c r="O37" i="66"/>
  <c r="O47" i="66"/>
  <c r="O54" i="66"/>
  <c r="O45" i="66"/>
  <c r="O52" i="66"/>
  <c r="AL55" i="66"/>
  <c r="O48" i="66"/>
  <c r="O38" i="66"/>
  <c r="O40" i="66"/>
  <c r="O50" i="66"/>
  <c r="AG35" i="66"/>
  <c r="AL69" i="66" s="1"/>
  <c r="O46" i="66"/>
  <c r="O53" i="66"/>
  <c r="O44" i="66"/>
  <c r="O43" i="66"/>
  <c r="O55" i="66"/>
  <c r="AL40" i="66"/>
  <c r="O51" i="66"/>
  <c r="O42" i="66"/>
  <c r="O49" i="66"/>
  <c r="O56" i="66"/>
  <c r="O41" i="66"/>
  <c r="AL48" i="66"/>
  <c r="AL51" i="66"/>
  <c r="AL42" i="66"/>
  <c r="AL57" i="66"/>
  <c r="AL46" i="66"/>
  <c r="AL41" i="66"/>
  <c r="AL53" i="66"/>
  <c r="AL50" i="66"/>
  <c r="AL45" i="66"/>
  <c r="AL47" i="66"/>
  <c r="AL49" i="66"/>
  <c r="AL54" i="66"/>
  <c r="AL43" i="66"/>
  <c r="AL52" i="66"/>
  <c r="AL39" i="66"/>
  <c r="AL38" i="66"/>
  <c r="AL73" i="69" l="1"/>
  <c r="AG75" i="69" s="1"/>
  <c r="L58" i="69"/>
  <c r="AA37" i="69" s="1"/>
  <c r="AL59" i="66"/>
  <c r="AL61" i="66" s="1"/>
  <c r="AL65" i="66" s="1"/>
  <c r="O57" i="66"/>
  <c r="AL71" i="66" s="1"/>
  <c r="AL64" i="66"/>
  <c r="AG74" i="69" l="1"/>
  <c r="AG76" i="69" s="1"/>
  <c r="S60" i="69" s="1"/>
  <c r="AG77" i="69"/>
  <c r="AL70" i="66"/>
  <c r="AL66" i="66"/>
  <c r="AA41" i="66" s="1"/>
  <c r="AL72" i="66"/>
  <c r="AL73" i="66" s="1"/>
  <c r="L58" i="66"/>
  <c r="AA37" i="66" s="1"/>
  <c r="S58" i="69" l="1"/>
  <c r="AG78" i="69"/>
  <c r="S62" i="69" s="1"/>
  <c r="AA43" i="66"/>
  <c r="AG74" i="66"/>
  <c r="AG75" i="66"/>
  <c r="AG77" i="66"/>
  <c r="L4" i="65"/>
  <c r="L4" i="64"/>
  <c r="E5" i="2"/>
  <c r="E7" i="2"/>
  <c r="AG78" i="66" l="1"/>
  <c r="S62" i="66" s="1"/>
  <c r="S58" i="66"/>
  <c r="AG76" i="66"/>
  <c r="S60" i="66" s="1"/>
  <c r="AG29" i="65"/>
  <c r="AG28" i="65"/>
  <c r="AG29" i="64" l="1"/>
  <c r="AG28" i="64"/>
  <c r="B48" i="65"/>
  <c r="B45" i="65"/>
  <c r="W43" i="65"/>
  <c r="S43" i="65"/>
  <c r="B43" i="65"/>
  <c r="B41" i="65"/>
  <c r="B39" i="65"/>
  <c r="S37" i="65"/>
  <c r="K37" i="65"/>
  <c r="AA35" i="65" s="1"/>
  <c r="B37" i="65"/>
  <c r="AG36" i="65"/>
  <c r="H45" i="65" s="1"/>
  <c r="S36" i="65"/>
  <c r="AG35" i="65"/>
  <c r="S35" i="65"/>
  <c r="K35" i="65"/>
  <c r="H35" i="65"/>
  <c r="E35" i="65"/>
  <c r="D35" i="65"/>
  <c r="AG34" i="65"/>
  <c r="D41" i="65" s="1"/>
  <c r="B33" i="65"/>
  <c r="AG30" i="65"/>
  <c r="B30" i="65"/>
  <c r="AG26" i="65"/>
  <c r="AA26" i="65"/>
  <c r="H26" i="65"/>
  <c r="D26" i="65"/>
  <c r="AA25" i="65"/>
  <c r="H25" i="65"/>
  <c r="C25" i="65"/>
  <c r="AA24" i="65"/>
  <c r="H24" i="65"/>
  <c r="C24" i="65"/>
  <c r="AB23" i="65"/>
  <c r="E23" i="65"/>
  <c r="D23" i="65"/>
  <c r="H22" i="65"/>
  <c r="B22" i="65"/>
  <c r="AG21" i="65"/>
  <c r="AG23" i="65" s="1"/>
  <c r="H21" i="65"/>
  <c r="H20" i="65"/>
  <c r="B20" i="65"/>
  <c r="AG19" i="65"/>
  <c r="L27" i="65" s="1"/>
  <c r="H19" i="65"/>
  <c r="B19" i="65"/>
  <c r="AG18" i="65"/>
  <c r="S18" i="65"/>
  <c r="M18" i="65"/>
  <c r="H18" i="65"/>
  <c r="B18" i="65"/>
  <c r="S16" i="65"/>
  <c r="H16" i="65"/>
  <c r="B16" i="65"/>
  <c r="B13" i="65"/>
  <c r="S12" i="65"/>
  <c r="N12" i="65"/>
  <c r="B12" i="65"/>
  <c r="AI11" i="65"/>
  <c r="AK11" i="65" s="1"/>
  <c r="K11" i="65"/>
  <c r="B11" i="65"/>
  <c r="S10" i="65"/>
  <c r="B10" i="65"/>
  <c r="H9" i="65"/>
  <c r="S8" i="65"/>
  <c r="H8" i="65"/>
  <c r="B8" i="65"/>
  <c r="AG5" i="65"/>
  <c r="L5" i="65"/>
  <c r="K5" i="65"/>
  <c r="D5" i="65"/>
  <c r="C5" i="65"/>
  <c r="K4" i="65"/>
  <c r="D4" i="65"/>
  <c r="AG8" i="65" s="1"/>
  <c r="AG9" i="65" s="1"/>
  <c r="C4" i="65"/>
  <c r="C3" i="65"/>
  <c r="B65" i="64"/>
  <c r="Q59" i="64"/>
  <c r="I58" i="64"/>
  <c r="S57" i="64"/>
  <c r="C57" i="64"/>
  <c r="L56" i="64"/>
  <c r="AI57" i="64" s="1"/>
  <c r="J56" i="64"/>
  <c r="H56" i="64"/>
  <c r="L55" i="64"/>
  <c r="AK56" i="64" s="1"/>
  <c r="J55" i="64"/>
  <c r="H55" i="64"/>
  <c r="L54" i="64"/>
  <c r="AI55" i="64" s="1"/>
  <c r="J54" i="64"/>
  <c r="H54" i="64"/>
  <c r="L53" i="64"/>
  <c r="AK54" i="64" s="1"/>
  <c r="J53" i="64"/>
  <c r="H53" i="64"/>
  <c r="L52" i="64"/>
  <c r="AI53" i="64" s="1"/>
  <c r="J52" i="64"/>
  <c r="H52" i="64"/>
  <c r="L51" i="64"/>
  <c r="AI52" i="64" s="1"/>
  <c r="J51" i="64"/>
  <c r="H51" i="64"/>
  <c r="L50" i="64"/>
  <c r="AK51" i="64" s="1"/>
  <c r="J50" i="64"/>
  <c r="H50" i="64"/>
  <c r="L49" i="64"/>
  <c r="AI50" i="64" s="1"/>
  <c r="J49" i="64"/>
  <c r="H49" i="64"/>
  <c r="L48" i="64"/>
  <c r="AK49" i="64" s="1"/>
  <c r="J48" i="64"/>
  <c r="H48" i="64"/>
  <c r="L47" i="64"/>
  <c r="AK48" i="64" s="1"/>
  <c r="J47" i="64"/>
  <c r="H47" i="64"/>
  <c r="L46" i="64"/>
  <c r="AI47" i="64" s="1"/>
  <c r="J46" i="64"/>
  <c r="H46" i="64"/>
  <c r="L45" i="64"/>
  <c r="AK46" i="64" s="1"/>
  <c r="J45" i="64"/>
  <c r="H45" i="64"/>
  <c r="L44" i="64"/>
  <c r="AI45" i="64" s="1"/>
  <c r="J44" i="64"/>
  <c r="H44" i="64"/>
  <c r="W43" i="64"/>
  <c r="S43" i="64"/>
  <c r="L43" i="64"/>
  <c r="AI44" i="64" s="1"/>
  <c r="J43" i="64"/>
  <c r="H43" i="64"/>
  <c r="L42" i="64"/>
  <c r="AK43" i="64" s="1"/>
  <c r="J42" i="64"/>
  <c r="H42" i="64"/>
  <c r="S41" i="64"/>
  <c r="L41" i="64"/>
  <c r="AK42" i="64" s="1"/>
  <c r="J41" i="64"/>
  <c r="H41" i="64"/>
  <c r="L40" i="64"/>
  <c r="AK41" i="64" s="1"/>
  <c r="J40" i="64"/>
  <c r="H40" i="64"/>
  <c r="L39" i="64"/>
  <c r="AK40" i="64" s="1"/>
  <c r="J39" i="64"/>
  <c r="H39" i="64"/>
  <c r="AF38" i="64"/>
  <c r="AF39" i="64" s="1"/>
  <c r="AF40" i="64" s="1"/>
  <c r="AF41" i="64" s="1"/>
  <c r="AF42" i="64" s="1"/>
  <c r="AF43" i="64" s="1"/>
  <c r="AF44" i="64" s="1"/>
  <c r="AF45" i="64" s="1"/>
  <c r="AF46" i="64" s="1"/>
  <c r="AF47" i="64" s="1"/>
  <c r="AF48" i="64" s="1"/>
  <c r="AF49" i="64" s="1"/>
  <c r="AF50" i="64" s="1"/>
  <c r="AF51" i="64" s="1"/>
  <c r="AF52" i="64" s="1"/>
  <c r="AF53" i="64" s="1"/>
  <c r="AF54" i="64" s="1"/>
  <c r="AF55" i="64" s="1"/>
  <c r="AF56" i="64" s="1"/>
  <c r="AF57" i="64" s="1"/>
  <c r="H38" i="64"/>
  <c r="J38" i="64" s="1"/>
  <c r="S37" i="64"/>
  <c r="H37" i="64"/>
  <c r="J37" i="64" s="1"/>
  <c r="O36" i="64"/>
  <c r="L36" i="64"/>
  <c r="S35" i="64"/>
  <c r="L35" i="64"/>
  <c r="J35" i="64"/>
  <c r="H35" i="64"/>
  <c r="E35" i="64"/>
  <c r="D35" i="64"/>
  <c r="C35" i="64"/>
  <c r="S33" i="64"/>
  <c r="B33" i="64"/>
  <c r="AG30" i="64"/>
  <c r="B30" i="64"/>
  <c r="AG26" i="64"/>
  <c r="AA26" i="64"/>
  <c r="H26" i="64"/>
  <c r="D26" i="64"/>
  <c r="AA25" i="64"/>
  <c r="H25" i="64"/>
  <c r="C25" i="64"/>
  <c r="AA24" i="64"/>
  <c r="H24" i="64"/>
  <c r="C24" i="64"/>
  <c r="AB23" i="64"/>
  <c r="E23" i="64"/>
  <c r="D23" i="64"/>
  <c r="H22" i="64"/>
  <c r="B22" i="64"/>
  <c r="H21" i="64"/>
  <c r="AG20" i="64"/>
  <c r="L27" i="64" s="1"/>
  <c r="H20" i="64"/>
  <c r="B20" i="64"/>
  <c r="H19" i="64"/>
  <c r="B19" i="64"/>
  <c r="AG18" i="64"/>
  <c r="S18" i="64"/>
  <c r="M18" i="64"/>
  <c r="H18" i="64"/>
  <c r="B18" i="64"/>
  <c r="S16" i="64"/>
  <c r="H16" i="64"/>
  <c r="B16" i="64"/>
  <c r="B13" i="64"/>
  <c r="S12" i="64"/>
  <c r="B12" i="64"/>
  <c r="AI11" i="64"/>
  <c r="AK11" i="64" s="1"/>
  <c r="K11" i="64"/>
  <c r="B11" i="64"/>
  <c r="S10" i="64"/>
  <c r="B10" i="64"/>
  <c r="H9" i="64"/>
  <c r="S8" i="64"/>
  <c r="H8" i="64"/>
  <c r="B8" i="64"/>
  <c r="AG5" i="64"/>
  <c r="L5" i="64"/>
  <c r="O22" i="64" s="1"/>
  <c r="K5" i="64"/>
  <c r="D5" i="64"/>
  <c r="C5" i="64"/>
  <c r="K4" i="64"/>
  <c r="D4" i="64"/>
  <c r="AG8" i="64" s="1"/>
  <c r="AG9" i="64" s="1"/>
  <c r="AG11" i="64" s="1"/>
  <c r="C4" i="64"/>
  <c r="C3" i="64"/>
  <c r="A163" i="3"/>
  <c r="A143" i="3"/>
  <c r="A141" i="3"/>
  <c r="A138" i="3"/>
  <c r="A129" i="3"/>
  <c r="A119" i="3"/>
  <c r="A111" i="3"/>
  <c r="A107" i="3"/>
  <c r="B7" i="36"/>
  <c r="B5" i="36"/>
  <c r="O22" i="65" l="1"/>
  <c r="H23" i="65" s="1" a="1"/>
  <c r="H23" i="65" s="1"/>
  <c r="AG14" i="65"/>
  <c r="AG11" i="65"/>
  <c r="AG15" i="65"/>
  <c r="AG6" i="65"/>
  <c r="AG7" i="65" s="1"/>
  <c r="AG10" i="65"/>
  <c r="AG12" i="65"/>
  <c r="N27" i="65"/>
  <c r="O24" i="65"/>
  <c r="E41" i="65"/>
  <c r="E45" i="65" s="1"/>
  <c r="D45" i="65"/>
  <c r="B28" i="65" a="1"/>
  <c r="B28" i="65" s="1"/>
  <c r="H23" i="64" a="1"/>
  <c r="H23" i="64" s="1"/>
  <c r="O24" i="64"/>
  <c r="AG14" i="64"/>
  <c r="AG15" i="64"/>
  <c r="AG12" i="64"/>
  <c r="AG10" i="64"/>
  <c r="H27" i="64"/>
  <c r="B28" i="64" a="1"/>
  <c r="B28" i="64" s="1"/>
  <c r="AG6" i="64"/>
  <c r="AG7" i="64" s="1"/>
  <c r="H57" i="64"/>
  <c r="AA35" i="64" s="1"/>
  <c r="AK44" i="64"/>
  <c r="AJ11" i="65"/>
  <c r="AJ12" i="65"/>
  <c r="H27" i="65"/>
  <c r="E26" i="65"/>
  <c r="AK47" i="64"/>
  <c r="AK52" i="64"/>
  <c r="AK57" i="64"/>
  <c r="AI41" i="64"/>
  <c r="AK55" i="64"/>
  <c r="E26" i="64"/>
  <c r="AI48" i="64"/>
  <c r="AK50" i="64"/>
  <c r="AI56" i="64"/>
  <c r="AI43" i="64"/>
  <c r="AK45" i="64"/>
  <c r="AI51" i="64"/>
  <c r="AK53" i="64"/>
  <c r="AJ11" i="64"/>
  <c r="AI40" i="64"/>
  <c r="AI42" i="64"/>
  <c r="AI46" i="64"/>
  <c r="AI54" i="64"/>
  <c r="AI49" i="64"/>
  <c r="K45" i="65" l="1"/>
  <c r="AA36" i="65" s="1"/>
  <c r="AG20" i="65"/>
  <c r="AG16" i="65"/>
  <c r="AG17" i="65" s="1"/>
  <c r="L25" i="65" s="1"/>
  <c r="AG21" i="64"/>
  <c r="AG16" i="64"/>
  <c r="U43" i="64" s="1"/>
  <c r="AG24" i="65"/>
  <c r="L26" i="65" l="1" a="1"/>
  <c r="L26" i="65" s="1"/>
  <c r="AG25" i="65" s="1" a="1"/>
  <c r="AG25" i="65" s="1"/>
  <c r="U43" i="65"/>
  <c r="AG38" i="65" s="1"/>
  <c r="S38" i="65" s="1"/>
  <c r="AG17" i="64"/>
  <c r="AG53" i="64" s="1"/>
  <c r="AG24" i="64"/>
  <c r="B31" i="65" l="1" a="1"/>
  <c r="B31" i="65" s="1"/>
  <c r="L26" i="64" a="1"/>
  <c r="L26" i="64" s="1"/>
  <c r="Y12" i="65" a="1"/>
  <c r="Y12" i="65" s="1"/>
  <c r="AG55" i="64"/>
  <c r="AG51" i="64"/>
  <c r="AG54" i="64"/>
  <c r="AH54" i="64" s="1"/>
  <c r="AG45" i="64"/>
  <c r="AG40" i="64"/>
  <c r="AG52" i="64"/>
  <c r="AH53" i="64" s="1"/>
  <c r="AG44" i="64"/>
  <c r="AG50" i="64"/>
  <c r="AG47" i="64"/>
  <c r="AG38" i="64"/>
  <c r="AG41" i="64"/>
  <c r="AG43" i="64"/>
  <c r="AG42" i="64"/>
  <c r="AG39" i="64"/>
  <c r="L25" i="64"/>
  <c r="AG49" i="64"/>
  <c r="AG46" i="64"/>
  <c r="AG37" i="64"/>
  <c r="AG57" i="64"/>
  <c r="AG48" i="64"/>
  <c r="AG56" i="64"/>
  <c r="N26" i="64"/>
  <c r="AG25" i="64" l="1" a="1"/>
  <c r="AG25" i="64" s="1"/>
  <c r="Y12" i="64" s="1" a="1"/>
  <c r="Y12" i="64" s="1"/>
  <c r="O50" i="64" s="1"/>
  <c r="B31" i="64" a="1"/>
  <c r="B31" i="64" s="1"/>
  <c r="AH46" i="64"/>
  <c r="AH48" i="64"/>
  <c r="L37" i="64"/>
  <c r="L38" i="64"/>
  <c r="AH47" i="64"/>
  <c r="AH40" i="64"/>
  <c r="AH56" i="64"/>
  <c r="AH41" i="64"/>
  <c r="AH45" i="64"/>
  <c r="AH55" i="64"/>
  <c r="AH52" i="64"/>
  <c r="AH43" i="64"/>
  <c r="AH38" i="64"/>
  <c r="AH42" i="64"/>
  <c r="AH49" i="64"/>
  <c r="AH50" i="64"/>
  <c r="AH39" i="64"/>
  <c r="AH51" i="64"/>
  <c r="AH44" i="64"/>
  <c r="AH57" i="64"/>
  <c r="O45" i="64" l="1"/>
  <c r="AG35" i="64"/>
  <c r="AL69" i="64" s="1"/>
  <c r="O41" i="64"/>
  <c r="O38" i="64"/>
  <c r="O39" i="64"/>
  <c r="O42" i="64"/>
  <c r="O48" i="64"/>
  <c r="O51" i="64"/>
  <c r="O56" i="64"/>
  <c r="O46" i="64"/>
  <c r="O44" i="64"/>
  <c r="O40" i="64"/>
  <c r="O37" i="64"/>
  <c r="O52" i="64"/>
  <c r="O54" i="64"/>
  <c r="O43" i="64"/>
  <c r="O47" i="64"/>
  <c r="O49" i="64"/>
  <c r="O53" i="64"/>
  <c r="O55" i="64"/>
  <c r="AI39" i="64"/>
  <c r="AK39" i="64"/>
  <c r="AI38" i="64"/>
  <c r="L57" i="64"/>
  <c r="AL60" i="64" s="1"/>
  <c r="AK38" i="64"/>
  <c r="AL64" i="64" l="1"/>
  <c r="O57" i="64"/>
  <c r="L58" i="64" s="1"/>
  <c r="AA37" i="64" s="1"/>
  <c r="AJ40" i="64"/>
  <c r="AL40" i="64" s="1"/>
  <c r="AJ51" i="64"/>
  <c r="AL51" i="64" s="1"/>
  <c r="AJ47" i="64"/>
  <c r="AL47" i="64" s="1"/>
  <c r="AJ48" i="64"/>
  <c r="AL48" i="64" s="1"/>
  <c r="AJ52" i="64"/>
  <c r="AL52" i="64" s="1"/>
  <c r="AJ55" i="64"/>
  <c r="AL55" i="64" s="1"/>
  <c r="AJ41" i="64"/>
  <c r="AL41" i="64" s="1"/>
  <c r="AJ38" i="64"/>
  <c r="AL38" i="64" s="1"/>
  <c r="AJ49" i="64"/>
  <c r="AL49" i="64" s="1"/>
  <c r="AJ57" i="64"/>
  <c r="AL57" i="64" s="1"/>
  <c r="AJ44" i="64"/>
  <c r="AL44" i="64" s="1"/>
  <c r="AJ53" i="64"/>
  <c r="AL53" i="64" s="1"/>
  <c r="AJ46" i="64"/>
  <c r="AL46" i="64" s="1"/>
  <c r="AJ50" i="64"/>
  <c r="AL50" i="64" s="1"/>
  <c r="AJ54" i="64"/>
  <c r="AL54" i="64" s="1"/>
  <c r="AJ42" i="64"/>
  <c r="AL42" i="64" s="1"/>
  <c r="AJ45" i="64"/>
  <c r="AL45" i="64" s="1"/>
  <c r="AJ43" i="64"/>
  <c r="AL43" i="64" s="1"/>
  <c r="AJ56" i="64"/>
  <c r="AL56" i="64" s="1"/>
  <c r="AJ39" i="64"/>
  <c r="AL39" i="64" s="1"/>
  <c r="AL71" i="64" l="1"/>
  <c r="AG33" i="64"/>
  <c r="H61" i="64" s="1"/>
  <c r="AL59" i="64"/>
  <c r="AL61" i="64" s="1"/>
  <c r="AL65" i="64" s="1"/>
  <c r="AL66" i="64" s="1"/>
  <c r="AA41" i="64" s="1"/>
  <c r="G44" i="3"/>
  <c r="G43" i="3"/>
  <c r="AL70" i="64" l="1"/>
  <c r="AL72" i="64" s="1"/>
  <c r="AL73" i="64" s="1"/>
  <c r="AG77" i="64" s="1"/>
  <c r="F59" i="3"/>
  <c r="F58" i="3"/>
  <c r="D33" i="3"/>
  <c r="D32" i="3"/>
  <c r="D31" i="3"/>
  <c r="D30" i="3"/>
  <c r="D29" i="3"/>
  <c r="D28" i="3"/>
  <c r="D27" i="3"/>
  <c r="F54" i="3"/>
  <c r="F53" i="3"/>
  <c r="F52" i="3"/>
  <c r="F46" i="3"/>
  <c r="F45" i="3"/>
  <c r="F44" i="3"/>
  <c r="F43" i="3"/>
  <c r="F39" i="3"/>
  <c r="F38" i="3"/>
  <c r="F37" i="3"/>
  <c r="F13" i="2"/>
  <c r="F15" i="2"/>
  <c r="E3" i="2"/>
  <c r="B2" i="2"/>
  <c r="F22" i="2"/>
  <c r="F21" i="2"/>
  <c r="F20" i="2"/>
  <c r="F19" i="2"/>
  <c r="F18" i="2"/>
  <c r="F17" i="2"/>
  <c r="F16" i="2"/>
  <c r="F12" i="2"/>
  <c r="C23" i="2"/>
  <c r="E12" i="2"/>
  <c r="D12" i="2"/>
  <c r="C12" i="2"/>
  <c r="C11" i="2"/>
  <c r="C10" i="2"/>
  <c r="C7" i="2"/>
  <c r="C5" i="2"/>
  <c r="D23" i="2"/>
  <c r="AG74" i="64" l="1"/>
  <c r="AA43" i="64"/>
  <c r="AG75" i="64"/>
  <c r="F14" i="2"/>
  <c r="AG76" i="64" l="1"/>
  <c r="S60" i="64" s="1"/>
  <c r="AG78" i="64"/>
  <c r="S62" i="64" s="1"/>
  <c r="S58"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Birdie Bai 白璐</author>
  </authors>
  <commentList>
    <comment ref="D5" authorId="0" shapeId="0" xr:uid="{C3F73E24-08F1-4CDD-AA1A-967E6138F9BA}">
      <text>
        <r>
          <rPr>
            <sz val="9"/>
            <color indexed="81"/>
            <rFont val="宋体"/>
            <family val="3"/>
            <charset val="134"/>
          </rPr>
          <t>成员所制定标准以确定哪些属于“高风险”业务，其中可能包括具有大量业务以及受监管或其他风险影响的上_x000D_
市实体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Y10" authorId="0" shapeId="0" xr:uid="{6B32232F-EE94-4E49-AD62-9421CAB6A4D4}">
      <text>
        <r>
          <rPr>
            <sz val="9"/>
            <color indexed="81"/>
            <rFont val="宋体"/>
            <family val="3"/>
            <charset val="134"/>
          </rPr>
          <t>指引：_x000D_
系统 - 总体中抽样单元的总数量除以样本规模，得到样本间隔。确定起点后，其后每数到第 N_x000D_
个抽样单元就是所选项目。_x000D_
_x000D_
随机 -使用随机数生成工具或表格（例如， IDEA 中包含的那些）选择抽样单元。_x000D_
_x000D_
随意 – 在不采用结构化方法的情况下选择抽样单元，避免任何有意识的偏向或可预见性</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Kosinski, Kacper</author>
  </authors>
  <commentList>
    <comment ref="AA43" authorId="0" shapeId="0" xr:uid="{F833B84A-6D0E-4299-A76C-AB463E804A40}">
      <text>
        <r>
          <rPr>
            <sz val="9"/>
            <color indexed="81"/>
            <rFont val="Tahoma"/>
            <family val="2"/>
          </rPr>
          <t>Guidance: This is the Upper Limit on Precision.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Kosinski, Kacper</author>
  </authors>
  <commentList>
    <comment ref="Y10" authorId="0" shapeId="0" xr:uid="{653B9C90-352D-486B-8A4C-16FADC86AC04}">
      <text>
        <r>
          <rPr>
            <sz val="9"/>
            <color indexed="81"/>
            <rFont val="Tahoma"/>
            <family val="2"/>
          </rPr>
          <t>Guidance:_x000D_
Systematic - The population is divided by the_x000D_
sample size to give a sampling interval. Having_x000D_
determined a starting point, every Nth sampling_x000D_
unit thereafter is selected._x000D_
_x000D_
Random - Sampling units are selected using_x000D_
random number generators, such as those included_x000D_
in IDEA._x000D_
_x000D_
Haphazard - Sampling units are selected without_x000D_
following a structured technique, avoiding any_x000D_
conscious bias or predictability.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tj23</author>
    <author>Thomas Duncan</author>
  </authors>
  <commentList>
    <comment ref="B16" authorId="0" shapeId="0" xr:uid="{00000000-0006-0000-0400-000001000000}">
      <text>
        <r>
          <rPr>
            <sz val="9"/>
            <color indexed="81"/>
            <rFont val="Tahoma"/>
            <family val="2"/>
          </rPr>
          <t xml:space="preserve">No longer editable
</t>
        </r>
      </text>
    </comment>
    <comment ref="A26" authorId="0" shapeId="0" xr:uid="{00000000-0006-0000-0400-000002000000}">
      <text>
        <r>
          <rPr>
            <b/>
            <sz val="9"/>
            <color indexed="81"/>
            <rFont val="Tahoma"/>
            <family val="2"/>
          </rPr>
          <t xml:space="preserve"> *** DO NOT change order of assertions, but wording CAN be changed***</t>
        </r>
      </text>
    </comment>
    <comment ref="E223" authorId="1" shapeId="0" xr:uid="{00000000-0006-0000-0400-000003000000}">
      <text>
        <r>
          <rPr>
            <b/>
            <sz val="9"/>
            <color indexed="81"/>
            <rFont val="Tahoma"/>
            <family val="2"/>
          </rPr>
          <t>Percentage that will create message</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Birdie Bai 白璐</author>
    <author>tc={2EC8F1EE-1ED5-42C9-930B-C8669497003C}</author>
  </authors>
  <commentList>
    <comment ref="Y10" authorId="0" shapeId="0" xr:uid="{1F9E0178-448E-41A4-94D5-BC61AC7F9B34}">
      <text>
        <r>
          <rPr>
            <sz val="9"/>
            <color indexed="81"/>
            <rFont val="宋体"/>
            <family val="3"/>
            <charset val="134"/>
          </rPr>
          <t>指引：_x000D_
系统 - 总体中抽样单元的总数量除以样本规模，得到样本间隔。确定起点后，其后每数到第 N_x000D_
个抽样单元就是所选项目。_x000D_
_x000D_
随机 -使用随机数生成工具或表格（例如， IDEA 中包含的那些）选择抽样单元。_x000D_
_x000D_
随意 – 在不采用结构化方法的情况下选择抽样单元，避免任何有意识的偏向或可预见性</t>
        </r>
      </text>
    </comment>
    <comment ref="S33" authorId="1" shapeId="0" xr:uid="{2EC8F1EE-1ED5-42C9-930B-C8669497003C}">
      <text>
        <t>[线程批注]
你的Excel版本可读取此线程批注; 但如果在更新版本的Excel中打开文件，则对批注所作的任何改动都将被删除。了解详细信息: https://go.microsoft.com/fwlink/?linkid=870924
注释:
    汇总结果</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Birdie Bai 白璐</author>
  </authors>
  <commentList>
    <comment ref="AA43" authorId="0" shapeId="0" xr:uid="{B53F7988-B8E2-4245-9B2E-0B020FE339A0}">
      <text>
        <r>
          <rPr>
            <sz val="9"/>
            <color indexed="81"/>
            <rFont val="宋体"/>
            <family val="3"/>
            <charset val="134"/>
          </rPr>
          <t>指引：这是精准上限。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Birdie Bai 白璐</author>
  </authors>
  <commentList>
    <comment ref="Y10" authorId="0" shapeId="0" xr:uid="{0BA71A7F-B19F-40BF-9F3B-E052CA92E5A5}">
      <text>
        <r>
          <rPr>
            <sz val="9"/>
            <color indexed="81"/>
            <rFont val="宋体"/>
            <family val="3"/>
            <charset val="134"/>
          </rPr>
          <t>指引：_x000D_
系统 - 总体中抽样单元的总数量除以样本规模，得到样本间隔。确定起点后，其后每数到第 N_x000D_
个抽样单元就是所选项目。_x000D_
_x000D_
随机 -使用随机数生成工具或表格（例如， IDEA 中包含的那些）选择抽样单元。_x000D_
_x000D_
随意 – 在不采用结构化方法的情况下选择抽样单元，避免任何有意识的偏向或可预见性</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A43" authorId="0" shapeId="0" xr:uid="{4508DF5A-44BB-418B-8171-63C8E97A762E}">
      <text>
        <r>
          <rPr>
            <sz val="9"/>
            <color indexed="81"/>
            <rFont val="宋体"/>
            <family val="3"/>
            <charset val="134"/>
          </rPr>
          <t>指引：这是精准上限。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<sst xmlns="http://schemas.openxmlformats.org/spreadsheetml/2006/main" count="838" uniqueCount="487">
  <si>
    <t>Cycle</t>
  </si>
  <si>
    <t>Value</t>
  </si>
  <si>
    <t xml:space="preserve">Population </t>
  </si>
  <si>
    <t>Name</t>
  </si>
  <si>
    <t>Extent</t>
  </si>
  <si>
    <t>Sampling - statistical</t>
  </si>
  <si>
    <t>Yes</t>
  </si>
  <si>
    <t>No</t>
  </si>
  <si>
    <t>Step 1 - Determine the objective of the test</t>
  </si>
  <si>
    <t>Step 4 - Determine the sample size</t>
  </si>
  <si>
    <t>Extent of Control Reliance</t>
  </si>
  <si>
    <t>None</t>
  </si>
  <si>
    <t>Sample size</t>
  </si>
  <si>
    <t>Selection method used</t>
  </si>
  <si>
    <t>Random (IDEA only)</t>
  </si>
  <si>
    <t>Haphazard</t>
  </si>
  <si>
    <t>Step 5 - Select the sample</t>
  </si>
  <si>
    <t>Step 7 - Evaluate the sample results</t>
  </si>
  <si>
    <t>Qualitative</t>
  </si>
  <si>
    <t>Quantitative</t>
  </si>
  <si>
    <t>Projected</t>
  </si>
  <si>
    <t>Book value</t>
  </si>
  <si>
    <t>Audit value</t>
  </si>
  <si>
    <t>Tainting</t>
  </si>
  <si>
    <t>Sampling interval</t>
  </si>
  <si>
    <t>Misstatement</t>
  </si>
  <si>
    <t>Total</t>
  </si>
  <si>
    <t>Context</t>
  </si>
  <si>
    <t>YesNo</t>
  </si>
  <si>
    <t>InherentRisk</t>
  </si>
  <si>
    <t>ControlReliance</t>
  </si>
  <si>
    <t>Completeness</t>
  </si>
  <si>
    <t>DataSet</t>
  </si>
  <si>
    <t>OtherEvidence</t>
  </si>
  <si>
    <t>Step 3 - Sampling technique</t>
  </si>
  <si>
    <t>Statistical Sampling</t>
  </si>
  <si>
    <t>Determine if audit risk is 5%</t>
  </si>
  <si>
    <t>Based on check above, returns value of audit risk</t>
  </si>
  <si>
    <t>Factor - Other tests of details</t>
  </si>
  <si>
    <t>Factor - Inherent Risk</t>
  </si>
  <si>
    <t>Factor - Control</t>
  </si>
  <si>
    <t>Factor - Analytical Procedure</t>
  </si>
  <si>
    <t>Factors</t>
  </si>
  <si>
    <t>Returns the context number of determining factors</t>
  </si>
  <si>
    <t>Context # (see above)</t>
  </si>
  <si>
    <r>
      <t>Designed Sampling</t>
    </r>
    <r>
      <rPr>
        <u/>
        <sz val="10"/>
        <color theme="1"/>
        <rFont val="Arial"/>
        <family val="2"/>
      </rPr>
      <t xml:space="preserve"> Detection</t>
    </r>
    <r>
      <rPr>
        <sz val="10"/>
        <color theme="1"/>
        <rFont val="Arial"/>
        <family val="2"/>
      </rPr>
      <t xml:space="preserve"> Risk</t>
    </r>
  </si>
  <si>
    <r>
      <t xml:space="preserve">Designed Sampling </t>
    </r>
    <r>
      <rPr>
        <u/>
        <sz val="10"/>
        <color theme="1"/>
        <rFont val="Arial"/>
        <family val="2"/>
      </rPr>
      <t xml:space="preserve">Confidence </t>
    </r>
    <r>
      <rPr>
        <sz val="10"/>
        <color theme="1"/>
        <rFont val="Arial"/>
        <family val="2"/>
      </rPr>
      <t>Level</t>
    </r>
  </si>
  <si>
    <t>SelectionMethods</t>
  </si>
  <si>
    <t>Determine population to be used for sampling</t>
  </si>
  <si>
    <t>Checks if there are key items</t>
  </si>
  <si>
    <t>Projected misstatement</t>
  </si>
  <si>
    <t>(Factual)</t>
  </si>
  <si>
    <t>(Total projected)</t>
  </si>
  <si>
    <t>The total precision is:</t>
  </si>
  <si>
    <t>There is a</t>
  </si>
  <si>
    <t>chance that the recorded amount is overstated by more than</t>
  </si>
  <si>
    <t>Number of overstatement</t>
  </si>
  <si>
    <t>Basic precision (interval x factor for 0)</t>
  </si>
  <si>
    <t>Projected misstatement with incremental allowance</t>
  </si>
  <si>
    <t>Total Projected (BV under interval) with Incremental Allowance</t>
  </si>
  <si>
    <t>Less projected BV under interval)</t>
  </si>
  <si>
    <t>Incremental allowance</t>
  </si>
  <si>
    <t>Total precision (allowance for sampling risk)</t>
  </si>
  <si>
    <t>Basic precision</t>
  </si>
  <si>
    <t>+ incremental allowance for sampling risk</t>
  </si>
  <si>
    <t>Upper Limit on Precision/mistatement</t>
  </si>
  <si>
    <t>+ total Projected with incremental allowance (BV under interval)</t>
  </si>
  <si>
    <t>+ actual misstatement(BV over interval)</t>
  </si>
  <si>
    <t>Summary of results</t>
  </si>
  <si>
    <t>Total value</t>
  </si>
  <si>
    <t>Incremental</t>
  </si>
  <si>
    <t>Results:</t>
  </si>
  <si>
    <t>Factual misstatement in the sample:</t>
  </si>
  <si>
    <t>Reference working paper where testing is documented:</t>
  </si>
  <si>
    <t>Step 8 - Document the results of the procedure</t>
  </si>
  <si>
    <t>(1) Verifies if ULP is &lt; TE</t>
  </si>
  <si>
    <t xml:space="preserve">(2) Verifies if ULP minus factual misstatement is lower than TE. </t>
  </si>
  <si>
    <t>Verifies if (1) is False and (2) is True</t>
  </si>
  <si>
    <t xml:space="preserve">(3) Verifies if ULP minus total projected misstatement is lower than TE. </t>
  </si>
  <si>
    <t>Non-Statistical Sampling</t>
  </si>
  <si>
    <t>Listed?:</t>
  </si>
  <si>
    <t>Entity with increased risk?:</t>
  </si>
  <si>
    <t>Book value sample items</t>
  </si>
  <si>
    <t>Stratum 1</t>
  </si>
  <si>
    <t>Stratum 2</t>
  </si>
  <si>
    <t>Verifies if stratified and returns the factor</t>
  </si>
  <si>
    <t>Verifies if factual + projected is over TE</t>
  </si>
  <si>
    <t>Sufficient evidence was obtained to achieve the sample objective.</t>
  </si>
  <si>
    <t>Verifies if Projected is over Expected</t>
  </si>
  <si>
    <t xml:space="preserve">The amount of </t>
  </si>
  <si>
    <t>Misstatements noted</t>
  </si>
  <si>
    <t>Rank</t>
  </si>
  <si>
    <t>Int Proj</t>
  </si>
  <si>
    <t>With tainting</t>
  </si>
  <si>
    <t>No tainting</t>
  </si>
  <si>
    <t>Extent is NOT sampling</t>
  </si>
  <si>
    <t>Analytical procedures</t>
  </si>
  <si>
    <t>Evidence provided by:</t>
  </si>
  <si>
    <t>Describe procedures</t>
  </si>
  <si>
    <t>Checks if analytical OR OSP is different from "none"</t>
  </si>
  <si>
    <t>Summary</t>
  </si>
  <si>
    <t>Total number of items</t>
  </si>
  <si>
    <t>Absolute</t>
  </si>
  <si>
    <t>Absolute value of ULP</t>
  </si>
  <si>
    <t>Verifies if large understatement (more than 100%)</t>
  </si>
  <si>
    <t>Verifies if value in 1st stratum</t>
  </si>
  <si>
    <t>Interval</t>
  </si>
  <si>
    <t>Minimum extent of 5</t>
  </si>
  <si>
    <t>MUS is not designed to detect understatements. Determine whether using MUS remains appropriate.</t>
  </si>
  <si>
    <t>Name of population:</t>
  </si>
  <si>
    <t>Applicable sampling plan</t>
  </si>
  <si>
    <t>Sampling - non statistical</t>
  </si>
  <si>
    <t>Original text</t>
  </si>
  <si>
    <t>Context Number</t>
  </si>
  <si>
    <t>Assertions</t>
  </si>
  <si>
    <t>Static text</t>
  </si>
  <si>
    <t>Steps</t>
  </si>
  <si>
    <t>Header</t>
  </si>
  <si>
    <t>Projected misstatement (report to the document where misstatements are accumulated):</t>
  </si>
  <si>
    <t>** Enter translated text in the gold cells</t>
  </si>
  <si>
    <t>Reliance on controls</t>
  </si>
  <si>
    <t>Step 2 - Define and analyze the population</t>
  </si>
  <si>
    <t>Designed Confidence Level</t>
  </si>
  <si>
    <t>Total misstatements noted</t>
  </si>
  <si>
    <t>Misstatement rate</t>
  </si>
  <si>
    <t>Total book value of the population</t>
  </si>
  <si>
    <t>should be reported to the document where misstatements are accumulated.</t>
  </si>
  <si>
    <t>C1</t>
  </si>
  <si>
    <t>Custom 1</t>
  </si>
  <si>
    <t>C2</t>
  </si>
  <si>
    <t>Custom 2</t>
  </si>
  <si>
    <t>C3</t>
  </si>
  <si>
    <t>Custom 3</t>
  </si>
  <si>
    <t>C4</t>
  </si>
  <si>
    <t>Custom 4</t>
  </si>
  <si>
    <t>C5</t>
  </si>
  <si>
    <t>Custom 5</t>
  </si>
  <si>
    <t>C6</t>
  </si>
  <si>
    <t>Custom 6</t>
  </si>
  <si>
    <t>C7</t>
  </si>
  <si>
    <t>Custom 7</t>
  </si>
  <si>
    <t>C8</t>
  </si>
  <si>
    <t>Custom 8</t>
  </si>
  <si>
    <t>Assertion being tested</t>
  </si>
  <si>
    <t>Step 6 - Test the sampled items</t>
  </si>
  <si>
    <t>Messaging/Conditional text</t>
  </si>
  <si>
    <t>Statistical</t>
  </si>
  <si>
    <t>Non-Statistical</t>
  </si>
  <si>
    <t>Tab Names</t>
  </si>
  <si>
    <t>Numbers</t>
  </si>
  <si>
    <t>Elevated</t>
  </si>
  <si>
    <t>Performance Materiality</t>
  </si>
  <si>
    <t>Engagement name</t>
  </si>
  <si>
    <t>Scoped Item</t>
  </si>
  <si>
    <t>Rights and Obligations</t>
  </si>
  <si>
    <t>Existence</t>
  </si>
  <si>
    <t>Occurrence</t>
  </si>
  <si>
    <t>Accuracy</t>
  </si>
  <si>
    <t>Presentation</t>
  </si>
  <si>
    <t>Other / Material Only</t>
  </si>
  <si>
    <t>Extended test of controls</t>
  </si>
  <si>
    <t>Verify if Inherent Risk is Other/Material Only</t>
  </si>
  <si>
    <t>Link to Test Tab</t>
  </si>
  <si>
    <t>Normal</t>
  </si>
  <si>
    <t>Other tests of details</t>
  </si>
  <si>
    <t>Less extensive</t>
  </si>
  <si>
    <t>More extensive</t>
  </si>
  <si>
    <t>Testing Controls</t>
  </si>
  <si>
    <t>Error Messages</t>
  </si>
  <si>
    <t>Large understatements were noted. These may lead to projections that are invalid or inconclusive. In particular, it might not be appropriate to offset (net) understatements and overstatements. The engagement may perform other tests to  determine whether there is a risk that understatements were not detected.</t>
  </si>
  <si>
    <t>Inherent risk assessment</t>
  </si>
  <si>
    <t>Operating</t>
  </si>
  <si>
    <t>Design</t>
  </si>
  <si>
    <t>Valuation and allocation</t>
  </si>
  <si>
    <t>Verify all inputs</t>
  </si>
  <si>
    <t>Lowest % for Expected Error before Warning Message</t>
  </si>
  <si>
    <t>Systematic not chosen so an interval is not applicable</t>
  </si>
  <si>
    <t>The sample results support the conclusion that the population is not misstated by more than performance materiality.</t>
  </si>
  <si>
    <t>The conclusion that the population is not misstated by more than performance materiality is NOT supported.</t>
  </si>
  <si>
    <t>The upper limit on precision minus the factual misstatement is below performance materiality. The sample results would support the conclusion if the entity records the factual misstatement.</t>
  </si>
  <si>
    <t>The upper limit on precision minus the projected misstatement is below performance materiality. The sample results would support the conclusion if the entity records the projected misstatement. This option is ONLY valid if the projected misstatement is the best estimate of the total misstatement in the population.</t>
  </si>
  <si>
    <t>The conclusion that the population is not misstated by more than performance materiality is NOT supported because projected misstatement exceeds expected misstatement. Take appropriate actions as needed.</t>
  </si>
  <si>
    <t>Expected error is set to a low value. Verify that this value is appropriate.</t>
  </si>
  <si>
    <t>Verifies if value in 2nd stratum</t>
  </si>
  <si>
    <t>Verifies if value in significant</t>
  </si>
  <si>
    <t>The calculated % is 0 or less - minimum extent is sufficient</t>
  </si>
  <si>
    <t>Systematic / Interval</t>
  </si>
  <si>
    <t>No relevant / applicable assertions chosen</t>
  </si>
  <si>
    <t>No control reliance selected</t>
  </si>
  <si>
    <t>Tolerable misstatement:</t>
  </si>
  <si>
    <t>Not applicable / relevant</t>
  </si>
  <si>
    <t>Key</t>
  </si>
  <si>
    <t>System driven or calculated value</t>
  </si>
  <si>
    <t>Required user selection for sample determination</t>
  </si>
  <si>
    <t>Additional user input field</t>
  </si>
  <si>
    <t>Minimum extent - no interval</t>
  </si>
  <si>
    <t>Absolute Value</t>
  </si>
  <si>
    <t>The total value of the specific items identified represents a large proportion of the total population.  An extent other than sampling may be more efficient and effective.</t>
  </si>
  <si>
    <t>High value or key items that will be tested separately:</t>
  </si>
  <si>
    <t>Plus high value and key items identified</t>
  </si>
  <si>
    <t>Related to high value or key items?</t>
  </si>
  <si>
    <t>High value or key items</t>
  </si>
  <si>
    <t>Testing less than 100% of the population?</t>
  </si>
  <si>
    <t>What is the amount of the population being tested (in absolute value)?</t>
  </si>
  <si>
    <t>Absolute value of the population</t>
  </si>
  <si>
    <t>Verifies if stratified or selection method statistical</t>
  </si>
  <si>
    <t>Key items greater or equal to amounts being sampled</t>
  </si>
  <si>
    <t>Key items represent a large portion of value being tested</t>
  </si>
  <si>
    <t>The total value of the specific items cannot be greater than or equal to the population value being sampled</t>
  </si>
  <si>
    <t>YOU MUST ENABLE MACROS TO USE THIS WORKBOOK</t>
  </si>
  <si>
    <t>ADA</t>
  </si>
  <si>
    <t>Factor - ADA</t>
  </si>
  <si>
    <t>Guidance</t>
  </si>
  <si>
    <t>Applicable ssampling plan:</t>
  </si>
  <si>
    <t>Audit data analytics</t>
  </si>
  <si>
    <t>Guidance:
Systematic - The population is divided by the sample size to give a sampling interval. Having determined a starting point, every Nth sampling unit thereafter is selected.
Random - Sampling units are selected using random number generators, such as those included in IDEA.
Haphazard - Sampling units are selected without following a structured technique, avoiding any conscious bias or predictability.</t>
  </si>
  <si>
    <t>Guidance: This is the Upper Limit on Precision.</t>
  </si>
  <si>
    <t>Population subject to sampling</t>
  </si>
  <si>
    <t>Projected misstatement must be in descending order (higher to lower)</t>
  </si>
  <si>
    <t>Understatement limit before warning displayed</t>
  </si>
  <si>
    <t>Heading for legend in stat sheet</t>
  </si>
  <si>
    <t>Legend</t>
  </si>
  <si>
    <t>YesNoApp</t>
  </si>
  <si>
    <t>Stratified</t>
  </si>
  <si>
    <t>Homogenous</t>
  </si>
  <si>
    <t>Not stratified</t>
  </si>
  <si>
    <t>Nature of the population?</t>
  </si>
  <si>
    <t>Adjusted aggregate misstatement $</t>
  </si>
  <si>
    <t>Warning - Amount being sampled is less than or equal to PM.</t>
  </si>
  <si>
    <t>Member firms establish criteria for determining those engagements that are considered “high-risk,” which may include listed entities with substantial operations and subject to regulatory or other risk</t>
  </si>
  <si>
    <t>In addition to listed entities with substantial operations and those subject to regulatory or other risk, member firms may consider the following criteria for high-risk:
   • Public interest entities (as defined within their local jurisdiction)
   • Engagements with increased regulatory risk
   • New audit engagements (Initial audits and new to the member firm)
   • Financial institutions
   • Those entities where there is significant doubt on the entities’ ability to continue as a going concern</t>
  </si>
  <si>
    <t xml:space="preserve">These translations are placed here for context. </t>
  </si>
  <si>
    <t>Expected Aggregate Misstatement</t>
  </si>
  <si>
    <t>Does the entity meet any other criteria established by the firm (if applicable)?</t>
  </si>
  <si>
    <t>Is the entity a higher risk listed entity?</t>
  </si>
  <si>
    <t>Scoped Item (Absolute Value)</t>
  </si>
  <si>
    <t>Control reliance DO NOT EDIT</t>
  </si>
  <si>
    <t>Key items are negative</t>
  </si>
  <si>
    <t>High value or key items cannot be negative</t>
  </si>
  <si>
    <t>Start sheet messages</t>
  </si>
  <si>
    <t>Expected error is set to a high value. Verify that this value is appropriate.</t>
  </si>
  <si>
    <t>Expected error value inappropriate.</t>
  </si>
  <si>
    <t>High % for Expected Error before Warning Message</t>
  </si>
  <si>
    <t>High % for Expected Error before Error</t>
  </si>
  <si>
    <t>Checks if Expected Aggregate Misstatement % is 95%+</t>
  </si>
  <si>
    <t>NatureOfPop Drop Down</t>
  </si>
  <si>
    <t>Refer to guidance for sampling interval when population is stratified</t>
  </si>
  <si>
    <t>Absolute tested value cannot be less than zero or greater than value of population.</t>
  </si>
  <si>
    <t>*These two cells must have different values</t>
  </si>
  <si>
    <t>You are using a minimum extent that cannot be statistically evaluated. If errors are detected, evaluate whether the risk assessment remains appropriate and whether sufficient audit evidence was obtained to achieve the sample objective.</t>
  </si>
  <si>
    <t>You are using the minimum extent. If errors are detected, evaluate whether the risk assessment remains appropriate and whether sufficient audit evidence was obtained to achieve the sample objective.</t>
  </si>
  <si>
    <t>Minimum extent of 5 due to negative designed confidence level</t>
  </si>
  <si>
    <t>Verifies if (1) is False and (3) is True</t>
  </si>
  <si>
    <t>Please enter a positive value representing the absolute value of the scoped item.</t>
  </si>
  <si>
    <r>
      <rPr>
        <b/>
        <sz val="16"/>
        <color rgb="FF4F2D7F"/>
        <rFont val="宋体"/>
        <family val="2"/>
        <charset val="134"/>
      </rPr>
      <t>指引</t>
    </r>
    <r>
      <rPr>
        <b/>
        <sz val="16"/>
        <color rgb="FF4F2D7F"/>
        <rFont val="Arial"/>
        <family val="2"/>
      </rPr>
      <t>-</t>
    </r>
    <r>
      <rPr>
        <b/>
        <sz val="16"/>
        <color rgb="FF4F2D7F"/>
        <rFont val="宋体"/>
        <family val="2"/>
        <charset val="134"/>
      </rPr>
      <t>样本计算器</t>
    </r>
    <phoneticPr fontId="32" type="noConversion"/>
  </si>
  <si>
    <t>指引说明：本模板启用了一个 Excel 宏的电子表格，它使用项目组输入的信息来确定样本大小。
根据确定的样本量和执行的细节测试，该模板还将评估结果。</t>
    <phoneticPr fontId="32" type="noConversion"/>
  </si>
  <si>
    <t>项目名称</t>
    <phoneticPr fontId="32" type="noConversion"/>
  </si>
  <si>
    <t>输入项目名称</t>
    <phoneticPr fontId="32" type="noConversion"/>
  </si>
  <si>
    <t>增加的项目风险：</t>
    <phoneticPr fontId="32" type="noConversion"/>
  </si>
  <si>
    <t>纳入审计范围的项目：</t>
    <phoneticPr fontId="32" type="noConversion"/>
  </si>
  <si>
    <t>绝对值：</t>
    <phoneticPr fontId="32" type="noConversion"/>
  </si>
  <si>
    <t>输入抽样总体的名称</t>
    <phoneticPr fontId="32" type="noConversion"/>
  </si>
  <si>
    <t>范围：</t>
    <phoneticPr fontId="32" type="noConversion"/>
  </si>
  <si>
    <r>
      <rPr>
        <b/>
        <sz val="12"/>
        <color theme="0"/>
        <rFont val="宋体"/>
        <family val="2"/>
        <charset val="134"/>
      </rPr>
      <t>单独的样本量和评估选项卡</t>
    </r>
    <r>
      <rPr>
        <b/>
        <sz val="12"/>
        <color theme="0"/>
        <rFont val="Arial"/>
        <family val="2"/>
      </rPr>
      <t xml:space="preserve">	</t>
    </r>
    <phoneticPr fontId="32" type="noConversion"/>
  </si>
  <si>
    <r>
      <rPr>
        <b/>
        <sz val="10"/>
        <color theme="1"/>
        <rFont val="宋体"/>
        <family val="2"/>
        <charset val="134"/>
      </rPr>
      <t>目的</t>
    </r>
    <r>
      <rPr>
        <b/>
        <sz val="10"/>
        <color theme="1"/>
        <rFont val="Arial"/>
        <family val="2"/>
      </rPr>
      <t xml:space="preserve">: </t>
    </r>
    <r>
      <rPr>
        <sz val="10"/>
        <color theme="1"/>
        <rFont val="宋体"/>
        <family val="2"/>
        <charset val="134"/>
      </rPr>
      <t>这些选项卡的目的是为正在执行的单个测试确定并评估样本量。</t>
    </r>
    <phoneticPr fontId="32" type="noConversion"/>
  </si>
  <si>
    <r>
      <rPr>
        <b/>
        <sz val="10"/>
        <color theme="1"/>
        <rFont val="宋体"/>
        <family val="2"/>
        <charset val="134"/>
      </rPr>
      <t>如何</t>
    </r>
    <r>
      <rPr>
        <b/>
        <sz val="10"/>
        <color theme="1"/>
        <rFont val="Arial"/>
        <family val="2"/>
      </rPr>
      <t xml:space="preserve">: </t>
    </r>
    <r>
      <rPr>
        <sz val="10"/>
        <color theme="1"/>
        <rFont val="宋体"/>
        <family val="2"/>
        <charset val="134"/>
      </rPr>
      <t>在打开的字段中输入恰当的信息，而无需对选项卡进行其他编辑。</t>
    </r>
    <phoneticPr fontId="32" type="noConversion"/>
  </si>
  <si>
    <t>固有风险：</t>
    <phoneticPr fontId="32" type="noConversion"/>
  </si>
  <si>
    <t>对控制的信赖程度：</t>
    <phoneticPr fontId="32" type="noConversion"/>
  </si>
  <si>
    <t>总体值：</t>
    <phoneticPr fontId="32" type="noConversion"/>
  </si>
  <si>
    <t>单独测试的关键项目：</t>
    <phoneticPr fontId="32" type="noConversion"/>
  </si>
  <si>
    <t>提供的证据：</t>
    <phoneticPr fontId="32" type="noConversion"/>
  </si>
  <si>
    <t>预期总体错报</t>
    <phoneticPr fontId="32" type="noConversion"/>
  </si>
  <si>
    <r>
      <rPr>
        <sz val="10"/>
        <color theme="1"/>
        <rFont val="宋体"/>
        <family val="2"/>
        <charset val="134"/>
      </rPr>
      <t>根据总体的特征，确定总体中的预期错报。当采用统计或非统计抽样时，致同抽样将预期错报设置为可容忍错报（实际执行重要性）的</t>
    </r>
    <r>
      <rPr>
        <sz val="10"/>
        <color theme="1"/>
        <rFont val="Arial"/>
        <family val="2"/>
      </rPr>
      <t>10%</t>
    </r>
    <r>
      <rPr>
        <sz val="10"/>
        <color theme="1"/>
        <rFont val="宋体"/>
        <family val="2"/>
        <charset val="134"/>
      </rPr>
      <t>起；根据具体情况，该百分比可以调高或调低。如果预期总体错报很高（超过实际执行重要性），则对总体使用较大的样本量或对全部项目（</t>
    </r>
    <r>
      <rPr>
        <sz val="10"/>
        <color theme="1"/>
        <rFont val="Arial"/>
        <family val="2"/>
      </rPr>
      <t>100%</t>
    </r>
    <r>
      <rPr>
        <sz val="10"/>
        <color theme="1"/>
        <rFont val="宋体"/>
        <family val="2"/>
        <charset val="134"/>
      </rPr>
      <t>）进行检查可能较为适当。</t>
    </r>
    <r>
      <rPr>
        <sz val="10"/>
        <color theme="1"/>
        <rFont val="Arial"/>
        <family val="2"/>
      </rPr>
      <t xml:space="preserve">
</t>
    </r>
    <r>
      <rPr>
        <sz val="10"/>
        <color theme="1"/>
        <rFont val="宋体"/>
        <family val="2"/>
        <charset val="134"/>
      </rPr>
      <t>预期总体错报需要项目组的判断，并且通常基于测试特定账户或交易类别的历史经验。考虑以下因素：实体的业务和风险、以前年度对账户余额或交易类别的测试的结果、试点样本的结果、相关实质性程序的结果，以及当年对相关控制或控制变动测试的结果。</t>
    </r>
    <phoneticPr fontId="32" type="noConversion"/>
  </si>
  <si>
    <r>
      <rPr>
        <b/>
        <sz val="10"/>
        <color theme="1"/>
        <rFont val="宋体"/>
        <family val="3"/>
        <charset val="134"/>
      </rPr>
      <t>目的：</t>
    </r>
    <r>
      <rPr>
        <sz val="10"/>
        <color theme="1"/>
        <rFont val="宋体"/>
        <family val="2"/>
        <charset val="134"/>
      </rPr>
      <t>此选项卡是为了纳入审计范围内的项目输入所需的抽样。</t>
    </r>
    <phoneticPr fontId="32" type="noConversion"/>
  </si>
  <si>
    <t>除了拥有大量业务的上市实体以及受监管或其他风险影响的上市实体外，成员所可将以下作为高风险的标准：
 • 公众利益实体 (在其当地管辖范围内定义)
 • 监管风险增加的项目
 • 新审计项目 (首次审计和成员所的新审计项目)
 • 金融机构
 • 持续经营能力存在重大不确定性的实体</t>
    <phoneticPr fontId="32" type="noConversion"/>
  </si>
  <si>
    <t>选定的实际执行重要性：</t>
    <phoneticPr fontId="32" type="noConversion"/>
  </si>
  <si>
    <t>本字段用于在考虑样本时将使用选定的实际执行重要性。对于整个项目，它可能是相同的实际执行重要性，也可能是项目组选择的较低的实际执行重要性。</t>
    <phoneticPr fontId="32" type="noConversion"/>
  </si>
  <si>
    <t>输入抽样总体的绝对值。该金额包括所有项目，无论它们是否属于将要单独测试的关键项目。
此外，致同抽样的单个Excel中可以包含多个总体，但包含的所有总体都必须与同一纳入审计范围的项目相关联。例如：
•与同一SCOT+相关的两个存货总体可以包含在致同抽样单个Excel中。
•应收账款总体 - 国内应收账款以及与不同SCOT+相关的国际应收账款总体，例如，因为它们具有不同的固有风险级别，因此必须包含在致同抽样的不同 Excel 中。
在某些情况下，例如当预计低估的数量很大或预计有很大比例会低估（渲染）时，与事务所适当人员讨论最合适的抽样方法可能是恰当的。这是因为除致同抽样中使用的方法外，其他抽样方法可能更合适（例如，经典变量抽样）。</t>
    <phoneticPr fontId="32" type="noConversion"/>
  </si>
  <si>
    <t>为正在使用抽样测试的相关或适用认定选择其固有风险</t>
    <phoneticPr fontId="32" type="noConversion"/>
  </si>
  <si>
    <r>
      <rPr>
        <sz val="10"/>
        <color theme="1"/>
        <rFont val="宋体"/>
        <family val="2"/>
        <charset val="134"/>
      </rPr>
      <t>选择信赖控制的方法。如果对控制执行有限、正常或扩大的测试，请从下拉列表中选择“运行有效”。如果仅评估设计有效性并执行穿行测试，请从下拉列表中选择“无”。</t>
    </r>
    <r>
      <rPr>
        <sz val="10"/>
        <color theme="1"/>
        <rFont val="Arial"/>
        <family val="2"/>
      </rPr>
      <t xml:space="preserve">
</t>
    </r>
    <phoneticPr fontId="32" type="noConversion"/>
  </si>
  <si>
    <r>
      <rPr>
        <sz val="10"/>
        <color theme="1"/>
        <rFont val="宋体"/>
        <family val="2"/>
        <charset val="134"/>
      </rPr>
      <t>某些特征（例如总体中单个项目的数量）可能会有很大差异。会计总体往往包括一些非常大的金额、一些中等大小的金额和大量的小金额。</t>
    </r>
    <r>
      <rPr>
        <sz val="10"/>
        <color theme="1"/>
        <rFont val="Arial"/>
        <family val="2"/>
      </rPr>
      <t xml:space="preserve">
</t>
    </r>
    <r>
      <rPr>
        <sz val="10"/>
        <color theme="1"/>
        <rFont val="宋体"/>
        <family val="2"/>
        <charset val="134"/>
      </rPr>
      <t>项目组运用判断来确定哪些项目（如有）单独代表更高的错报风险（有时称为高风险项目或关键项目）。这些项目通常是分开并单独测试的（</t>
    </r>
    <r>
      <rPr>
        <sz val="10"/>
        <color theme="1"/>
        <rFont val="Arial"/>
        <family val="2"/>
      </rPr>
      <t>100%</t>
    </r>
    <r>
      <rPr>
        <sz val="10"/>
        <color theme="1"/>
        <rFont val="宋体"/>
        <family val="2"/>
        <charset val="134"/>
      </rPr>
      <t>测试）。这些项目的测试结果不会推断至总体，因为它们不具有代表性。可以酌情使用审计抽样或其他技术对剩余总体进行测试（如适用）。</t>
    </r>
    <r>
      <rPr>
        <sz val="10"/>
        <color theme="1"/>
        <rFont val="Arial"/>
        <family val="2"/>
      </rPr>
      <t xml:space="preserve">
</t>
    </r>
    <r>
      <rPr>
        <sz val="10"/>
        <color theme="1"/>
        <rFont val="宋体"/>
        <family val="2"/>
        <charset val="134"/>
      </rPr>
      <t>具有下列因素之一的，可识别为代表较高错报风险的项目：</t>
    </r>
    <r>
      <rPr>
        <sz val="10"/>
        <color theme="1"/>
        <rFont val="Arial"/>
        <family val="2"/>
      </rPr>
      <t xml:space="preserve">
•</t>
    </r>
    <r>
      <rPr>
        <sz val="10"/>
        <color theme="1"/>
        <rFont val="宋体"/>
        <family val="2"/>
        <charset val="134"/>
      </rPr>
      <t>定量（基于数量）</t>
    </r>
    <r>
      <rPr>
        <sz val="10"/>
        <color theme="1"/>
        <rFont val="Arial"/>
        <family val="2"/>
      </rPr>
      <t xml:space="preserve"> - </t>
    </r>
    <r>
      <rPr>
        <sz val="10"/>
        <color theme="1"/>
        <rFont val="宋体"/>
        <family val="2"/>
        <charset val="134"/>
      </rPr>
      <t>例如，大于实际执行重要性的项目，或者总体中明显异常的项目。需要注意的是，系统自动选择会导致选择间隔内的项目被选中。</t>
    </r>
    <r>
      <rPr>
        <sz val="10"/>
        <color theme="1"/>
        <rFont val="Arial"/>
        <family val="2"/>
      </rPr>
      <t xml:space="preserve">
•</t>
    </r>
    <r>
      <rPr>
        <sz val="10"/>
        <color theme="1"/>
        <rFont val="宋体"/>
        <family val="2"/>
        <charset val="134"/>
      </rPr>
      <t>定性–例如，因错误或舞弊而导致错报风险较高的项目，例如关联方交易或以外币计价的项目（取决于测试的目标）。</t>
    </r>
    <r>
      <rPr>
        <sz val="10"/>
        <color theme="1"/>
        <rFont val="Arial"/>
        <family val="2"/>
      </rPr>
      <t xml:space="preserve">
</t>
    </r>
    <phoneticPr fontId="32" type="noConversion"/>
  </si>
  <si>
    <t>*Bolded term is name of dataset</t>
    <phoneticPr fontId="32" type="noConversion"/>
  </si>
  <si>
    <r>
      <rPr>
        <sz val="10"/>
        <color theme="1"/>
        <rFont val="宋体"/>
        <family val="2"/>
        <charset val="134"/>
      </rPr>
      <t>项目组为样本选择项目的方法是使得总体中的每个抽样单元都有被选中的机会。</t>
    </r>
    <r>
      <rPr>
        <sz val="10"/>
        <color theme="1"/>
        <rFont val="Arial"/>
        <family val="2"/>
      </rPr>
      <t xml:space="preserve">
</t>
    </r>
    <r>
      <rPr>
        <sz val="10"/>
        <color theme="1"/>
        <rFont val="宋体"/>
        <family val="2"/>
        <charset val="134"/>
      </rPr>
      <t>选取样本项目的方法有许多种。</t>
    </r>
    <r>
      <rPr>
        <sz val="10"/>
        <color theme="1"/>
        <rFont val="Arial"/>
        <family val="2"/>
      </rPr>
      <t>GTSP</t>
    </r>
    <r>
      <rPr>
        <sz val="10"/>
        <color theme="1"/>
        <rFont val="宋体"/>
        <family val="2"/>
        <charset val="134"/>
      </rPr>
      <t>中使用的方法如下：</t>
    </r>
    <r>
      <rPr>
        <sz val="10"/>
        <color theme="1"/>
        <rFont val="Arial"/>
        <family val="2"/>
      </rPr>
      <t xml:space="preserve">
</t>
    </r>
    <r>
      <rPr>
        <sz val="10"/>
        <color theme="1"/>
        <rFont val="宋体"/>
        <family val="2"/>
        <charset val="134"/>
      </rPr>
      <t>统计抽样
系统（间隔）</t>
    </r>
    <r>
      <rPr>
        <sz val="10"/>
        <color theme="1"/>
        <rFont val="Arial"/>
        <family val="2"/>
      </rPr>
      <t xml:space="preserve"> – </t>
    </r>
    <r>
      <rPr>
        <sz val="10"/>
        <color theme="1"/>
        <rFont val="宋体"/>
        <family val="2"/>
        <charset val="134"/>
      </rPr>
      <t>总体中抽样单元的总数量除以样本规模，得到样本间隔。确定起点后，其后每数到第</t>
    </r>
    <r>
      <rPr>
        <sz val="10"/>
        <color theme="1"/>
        <rFont val="Arial"/>
        <family val="2"/>
      </rPr>
      <t xml:space="preserve"> N </t>
    </r>
    <r>
      <rPr>
        <sz val="10"/>
        <color theme="1"/>
        <rFont val="宋体"/>
        <family val="2"/>
        <charset val="134"/>
      </rPr>
      <t>个抽样单元就是所选项目。虽然可以随意选择起点，但如果使用计算机随机数发生器或随机数表，样本可能更随机。在使用系统选样时，重要的是总体中的抽样单元的排列方式不会使样本间隔正好与总体的特殊模式相对应。针对这种风险的解决方案可能包括总体随机化。</t>
    </r>
    <r>
      <rPr>
        <sz val="10"/>
        <color theme="1"/>
        <rFont val="Arial"/>
        <family val="2"/>
      </rPr>
      <t xml:space="preserve">
</t>
    </r>
    <r>
      <rPr>
        <sz val="10"/>
        <color theme="1"/>
        <rFont val="宋体"/>
        <family val="2"/>
        <charset val="134"/>
      </rPr>
      <t>如果记录的量比采样间隔大几倍，则可能会多次选择该量。如果发生这种情况，则在评估样品结果时忽略重复选择并仅考虑一次量是合适的。</t>
    </r>
    <r>
      <rPr>
        <sz val="10"/>
        <color theme="1"/>
        <rFont val="Arial"/>
        <family val="2"/>
      </rPr>
      <t xml:space="preserve">
</t>
    </r>
    <r>
      <rPr>
        <sz val="10"/>
        <color theme="1"/>
        <rFont val="宋体"/>
        <family val="2"/>
        <charset val="134"/>
      </rPr>
      <t>非统计</t>
    </r>
    <r>
      <rPr>
        <sz val="10"/>
        <color theme="1"/>
        <rFont val="Arial"/>
        <family val="2"/>
      </rPr>
      <t xml:space="preserve">
</t>
    </r>
    <r>
      <rPr>
        <sz val="10"/>
        <color theme="1"/>
        <rFont val="宋体"/>
        <family val="2"/>
        <charset val="134"/>
      </rPr>
      <t>系统（间隔）</t>
    </r>
    <r>
      <rPr>
        <sz val="10"/>
        <color theme="1"/>
        <rFont val="Arial"/>
        <family val="2"/>
      </rPr>
      <t xml:space="preserve"> – </t>
    </r>
    <r>
      <rPr>
        <sz val="10"/>
        <color theme="1"/>
        <rFont val="宋体"/>
        <family val="2"/>
        <charset val="134"/>
      </rPr>
      <t>见上文</t>
    </r>
    <r>
      <rPr>
        <sz val="10"/>
        <color theme="1"/>
        <rFont val="Arial"/>
        <family val="2"/>
      </rPr>
      <t xml:space="preserve">.
</t>
    </r>
    <r>
      <rPr>
        <sz val="10"/>
        <color theme="1"/>
        <rFont val="宋体"/>
        <family val="2"/>
        <charset val="134"/>
      </rPr>
      <t>随机</t>
    </r>
    <r>
      <rPr>
        <sz val="10"/>
        <color theme="1"/>
        <rFont val="Arial"/>
        <family val="2"/>
      </rPr>
      <t xml:space="preserve"> – </t>
    </r>
    <r>
      <rPr>
        <sz val="10"/>
        <color theme="1"/>
        <rFont val="宋体"/>
        <family val="2"/>
        <charset val="134"/>
      </rPr>
      <t>使用随机数生成工具或表格（例如，</t>
    </r>
    <r>
      <rPr>
        <sz val="10"/>
        <color theme="1"/>
        <rFont val="Arial"/>
        <family val="2"/>
      </rPr>
      <t xml:space="preserve"> IDEA </t>
    </r>
    <r>
      <rPr>
        <sz val="10"/>
        <color theme="1"/>
        <rFont val="宋体"/>
        <family val="2"/>
        <charset val="134"/>
      </rPr>
      <t>中包含的那些）选择抽样单元。</t>
    </r>
    <r>
      <rPr>
        <sz val="10"/>
        <color theme="1"/>
        <rFont val="Arial"/>
        <family val="2"/>
      </rPr>
      <t xml:space="preserve">
</t>
    </r>
    <r>
      <rPr>
        <sz val="10"/>
        <color theme="1"/>
        <rFont val="宋体"/>
        <family val="2"/>
        <charset val="134"/>
      </rPr>
      <t>随意</t>
    </r>
    <r>
      <rPr>
        <sz val="10"/>
        <color theme="1"/>
        <rFont val="Arial"/>
        <family val="2"/>
      </rPr>
      <t xml:space="preserve"> – </t>
    </r>
    <r>
      <rPr>
        <sz val="10"/>
        <color theme="1"/>
        <rFont val="宋体"/>
        <family val="2"/>
        <charset val="134"/>
      </rPr>
      <t>在不采用结构化方法的情况下选择抽样单元，避免任何有意识的偏向或可预见性（例如，回避难以找到的项目，或总是选择或回避每页上的第一个或最后一个项目），因此总体中的所有项目都有被选中的机会。</t>
    </r>
    <r>
      <rPr>
        <sz val="10"/>
        <color theme="1"/>
        <rFont val="Arial"/>
        <family val="2"/>
      </rPr>
      <t xml:space="preserve">
</t>
    </r>
    <phoneticPr fontId="32" type="noConversion"/>
  </si>
  <si>
    <t>是</t>
  </si>
  <si>
    <t>否</t>
  </si>
  <si>
    <t>致同抽样</t>
  </si>
  <si>
    <t>正常</t>
  </si>
  <si>
    <t>无</t>
  </si>
  <si>
    <t>运行有效</t>
  </si>
  <si>
    <t>较多</t>
  </si>
  <si>
    <t>系统 / 间隔</t>
  </si>
  <si>
    <t>随机 (使用IDEA)</t>
  </si>
  <si>
    <t>分层</t>
  </si>
  <si>
    <t>确定用于测试的项目的数量</t>
  </si>
  <si>
    <t>Firm policy does not permit the use of limited tests of controls for a financial statement only audit performed under PCAOB standards. 
Firm policy requires the engagement team to submit an Audit Quality Risk Notification (AQRN) for audit engagements performed under AICPA standards where limited tests of controls are planned. The AQRN notifies the PPD and the AMSG.</t>
    <phoneticPr fontId="32" type="noConversion"/>
  </si>
  <si>
    <t>分层的非统计抽样指引：</t>
    <phoneticPr fontId="32" type="noConversion"/>
  </si>
  <si>
    <t>样本选取方法：</t>
    <phoneticPr fontId="32" type="noConversion"/>
  </si>
  <si>
    <r>
      <rPr>
        <b/>
        <sz val="11"/>
        <color rgb="FFFF0000"/>
        <rFont val="宋体"/>
        <family val="3"/>
        <charset val="134"/>
        <scheme val="minor"/>
      </rPr>
      <t>注意：</t>
    </r>
    <r>
      <rPr>
        <sz val="11"/>
        <color theme="1"/>
        <rFont val="宋体"/>
        <family val="2"/>
        <scheme val="minor"/>
      </rPr>
      <t>在某些情况下，需要增加测试项目的数量以得出控制运行有效性的结论。</t>
    </r>
    <r>
      <rPr>
        <sz val="11"/>
        <color theme="1"/>
        <rFont val="宋体"/>
        <family val="3"/>
        <charset val="134"/>
        <scheme val="minor"/>
      </rPr>
      <t>这些情况可能包括由于本期控制发生了变化导致对控制的运行产生疑虑，或以前识别出缺陷时。这些情况也可能包括新的审计项目组，除非对由前任注册会计师实施的控制测试进行复核是充分且适当的，也表明控制是有效运行的。</t>
    </r>
    <r>
      <rPr>
        <sz val="11"/>
        <color theme="1"/>
        <rFont val="宋体"/>
        <family val="2"/>
        <scheme val="minor"/>
      </rPr>
      <t>这种情况下，在确定进行测试的样本数量时需要运用职业判断。在大多数情况下，取决于控制运行的频率，将样本规模增加到上表中的</t>
    </r>
    <r>
      <rPr>
        <b/>
        <sz val="11"/>
        <color rgb="FFFF0000"/>
        <rFont val="宋体"/>
        <family val="3"/>
        <charset val="134"/>
        <scheme val="minor"/>
      </rPr>
      <t>2倍</t>
    </r>
    <r>
      <rPr>
        <sz val="11"/>
        <color theme="1"/>
        <rFont val="宋体"/>
        <family val="2"/>
        <scheme val="minor"/>
      </rPr>
      <t>通常是足够充分的（不超过对于超过250个项目的总体所确定的样本规模）。</t>
    </r>
    <phoneticPr fontId="32" type="noConversion"/>
  </si>
  <si>
    <r>
      <rPr>
        <sz val="10"/>
        <color theme="1"/>
        <rFont val="宋体"/>
        <family val="2"/>
        <charset val="134"/>
      </rPr>
      <t>分层是将总体划分为子总体的过程，每个子总体都是一组具有相似特征（通常是货币价值）的抽样单元。分层减少了总体中可能存在的总体变异，并将变异在每个组中的影响降至最低。总体被细分为的每个组称为一个子层。从每个子层中选择单独的样本，并将所有子层的结果分组，以得出有关总体的结论。</t>
    </r>
    <r>
      <rPr>
        <sz val="10"/>
        <color theme="1"/>
        <rFont val="Arial"/>
        <family val="2"/>
      </rPr>
      <t xml:space="preserve">
</t>
    </r>
    <r>
      <rPr>
        <sz val="10"/>
        <color theme="1"/>
        <rFont val="宋体"/>
        <family val="2"/>
        <charset val="134"/>
      </rPr>
      <t>当总体的变异性非极端时，一种有效且高效的总体分层方法可能是使用两个子层并将两个子层之间的边界设置为总体的平均值。上层是所有大于均值的项目，下层是所有低于均值的项目。基于值的选择方法是通过从下层的项目中选择大约</t>
    </r>
    <r>
      <rPr>
        <sz val="10"/>
        <color theme="1"/>
        <rFont val="Arial"/>
        <family val="2"/>
      </rPr>
      <t xml:space="preserve"> 1/3 </t>
    </r>
    <r>
      <rPr>
        <sz val="10"/>
        <color theme="1"/>
        <rFont val="宋体"/>
        <family val="2"/>
        <charset val="134"/>
      </rPr>
      <t>的样本，从上层的项目中选择</t>
    </r>
    <r>
      <rPr>
        <sz val="10"/>
        <color theme="1"/>
        <rFont val="Arial"/>
        <family val="2"/>
      </rPr>
      <t xml:space="preserve"> 2/3 </t>
    </r>
    <r>
      <rPr>
        <sz val="10"/>
        <color theme="1"/>
        <rFont val="宋体"/>
        <family val="2"/>
        <charset val="134"/>
      </rPr>
      <t>的样本来模拟的。</t>
    </r>
    <r>
      <rPr>
        <sz val="10"/>
        <color theme="1"/>
        <rFont val="Arial"/>
        <family val="2"/>
      </rPr>
      <t xml:space="preserve">
</t>
    </r>
    <r>
      <rPr>
        <sz val="10"/>
        <color theme="1"/>
        <rFont val="宋体"/>
        <family val="2"/>
        <charset val="134"/>
      </rPr>
      <t>没有必要“积极”对总体进行分层的情况包括：</t>
    </r>
    <r>
      <rPr>
        <sz val="10"/>
        <color theme="1"/>
        <rFont val="Arial"/>
        <family val="2"/>
      </rPr>
      <t xml:space="preserve">
-	</t>
    </r>
    <r>
      <rPr>
        <sz val="10"/>
        <color theme="1"/>
        <rFont val="宋体"/>
        <family val="2"/>
        <charset val="134"/>
      </rPr>
      <t>使用带有货币间隔的系统选样（使用间隔将自动对总体进行分层）</t>
    </r>
    <r>
      <rPr>
        <sz val="10"/>
        <color theme="1"/>
        <rFont val="Arial"/>
        <family val="2"/>
      </rPr>
      <t xml:space="preserve">
-	</t>
    </r>
    <r>
      <rPr>
        <sz val="10"/>
        <color theme="1"/>
        <rFont val="宋体"/>
        <family val="2"/>
        <charset val="134"/>
      </rPr>
      <t>总体是同质的（即，总体由具有相似价值的项目组成）。确定一个总体是否同质属于判断问题。</t>
    </r>
    <r>
      <rPr>
        <sz val="10"/>
        <color theme="1"/>
        <rFont val="Arial"/>
        <family val="2"/>
      </rPr>
      <t xml:space="preserve">
</t>
    </r>
    <r>
      <rPr>
        <sz val="10"/>
        <color theme="1"/>
        <rFont val="宋体"/>
        <family val="2"/>
        <charset val="134"/>
      </rPr>
      <t>当总体的变异性很大时，与事务所适当的人员讨论最佳方法可能是恰当的。</t>
    </r>
    <r>
      <rPr>
        <sz val="10"/>
        <color theme="1"/>
        <rFont val="Arial"/>
        <family val="2"/>
      </rPr>
      <t xml:space="preserve">
</t>
    </r>
    <phoneticPr fontId="32" type="noConversion"/>
  </si>
  <si>
    <t>summary of results</t>
  </si>
  <si>
    <t>summary of results</t>
    <phoneticPr fontId="32" type="noConversion"/>
  </si>
  <si>
    <t>r-3</t>
  </si>
  <si>
    <t>r-3</t>
    <phoneticPr fontId="32" type="noConversion"/>
  </si>
  <si>
    <r>
      <rPr>
        <sz val="10"/>
        <color rgb="FFFF0000"/>
        <rFont val="宋体"/>
        <family val="2"/>
        <charset val="134"/>
      </rPr>
      <t>宏的使用：本模板包含多个宏。运行宏的情况下，无法通过“撤销”按钮或使用键盘快捷键</t>
    </r>
    <r>
      <rPr>
        <sz val="10"/>
        <color rgb="FFFF0000"/>
        <rFont val="Arial"/>
        <family val="2"/>
      </rPr>
      <t xml:space="preserve"> CTRL+Z</t>
    </r>
    <r>
      <rPr>
        <sz val="10"/>
        <color rgb="FFFF0000"/>
        <rFont val="宋体"/>
        <family val="2"/>
        <charset val="134"/>
      </rPr>
      <t>撤销之前的操作。作为预防措施，建议用户频繁保存此文档。
输入和修订信息时，请勿添加、删除、隐藏或取消隐藏此工作簿中的任何行或列，此类操作会破坏工作簿中包含的宏。</t>
    </r>
    <phoneticPr fontId="32" type="noConversion"/>
  </si>
  <si>
    <r>
      <rPr>
        <sz val="10"/>
        <color rgb="FFFF0000"/>
        <rFont val="宋体"/>
        <family val="2"/>
        <charset val="134"/>
      </rPr>
      <t>入门：开始使用模板时，请启用编辑。然后，使用以下指引完成“汇总”选项卡。</t>
    </r>
    <r>
      <rPr>
        <sz val="10"/>
        <color rgb="FFFF0000"/>
        <rFont val="Arial"/>
        <family val="2"/>
      </rPr>
      <t xml:space="preserve">	</t>
    </r>
    <phoneticPr fontId="32" type="noConversion"/>
  </si>
  <si>
    <r>
      <rPr>
        <b/>
        <sz val="10"/>
        <color theme="1"/>
        <rFont val="宋体"/>
        <family val="3"/>
        <charset val="134"/>
      </rPr>
      <t>如何使用：</t>
    </r>
    <r>
      <rPr>
        <sz val="10"/>
        <color theme="1"/>
        <rFont val="宋体"/>
        <family val="2"/>
        <charset val="134"/>
      </rPr>
      <t>输入信息或从阴影单元格下拉框中选择适用的选项，便于项目组进行编辑</t>
    </r>
    <r>
      <rPr>
        <sz val="10"/>
        <color theme="1"/>
        <rFont val="Arial"/>
        <family val="2"/>
      </rPr>
      <t xml:space="preserve">	</t>
    </r>
    <phoneticPr fontId="32" type="noConversion"/>
  </si>
  <si>
    <r>
      <rPr>
        <sz val="10"/>
        <color rgb="FF000000"/>
        <rFont val="宋体"/>
        <family val="2"/>
        <charset val="134"/>
      </rPr>
      <t xml:space="preserve">项目组将确定一个样本量，足以将抽样风险降低至可接受的低水平。针对同一认定而执行的其他实质性程序可能允许在审计抽样中使用较低的置信水平。
</t>
    </r>
    <r>
      <rPr>
        <sz val="10"/>
        <color rgb="FF000000"/>
        <rFont val="Arial"/>
        <family val="2"/>
      </rPr>
      <t xml:space="preserve">
</t>
    </r>
    <r>
      <rPr>
        <sz val="10"/>
        <color rgb="FF000000"/>
        <rFont val="宋体"/>
        <family val="2"/>
        <charset val="134"/>
      </rPr>
      <t>项目组对其他实质性程序提供的证据进行主观评估，并确定其是“更具广泛性”还是“不太具有广泛性”。</t>
    </r>
    <r>
      <rPr>
        <sz val="10"/>
        <color rgb="FF000000"/>
        <rFont val="Arial"/>
        <family val="2"/>
      </rPr>
      <t xml:space="preserve">
</t>
    </r>
    <phoneticPr fontId="32" type="noConversion"/>
  </si>
  <si>
    <t>汇总结果</t>
    <phoneticPr fontId="32" type="noConversion"/>
  </si>
  <si>
    <t>汇总</t>
    <phoneticPr fontId="32" type="noConversion"/>
  </si>
  <si>
    <t>名称：</t>
    <phoneticPr fontId="32" type="noConversion"/>
  </si>
  <si>
    <t>Operating</t>
    <phoneticPr fontId="32" type="noConversion"/>
  </si>
  <si>
    <t>Extent</t>
    <phoneticPr fontId="32" type="noConversion"/>
  </si>
  <si>
    <t>通常</t>
    <phoneticPr fontId="32" type="noConversion"/>
  </si>
  <si>
    <t>存在</t>
  </si>
  <si>
    <t>对应收账款执行函证程序</t>
    <phoneticPr fontId="32" type="noConversion"/>
  </si>
  <si>
    <t>D6</t>
  </si>
  <si>
    <t>D6</t>
    <phoneticPr fontId="32" type="noConversion"/>
  </si>
  <si>
    <t>存在</t>
    <phoneticPr fontId="32" type="noConversion"/>
  </si>
  <si>
    <t>通常</t>
  </si>
  <si>
    <t>否</t>
    <phoneticPr fontId="32" type="noConversion"/>
  </si>
  <si>
    <r>
      <rPr>
        <sz val="11"/>
        <rFont val="宋体"/>
        <family val="2"/>
      </rPr>
      <t>成员所制定标准以确定哪些属于</t>
    </r>
    <r>
      <rPr>
        <sz val="11"/>
        <rFont val="Tahoma"/>
        <family val="2"/>
      </rPr>
      <t>“</t>
    </r>
    <r>
      <rPr>
        <sz val="11"/>
        <rFont val="宋体"/>
        <family val="2"/>
      </rPr>
      <t>高风险</t>
    </r>
    <r>
      <rPr>
        <sz val="11"/>
        <rFont val="Tahoma"/>
        <family val="2"/>
      </rPr>
      <t>”</t>
    </r>
    <r>
      <rPr>
        <sz val="11"/>
        <rFont val="宋体"/>
        <family val="2"/>
      </rPr>
      <t>业务，其中可能包括具有大量业务以及受监管或其他风险影响的上市实体</t>
    </r>
  </si>
  <si>
    <r>
      <rPr>
        <sz val="11"/>
        <rFont val="宋体"/>
        <family val="2"/>
      </rPr>
      <t xml:space="preserve">除了拥有大量业务的上市实体以及受监管或其他风险影响的上市实体外，成员所可将以下作为高风险的标准：
</t>
    </r>
    <r>
      <rPr>
        <sz val="11"/>
        <rFont val="Tahoma"/>
        <family val="2"/>
      </rPr>
      <t xml:space="preserve"> • </t>
    </r>
    <r>
      <rPr>
        <sz val="11"/>
        <rFont val="宋体"/>
        <family val="2"/>
      </rPr>
      <t>公众利益实体</t>
    </r>
    <r>
      <rPr>
        <sz val="11"/>
        <rFont val="Tahoma"/>
        <family val="2"/>
      </rPr>
      <t xml:space="preserve"> (</t>
    </r>
    <r>
      <rPr>
        <sz val="11"/>
        <rFont val="宋体"/>
        <family val="2"/>
      </rPr>
      <t>在其当地管辖范围内定义</t>
    </r>
    <r>
      <rPr>
        <sz val="11"/>
        <rFont val="Tahoma"/>
        <family val="2"/>
      </rPr>
      <t xml:space="preserve">)
 • </t>
    </r>
    <r>
      <rPr>
        <sz val="11"/>
        <rFont val="宋体"/>
        <family val="2"/>
      </rPr>
      <t xml:space="preserve">监管风险增加的项目
</t>
    </r>
    <r>
      <rPr>
        <sz val="11"/>
        <rFont val="Tahoma"/>
        <family val="2"/>
      </rPr>
      <t xml:space="preserve"> • </t>
    </r>
    <r>
      <rPr>
        <sz val="11"/>
        <rFont val="宋体"/>
        <family val="2"/>
      </rPr>
      <t>新审计项目</t>
    </r>
    <r>
      <rPr>
        <sz val="11"/>
        <rFont val="Tahoma"/>
        <family val="2"/>
      </rPr>
      <t xml:space="preserve"> (</t>
    </r>
    <r>
      <rPr>
        <sz val="11"/>
        <rFont val="宋体"/>
        <family val="2"/>
      </rPr>
      <t>首次审计和成员所的新审计项目</t>
    </r>
    <r>
      <rPr>
        <sz val="11"/>
        <rFont val="Tahoma"/>
        <family val="2"/>
      </rPr>
      <t xml:space="preserve">)
 • </t>
    </r>
    <r>
      <rPr>
        <sz val="11"/>
        <rFont val="宋体"/>
        <family val="2"/>
      </rPr>
      <t xml:space="preserve">金融机构
</t>
    </r>
    <r>
      <rPr>
        <sz val="11"/>
        <rFont val="Tahoma"/>
        <family val="2"/>
      </rPr>
      <t xml:space="preserve"> • </t>
    </r>
    <r>
      <rPr>
        <sz val="11"/>
        <rFont val="宋体"/>
        <family val="2"/>
      </rPr>
      <t>持续经营能力存在重大不确定性的实体</t>
    </r>
  </si>
  <si>
    <r>
      <rPr>
        <sz val="11"/>
        <rFont val="宋体"/>
        <family val="2"/>
      </rPr>
      <t>指引：
系统</t>
    </r>
    <r>
      <rPr>
        <sz val="11"/>
        <rFont val="Tahoma"/>
        <family val="2"/>
      </rPr>
      <t xml:space="preserve"> - </t>
    </r>
    <r>
      <rPr>
        <sz val="11"/>
        <rFont val="宋体"/>
        <family val="2"/>
      </rPr>
      <t>总体中抽样单元的总数量除以样本规模，得到样本间隔。确定起点后，其后每数到第</t>
    </r>
    <r>
      <rPr>
        <sz val="11"/>
        <rFont val="Tahoma"/>
        <family val="2"/>
      </rPr>
      <t xml:space="preserve"> N </t>
    </r>
    <r>
      <rPr>
        <sz val="11"/>
        <rFont val="宋体"/>
        <family val="2"/>
      </rPr>
      <t>个抽样单元就是所选项目。
随机</t>
    </r>
    <r>
      <rPr>
        <sz val="11"/>
        <rFont val="Tahoma"/>
        <family val="2"/>
      </rPr>
      <t xml:space="preserve"> -</t>
    </r>
    <r>
      <rPr>
        <sz val="11"/>
        <rFont val="宋体"/>
        <family val="2"/>
      </rPr>
      <t>使用随机数生成工具或表格（例如，</t>
    </r>
    <r>
      <rPr>
        <sz val="11"/>
        <rFont val="Tahoma"/>
        <family val="2"/>
      </rPr>
      <t xml:space="preserve"> IDEA </t>
    </r>
    <r>
      <rPr>
        <sz val="11"/>
        <rFont val="宋体"/>
        <family val="2"/>
      </rPr>
      <t>中包含的那些）选择抽样单元。
随意</t>
    </r>
    <r>
      <rPr>
        <sz val="11"/>
        <rFont val="Tahoma"/>
        <family val="2"/>
      </rPr>
      <t xml:space="preserve"> – </t>
    </r>
    <r>
      <rPr>
        <sz val="11"/>
        <rFont val="宋体"/>
        <family val="2"/>
      </rPr>
      <t>在不采用结构化方法的情况下选择抽样单元，避免任何有意识的偏向或可预见性</t>
    </r>
  </si>
  <si>
    <r>
      <rPr>
        <sz val="11"/>
        <rFont val="宋体"/>
        <family val="2"/>
      </rPr>
      <t>指引：这是精准上限。</t>
    </r>
  </si>
  <si>
    <r>
      <rPr>
        <sz val="11"/>
        <rFont val="宋体"/>
        <family val="2"/>
      </rPr>
      <t>是</t>
    </r>
  </si>
  <si>
    <r>
      <rPr>
        <sz val="11"/>
        <rFont val="宋体"/>
        <family val="2"/>
      </rPr>
      <t>否</t>
    </r>
  </si>
  <si>
    <r>
      <rPr>
        <sz val="11"/>
        <rFont val="宋体"/>
        <family val="2"/>
      </rPr>
      <t>致同抽样</t>
    </r>
  </si>
  <si>
    <r>
      <rPr>
        <sz val="11"/>
        <rFont val="宋体"/>
        <family val="2"/>
      </rPr>
      <t>抽样</t>
    </r>
    <r>
      <rPr>
        <sz val="11"/>
        <rFont val="Tahoma"/>
        <family val="2"/>
      </rPr>
      <t xml:space="preserve"> - </t>
    </r>
    <r>
      <rPr>
        <sz val="11"/>
        <rFont val="宋体"/>
        <family val="2"/>
      </rPr>
      <t>统计</t>
    </r>
  </si>
  <si>
    <r>
      <rPr>
        <sz val="11"/>
        <rFont val="宋体"/>
        <family val="2"/>
      </rPr>
      <t>抽样</t>
    </r>
    <r>
      <rPr>
        <sz val="11"/>
        <rFont val="Tahoma"/>
        <family val="2"/>
      </rPr>
      <t xml:space="preserve"> - </t>
    </r>
    <r>
      <rPr>
        <sz val="11"/>
        <rFont val="宋体"/>
        <family val="2"/>
      </rPr>
      <t>非统计</t>
    </r>
  </si>
  <si>
    <r>
      <rPr>
        <sz val="11"/>
        <rFont val="宋体"/>
        <family val="2"/>
      </rPr>
      <t>不使用抽样</t>
    </r>
  </si>
  <si>
    <r>
      <rPr>
        <sz val="11"/>
        <rFont val="宋体"/>
        <family val="2"/>
      </rPr>
      <t>完整性</t>
    </r>
  </si>
  <si>
    <r>
      <rPr>
        <sz val="11"/>
        <rFont val="宋体"/>
        <family val="2"/>
      </rPr>
      <t>存在</t>
    </r>
    <phoneticPr fontId="32" type="noConversion"/>
  </si>
  <si>
    <r>
      <rPr>
        <sz val="11"/>
        <rFont val="宋体"/>
        <family val="2"/>
      </rPr>
      <t>发生</t>
    </r>
    <phoneticPr fontId="32" type="noConversion"/>
  </si>
  <si>
    <r>
      <rPr>
        <sz val="11"/>
        <rFont val="宋体"/>
        <family val="2"/>
      </rPr>
      <t>准确性</t>
    </r>
  </si>
  <si>
    <r>
      <rPr>
        <sz val="11"/>
        <rFont val="宋体"/>
        <family val="2"/>
      </rPr>
      <t>计价与分摊</t>
    </r>
  </si>
  <si>
    <r>
      <rPr>
        <sz val="11"/>
        <rFont val="宋体"/>
        <family val="2"/>
      </rPr>
      <t>权利和义务</t>
    </r>
  </si>
  <si>
    <r>
      <rPr>
        <sz val="11"/>
        <rFont val="宋体"/>
        <family val="2"/>
      </rPr>
      <t>列报</t>
    </r>
  </si>
  <si>
    <r>
      <rPr>
        <sz val="11"/>
        <rFont val="宋体"/>
        <family val="2"/>
      </rPr>
      <t>其他</t>
    </r>
    <r>
      <rPr>
        <sz val="11"/>
        <rFont val="Tahoma"/>
        <family val="2"/>
      </rPr>
      <t xml:space="preserve"> / </t>
    </r>
    <r>
      <rPr>
        <sz val="11"/>
        <rFont val="宋体"/>
        <family val="2"/>
      </rPr>
      <t>仅金额重大</t>
    </r>
    <phoneticPr fontId="32" type="noConversion"/>
  </si>
  <si>
    <r>
      <rPr>
        <sz val="11"/>
        <rFont val="宋体"/>
        <family val="2"/>
      </rPr>
      <t>正常</t>
    </r>
  </si>
  <si>
    <r>
      <rPr>
        <sz val="11"/>
        <rFont val="宋体"/>
        <family val="2"/>
      </rPr>
      <t>较高</t>
    </r>
  </si>
  <si>
    <r>
      <rPr>
        <sz val="11"/>
        <rFont val="宋体"/>
        <family val="2"/>
      </rPr>
      <t>无</t>
    </r>
  </si>
  <si>
    <r>
      <rPr>
        <sz val="11"/>
        <rFont val="宋体"/>
        <family val="2"/>
      </rPr>
      <t>有限</t>
    </r>
    <phoneticPr fontId="32" type="noConversion"/>
  </si>
  <si>
    <r>
      <rPr>
        <sz val="11"/>
        <rFont val="宋体"/>
        <family val="2"/>
      </rPr>
      <t>通常</t>
    </r>
    <phoneticPr fontId="32" type="noConversion"/>
  </si>
  <si>
    <r>
      <rPr>
        <sz val="11"/>
        <rFont val="宋体"/>
        <family val="2"/>
      </rPr>
      <t>扩大</t>
    </r>
    <phoneticPr fontId="32" type="noConversion"/>
  </si>
  <si>
    <r>
      <rPr>
        <sz val="11"/>
        <rFont val="宋体"/>
        <family val="2"/>
      </rPr>
      <t>运行有效</t>
    </r>
    <phoneticPr fontId="32" type="noConversion"/>
  </si>
  <si>
    <r>
      <rPr>
        <sz val="11"/>
        <rFont val="宋体"/>
        <family val="2"/>
      </rPr>
      <t>测试范围</t>
    </r>
    <phoneticPr fontId="32" type="noConversion"/>
  </si>
  <si>
    <r>
      <rPr>
        <sz val="11"/>
        <rFont val="宋体"/>
        <family val="2"/>
      </rPr>
      <t>较少</t>
    </r>
  </si>
  <si>
    <r>
      <rPr>
        <sz val="11"/>
        <rFont val="宋体"/>
        <family val="2"/>
      </rPr>
      <t>较多</t>
    </r>
  </si>
  <si>
    <r>
      <rPr>
        <sz val="11"/>
        <rFont val="宋体"/>
        <family val="2"/>
      </rPr>
      <t>审计数据分析</t>
    </r>
  </si>
  <si>
    <r>
      <rPr>
        <sz val="11"/>
        <rFont val="宋体"/>
        <family val="2"/>
      </rPr>
      <t>系统</t>
    </r>
    <r>
      <rPr>
        <sz val="11"/>
        <rFont val="Tahoma"/>
        <family val="2"/>
      </rPr>
      <t xml:space="preserve"> / </t>
    </r>
    <r>
      <rPr>
        <sz val="11"/>
        <rFont val="宋体"/>
        <family val="2"/>
      </rPr>
      <t>间隔</t>
    </r>
  </si>
  <si>
    <r>
      <rPr>
        <sz val="11"/>
        <rFont val="宋体"/>
        <family val="2"/>
      </rPr>
      <t>随机</t>
    </r>
    <r>
      <rPr>
        <sz val="11"/>
        <rFont val="Tahoma"/>
        <family val="2"/>
      </rPr>
      <t xml:space="preserve"> (</t>
    </r>
    <r>
      <rPr>
        <sz val="11"/>
        <rFont val="宋体"/>
        <family val="2"/>
      </rPr>
      <t>使用</t>
    </r>
    <r>
      <rPr>
        <sz val="11"/>
        <rFont val="Tahoma"/>
        <family val="2"/>
      </rPr>
      <t>IDEA)</t>
    </r>
  </si>
  <si>
    <r>
      <rPr>
        <sz val="11"/>
        <rFont val="宋体"/>
        <family val="2"/>
      </rPr>
      <t>随意</t>
    </r>
  </si>
  <si>
    <r>
      <rPr>
        <sz val="11"/>
        <rFont val="宋体"/>
        <family val="2"/>
      </rPr>
      <t>测试少于总体的</t>
    </r>
    <r>
      <rPr>
        <sz val="11"/>
        <rFont val="Tahoma"/>
        <family val="2"/>
      </rPr>
      <t>100%</t>
    </r>
    <r>
      <rPr>
        <sz val="11"/>
        <rFont val="宋体"/>
        <family val="2"/>
      </rPr>
      <t>？</t>
    </r>
  </si>
  <si>
    <r>
      <rPr>
        <sz val="11"/>
        <rFont val="宋体"/>
        <family val="2"/>
      </rPr>
      <t>被测试的总体金额（绝对值）是多少？</t>
    </r>
  </si>
  <si>
    <r>
      <rPr>
        <sz val="11"/>
        <rFont val="宋体"/>
        <family val="2"/>
      </rPr>
      <t>计算出的</t>
    </r>
    <r>
      <rPr>
        <sz val="11"/>
        <rFont val="Tahoma"/>
        <family val="2"/>
      </rPr>
      <t xml:space="preserve"> % </t>
    </r>
    <r>
      <rPr>
        <sz val="11"/>
        <rFont val="宋体"/>
        <family val="2"/>
      </rPr>
      <t>是</t>
    </r>
    <r>
      <rPr>
        <sz val="11"/>
        <rFont val="Tahoma"/>
        <family val="2"/>
      </rPr>
      <t xml:space="preserve"> 0 </t>
    </r>
    <r>
      <rPr>
        <sz val="11"/>
        <rFont val="宋体"/>
        <family val="2"/>
      </rPr>
      <t>或更低</t>
    </r>
    <r>
      <rPr>
        <sz val="11"/>
        <rFont val="Tahoma"/>
        <family val="2"/>
      </rPr>
      <t xml:space="preserve"> - </t>
    </r>
    <r>
      <rPr>
        <sz val="11"/>
        <rFont val="宋体"/>
        <family val="2"/>
      </rPr>
      <t>最低要求已经足够</t>
    </r>
  </si>
  <si>
    <r>
      <rPr>
        <sz val="11"/>
        <rFont val="宋体"/>
        <family val="2"/>
      </rPr>
      <t>外加识别出的重大金额和关键项目</t>
    </r>
  </si>
  <si>
    <r>
      <rPr>
        <sz val="11"/>
        <rFont val="宋体"/>
        <family val="2"/>
      </rPr>
      <t>抽样结果得出的结论是存在于总体的错报金额低于实际执行的重要性。</t>
    </r>
    <phoneticPr fontId="32" type="noConversion"/>
  </si>
  <si>
    <r>
      <rPr>
        <sz val="11"/>
        <rFont val="宋体"/>
        <family val="2"/>
      </rPr>
      <t>不能得出存在于总体的错报金额低于实际执行的重要性的结论。</t>
    </r>
  </si>
  <si>
    <r>
      <rPr>
        <sz val="11"/>
        <rFont val="宋体"/>
        <family val="2"/>
      </rPr>
      <t>对控制的信赖程度</t>
    </r>
  </si>
  <si>
    <r>
      <rPr>
        <sz val="11"/>
        <rFont val="宋体"/>
        <family val="2"/>
      </rPr>
      <t>推断总体错报必须降序列示（从高到低）</t>
    </r>
  </si>
  <si>
    <r>
      <rPr>
        <sz val="11"/>
        <rFont val="宋体"/>
        <family val="2"/>
      </rPr>
      <t>精准上限减去实际错报是低于实际执行的重要性。</t>
    </r>
    <r>
      <rPr>
        <sz val="11"/>
        <rFont val="Tahoma"/>
        <family val="2"/>
      </rPr>
      <t xml:space="preserve"> </t>
    </r>
    <r>
      <rPr>
        <sz val="11"/>
        <rFont val="宋体"/>
        <family val="2"/>
      </rPr>
      <t>如果被审计单位调整实际错报，抽样结果将支持测试的结论。</t>
    </r>
    <phoneticPr fontId="32" type="noConversion"/>
  </si>
  <si>
    <r>
      <rPr>
        <sz val="11"/>
        <rFont val="宋体"/>
        <family val="2"/>
      </rPr>
      <t>精准上限减去推断错报是低于实际执行的重要性。</t>
    </r>
    <r>
      <rPr>
        <sz val="11"/>
        <rFont val="Tahoma"/>
        <family val="2"/>
      </rPr>
      <t xml:space="preserve">  </t>
    </r>
    <r>
      <rPr>
        <sz val="11"/>
        <rFont val="宋体"/>
        <family val="2"/>
      </rPr>
      <t>如果被审计单位调整推断错报，抽样结果将支持测试的结论。</t>
    </r>
    <r>
      <rPr>
        <sz val="11"/>
        <rFont val="Tahoma"/>
        <family val="2"/>
      </rPr>
      <t xml:space="preserve"> </t>
    </r>
    <r>
      <rPr>
        <sz val="11"/>
        <rFont val="宋体"/>
        <family val="2"/>
      </rPr>
      <t>此选项只是适用于如果推断错报是对总体中存在的错报的最佳估计数。</t>
    </r>
    <phoneticPr fontId="32" type="noConversion"/>
  </si>
  <si>
    <r>
      <rPr>
        <sz val="11"/>
        <rFont val="宋体"/>
        <family val="2"/>
      </rPr>
      <t>已获得充分的证据并达到抽样目标。</t>
    </r>
    <phoneticPr fontId="32" type="noConversion"/>
  </si>
  <si>
    <r>
      <rPr>
        <sz val="11"/>
        <rFont val="宋体"/>
        <family val="2"/>
      </rPr>
      <t>不能得出存在于总体的错报金额低于实际执行的重要性的结论，因为推断错报超出预期总体错报。需要采取适当措施。</t>
    </r>
  </si>
  <si>
    <r>
      <rPr>
        <sz val="11"/>
        <rFont val="宋体"/>
        <family val="2"/>
      </rPr>
      <t>预期错误被设置为低数值。请核实这个数值是否适当。</t>
    </r>
  </si>
  <si>
    <r>
      <rPr>
        <sz val="11"/>
        <rFont val="宋体"/>
        <family val="2"/>
      </rPr>
      <t>预期错误值不适当。</t>
    </r>
  </si>
  <si>
    <r>
      <rPr>
        <sz val="11"/>
        <rFont val="宋体"/>
        <family val="2"/>
      </rPr>
      <t>描述程序</t>
    </r>
  </si>
  <si>
    <r>
      <rPr>
        <sz val="11"/>
        <rFont val="宋体"/>
        <family val="2"/>
      </rPr>
      <t>存在较大的低估情形。这导致推断总体错报无效或无果。这可能不适合将低估和高估进行抵消。项目组可能执行其他测试来判定是否存在未识别出的低估风险。</t>
    </r>
  </si>
  <si>
    <r>
      <rPr>
        <sz val="11"/>
        <rFont val="宋体"/>
        <family val="2"/>
      </rPr>
      <t>最低样本量是</t>
    </r>
    <r>
      <rPr>
        <sz val="11"/>
        <rFont val="Tahoma"/>
        <family val="2"/>
      </rPr>
      <t xml:space="preserve"> 5</t>
    </r>
  </si>
  <si>
    <r>
      <rPr>
        <sz val="11"/>
        <rFont val="宋体"/>
        <family val="2"/>
      </rPr>
      <t>由于设计的置信水平为负，最低样本量是</t>
    </r>
    <r>
      <rPr>
        <sz val="11"/>
        <rFont val="Tahoma"/>
        <family val="2"/>
      </rPr>
      <t xml:space="preserve"> 5			</t>
    </r>
  </si>
  <si>
    <r>
      <rPr>
        <sz val="11"/>
        <rFont val="宋体"/>
        <family val="2"/>
      </rPr>
      <t>您正使用最低样本量，不能进行统计分析。如果存在错报，请评价风险评估是否仍然合适，同时评价是否已取得充分审计证据以达到抽样目标。</t>
    </r>
    <phoneticPr fontId="32" type="noConversion"/>
  </si>
  <si>
    <r>
      <rPr>
        <sz val="11"/>
        <rFont val="宋体"/>
        <family val="2"/>
      </rPr>
      <t xml:space="preserve">您正在使用最低样本量。如果存在错误，请评价风险评估是否仍然合适，同时评价是否已取得充分审计证据以达到抽样目标。			</t>
    </r>
    <phoneticPr fontId="32" type="noConversion"/>
  </si>
  <si>
    <r>
      <t xml:space="preserve">MUS </t>
    </r>
    <r>
      <rPr>
        <sz val="11"/>
        <rFont val="宋体"/>
        <family val="2"/>
      </rPr>
      <t>不是设计用于检查低估金额。</t>
    </r>
    <r>
      <rPr>
        <sz val="11"/>
        <rFont val="Tahoma"/>
        <family val="2"/>
      </rPr>
      <t xml:space="preserve"> </t>
    </r>
    <r>
      <rPr>
        <sz val="11"/>
        <rFont val="宋体"/>
        <family val="2"/>
      </rPr>
      <t>请确定使用</t>
    </r>
    <r>
      <rPr>
        <sz val="11"/>
        <rFont val="Tahoma"/>
        <family val="2"/>
      </rPr>
      <t xml:space="preserve"> MUS </t>
    </r>
    <r>
      <rPr>
        <sz val="11"/>
        <rFont val="宋体"/>
        <family val="2"/>
      </rPr>
      <t>是否依然适当。</t>
    </r>
  </si>
  <si>
    <r>
      <rPr>
        <sz val="11"/>
        <rFont val="宋体"/>
        <family val="2"/>
      </rPr>
      <t>警告</t>
    </r>
    <r>
      <rPr>
        <sz val="11"/>
        <rFont val="Tahoma"/>
        <family val="2"/>
      </rPr>
      <t xml:space="preserve"> - </t>
    </r>
    <r>
      <rPr>
        <sz val="11"/>
        <rFont val="宋体"/>
        <family val="2"/>
      </rPr>
      <t xml:space="preserve">样本量小于或等于实际执行的重要性。			</t>
    </r>
    <phoneticPr fontId="32" type="noConversion"/>
  </si>
  <si>
    <r>
      <rPr>
        <sz val="11"/>
        <rFont val="宋体"/>
        <family val="2"/>
      </rPr>
      <t>步骤</t>
    </r>
    <r>
      <rPr>
        <sz val="11"/>
        <rFont val="Tahoma"/>
        <family val="2"/>
      </rPr>
      <t xml:space="preserve"> 1 - </t>
    </r>
    <r>
      <rPr>
        <sz val="11"/>
        <rFont val="宋体"/>
        <family val="2"/>
      </rPr>
      <t>确定测试的目标</t>
    </r>
  </si>
  <si>
    <r>
      <rPr>
        <sz val="11"/>
        <rFont val="宋体"/>
        <family val="2"/>
      </rPr>
      <t>步骤</t>
    </r>
    <r>
      <rPr>
        <sz val="11"/>
        <rFont val="Tahoma"/>
        <family val="2"/>
      </rPr>
      <t xml:space="preserve"> 2 - </t>
    </r>
    <r>
      <rPr>
        <sz val="11"/>
        <rFont val="宋体"/>
        <family val="2"/>
      </rPr>
      <t>定义和分析总体</t>
    </r>
  </si>
  <si>
    <r>
      <rPr>
        <sz val="11"/>
        <rFont val="宋体"/>
        <family val="2"/>
      </rPr>
      <t>步骤</t>
    </r>
    <r>
      <rPr>
        <sz val="11"/>
        <rFont val="Tahoma"/>
        <family val="2"/>
      </rPr>
      <t xml:space="preserve"> 3 - </t>
    </r>
    <r>
      <rPr>
        <sz val="11"/>
        <rFont val="宋体"/>
        <family val="2"/>
      </rPr>
      <t>抽样方法</t>
    </r>
  </si>
  <si>
    <r>
      <rPr>
        <sz val="11"/>
        <rFont val="宋体"/>
        <family val="2"/>
      </rPr>
      <t>步骤</t>
    </r>
    <r>
      <rPr>
        <sz val="11"/>
        <rFont val="Tahoma"/>
        <family val="2"/>
      </rPr>
      <t xml:space="preserve"> 4 - </t>
    </r>
    <r>
      <rPr>
        <sz val="11"/>
        <rFont val="宋体"/>
        <family val="2"/>
      </rPr>
      <t>确定样本量</t>
    </r>
  </si>
  <si>
    <r>
      <rPr>
        <sz val="11"/>
        <rFont val="宋体"/>
        <family val="2"/>
      </rPr>
      <t>步骤</t>
    </r>
    <r>
      <rPr>
        <sz val="11"/>
        <rFont val="Tahoma"/>
        <family val="2"/>
      </rPr>
      <t xml:space="preserve"> 5 - </t>
    </r>
    <r>
      <rPr>
        <sz val="11"/>
        <rFont val="宋体"/>
        <family val="2"/>
      </rPr>
      <t>选取样本</t>
    </r>
  </si>
  <si>
    <r>
      <rPr>
        <sz val="11"/>
        <rFont val="宋体"/>
        <family val="2"/>
      </rPr>
      <t>步骤</t>
    </r>
    <r>
      <rPr>
        <sz val="11"/>
        <rFont val="Tahoma"/>
        <family val="2"/>
      </rPr>
      <t xml:space="preserve"> 6 - </t>
    </r>
    <r>
      <rPr>
        <sz val="11"/>
        <rFont val="宋体"/>
        <family val="2"/>
      </rPr>
      <t>测试已选取样本</t>
    </r>
  </si>
  <si>
    <r>
      <rPr>
        <sz val="11"/>
        <rFont val="宋体"/>
        <family val="2"/>
      </rPr>
      <t>步骤</t>
    </r>
    <r>
      <rPr>
        <sz val="11"/>
        <rFont val="Tahoma"/>
        <family val="2"/>
      </rPr>
      <t xml:space="preserve"> 7 - </t>
    </r>
    <r>
      <rPr>
        <sz val="11"/>
        <rFont val="宋体"/>
        <family val="2"/>
      </rPr>
      <t>评价样本结果</t>
    </r>
  </si>
  <si>
    <r>
      <rPr>
        <sz val="11"/>
        <rFont val="宋体"/>
        <family val="2"/>
      </rPr>
      <t>步骤</t>
    </r>
    <r>
      <rPr>
        <sz val="11"/>
        <rFont val="Tahoma"/>
        <family val="2"/>
      </rPr>
      <t xml:space="preserve"> 8 - </t>
    </r>
    <r>
      <rPr>
        <sz val="11"/>
        <rFont val="宋体"/>
        <family val="2"/>
      </rPr>
      <t>记录程序的结果</t>
    </r>
  </si>
  <si>
    <r>
      <rPr>
        <sz val="11"/>
        <rFont val="宋体"/>
        <family val="2"/>
      </rPr>
      <t>总体名称：</t>
    </r>
  </si>
  <si>
    <r>
      <rPr>
        <sz val="11"/>
        <rFont val="宋体"/>
        <family val="2"/>
      </rPr>
      <t>适用的样本计划：</t>
    </r>
  </si>
  <si>
    <r>
      <rPr>
        <sz val="11"/>
        <rFont val="宋体"/>
        <family val="2"/>
      </rPr>
      <t>上市实体</t>
    </r>
    <r>
      <rPr>
        <sz val="11"/>
        <rFont val="Tahoma"/>
        <family val="2"/>
      </rPr>
      <t xml:space="preserve">/ </t>
    </r>
    <r>
      <rPr>
        <sz val="11"/>
        <rFont val="宋体"/>
        <family val="2"/>
      </rPr>
      <t>高风险</t>
    </r>
    <r>
      <rPr>
        <sz val="11"/>
        <rFont val="Tahoma"/>
        <family val="2"/>
      </rPr>
      <t>?</t>
    </r>
    <r>
      <rPr>
        <sz val="11"/>
        <rFont val="宋体"/>
        <family val="2"/>
      </rPr>
      <t>：</t>
    </r>
  </si>
  <si>
    <r>
      <rPr>
        <sz val="11"/>
        <rFont val="宋体"/>
        <family val="2"/>
      </rPr>
      <t>高信赖（其他标准）</t>
    </r>
    <r>
      <rPr>
        <sz val="11"/>
        <rFont val="Tahoma"/>
        <family val="2"/>
      </rPr>
      <t>?</t>
    </r>
    <r>
      <rPr>
        <sz val="11"/>
        <rFont val="宋体"/>
        <family val="2"/>
      </rPr>
      <t>：</t>
    </r>
  </si>
  <si>
    <r>
      <rPr>
        <sz val="11"/>
        <rFont val="宋体"/>
        <family val="2"/>
      </rPr>
      <t>认定</t>
    </r>
    <phoneticPr fontId="32" type="noConversion"/>
  </si>
  <si>
    <r>
      <rPr>
        <sz val="11"/>
        <rFont val="宋体"/>
        <family val="2"/>
      </rPr>
      <t>固有风险</t>
    </r>
    <phoneticPr fontId="32" type="noConversion"/>
  </si>
  <si>
    <r>
      <rPr>
        <sz val="11"/>
        <rFont val="宋体"/>
        <family val="2"/>
      </rPr>
      <t>对控制的信赖程度</t>
    </r>
    <phoneticPr fontId="32" type="noConversion"/>
  </si>
  <si>
    <r>
      <rPr>
        <sz val="11"/>
        <rFont val="宋体"/>
        <family val="2"/>
      </rPr>
      <t>总体的绝对值</t>
    </r>
  </si>
  <si>
    <r>
      <rPr>
        <sz val="11"/>
        <rFont val="宋体"/>
        <family val="2"/>
      </rPr>
      <t>重大金额或关键项目进行单独测试</t>
    </r>
    <r>
      <rPr>
        <sz val="11"/>
        <rFont val="Tahoma"/>
        <family val="2"/>
      </rPr>
      <t>:</t>
    </r>
  </si>
  <si>
    <r>
      <rPr>
        <sz val="11"/>
        <rFont val="宋体"/>
        <family val="2"/>
      </rPr>
      <t>项目总数</t>
    </r>
  </si>
  <si>
    <r>
      <rPr>
        <sz val="11"/>
        <rFont val="宋体"/>
        <family val="2"/>
      </rPr>
      <t>合计金额</t>
    </r>
  </si>
  <si>
    <r>
      <rPr>
        <sz val="11"/>
        <rFont val="宋体"/>
        <family val="2"/>
      </rPr>
      <t>定性</t>
    </r>
  </si>
  <si>
    <r>
      <rPr>
        <sz val="11"/>
        <rFont val="宋体"/>
        <family val="2"/>
      </rPr>
      <t>定量</t>
    </r>
    <phoneticPr fontId="32" type="noConversion"/>
  </si>
  <si>
    <r>
      <rPr>
        <sz val="11"/>
        <rFont val="宋体"/>
        <family val="2"/>
      </rPr>
      <t>抽样总体</t>
    </r>
  </si>
  <si>
    <r>
      <rPr>
        <sz val="11"/>
        <rFont val="宋体"/>
        <family val="2"/>
      </rPr>
      <t>统计抽样</t>
    </r>
  </si>
  <si>
    <r>
      <rPr>
        <sz val="11"/>
        <rFont val="宋体"/>
        <family val="2"/>
      </rPr>
      <t>非统计抽样</t>
    </r>
  </si>
  <si>
    <r>
      <rPr>
        <sz val="11"/>
        <rFont val="宋体"/>
        <family val="2"/>
      </rPr>
      <t>总体的性质</t>
    </r>
    <r>
      <rPr>
        <sz val="11"/>
        <rFont val="Tahoma"/>
        <family val="2"/>
      </rPr>
      <t>?</t>
    </r>
    <phoneticPr fontId="32" type="noConversion"/>
  </si>
  <si>
    <r>
      <rPr>
        <sz val="11"/>
        <rFont val="宋体"/>
        <family val="2"/>
      </rPr>
      <t>分层</t>
    </r>
  </si>
  <si>
    <r>
      <rPr>
        <sz val="11"/>
        <rFont val="宋体"/>
        <family val="2"/>
      </rPr>
      <t>同质</t>
    </r>
  </si>
  <si>
    <r>
      <rPr>
        <sz val="11"/>
        <rFont val="宋体"/>
        <family val="2"/>
      </rPr>
      <t>不分层</t>
    </r>
  </si>
  <si>
    <r>
      <rPr>
        <sz val="11"/>
        <rFont val="宋体"/>
        <family val="2"/>
      </rPr>
      <t>提供的证据</t>
    </r>
    <r>
      <rPr>
        <sz val="11"/>
        <rFont val="Tahoma"/>
        <family val="2"/>
      </rPr>
      <t>:</t>
    </r>
  </si>
  <si>
    <r>
      <rPr>
        <sz val="11"/>
        <rFont val="宋体"/>
        <family val="2"/>
      </rPr>
      <t>分析程序</t>
    </r>
  </si>
  <si>
    <r>
      <rPr>
        <sz val="11"/>
        <rFont val="宋体"/>
        <family val="2"/>
      </rPr>
      <t>其他细节测试</t>
    </r>
  </si>
  <si>
    <r>
      <rPr>
        <sz val="11"/>
        <rFont val="宋体"/>
        <family val="2"/>
      </rPr>
      <t>预期总体错报金额</t>
    </r>
    <phoneticPr fontId="32" type="noConversion"/>
  </si>
  <si>
    <r>
      <rPr>
        <sz val="11"/>
        <rFont val="宋体"/>
        <family val="2"/>
      </rPr>
      <t>设计置信水平</t>
    </r>
    <phoneticPr fontId="32" type="noConversion"/>
  </si>
  <si>
    <r>
      <rPr>
        <sz val="11"/>
        <rFont val="宋体"/>
        <family val="2"/>
      </rPr>
      <t>样本量</t>
    </r>
  </si>
  <si>
    <r>
      <rPr>
        <sz val="11"/>
        <rFont val="宋体"/>
        <family val="2"/>
      </rPr>
      <t>调整预期总体错报金额</t>
    </r>
    <phoneticPr fontId="32" type="noConversion"/>
  </si>
  <si>
    <r>
      <rPr>
        <sz val="11"/>
        <rFont val="宋体"/>
        <family val="2"/>
      </rPr>
      <t>使用的选取方法</t>
    </r>
  </si>
  <si>
    <r>
      <rPr>
        <sz val="11"/>
        <rFont val="宋体"/>
        <family val="2"/>
      </rPr>
      <t>样本间隔</t>
    </r>
  </si>
  <si>
    <r>
      <rPr>
        <sz val="11"/>
        <rFont val="宋体"/>
        <family val="2"/>
      </rPr>
      <t>相关测试记录的工作底稿索引</t>
    </r>
    <r>
      <rPr>
        <sz val="11"/>
        <rFont val="Tahoma"/>
        <family val="2"/>
      </rPr>
      <t>:</t>
    </r>
  </si>
  <si>
    <r>
      <rPr>
        <sz val="11"/>
        <rFont val="宋体"/>
        <family val="2"/>
      </rPr>
      <t>识别出的错报</t>
    </r>
    <phoneticPr fontId="32" type="noConversion"/>
  </si>
  <si>
    <r>
      <rPr>
        <sz val="11"/>
        <rFont val="宋体"/>
        <family val="2"/>
      </rPr>
      <t>账面金额</t>
    </r>
  </si>
  <si>
    <r>
      <rPr>
        <sz val="11"/>
        <rFont val="宋体"/>
        <family val="2"/>
      </rPr>
      <t>审计金额</t>
    </r>
  </si>
  <si>
    <r>
      <rPr>
        <sz val="11"/>
        <rFont val="宋体"/>
        <family val="2"/>
      </rPr>
      <t>与重大金额或关键项目相关</t>
    </r>
    <r>
      <rPr>
        <sz val="11"/>
        <rFont val="Tahoma"/>
        <family val="2"/>
      </rPr>
      <t>?</t>
    </r>
  </si>
  <si>
    <r>
      <rPr>
        <sz val="11"/>
        <rFont val="宋体"/>
        <family val="2"/>
      </rPr>
      <t>错报金额合计</t>
    </r>
  </si>
  <si>
    <r>
      <rPr>
        <sz val="11"/>
        <rFont val="宋体"/>
        <family val="2"/>
      </rPr>
      <t>渲染</t>
    </r>
  </si>
  <si>
    <r>
      <rPr>
        <sz val="11"/>
        <rFont val="宋体"/>
        <family val="2"/>
      </rPr>
      <t>推断总体</t>
    </r>
  </si>
  <si>
    <r>
      <rPr>
        <sz val="11"/>
        <rFont val="宋体"/>
        <family val="2"/>
      </rPr>
      <t>包括渲染</t>
    </r>
  </si>
  <si>
    <r>
      <rPr>
        <sz val="11"/>
        <rFont val="宋体"/>
        <family val="2"/>
      </rPr>
      <t>没有渲染</t>
    </r>
  </si>
  <si>
    <r>
      <rPr>
        <sz val="11"/>
        <rFont val="宋体"/>
        <family val="2"/>
      </rPr>
      <t>推断总体错报金额</t>
    </r>
  </si>
  <si>
    <r>
      <t>(</t>
    </r>
    <r>
      <rPr>
        <sz val="11"/>
        <rFont val="宋体"/>
        <family val="2"/>
      </rPr>
      <t>实际</t>
    </r>
    <r>
      <rPr>
        <sz val="11"/>
        <rFont val="Tahoma"/>
        <family val="2"/>
      </rPr>
      <t>)</t>
    </r>
  </si>
  <si>
    <r>
      <t>(</t>
    </r>
    <r>
      <rPr>
        <sz val="11"/>
        <rFont val="宋体"/>
        <family val="2"/>
      </rPr>
      <t>合计推断金额</t>
    </r>
    <r>
      <rPr>
        <sz val="11"/>
        <rFont val="Tahoma"/>
        <family val="2"/>
      </rPr>
      <t>)</t>
    </r>
  </si>
  <si>
    <r>
      <rPr>
        <sz val="11"/>
        <rFont val="宋体"/>
        <family val="2"/>
      </rPr>
      <t>汇总结果</t>
    </r>
  </si>
  <si>
    <r>
      <rPr>
        <sz val="11"/>
        <rFont val="宋体"/>
        <family val="2"/>
      </rPr>
      <t>样本的实际错报金额</t>
    </r>
    <r>
      <rPr>
        <sz val="11"/>
        <rFont val="Tahoma"/>
        <family val="2"/>
      </rPr>
      <t>:</t>
    </r>
  </si>
  <si>
    <r>
      <rPr>
        <sz val="11"/>
        <rFont val="宋体"/>
        <family val="2"/>
      </rPr>
      <t>推断总体错报金额</t>
    </r>
    <r>
      <rPr>
        <sz val="11"/>
        <rFont val="Tahoma"/>
        <family val="2"/>
      </rPr>
      <t xml:space="preserve"> (</t>
    </r>
    <r>
      <rPr>
        <sz val="11"/>
        <rFont val="宋体"/>
        <family val="2"/>
      </rPr>
      <t>记录到审计调整分录或未更正错报汇总</t>
    </r>
    <r>
      <rPr>
        <sz val="11"/>
        <rFont val="Tahoma"/>
        <family val="2"/>
      </rPr>
      <t>):</t>
    </r>
  </si>
  <si>
    <r>
      <rPr>
        <sz val="11"/>
        <rFont val="宋体"/>
        <family val="2"/>
      </rPr>
      <t>整体精准度</t>
    </r>
    <r>
      <rPr>
        <sz val="11"/>
        <rFont val="Tahoma"/>
        <family val="2"/>
      </rPr>
      <t>:</t>
    </r>
  </si>
  <si>
    <r>
      <rPr>
        <sz val="11"/>
        <rFont val="宋体"/>
        <family val="2"/>
      </rPr>
      <t>这里有</t>
    </r>
  </si>
  <si>
    <r>
      <rPr>
        <sz val="11"/>
        <rFont val="宋体"/>
        <family val="2"/>
      </rPr>
      <t>机会已记账金额被多计超过</t>
    </r>
  </si>
  <si>
    <r>
      <rPr>
        <sz val="11"/>
        <rFont val="宋体"/>
        <family val="2"/>
      </rPr>
      <t>结果</t>
    </r>
    <r>
      <rPr>
        <sz val="11"/>
        <rFont val="Tahoma"/>
        <family val="2"/>
      </rPr>
      <t>:</t>
    </r>
  </si>
  <si>
    <r>
      <rPr>
        <sz val="11"/>
        <rFont val="宋体"/>
        <family val="2"/>
      </rPr>
      <t>存在错报</t>
    </r>
  </si>
  <si>
    <r>
      <rPr>
        <sz val="11"/>
        <rFont val="宋体"/>
        <family val="2"/>
      </rPr>
      <t>分层</t>
    </r>
    <r>
      <rPr>
        <sz val="11"/>
        <rFont val="Tahoma"/>
        <family val="2"/>
      </rPr>
      <t xml:space="preserve"> 1</t>
    </r>
  </si>
  <si>
    <r>
      <rPr>
        <sz val="11"/>
        <rFont val="宋体"/>
        <family val="2"/>
      </rPr>
      <t>分层</t>
    </r>
    <r>
      <rPr>
        <sz val="11"/>
        <rFont val="Tahoma"/>
        <family val="2"/>
      </rPr>
      <t xml:space="preserve"> 2</t>
    </r>
  </si>
  <si>
    <r>
      <rPr>
        <sz val="11"/>
        <rFont val="宋体"/>
        <family val="2"/>
      </rPr>
      <t>重大金额或关键项目</t>
    </r>
  </si>
  <si>
    <r>
      <rPr>
        <sz val="11"/>
        <rFont val="宋体"/>
        <family val="2"/>
      </rPr>
      <t>合计</t>
    </r>
  </si>
  <si>
    <r>
      <rPr>
        <sz val="11"/>
        <rFont val="宋体"/>
        <family val="2"/>
      </rPr>
      <t>合计错报金额</t>
    </r>
  </si>
  <si>
    <r>
      <rPr>
        <sz val="11"/>
        <rFont val="宋体"/>
        <family val="2"/>
      </rPr>
      <t>样本项目账面价值</t>
    </r>
  </si>
  <si>
    <r>
      <rPr>
        <sz val="11"/>
        <rFont val="宋体"/>
        <family val="2"/>
      </rPr>
      <t>错报比率</t>
    </r>
  </si>
  <si>
    <r>
      <rPr>
        <sz val="11"/>
        <rFont val="宋体"/>
        <family val="2"/>
      </rPr>
      <t>合计总体账面价值</t>
    </r>
  </si>
  <si>
    <r>
      <rPr>
        <sz val="11"/>
        <rFont val="宋体"/>
        <family val="2"/>
      </rPr>
      <t>推断总体错报</t>
    </r>
  </si>
  <si>
    <r>
      <rPr>
        <sz val="11"/>
        <rFont val="宋体"/>
        <family val="2"/>
      </rPr>
      <t>金额</t>
    </r>
  </si>
  <si>
    <r>
      <rPr>
        <sz val="11"/>
        <rFont val="宋体"/>
        <family val="2"/>
      </rPr>
      <t>应记录到审计调整分录或未更正错报汇总</t>
    </r>
  </si>
  <si>
    <r>
      <rPr>
        <sz val="11"/>
        <rFont val="宋体"/>
        <family val="2"/>
      </rPr>
      <t>汇总</t>
    </r>
  </si>
  <si>
    <r>
      <rPr>
        <sz val="11"/>
        <rFont val="宋体"/>
        <family val="2"/>
      </rPr>
      <t>项目名称</t>
    </r>
  </si>
  <si>
    <r>
      <rPr>
        <sz val="11"/>
        <rFont val="宋体"/>
        <family val="2"/>
      </rPr>
      <t>适用的抽样方法</t>
    </r>
    <phoneticPr fontId="32" type="noConversion"/>
  </si>
  <si>
    <r>
      <rPr>
        <sz val="11"/>
        <rFont val="宋体"/>
        <family val="2"/>
      </rPr>
      <t>被审计单位是否达到事务所规定的其他标准（如适用）</t>
    </r>
    <r>
      <rPr>
        <sz val="11"/>
        <rFont val="Tahoma"/>
        <family val="2"/>
      </rPr>
      <t>?</t>
    </r>
    <phoneticPr fontId="32" type="noConversion"/>
  </si>
  <si>
    <r>
      <rPr>
        <sz val="11"/>
        <rFont val="宋体"/>
        <family val="2"/>
      </rPr>
      <t>实际执行的重要性</t>
    </r>
  </si>
  <si>
    <r>
      <rPr>
        <sz val="11"/>
        <rFont val="宋体"/>
        <family val="2"/>
      </rPr>
      <t>循环</t>
    </r>
  </si>
  <si>
    <r>
      <rPr>
        <sz val="11"/>
        <rFont val="宋体"/>
        <family val="2"/>
      </rPr>
      <t>总体</t>
    </r>
  </si>
  <si>
    <r>
      <rPr>
        <sz val="11"/>
        <rFont val="宋体"/>
        <family val="2"/>
      </rPr>
      <t>名称</t>
    </r>
  </si>
  <si>
    <r>
      <rPr>
        <sz val="11"/>
        <rFont val="宋体"/>
        <family val="2"/>
      </rPr>
      <t>绝对值</t>
    </r>
  </si>
  <si>
    <r>
      <rPr>
        <sz val="11"/>
        <rFont val="宋体"/>
        <family val="2"/>
      </rPr>
      <t>范围</t>
    </r>
    <phoneticPr fontId="32" type="noConversion"/>
  </si>
  <si>
    <r>
      <rPr>
        <sz val="11"/>
        <rFont val="宋体"/>
        <family val="2"/>
      </rPr>
      <t>测试页链接</t>
    </r>
    <phoneticPr fontId="32" type="noConversion"/>
  </si>
  <si>
    <r>
      <rPr>
        <sz val="11"/>
        <rFont val="宋体"/>
        <family val="2"/>
      </rPr>
      <t>统计</t>
    </r>
  </si>
  <si>
    <r>
      <rPr>
        <sz val="11"/>
        <rFont val="宋体"/>
        <family val="2"/>
      </rPr>
      <t>非统计</t>
    </r>
  </si>
  <si>
    <r>
      <rPr>
        <sz val="11"/>
        <rFont val="宋体"/>
        <family val="2"/>
      </rPr>
      <t>纳入审计范围的项目</t>
    </r>
  </si>
  <si>
    <r>
      <rPr>
        <sz val="11"/>
        <rFont val="宋体"/>
        <family val="2"/>
      </rPr>
      <t>纳入审计范围的项目</t>
    </r>
    <r>
      <rPr>
        <sz val="11"/>
        <rFont val="Tahoma"/>
        <family val="2"/>
      </rPr>
      <t xml:space="preserve"> (</t>
    </r>
    <r>
      <rPr>
        <sz val="11"/>
        <rFont val="宋体"/>
        <family val="2"/>
      </rPr>
      <t>绝对值</t>
    </r>
    <r>
      <rPr>
        <sz val="11"/>
        <rFont val="Tahoma"/>
        <family val="2"/>
      </rPr>
      <t>)</t>
    </r>
  </si>
  <si>
    <r>
      <rPr>
        <sz val="11"/>
        <rFont val="宋体"/>
        <family val="2"/>
      </rPr>
      <t>核实所有输入</t>
    </r>
  </si>
  <si>
    <r>
      <rPr>
        <sz val="11"/>
        <rFont val="宋体"/>
        <family val="2"/>
      </rPr>
      <t>特定项目的合计价值不能大于或等于被取样的总体</t>
    </r>
  </si>
  <si>
    <r>
      <rPr>
        <sz val="11"/>
        <rFont val="宋体"/>
        <family val="2"/>
      </rPr>
      <t>重大金额和关键项目不能为负值。</t>
    </r>
  </si>
  <si>
    <r>
      <rPr>
        <sz val="11"/>
        <rFont val="宋体"/>
        <family val="2"/>
      </rPr>
      <t>系统抽样未被选取，间隔不适用</t>
    </r>
    <phoneticPr fontId="32" type="noConversion"/>
  </si>
  <si>
    <r>
      <rPr>
        <sz val="11"/>
        <rFont val="宋体"/>
        <family val="2"/>
      </rPr>
      <t>特定项目的合计金额占总体很大部分。</t>
    </r>
    <r>
      <rPr>
        <sz val="11"/>
        <rFont val="Tahoma"/>
        <family val="2"/>
      </rPr>
      <t xml:space="preserve"> </t>
    </r>
    <r>
      <rPr>
        <sz val="11"/>
        <rFont val="宋体"/>
        <family val="2"/>
      </rPr>
      <t>抽样以外的其他方法可能更为有效率和效用。</t>
    </r>
    <phoneticPr fontId="32" type="noConversion"/>
  </si>
  <si>
    <r>
      <rPr>
        <sz val="11"/>
        <rFont val="宋体"/>
        <family val="2"/>
      </rPr>
      <t>未选取相关</t>
    </r>
    <r>
      <rPr>
        <sz val="11"/>
        <rFont val="Tahoma"/>
        <family val="2"/>
      </rPr>
      <t>/</t>
    </r>
    <r>
      <rPr>
        <sz val="11"/>
        <rFont val="宋体"/>
        <family val="2"/>
      </rPr>
      <t>适用认定</t>
    </r>
    <phoneticPr fontId="32" type="noConversion"/>
  </si>
  <si>
    <r>
      <rPr>
        <sz val="11"/>
        <rFont val="宋体"/>
        <family val="2"/>
      </rPr>
      <t>未选取对控制的信赖程度</t>
    </r>
  </si>
  <si>
    <r>
      <rPr>
        <sz val="11"/>
        <rFont val="宋体"/>
        <family val="2"/>
      </rPr>
      <t>不适用</t>
    </r>
    <r>
      <rPr>
        <sz val="11"/>
        <rFont val="Tahoma"/>
        <family val="2"/>
      </rPr>
      <t xml:space="preserve"> / </t>
    </r>
    <r>
      <rPr>
        <sz val="11"/>
        <rFont val="宋体"/>
        <family val="2"/>
      </rPr>
      <t>不相关</t>
    </r>
    <phoneticPr fontId="32" type="noConversion"/>
  </si>
  <si>
    <r>
      <rPr>
        <sz val="11"/>
        <rFont val="宋体"/>
        <family val="2"/>
      </rPr>
      <t>最少程度</t>
    </r>
    <r>
      <rPr>
        <sz val="11"/>
        <rFont val="Tahoma"/>
        <family val="2"/>
      </rPr>
      <t xml:space="preserve"> - </t>
    </r>
    <r>
      <rPr>
        <sz val="11"/>
        <rFont val="宋体"/>
        <family val="2"/>
      </rPr>
      <t>没有间隔</t>
    </r>
  </si>
  <si>
    <r>
      <rPr>
        <sz val="11"/>
        <rFont val="宋体"/>
        <family val="2"/>
      </rPr>
      <t>请参考总体分层抽样间隔指引</t>
    </r>
  </si>
  <si>
    <r>
      <rPr>
        <sz val="11"/>
        <rFont val="宋体"/>
        <family val="2"/>
      </rPr>
      <t>测试项目的绝对值不能小于零或大于总体值。</t>
    </r>
  </si>
  <si>
    <r>
      <rPr>
        <sz val="11"/>
        <rFont val="宋体"/>
        <family val="2"/>
      </rPr>
      <t>请参考有限测试范围的指引。</t>
    </r>
    <phoneticPr fontId="32" type="noConversion"/>
  </si>
  <si>
    <r>
      <rPr>
        <sz val="11"/>
        <rFont val="宋体"/>
        <family val="2"/>
      </rPr>
      <t>请输入代表纳入审计范围内项目的绝对值（正值）。</t>
    </r>
  </si>
  <si>
    <r>
      <rPr>
        <sz val="11"/>
        <rFont val="宋体"/>
        <family val="2"/>
      </rPr>
      <t>系统生成或计算值</t>
    </r>
  </si>
  <si>
    <r>
      <rPr>
        <sz val="11"/>
        <rFont val="宋体"/>
        <family val="2"/>
      </rPr>
      <t>要求用户选择如何确定样本</t>
    </r>
  </si>
  <si>
    <r>
      <rPr>
        <sz val="11"/>
        <rFont val="宋体"/>
        <family val="2"/>
      </rPr>
      <t>其他用户输入栏</t>
    </r>
    <phoneticPr fontId="32" type="noConversion"/>
  </si>
  <si>
    <r>
      <rPr>
        <sz val="11"/>
        <rFont val="宋体"/>
        <family val="2"/>
      </rPr>
      <t>图例</t>
    </r>
  </si>
  <si>
    <r>
      <rPr>
        <sz val="11"/>
        <rFont val="宋体"/>
        <family val="2"/>
      </rPr>
      <t>是</t>
    </r>
    <r>
      <rPr>
        <sz val="11"/>
        <rFont val="Tahoma"/>
        <family val="2"/>
      </rPr>
      <t xml:space="preserve"> - </t>
    </r>
    <r>
      <rPr>
        <sz val="11"/>
        <rFont val="宋体"/>
        <family val="2"/>
      </rPr>
      <t>适用</t>
    </r>
    <phoneticPr fontId="32" type="noConversion"/>
  </si>
  <si>
    <r>
      <rPr>
        <sz val="11"/>
        <rFont val="宋体"/>
        <family val="2"/>
      </rPr>
      <t>否</t>
    </r>
    <r>
      <rPr>
        <sz val="11"/>
        <rFont val="Tahoma"/>
        <family val="2"/>
      </rPr>
      <t xml:space="preserve"> - </t>
    </r>
    <r>
      <rPr>
        <sz val="11"/>
        <rFont val="宋体"/>
        <family val="2"/>
      </rPr>
      <t>不适用</t>
    </r>
    <phoneticPr fontId="32" type="noConversion"/>
  </si>
  <si>
    <r>
      <rPr>
        <sz val="11"/>
        <rFont val="宋体"/>
        <family val="2"/>
      </rPr>
      <t>您必须启用宏才能使用本工作簿</t>
    </r>
    <phoneticPr fontId="32" type="noConversion"/>
  </si>
  <si>
    <r>
      <rPr>
        <sz val="11"/>
        <rFont val="宋体"/>
        <family val="2"/>
      </rPr>
      <t>如果</t>
    </r>
    <r>
      <rPr>
        <b/>
        <u/>
        <sz val="11"/>
        <rFont val="宋体"/>
        <family val="3"/>
        <charset val="134"/>
      </rPr>
      <t>已启用宏</t>
    </r>
    <r>
      <rPr>
        <sz val="11"/>
        <rFont val="宋体"/>
        <family val="2"/>
      </rPr>
      <t>，但仅能看到本工作表，</t>
    </r>
    <r>
      <rPr>
        <sz val="11"/>
        <rFont val="Tahoma"/>
        <family val="2"/>
      </rPr>
      <t xml:space="preserve"> </t>
    </r>
    <r>
      <rPr>
        <sz val="11"/>
        <rFont val="宋体"/>
        <family val="2"/>
      </rPr>
      <t xml:space="preserve">通常是由于以下情况：
</t>
    </r>
    <r>
      <rPr>
        <sz val="11"/>
        <rFont val="Tahoma"/>
        <family val="2"/>
      </rPr>
      <t xml:space="preserve">1. </t>
    </r>
    <r>
      <rPr>
        <sz val="11"/>
        <rFont val="宋体"/>
        <family val="2"/>
      </rPr>
      <t xml:space="preserve">打开工作簿并启用宏后，工作表不会消失，工作簿中的其余工作表也不会显示。
</t>
    </r>
    <r>
      <rPr>
        <sz val="11"/>
        <rFont val="Tahoma"/>
        <family val="2"/>
      </rPr>
      <t>2.</t>
    </r>
    <r>
      <rPr>
        <sz val="11"/>
        <rFont val="宋体"/>
        <family val="2"/>
      </rPr>
      <t>自动保存已开启，尝试关闭工作簿时，由于自动保存过程中断，在生成的消息框中选择了</t>
    </r>
    <r>
      <rPr>
        <sz val="11"/>
        <rFont val="Tahoma"/>
        <family val="2"/>
      </rPr>
      <t>“</t>
    </r>
    <r>
      <rPr>
        <sz val="11"/>
        <rFont val="宋体"/>
        <family val="2"/>
      </rPr>
      <t>取消</t>
    </r>
    <r>
      <rPr>
        <sz val="11"/>
        <rFont val="Tahoma"/>
        <family val="2"/>
      </rPr>
      <t>”</t>
    </r>
    <r>
      <rPr>
        <sz val="11"/>
        <rFont val="宋体"/>
        <family val="2"/>
      </rPr>
      <t>。</t>
    </r>
    <r>
      <rPr>
        <sz val="11"/>
        <rFont val="Tahoma"/>
        <family val="2"/>
      </rPr>
      <t xml:space="preserve"> 
</t>
    </r>
    <r>
      <rPr>
        <sz val="11"/>
        <rFont val="宋体"/>
        <family val="2"/>
      </rPr>
      <t>如果出现上述任何一种情况，请保存并关闭所有打开的</t>
    </r>
    <r>
      <rPr>
        <sz val="11"/>
        <rFont val="Tahoma"/>
        <family val="2"/>
      </rPr>
      <t>Excel</t>
    </r>
    <r>
      <rPr>
        <sz val="11"/>
        <rFont val="宋体"/>
        <family val="2"/>
      </rPr>
      <t>文件，然后重新打开工作簿。</t>
    </r>
    <phoneticPr fontId="32" type="noConversion"/>
  </si>
  <si>
    <r>
      <t xml:space="preserve">If this is the only visible worksheet and </t>
    </r>
    <r>
      <rPr>
        <b/>
        <u/>
        <sz val="11"/>
        <rFont val="Tahoma"/>
        <family val="2"/>
      </rPr>
      <t>macros have been enabled</t>
    </r>
    <r>
      <rPr>
        <sz val="11"/>
        <rFont val="Tahoma"/>
        <family val="2"/>
      </rPr>
      <t>, it is generally due to one of the following situations:
1. Upon opening the workbook and enabling macros, the worksheet does not disappear and the remaining worksheets in the workbook do not appear. 
2. Upon attempting to close the workbook when auto-save is turned on, 'Cancel' has been selected in a resulting message box due to an interruption of the auto-save process. 
If either of these situations arise, save and close all open Excel file and re-open the workbook.</t>
    </r>
  </si>
  <si>
    <r>
      <rPr>
        <sz val="11"/>
        <color theme="1"/>
        <rFont val="宋体"/>
        <family val="2"/>
      </rPr>
      <t>如果</t>
    </r>
    <r>
      <rPr>
        <sz val="11"/>
        <color theme="1"/>
        <rFont val="Tahoma"/>
        <family val="2"/>
      </rPr>
      <t xml:space="preserve"> </t>
    </r>
    <r>
      <rPr>
        <sz val="11"/>
        <color theme="1"/>
        <rFont val="宋体"/>
        <family val="2"/>
      </rPr>
      <t>已启用宏，但仅能看到本工作表，</t>
    </r>
    <r>
      <rPr>
        <sz val="11"/>
        <color theme="1"/>
        <rFont val="Tahoma"/>
        <family val="2"/>
      </rPr>
      <t xml:space="preserve"> </t>
    </r>
    <r>
      <rPr>
        <sz val="11"/>
        <color theme="1"/>
        <rFont val="宋体"/>
        <family val="2"/>
      </rPr>
      <t xml:space="preserve">通常是由于以下情况：
</t>
    </r>
    <r>
      <rPr>
        <sz val="11"/>
        <color theme="1"/>
        <rFont val="Tahoma"/>
        <family val="2"/>
      </rPr>
      <t xml:space="preserve">1. </t>
    </r>
    <r>
      <rPr>
        <sz val="11"/>
        <color theme="1"/>
        <rFont val="宋体"/>
        <family val="2"/>
      </rPr>
      <t xml:space="preserve">打开工作簿并启用宏后，工作表不会消失，工作簿中的其余工作表也不会显示。
</t>
    </r>
    <r>
      <rPr>
        <sz val="11"/>
        <color theme="1"/>
        <rFont val="Tahoma"/>
        <family val="2"/>
      </rPr>
      <t>2.</t>
    </r>
    <r>
      <rPr>
        <sz val="11"/>
        <color theme="1"/>
        <rFont val="宋体"/>
        <family val="2"/>
      </rPr>
      <t>自动保存已开启，尝试关闭工作簿时，由于自动保存过程中断，在生成的消息框中选择了</t>
    </r>
    <r>
      <rPr>
        <sz val="11"/>
        <color theme="1"/>
        <rFont val="Tahoma"/>
        <family val="2"/>
      </rPr>
      <t>“</t>
    </r>
    <r>
      <rPr>
        <sz val="11"/>
        <color theme="1"/>
        <rFont val="宋体"/>
        <family val="2"/>
      </rPr>
      <t>取消</t>
    </r>
    <r>
      <rPr>
        <sz val="11"/>
        <color theme="1"/>
        <rFont val="Tahoma"/>
        <family val="2"/>
      </rPr>
      <t>”</t>
    </r>
    <r>
      <rPr>
        <sz val="11"/>
        <color theme="1"/>
        <rFont val="宋体"/>
        <family val="2"/>
      </rPr>
      <t>。</t>
    </r>
    <r>
      <rPr>
        <sz val="11"/>
        <color theme="1"/>
        <rFont val="Tahoma"/>
        <family val="2"/>
      </rPr>
      <t xml:space="preserve"> 
</t>
    </r>
    <r>
      <rPr>
        <sz val="11"/>
        <color theme="1"/>
        <rFont val="宋体"/>
        <family val="2"/>
      </rPr>
      <t>如果出现上述任何一种情况，请保存并关闭所有打开的</t>
    </r>
    <r>
      <rPr>
        <sz val="11"/>
        <color theme="1"/>
        <rFont val="Tahoma"/>
        <family val="2"/>
      </rPr>
      <t>Excel</t>
    </r>
    <r>
      <rPr>
        <sz val="11"/>
        <color theme="1"/>
        <rFont val="宋体"/>
        <family val="2"/>
      </rPr>
      <t>文件，然后重新打开工作簿。</t>
    </r>
  </si>
  <si>
    <t>输入要抽样的纳入审计范围项目的名称以及该审计范围项目的绝对值</t>
    <phoneticPr fontId="32" type="noConversion"/>
  </si>
  <si>
    <r>
      <rPr>
        <sz val="10"/>
        <color theme="1"/>
        <rFont val="宋体"/>
        <family val="2"/>
        <charset val="134"/>
      </rPr>
      <t>总体是指注册会计师从中选取样本并期望据此得出结论的整个数据集。样本结果只能从选取的样本推断至总体。当使用基于货币价值的选取方法时，只能选择正数的项目。因此，可能需要扣除数值为零或负数的项目，并单独测试它们。这些总体可以通过抽样以外的方式进行测试，或者，如果使用抽样，则项目只能基于可采用的选取方法（不按比例选取样本）。</t>
    </r>
    <r>
      <rPr>
        <sz val="10"/>
        <color theme="1"/>
        <rFont val="Arial"/>
        <family val="2"/>
      </rPr>
      <t xml:space="preserve">
</t>
    </r>
    <phoneticPr fontId="32" type="noConversion"/>
  </si>
  <si>
    <r>
      <rPr>
        <sz val="10"/>
        <color theme="1"/>
        <rFont val="宋体"/>
        <family val="2"/>
        <charset val="134"/>
      </rPr>
      <t>选择要执行程序的范围，包括统计抽样或非统计抽样。统计抽样是同时具备下列特征的抽样方法：（</t>
    </r>
    <r>
      <rPr>
        <sz val="10"/>
        <color theme="1"/>
        <rFont val="Arial"/>
        <family val="2"/>
      </rPr>
      <t>i</t>
    </r>
    <r>
      <rPr>
        <sz val="10"/>
        <color theme="1"/>
        <rFont val="宋体"/>
        <family val="2"/>
        <charset val="134"/>
      </rPr>
      <t>）随机选取样本项目；（</t>
    </r>
    <r>
      <rPr>
        <sz val="10"/>
        <color theme="1"/>
        <rFont val="Arial"/>
        <family val="2"/>
      </rPr>
      <t>ii</t>
    </r>
    <r>
      <rPr>
        <sz val="10"/>
        <color theme="1"/>
        <rFont val="宋体"/>
        <family val="2"/>
        <charset val="134"/>
      </rPr>
      <t>）运用概率论评价样本结果，包括计量抽样风险。不同时具有特征（</t>
    </r>
    <r>
      <rPr>
        <sz val="10"/>
        <color theme="1"/>
        <rFont val="Arial"/>
        <family val="2"/>
      </rPr>
      <t>i</t>
    </r>
    <r>
      <rPr>
        <sz val="10"/>
        <color theme="1"/>
        <rFont val="宋体"/>
        <family val="2"/>
        <charset val="134"/>
      </rPr>
      <t>）和（</t>
    </r>
    <r>
      <rPr>
        <sz val="10"/>
        <color theme="1"/>
        <rFont val="Arial"/>
        <family val="2"/>
      </rPr>
      <t>ii</t>
    </r>
    <r>
      <rPr>
        <sz val="10"/>
        <color theme="1"/>
        <rFont val="宋体"/>
        <family val="2"/>
        <charset val="134"/>
      </rPr>
      <t>）的抽样方法是非统计抽样。决定采用统计抽样方法还是非统计抽样方法，由注册会计师来判断，通常是一个效果和效率的问题。然而，事实和情况可能使得只有非统计方法是可行的。例如，当必须使用可采用的选取方法时，例如当实体具有定期库存系统并且无法获得价值的总量详细信息时，就可能出现这种情况。</t>
    </r>
    <r>
      <rPr>
        <sz val="10"/>
        <color theme="1"/>
        <rFont val="Arial"/>
        <family val="2"/>
      </rPr>
      <t xml:space="preserve">
</t>
    </r>
    <r>
      <rPr>
        <sz val="10"/>
        <color theme="1"/>
        <rFont val="宋体"/>
        <family val="2"/>
        <charset val="134"/>
      </rPr>
      <t>当纳入审计范围内的项目包括多个总体，并且测试范围不是针对一个（或多个）总体进行抽样时，那么选择“不适用抽样”。</t>
    </r>
    <phoneticPr fontId="32" type="noConversion"/>
  </si>
  <si>
    <r>
      <rPr>
        <sz val="11"/>
        <rFont val="宋体"/>
        <family val="2"/>
      </rPr>
      <t>是否是</t>
    </r>
    <r>
      <rPr>
        <sz val="11"/>
        <rFont val="等线"/>
        <family val="2"/>
        <charset val="134"/>
      </rPr>
      <t>高</t>
    </r>
    <r>
      <rPr>
        <sz val="11"/>
        <rFont val="宋体"/>
        <family val="2"/>
      </rPr>
      <t>风险</t>
    </r>
    <r>
      <rPr>
        <sz val="11"/>
        <rFont val="等线"/>
        <family val="2"/>
        <charset val="134"/>
      </rPr>
      <t>业务或</t>
    </r>
    <r>
      <rPr>
        <sz val="11"/>
        <rFont val="宋体"/>
        <family val="2"/>
      </rPr>
      <t>上市实体</t>
    </r>
    <r>
      <rPr>
        <sz val="11"/>
        <rFont val="Tahoma"/>
        <family val="2"/>
      </rPr>
      <t>?</t>
    </r>
    <phoneticPr fontId="32" type="noConversion"/>
  </si>
  <si>
    <t>实际执行的重要性</t>
    <phoneticPr fontId="32" type="noConversion"/>
  </si>
  <si>
    <t>无</t>
    <phoneticPr fontId="3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</si>
</sst>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_(* #,##0.00_);_(* \(#,##0.00\);_(* &quot;-&quot;??_);_(@_)"/>
    <numFmt numFmtId="177" formatCode="_ * #,##0.00_)\ _$_ ;_ * \(#,##0.00\)\ _$_ ;_ * &quot;-&quot;??_)\ _$_ ;_ @_ "/>
    <numFmt numFmtId="178" formatCode="_ * #,##0_)\ _$_ ;_ * \(#,##0\)\ _$_ ;_ * &quot;-&quot;??_)\ _$_ ;_ @_ "/>
    <numFmt numFmtId="179" formatCode="_ * #,##0.0_)\ _$_ ;_ * \(#,##0.0\)\ _$_ ;_ * &quot;-&quot;??_)\ _$_ ;_ @_ "/>
    <numFmt numFmtId="180" formatCode="0.0%"/>
    <numFmt numFmtId="181" formatCode="0.0"/>
  </numFmts>
  <fonts count="63">
    <font>
      <sz val="11"/>
      <color theme="1"/>
      <name val="宋体"/>
      <family val="2"/>
      <scheme val="minor"/>
    </font>
    <font>
      <sz val="11"/>
      <color theme="1"/>
      <name val="宋体"/>
      <family val="2"/>
      <scheme val="minor"/>
    </font>
    <font>
      <sz val="10"/>
      <name val="Arial"/>
      <family val="2"/>
    </font>
    <font>
      <sz val="10"/>
      <color theme="0"/>
      <name val="Arial"/>
      <family val="2"/>
    </font>
    <font>
      <b/>
      <sz val="10"/>
      <color theme="0"/>
      <name val="Arial"/>
      <family val="2"/>
    </font>
    <font>
      <b/>
      <sz val="10"/>
      <color theme="1"/>
      <name val="Arial"/>
      <family val="2"/>
    </font>
    <font>
      <b/>
      <sz val="11"/>
      <color theme="1"/>
      <name val="宋体"/>
      <family val="2"/>
      <scheme val="minor"/>
    </font>
    <font>
      <sz val="10"/>
      <color theme="1"/>
      <name val="Arial"/>
      <family val="2"/>
    </font>
    <font>
      <b/>
      <sz val="10"/>
      <color rgb="FFFF0000"/>
      <name val="Arial"/>
      <family val="2"/>
    </font>
    <font>
      <sz val="10"/>
      <color rgb="FFFF0000"/>
      <name val="Arial"/>
      <family val="2"/>
    </font>
    <font>
      <b/>
      <sz val="10"/>
      <name val="Arial"/>
      <family val="2"/>
    </font>
    <font>
      <sz val="9"/>
      <color indexed="81"/>
      <name val="Tahoma"/>
      <family val="2"/>
    </font>
    <font>
      <b/>
      <sz val="9"/>
      <color indexed="81"/>
      <name val="Tahoma"/>
      <family val="2"/>
    </font>
    <font>
      <b/>
      <sz val="12"/>
      <color theme="0"/>
      <name val="Arial"/>
      <family val="2"/>
    </font>
    <font>
      <u/>
      <sz val="10"/>
      <color theme="1"/>
      <name val="Arial"/>
      <family val="2"/>
    </font>
    <font>
      <i/>
      <sz val="10"/>
      <color theme="1"/>
      <name val="Arial"/>
      <family val="2"/>
    </font>
    <font>
      <sz val="10"/>
      <color theme="8"/>
      <name val="Arial"/>
      <family val="2"/>
    </font>
    <font>
      <b/>
      <sz val="10"/>
      <color rgb="FF4472C4"/>
      <name val="Arial"/>
      <family val="2"/>
    </font>
    <font>
      <u/>
      <sz val="11"/>
      <color theme="10"/>
      <name val="宋体"/>
      <family val="2"/>
      <scheme val="minor"/>
    </font>
    <font>
      <u/>
      <sz val="10"/>
      <color theme="10"/>
      <name val="Arial"/>
      <family val="2"/>
    </font>
    <font>
      <sz val="9"/>
      <color theme="1"/>
      <name val="Arial"/>
      <family val="2"/>
    </font>
    <font>
      <b/>
      <u/>
      <sz val="16"/>
      <color theme="10"/>
      <name val="宋体"/>
      <family val="2"/>
      <scheme val="minor"/>
    </font>
    <font>
      <b/>
      <sz val="10"/>
      <color theme="8"/>
      <name val="Arial"/>
      <family val="2"/>
    </font>
    <font>
      <b/>
      <sz val="11"/>
      <color rgb="FFFF0000"/>
      <name val="Arial"/>
      <family val="2"/>
    </font>
    <font>
      <b/>
      <u/>
      <sz val="10"/>
      <color theme="1"/>
      <name val="Arial"/>
      <family val="2"/>
    </font>
    <font>
      <b/>
      <sz val="12"/>
      <color rgb="FFFF0000"/>
      <name val="Arial"/>
      <family val="2"/>
    </font>
    <font>
      <b/>
      <sz val="15"/>
      <color theme="1"/>
      <name val="Arial"/>
      <family val="2"/>
    </font>
    <font>
      <b/>
      <sz val="11"/>
      <color theme="1"/>
      <name val="Arial"/>
      <family val="2"/>
    </font>
    <font>
      <b/>
      <sz val="16"/>
      <color rgb="FF4F2D7F"/>
      <name val="Arial"/>
      <family val="2"/>
    </font>
    <font>
      <sz val="10"/>
      <color rgb="FF000000"/>
      <name val="Arial"/>
      <family val="2"/>
    </font>
    <font>
      <sz val="8"/>
      <color theme="1"/>
      <name val="Arial"/>
      <family val="2"/>
    </font>
    <font>
      <b/>
      <sz val="12"/>
      <color theme="1"/>
      <name val="Arial"/>
      <family val="2"/>
    </font>
    <font>
      <sz val="9"/>
      <name val="宋体"/>
      <family val="3"/>
      <charset val="134"/>
      <scheme val="minor"/>
    </font>
    <font>
      <b/>
      <sz val="16"/>
      <color rgb="FF4F2D7F"/>
      <name val="宋体"/>
      <family val="2"/>
      <charset val="134"/>
    </font>
    <font>
      <b/>
      <sz val="16"/>
      <color rgb="FF4F2D7F"/>
      <name val="Arial"/>
      <family val="2"/>
      <charset val="134"/>
    </font>
    <font>
      <sz val="10"/>
      <color theme="1"/>
      <name val="宋体"/>
      <family val="3"/>
      <charset val="134"/>
    </font>
    <font>
      <sz val="10"/>
      <color theme="1"/>
      <name val="宋体"/>
      <family val="2"/>
      <charset val="134"/>
    </font>
    <font>
      <sz val="10"/>
      <color theme="1"/>
      <name val="Arial"/>
      <family val="2"/>
      <charset val="134"/>
    </font>
    <font>
      <b/>
      <sz val="12"/>
      <color theme="0"/>
      <name val="宋体"/>
      <family val="2"/>
      <charset val="134"/>
    </font>
    <font>
      <b/>
      <sz val="10"/>
      <color theme="1"/>
      <name val="宋体"/>
      <family val="3"/>
      <charset val="134"/>
    </font>
    <font>
      <sz val="10"/>
      <color theme="1"/>
      <name val="Arial"/>
      <family val="3"/>
      <charset val="134"/>
    </font>
    <font>
      <sz val="9"/>
      <color indexed="81"/>
      <name val="宋体"/>
      <family val="3"/>
      <charset val="134"/>
    </font>
    <font>
      <b/>
      <sz val="12"/>
      <color theme="0"/>
      <name val="Arial"/>
      <family val="2"/>
      <charset val="134"/>
    </font>
    <font>
      <b/>
      <sz val="10"/>
      <color theme="1"/>
      <name val="宋体"/>
      <family val="2"/>
      <charset val="134"/>
    </font>
    <font>
      <sz val="10"/>
      <color rgb="FF000000"/>
      <name val="宋体"/>
      <family val="2"/>
      <charset val="134"/>
    </font>
    <font>
      <sz val="10"/>
      <color rgb="FF000000"/>
      <name val="Arial"/>
      <family val="2"/>
      <charset val="134"/>
    </font>
    <font>
      <sz val="10"/>
      <color theme="1"/>
      <name val="微软雅黑"/>
      <family val="2"/>
      <charset val="134"/>
    </font>
    <font>
      <b/>
      <sz val="11"/>
      <color rgb="FFFF0000"/>
      <name val="宋体"/>
      <family val="3"/>
      <charset val="134"/>
      <scheme val="minor"/>
    </font>
    <font>
      <sz val="11"/>
      <color theme="1"/>
      <name val="宋体"/>
      <family val="3"/>
      <charset val="134"/>
      <scheme val="minor"/>
    </font>
    <font>
      <sz val="10"/>
      <color rgb="FFFF0000"/>
      <name val="宋体"/>
      <family val="2"/>
      <charset val="134"/>
    </font>
    <font>
      <sz val="10"/>
      <color rgb="FFFF0000"/>
      <name val="Arial"/>
      <family val="2"/>
      <charset val="134"/>
    </font>
    <font>
      <b/>
      <sz val="11"/>
      <color rgb="FFFF0000"/>
      <name val="Tahoma"/>
      <family val="2"/>
    </font>
    <font>
      <sz val="11"/>
      <color theme="1"/>
      <name val="Tahoma"/>
      <family val="2"/>
    </font>
    <font>
      <b/>
      <sz val="11"/>
      <name val="Tahoma"/>
      <family val="2"/>
    </font>
    <font>
      <sz val="11"/>
      <name val="Tahoma"/>
      <family val="2"/>
    </font>
    <font>
      <sz val="11"/>
      <name val="宋体"/>
      <family val="2"/>
    </font>
    <font>
      <sz val="11"/>
      <color theme="0"/>
      <name val="Tahoma"/>
      <family val="2"/>
    </font>
    <font>
      <sz val="11"/>
      <color theme="9"/>
      <name val="Tahoma"/>
      <family val="2"/>
    </font>
    <font>
      <b/>
      <sz val="11"/>
      <color theme="1"/>
      <name val="Tahoma"/>
      <family val="2"/>
    </font>
    <font>
      <b/>
      <u/>
      <sz val="11"/>
      <name val="宋体"/>
      <family val="3"/>
      <charset val="134"/>
    </font>
    <font>
      <b/>
      <u/>
      <sz val="11"/>
      <name val="Tahoma"/>
      <family val="2"/>
    </font>
    <font>
      <sz val="11"/>
      <color theme="1"/>
      <name val="宋体"/>
      <family val="2"/>
    </font>
    <font>
      <sz val="11"/>
      <name val="等线"/>
      <family val="2"/>
      <charset val="134"/>
    </font>
  </fonts>
  <fills count="19">
    <fill>
      <patternFill patternType="none"/>
    </fill>
    <fill>
      <patternFill patternType="gray125"/>
    </fill>
    <fill>
      <patternFill patternType="solid">
        <fgColor theme="0"/>
        <bgColor indexed="64"/>
      </patternFill>
    </fill>
    <fill>
      <patternFill patternType="solid">
        <fgColor rgb="FF4F2D7F"/>
        <bgColor indexed="64"/>
      </patternFill>
    </fill>
    <fill>
      <patternFill patternType="solid">
        <fgColor theme="0"/>
        <bgColor auto="1"/>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CCCCFF"/>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rgb="FFF2F2F2"/>
        <bgColor indexed="64"/>
      </patternFill>
    </fill>
    <fill>
      <patternFill patternType="solid">
        <fgColor theme="7" tint="0.79998168889431442"/>
        <bgColor indexed="64"/>
      </patternFill>
    </fill>
    <fill>
      <patternFill patternType="solid">
        <fgColor rgb="FFFFF2CC"/>
        <bgColor indexed="64"/>
      </patternFill>
    </fill>
    <fill>
      <patternFill patternType="solid">
        <fgColor rgb="FFD9D9D9"/>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
      <patternFill patternType="lightDown">
        <bgColor theme="0" tint="-0.14996795556505021"/>
      </patternFill>
    </fill>
    <fill>
      <patternFill patternType="solid">
        <fgColor rgb="FFBFBFBF"/>
        <bgColor indexed="64"/>
      </patternFill>
    </fill>
  </fills>
  <borders count="41">
    <border>
      <left/>
      <right/>
      <top/>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style="thin">
        <color auto="1"/>
      </top>
      <bottom style="thin">
        <color auto="1"/>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thin">
        <color auto="1"/>
      </left>
      <right style="medium">
        <color indexed="64"/>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indexed="64"/>
      </left>
      <right style="thin">
        <color indexed="64"/>
      </right>
      <top style="thin">
        <color theme="0"/>
      </top>
      <bottom style="thin">
        <color theme="0"/>
      </bottom>
      <diagonal/>
    </border>
    <border>
      <left style="thin">
        <color indexed="64"/>
      </left>
      <right style="thin">
        <color theme="0"/>
      </right>
      <top style="thin">
        <color theme="0"/>
      </top>
      <bottom style="thin">
        <color theme="0"/>
      </bottom>
      <diagonal/>
    </border>
    <border>
      <left style="thin">
        <color theme="0"/>
      </left>
      <right/>
      <top/>
      <bottom/>
      <diagonal/>
    </border>
    <border>
      <left style="thin">
        <color theme="0"/>
      </left>
      <right style="thin">
        <color indexed="64"/>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style="thin">
        <color indexed="64"/>
      </right>
      <top style="thin">
        <color rgb="FFFF0000"/>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s>
  <cellStyleXfs count="6">
    <xf numFmtId="0" fontId="0" fillId="0" borderId="0"/>
    <xf numFmtId="177" fontId="1" fillId="0" borderId="0" applyFont="0" applyFill="0" applyBorder="0" applyAlignment="0" applyProtection="0"/>
    <xf numFmtId="9" fontId="1" fillId="0" borderId="0" applyFont="0" applyFill="0" applyBorder="0" applyAlignment="0" applyProtection="0"/>
    <xf numFmtId="177" fontId="1" fillId="0" borderId="0" applyFont="0" applyFill="0" applyBorder="0" applyAlignment="0" applyProtection="0"/>
    <xf numFmtId="0" fontId="18" fillId="0" borderId="0" applyNumberFormat="0" applyFill="0" applyBorder="0" applyAlignment="0" applyProtection="0"/>
    <xf numFmtId="0" fontId="1" fillId="0" borderId="0"/>
  </cellStyleXfs>
  <cellXfs count="616">
    <xf numFmtId="0" fontId="0" fillId="0" borderId="0" xfId="0"/>
    <xf numFmtId="0" fontId="7" fillId="2" borderId="0" xfId="0" applyFont="1" applyFill="1"/>
    <xf numFmtId="0" fontId="7" fillId="0" borderId="0" xfId="0" applyFont="1"/>
    <xf numFmtId="0" fontId="7" fillId="0" borderId="0" xfId="0" quotePrefix="1" applyFont="1"/>
    <xf numFmtId="0" fontId="7" fillId="0" borderId="0" xfId="0" applyFont="1" applyAlignment="1">
      <alignment horizontal="center"/>
    </xf>
    <xf numFmtId="0" fontId="0" fillId="0" borderId="0" xfId="0" quotePrefix="1"/>
    <xf numFmtId="0" fontId="6" fillId="0" borderId="0" xfId="0" applyFont="1"/>
    <xf numFmtId="0" fontId="2" fillId="2" borderId="0" xfId="0" applyFont="1" applyFill="1"/>
    <xf numFmtId="0" fontId="7" fillId="3" borderId="0" xfId="0" applyFont="1" applyFill="1"/>
    <xf numFmtId="0" fontId="4" fillId="3" borderId="0" xfId="0" applyFont="1" applyFill="1"/>
    <xf numFmtId="0" fontId="5" fillId="0" borderId="0" xfId="0" applyFont="1"/>
    <xf numFmtId="9" fontId="7" fillId="0" borderId="0" xfId="2" applyFont="1" applyAlignment="1">
      <alignment horizontal="center"/>
    </xf>
    <xf numFmtId="9" fontId="7" fillId="0" borderId="0" xfId="2" applyFont="1" applyBorder="1" applyAlignment="1">
      <alignment horizontal="center"/>
    </xf>
    <xf numFmtId="9" fontId="7" fillId="0" borderId="0" xfId="0" applyNumberFormat="1" applyFont="1" applyAlignment="1">
      <alignment horizontal="center"/>
    </xf>
    <xf numFmtId="178" fontId="7" fillId="0" borderId="0" xfId="0" applyNumberFormat="1" applyFont="1"/>
    <xf numFmtId="0" fontId="7" fillId="4" borderId="0" xfId="0" applyFont="1" applyFill="1"/>
    <xf numFmtId="0" fontId="8" fillId="3" borderId="3" xfId="0" applyFont="1" applyFill="1" applyBorder="1" applyAlignment="1">
      <alignment vertical="center" wrapText="1"/>
    </xf>
    <xf numFmtId="0" fontId="3" fillId="3" borderId="3" xfId="0" applyFont="1" applyFill="1" applyBorder="1"/>
    <xf numFmtId="0" fontId="2" fillId="3" borderId="3" xfId="0" applyFont="1" applyFill="1" applyBorder="1"/>
    <xf numFmtId="0" fontId="2" fillId="3" borderId="4" xfId="0" applyFont="1" applyFill="1" applyBorder="1"/>
    <xf numFmtId="0" fontId="7" fillId="3" borderId="5" xfId="0" applyFont="1" applyFill="1" applyBorder="1"/>
    <xf numFmtId="0" fontId="7" fillId="3" borderId="6" xfId="0" applyFont="1" applyFill="1" applyBorder="1"/>
    <xf numFmtId="0" fontId="7" fillId="3" borderId="7" xfId="0" applyFont="1" applyFill="1" applyBorder="1"/>
    <xf numFmtId="0" fontId="7" fillId="3" borderId="8" xfId="0" applyFont="1" applyFill="1" applyBorder="1"/>
    <xf numFmtId="0" fontId="7" fillId="3" borderId="9" xfId="0" applyFont="1" applyFill="1" applyBorder="1"/>
    <xf numFmtId="0" fontId="0" fillId="3" borderId="0" xfId="0" applyFill="1"/>
    <xf numFmtId="0" fontId="7" fillId="0" borderId="13" xfId="0" applyFont="1" applyBorder="1" applyAlignment="1">
      <alignment horizontal="center"/>
    </xf>
    <xf numFmtId="0" fontId="7" fillId="0" borderId="13" xfId="0" applyFont="1" applyBorder="1"/>
    <xf numFmtId="9" fontId="7" fillId="0" borderId="13" xfId="2" applyFont="1" applyBorder="1" applyAlignment="1">
      <alignment horizontal="center"/>
    </xf>
    <xf numFmtId="9" fontId="7" fillId="0" borderId="13" xfId="2" applyFont="1" applyBorder="1" applyAlignment="1">
      <alignment horizontal="left"/>
    </xf>
    <xf numFmtId="9" fontId="7" fillId="0" borderId="13" xfId="0" applyNumberFormat="1" applyFont="1" applyBorder="1" applyAlignment="1">
      <alignment horizontal="center"/>
    </xf>
    <xf numFmtId="178" fontId="7" fillId="0" borderId="13" xfId="0" applyNumberFormat="1" applyFont="1" applyBorder="1"/>
    <xf numFmtId="0" fontId="7" fillId="6" borderId="0" xfId="0" applyFont="1" applyFill="1" applyProtection="1">
      <protection hidden="1"/>
    </xf>
    <xf numFmtId="0" fontId="15" fillId="6" borderId="0" xfId="0" quotePrefix="1" applyFont="1" applyFill="1" applyAlignment="1" applyProtection="1">
      <alignment horizontal="right"/>
      <protection hidden="1"/>
    </xf>
    <xf numFmtId="0" fontId="7" fillId="2" borderId="0" xfId="0" applyFont="1" applyFill="1" applyProtection="1">
      <protection hidden="1"/>
    </xf>
    <xf numFmtId="0" fontId="7" fillId="0" borderId="0" xfId="0" applyFont="1" applyProtection="1">
      <protection hidden="1"/>
    </xf>
    <xf numFmtId="0" fontId="5" fillId="0" borderId="0" xfId="0" applyFont="1" applyProtection="1">
      <protection hidden="1"/>
    </xf>
    <xf numFmtId="0" fontId="2" fillId="2" borderId="0" xfId="0" applyFont="1" applyFill="1" applyProtection="1">
      <protection hidden="1"/>
    </xf>
    <xf numFmtId="0" fontId="13" fillId="3" borderId="2" xfId="0" applyFont="1" applyFill="1" applyBorder="1" applyAlignment="1" applyProtection="1">
      <alignment vertical="center"/>
      <protection hidden="1"/>
    </xf>
    <xf numFmtId="0" fontId="8" fillId="3" borderId="3" xfId="0" applyFont="1" applyFill="1" applyBorder="1" applyAlignment="1" applyProtection="1">
      <alignment vertical="center" wrapText="1"/>
      <protection hidden="1"/>
    </xf>
    <xf numFmtId="0" fontId="3" fillId="3" borderId="3" xfId="0" applyFont="1" applyFill="1" applyBorder="1" applyProtection="1">
      <protection hidden="1"/>
    </xf>
    <xf numFmtId="0" fontId="2" fillId="3" borderId="3" xfId="0" applyFont="1" applyFill="1" applyBorder="1" applyProtection="1">
      <protection hidden="1"/>
    </xf>
    <xf numFmtId="0" fontId="2" fillId="3" borderId="4" xfId="0" applyFont="1" applyFill="1" applyBorder="1" applyProtection="1">
      <protection hidden="1"/>
    </xf>
    <xf numFmtId="0" fontId="7" fillId="0" borderId="13" xfId="0" applyFont="1" applyBorder="1" applyProtection="1">
      <protection hidden="1"/>
    </xf>
    <xf numFmtId="0" fontId="7" fillId="4" borderId="0" xfId="0" applyFont="1" applyFill="1" applyProtection="1">
      <protection hidden="1"/>
    </xf>
    <xf numFmtId="0" fontId="13" fillId="3" borderId="5" xfId="0" applyFont="1" applyFill="1" applyBorder="1" applyAlignment="1" applyProtection="1">
      <alignment vertical="center"/>
      <protection hidden="1"/>
    </xf>
    <xf numFmtId="0" fontId="8" fillId="3" borderId="0" xfId="0" applyFont="1" applyFill="1" applyAlignment="1" applyProtection="1">
      <alignment vertical="center" wrapText="1"/>
      <protection hidden="1"/>
    </xf>
    <xf numFmtId="0" fontId="4" fillId="3" borderId="0" xfId="0" quotePrefix="1" applyFont="1" applyFill="1" applyAlignment="1" applyProtection="1">
      <alignment horizontal="right" vertical="center"/>
      <protection hidden="1"/>
    </xf>
    <xf numFmtId="0" fontId="3" fillId="3" borderId="0" xfId="0" applyFont="1" applyFill="1" applyProtection="1">
      <protection hidden="1"/>
    </xf>
    <xf numFmtId="0" fontId="4" fillId="3" borderId="0" xfId="0" applyFont="1" applyFill="1" applyAlignment="1" applyProtection="1">
      <alignment horizontal="right" vertical="center"/>
      <protection hidden="1"/>
    </xf>
    <xf numFmtId="0" fontId="4" fillId="3" borderId="0" xfId="0" applyFont="1" applyFill="1" applyAlignment="1" applyProtection="1">
      <alignment vertical="center"/>
      <protection hidden="1"/>
    </xf>
    <xf numFmtId="0" fontId="7" fillId="3" borderId="0" xfId="0" applyFont="1" applyFill="1" applyProtection="1">
      <protection hidden="1"/>
    </xf>
    <xf numFmtId="0" fontId="7" fillId="3" borderId="6" xfId="0" applyFont="1" applyFill="1" applyBorder="1" applyProtection="1">
      <protection hidden="1"/>
    </xf>
    <xf numFmtId="0" fontId="8" fillId="3" borderId="5" xfId="0" applyFont="1" applyFill="1" applyBorder="1" applyAlignment="1" applyProtection="1">
      <alignment vertical="center" wrapText="1"/>
      <protection hidden="1"/>
    </xf>
    <xf numFmtId="0" fontId="7" fillId="3" borderId="5" xfId="0" applyFont="1" applyFill="1" applyBorder="1" applyProtection="1">
      <protection hidden="1"/>
    </xf>
    <xf numFmtId="9" fontId="7" fillId="0" borderId="0" xfId="2" applyFont="1" applyAlignment="1" applyProtection="1">
      <alignment horizontal="center"/>
      <protection hidden="1"/>
    </xf>
    <xf numFmtId="0" fontId="7" fillId="3" borderId="7" xfId="0" applyFont="1" applyFill="1" applyBorder="1" applyProtection="1">
      <protection hidden="1"/>
    </xf>
    <xf numFmtId="0" fontId="7" fillId="3" borderId="8" xfId="0" applyFont="1" applyFill="1" applyBorder="1" applyProtection="1">
      <protection hidden="1"/>
    </xf>
    <xf numFmtId="0" fontId="7" fillId="3" borderId="9" xfId="0" applyFont="1" applyFill="1" applyBorder="1" applyProtection="1">
      <protection hidden="1"/>
    </xf>
    <xf numFmtId="0" fontId="7" fillId="0" borderId="0" xfId="0" applyFont="1" applyAlignment="1" applyProtection="1">
      <alignment horizontal="center"/>
      <protection hidden="1"/>
    </xf>
    <xf numFmtId="0" fontId="5" fillId="0" borderId="0" xfId="0" applyFont="1" applyAlignment="1" applyProtection="1">
      <alignment vertical="center"/>
      <protection hidden="1"/>
    </xf>
    <xf numFmtId="9" fontId="7" fillId="0" borderId="13" xfId="2" applyFont="1" applyBorder="1" applyAlignment="1" applyProtection="1">
      <alignment horizontal="center"/>
      <protection hidden="1"/>
    </xf>
    <xf numFmtId="0" fontId="10" fillId="8" borderId="10" xfId="0" quotePrefix="1" applyFont="1" applyFill="1" applyBorder="1" applyProtection="1">
      <protection hidden="1"/>
    </xf>
    <xf numFmtId="0" fontId="2" fillId="8" borderId="11" xfId="0" applyFont="1" applyFill="1" applyBorder="1" applyProtection="1">
      <protection hidden="1"/>
    </xf>
    <xf numFmtId="0" fontId="2" fillId="8" borderId="12" xfId="0" applyFont="1" applyFill="1" applyBorder="1" applyProtection="1">
      <protection hidden="1"/>
    </xf>
    <xf numFmtId="0" fontId="5" fillId="8" borderId="10" xfId="0" quotePrefix="1" applyFont="1" applyFill="1" applyBorder="1" applyProtection="1">
      <protection hidden="1"/>
    </xf>
    <xf numFmtId="0" fontId="7" fillId="8" borderId="11" xfId="0" applyFont="1" applyFill="1" applyBorder="1" applyProtection="1">
      <protection hidden="1"/>
    </xf>
    <xf numFmtId="0" fontId="7" fillId="8" borderId="12" xfId="0" applyFont="1" applyFill="1" applyBorder="1" applyProtection="1">
      <protection hidden="1"/>
    </xf>
    <xf numFmtId="9" fontId="7" fillId="0" borderId="0" xfId="2" applyFont="1" applyBorder="1" applyAlignment="1" applyProtection="1">
      <alignment horizontal="center"/>
      <protection hidden="1"/>
    </xf>
    <xf numFmtId="0" fontId="10" fillId="6" borderId="2" xfId="0" quotePrefix="1" applyFont="1" applyFill="1" applyBorder="1" applyProtection="1">
      <protection hidden="1"/>
    </xf>
    <xf numFmtId="0" fontId="2" fillId="6" borderId="3" xfId="0" applyFont="1" applyFill="1" applyBorder="1" applyProtection="1">
      <protection hidden="1"/>
    </xf>
    <xf numFmtId="0" fontId="2" fillId="6" borderId="4" xfId="0" applyFont="1" applyFill="1" applyBorder="1" applyProtection="1">
      <protection hidden="1"/>
    </xf>
    <xf numFmtId="0" fontId="5" fillId="6" borderId="5" xfId="0" quotePrefix="1" applyFont="1" applyFill="1" applyBorder="1" applyProtection="1">
      <protection hidden="1"/>
    </xf>
    <xf numFmtId="0" fontId="7" fillId="6" borderId="6" xfId="0" applyFont="1" applyFill="1" applyBorder="1" applyProtection="1">
      <protection hidden="1"/>
    </xf>
    <xf numFmtId="0" fontId="7" fillId="6" borderId="5" xfId="0" applyFont="1" applyFill="1" applyBorder="1" applyProtection="1">
      <protection hidden="1"/>
    </xf>
    <xf numFmtId="9" fontId="7" fillId="0" borderId="13" xfId="2" applyFont="1" applyBorder="1" applyAlignment="1" applyProtection="1">
      <alignment horizontal="left"/>
      <protection hidden="1"/>
    </xf>
    <xf numFmtId="0" fontId="7" fillId="6" borderId="7" xfId="0" applyFont="1" applyFill="1" applyBorder="1" applyProtection="1">
      <protection hidden="1"/>
    </xf>
    <xf numFmtId="0" fontId="7" fillId="6" borderId="8" xfId="0" applyFont="1" applyFill="1" applyBorder="1" applyProtection="1">
      <protection hidden="1"/>
    </xf>
    <xf numFmtId="0" fontId="7" fillId="6" borderId="9" xfId="0" applyFont="1" applyFill="1" applyBorder="1" applyProtection="1">
      <protection hidden="1"/>
    </xf>
    <xf numFmtId="9" fontId="7" fillId="0" borderId="0" xfId="0" applyNumberFormat="1" applyFont="1" applyAlignment="1" applyProtection="1">
      <alignment horizontal="center"/>
      <protection hidden="1"/>
    </xf>
    <xf numFmtId="0" fontId="7" fillId="0" borderId="3" xfId="0" quotePrefix="1" applyFont="1" applyBorder="1" applyProtection="1">
      <protection hidden="1"/>
    </xf>
    <xf numFmtId="0" fontId="7" fillId="0" borderId="3" xfId="0" applyFont="1" applyBorder="1" applyProtection="1">
      <protection hidden="1"/>
    </xf>
    <xf numFmtId="178" fontId="7" fillId="0" borderId="0" xfId="0" applyNumberFormat="1" applyFont="1" applyProtection="1">
      <protection hidden="1"/>
    </xf>
    <xf numFmtId="0" fontId="5" fillId="8" borderId="10" xfId="0" applyFont="1" applyFill="1" applyBorder="1" applyProtection="1">
      <protection hidden="1"/>
    </xf>
    <xf numFmtId="9" fontId="7" fillId="0" borderId="13" xfId="0" applyNumberFormat="1" applyFont="1" applyBorder="1" applyAlignment="1" applyProtection="1">
      <alignment horizontal="center"/>
      <protection hidden="1"/>
    </xf>
    <xf numFmtId="0" fontId="5" fillId="6" borderId="2" xfId="0" quotePrefix="1" applyFont="1" applyFill="1" applyBorder="1" applyProtection="1">
      <protection hidden="1"/>
    </xf>
    <xf numFmtId="0" fontId="7" fillId="6" borderId="3" xfId="0" applyFont="1" applyFill="1" applyBorder="1" applyProtection="1">
      <protection hidden="1"/>
    </xf>
    <xf numFmtId="0" fontId="7" fillId="6" borderId="4" xfId="0" applyFont="1" applyFill="1" applyBorder="1" applyProtection="1">
      <protection hidden="1"/>
    </xf>
    <xf numFmtId="0" fontId="7" fillId="10" borderId="3" xfId="0" applyFont="1" applyFill="1" applyBorder="1" applyProtection="1">
      <protection hidden="1"/>
    </xf>
    <xf numFmtId="0" fontId="7" fillId="10" borderId="4" xfId="0" applyFont="1" applyFill="1" applyBorder="1" applyProtection="1">
      <protection hidden="1"/>
    </xf>
    <xf numFmtId="178" fontId="7" fillId="0" borderId="13" xfId="0" applyNumberFormat="1" applyFont="1" applyBorder="1" applyProtection="1">
      <protection hidden="1"/>
    </xf>
    <xf numFmtId="0" fontId="9" fillId="0" borderId="0" xfId="0" applyFont="1" applyProtection="1">
      <protection hidden="1"/>
    </xf>
    <xf numFmtId="0" fontId="5" fillId="6" borderId="5" xfId="0" applyFont="1" applyFill="1" applyBorder="1" applyAlignment="1" applyProtection="1">
      <alignment vertical="center"/>
      <protection hidden="1"/>
    </xf>
    <xf numFmtId="0" fontId="7" fillId="6" borderId="0" xfId="0" applyFont="1" applyFill="1" applyAlignment="1" applyProtection="1">
      <alignment vertical="center"/>
      <protection hidden="1"/>
    </xf>
    <xf numFmtId="0" fontId="9" fillId="6" borderId="8" xfId="0" applyFont="1" applyFill="1" applyBorder="1" applyProtection="1">
      <protection hidden="1"/>
    </xf>
    <xf numFmtId="0" fontId="9" fillId="6" borderId="9" xfId="0" applyFont="1" applyFill="1" applyBorder="1" applyProtection="1">
      <protection hidden="1"/>
    </xf>
    <xf numFmtId="0" fontId="7" fillId="0" borderId="0" xfId="0" quotePrefix="1" applyFont="1" applyProtection="1">
      <protection hidden="1"/>
    </xf>
    <xf numFmtId="0" fontId="7" fillId="6" borderId="0" xfId="0" applyFont="1" applyFill="1" applyAlignment="1" applyProtection="1">
      <alignment horizontal="center"/>
      <protection hidden="1"/>
    </xf>
    <xf numFmtId="0" fontId="7" fillId="6" borderId="6" xfId="0" applyFont="1" applyFill="1" applyBorder="1" applyAlignment="1" applyProtection="1">
      <alignment horizontal="center"/>
      <protection hidden="1"/>
    </xf>
    <xf numFmtId="0" fontId="7" fillId="9" borderId="0" xfId="0" applyFont="1" applyFill="1" applyProtection="1">
      <protection hidden="1"/>
    </xf>
    <xf numFmtId="0" fontId="7" fillId="6" borderId="0" xfId="0" applyFont="1" applyFill="1" applyAlignment="1" applyProtection="1">
      <alignment wrapText="1"/>
      <protection hidden="1"/>
    </xf>
    <xf numFmtId="0" fontId="7" fillId="9" borderId="13" xfId="0" applyFont="1" applyFill="1" applyBorder="1" applyAlignment="1" applyProtection="1">
      <alignment horizontal="center"/>
      <protection hidden="1"/>
    </xf>
    <xf numFmtId="178" fontId="7" fillId="9" borderId="13" xfId="0" applyNumberFormat="1" applyFont="1" applyFill="1" applyBorder="1" applyAlignment="1" applyProtection="1">
      <alignment horizontal="center"/>
      <protection hidden="1"/>
    </xf>
    <xf numFmtId="176" fontId="7" fillId="9" borderId="13" xfId="0" applyNumberFormat="1" applyFont="1" applyFill="1" applyBorder="1" applyProtection="1">
      <protection hidden="1"/>
    </xf>
    <xf numFmtId="176" fontId="7" fillId="0" borderId="0" xfId="0" applyNumberFormat="1" applyFont="1" applyProtection="1">
      <protection hidden="1"/>
    </xf>
    <xf numFmtId="0" fontId="7" fillId="6" borderId="5" xfId="0" applyFont="1" applyFill="1" applyBorder="1" applyAlignment="1" applyProtection="1">
      <alignment wrapText="1"/>
      <protection hidden="1"/>
    </xf>
    <xf numFmtId="0" fontId="9" fillId="6" borderId="0" xfId="0" applyFont="1" applyFill="1" applyAlignment="1" applyProtection="1">
      <alignment wrapText="1"/>
      <protection hidden="1"/>
    </xf>
    <xf numFmtId="0" fontId="9" fillId="6" borderId="6" xfId="0" applyFont="1" applyFill="1" applyBorder="1" applyAlignment="1" applyProtection="1">
      <alignment wrapText="1"/>
      <protection hidden="1"/>
    </xf>
    <xf numFmtId="0" fontId="15" fillId="6" borderId="6" xfId="0" quotePrefix="1" applyFont="1" applyFill="1" applyBorder="1" applyAlignment="1" applyProtection="1">
      <alignment horizontal="right"/>
      <protection hidden="1"/>
    </xf>
    <xf numFmtId="0" fontId="8" fillId="6" borderId="0" xfId="0" applyFont="1" applyFill="1" applyProtection="1">
      <protection hidden="1"/>
    </xf>
    <xf numFmtId="0" fontId="7" fillId="0" borderId="8" xfId="0" applyFont="1" applyBorder="1" applyProtection="1">
      <protection hidden="1"/>
    </xf>
    <xf numFmtId="0" fontId="0" fillId="0" borderId="0" xfId="0" applyProtection="1">
      <protection hidden="1"/>
    </xf>
    <xf numFmtId="0" fontId="0" fillId="0" borderId="0" xfId="0" quotePrefix="1" applyProtection="1">
      <protection hidden="1"/>
    </xf>
    <xf numFmtId="0" fontId="5" fillId="7" borderId="11" xfId="0" applyFont="1" applyFill="1" applyBorder="1" applyProtection="1">
      <protection hidden="1"/>
    </xf>
    <xf numFmtId="0" fontId="5" fillId="7" borderId="12" xfId="0" applyFont="1" applyFill="1" applyBorder="1" applyProtection="1">
      <protection hidden="1"/>
    </xf>
    <xf numFmtId="0" fontId="6" fillId="0" borderId="0" xfId="0" applyFont="1" applyProtection="1">
      <protection hidden="1"/>
    </xf>
    <xf numFmtId="178" fontId="7" fillId="0" borderId="13" xfId="1" applyNumberFormat="1" applyFont="1" applyBorder="1" applyProtection="1">
      <protection hidden="1"/>
    </xf>
    <xf numFmtId="0" fontId="9" fillId="6" borderId="5" xfId="0" applyFont="1" applyFill="1" applyBorder="1" applyProtection="1">
      <protection hidden="1"/>
    </xf>
    <xf numFmtId="0" fontId="5" fillId="6" borderId="0" xfId="0" applyFont="1" applyFill="1" applyProtection="1">
      <protection hidden="1"/>
    </xf>
    <xf numFmtId="0" fontId="7" fillId="6" borderId="0" xfId="0" applyFont="1" applyFill="1" applyAlignment="1" applyProtection="1">
      <alignment horizontal="right"/>
      <protection hidden="1"/>
    </xf>
    <xf numFmtId="178" fontId="7" fillId="6" borderId="6" xfId="1" applyNumberFormat="1" applyFont="1" applyFill="1" applyBorder="1" applyAlignment="1" applyProtection="1">
      <protection hidden="1"/>
    </xf>
    <xf numFmtId="0" fontId="5" fillId="6" borderId="0" xfId="0" applyFont="1" applyFill="1" applyAlignment="1" applyProtection="1">
      <alignment vertical="center"/>
      <protection hidden="1"/>
    </xf>
    <xf numFmtId="0" fontId="7" fillId="6" borderId="6" xfId="0" applyFont="1" applyFill="1" applyBorder="1" applyAlignment="1" applyProtection="1">
      <alignment wrapText="1"/>
      <protection hidden="1"/>
    </xf>
    <xf numFmtId="0" fontId="7" fillId="6" borderId="5" xfId="0" quotePrefix="1" applyFont="1" applyFill="1" applyBorder="1" applyProtection="1">
      <protection hidden="1"/>
    </xf>
    <xf numFmtId="9" fontId="7" fillId="6" borderId="0" xfId="2" applyFont="1" applyFill="1" applyBorder="1" applyAlignment="1" applyProtection="1">
      <protection hidden="1"/>
    </xf>
    <xf numFmtId="178" fontId="7" fillId="6" borderId="0" xfId="1" applyNumberFormat="1" applyFont="1" applyFill="1" applyBorder="1" applyAlignment="1" applyProtection="1">
      <protection hidden="1"/>
    </xf>
    <xf numFmtId="178" fontId="7" fillId="6" borderId="0" xfId="3" applyNumberFormat="1" applyFont="1" applyFill="1" applyBorder="1" applyAlignment="1" applyProtection="1">
      <protection hidden="1"/>
    </xf>
    <xf numFmtId="178" fontId="7" fillId="6" borderId="0" xfId="1" applyNumberFormat="1" applyFont="1" applyFill="1" applyBorder="1" applyProtection="1">
      <protection hidden="1"/>
    </xf>
    <xf numFmtId="0" fontId="5" fillId="8" borderId="11" xfId="0" applyFont="1" applyFill="1" applyBorder="1" applyProtection="1">
      <protection hidden="1"/>
    </xf>
    <xf numFmtId="0" fontId="5" fillId="8" borderId="12" xfId="0" applyFont="1" applyFill="1" applyBorder="1" applyProtection="1">
      <protection hidden="1"/>
    </xf>
    <xf numFmtId="0" fontId="7" fillId="6" borderId="0" xfId="0" applyFont="1" applyFill="1" applyAlignment="1" applyProtection="1">
      <alignment vertical="top"/>
      <protection hidden="1"/>
    </xf>
    <xf numFmtId="178" fontId="7" fillId="3" borderId="0" xfId="1" applyNumberFormat="1" applyFont="1" applyFill="1" applyBorder="1"/>
    <xf numFmtId="178" fontId="7" fillId="3" borderId="8" xfId="1" applyNumberFormat="1" applyFont="1" applyFill="1" applyBorder="1"/>
    <xf numFmtId="178" fontId="7" fillId="0" borderId="0" xfId="1" applyNumberFormat="1" applyFont="1" applyBorder="1"/>
    <xf numFmtId="0" fontId="7" fillId="6" borderId="18" xfId="0" applyFont="1" applyFill="1" applyBorder="1" applyAlignment="1" applyProtection="1">
      <alignment horizontal="right" vertical="center"/>
      <protection hidden="1"/>
    </xf>
    <xf numFmtId="0" fontId="7" fillId="6" borderId="5" xfId="0" quotePrefix="1" applyFont="1" applyFill="1" applyBorder="1" applyAlignment="1" applyProtection="1">
      <alignment vertical="center"/>
      <protection hidden="1"/>
    </xf>
    <xf numFmtId="0" fontId="7" fillId="0" borderId="0" xfId="0" applyFont="1" applyAlignment="1" applyProtection="1">
      <alignment vertical="center"/>
      <protection hidden="1"/>
    </xf>
    <xf numFmtId="0" fontId="7" fillId="6" borderId="5" xfId="0" applyFont="1" applyFill="1" applyBorder="1" applyAlignment="1" applyProtection="1">
      <alignment vertical="center"/>
      <protection hidden="1"/>
    </xf>
    <xf numFmtId="0" fontId="7" fillId="0" borderId="13" xfId="0" applyFont="1" applyBorder="1" applyAlignment="1" applyProtection="1">
      <alignment horizontal="center"/>
      <protection hidden="1"/>
    </xf>
    <xf numFmtId="0" fontId="5" fillId="7" borderId="10" xfId="0" quotePrefix="1" applyFont="1" applyFill="1" applyBorder="1" applyProtection="1">
      <protection hidden="1"/>
    </xf>
    <xf numFmtId="181" fontId="7" fillId="0" borderId="13" xfId="0" applyNumberFormat="1" applyFont="1" applyBorder="1" applyAlignment="1">
      <alignment horizontal="center"/>
    </xf>
    <xf numFmtId="0" fontId="7" fillId="0" borderId="0" xfId="0" applyFont="1" applyAlignment="1">
      <alignment vertical="center"/>
    </xf>
    <xf numFmtId="0" fontId="7" fillId="0" borderId="13" xfId="0" applyFont="1" applyBorder="1" applyAlignment="1" applyProtection="1">
      <alignment vertical="center"/>
      <protection hidden="1"/>
    </xf>
    <xf numFmtId="178" fontId="7" fillId="0" borderId="13" xfId="1" applyNumberFormat="1" applyFont="1" applyFill="1" applyBorder="1"/>
    <xf numFmtId="0" fontId="4" fillId="3" borderId="33" xfId="0" applyFont="1" applyFill="1" applyBorder="1" applyAlignment="1" applyProtection="1">
      <alignment horizontal="right" vertical="center"/>
      <protection hidden="1"/>
    </xf>
    <xf numFmtId="0" fontId="4" fillId="3" borderId="0" xfId="0" applyFont="1" applyFill="1" applyAlignment="1">
      <alignment horizontal="right" vertical="center"/>
    </xf>
    <xf numFmtId="0" fontId="7" fillId="3" borderId="0" xfId="0" applyFont="1" applyFill="1" applyAlignment="1">
      <alignment vertical="center"/>
    </xf>
    <xf numFmtId="0" fontId="7" fillId="9" borderId="30" xfId="0" applyFont="1" applyFill="1" applyBorder="1" applyProtection="1">
      <protection hidden="1"/>
    </xf>
    <xf numFmtId="0" fontId="7" fillId="0" borderId="0" xfId="0" applyFont="1" applyAlignment="1" applyProtection="1">
      <alignment horizontal="right" vertical="center"/>
      <protection hidden="1"/>
    </xf>
    <xf numFmtId="0" fontId="24" fillId="0" borderId="0" xfId="0" applyFont="1" applyProtection="1">
      <protection hidden="1"/>
    </xf>
    <xf numFmtId="0" fontId="7" fillId="7" borderId="27" xfId="0" applyFont="1" applyFill="1" applyBorder="1" applyProtection="1">
      <protection hidden="1"/>
    </xf>
    <xf numFmtId="0" fontId="7" fillId="0" borderId="38" xfId="0" applyFont="1" applyBorder="1" applyProtection="1">
      <protection hidden="1"/>
    </xf>
    <xf numFmtId="0" fontId="5" fillId="10" borderId="2" xfId="0" quotePrefix="1" applyFont="1" applyFill="1" applyBorder="1" applyProtection="1">
      <protection hidden="1"/>
    </xf>
    <xf numFmtId="0" fontId="7" fillId="0" borderId="13" xfId="0" applyFont="1" applyBorder="1" applyAlignment="1">
      <alignment wrapText="1"/>
    </xf>
    <xf numFmtId="0" fontId="7" fillId="0" borderId="13" xfId="0" applyFont="1" applyBorder="1" applyAlignment="1" applyProtection="1">
      <alignment wrapText="1"/>
      <protection hidden="1"/>
    </xf>
    <xf numFmtId="0" fontId="26" fillId="2" borderId="0" xfId="5" applyFont="1" applyFill="1"/>
    <xf numFmtId="0" fontId="1" fillId="2" borderId="0" xfId="5" applyFill="1"/>
    <xf numFmtId="0" fontId="7" fillId="6" borderId="6" xfId="0" quotePrefix="1" applyFont="1" applyFill="1" applyBorder="1" applyAlignment="1" applyProtection="1">
      <alignment horizontal="left"/>
      <protection hidden="1"/>
    </xf>
    <xf numFmtId="0" fontId="7" fillId="6" borderId="5" xfId="0" quotePrefix="1" applyFont="1" applyFill="1" applyBorder="1" applyAlignment="1" applyProtection="1">
      <alignment horizontal="left"/>
      <protection hidden="1"/>
    </xf>
    <xf numFmtId="0" fontId="7" fillId="6" borderId="0" xfId="0" quotePrefix="1" applyFont="1" applyFill="1" applyAlignment="1" applyProtection="1">
      <alignment horizontal="left"/>
      <protection hidden="1"/>
    </xf>
    <xf numFmtId="9" fontId="27" fillId="0" borderId="0" xfId="0" applyNumberFormat="1" applyFont="1" applyAlignment="1" applyProtection="1">
      <alignment horizontal="center" vertical="center"/>
      <protection hidden="1"/>
    </xf>
    <xf numFmtId="9" fontId="5" fillId="0" borderId="0" xfId="0" applyNumberFormat="1" applyFont="1" applyAlignment="1" applyProtection="1">
      <alignment horizontal="center" vertical="center"/>
      <protection hidden="1"/>
    </xf>
    <xf numFmtId="0" fontId="7" fillId="6" borderId="7" xfId="0" applyFont="1" applyFill="1" applyBorder="1" applyAlignment="1" applyProtection="1">
      <alignment vertical="center"/>
      <protection hidden="1"/>
    </xf>
    <xf numFmtId="0" fontId="7" fillId="6" borderId="8" xfId="0" applyFont="1" applyFill="1" applyBorder="1" applyAlignment="1" applyProtection="1">
      <alignment vertical="center"/>
      <protection hidden="1"/>
    </xf>
    <xf numFmtId="0" fontId="7" fillId="6" borderId="18" xfId="0" applyFont="1" applyFill="1" applyBorder="1" applyAlignment="1" applyProtection="1">
      <alignment vertical="center"/>
      <protection hidden="1"/>
    </xf>
    <xf numFmtId="0" fontId="7" fillId="0" borderId="5" xfId="0" applyFont="1" applyBorder="1" applyProtection="1">
      <protection hidden="1"/>
    </xf>
    <xf numFmtId="0" fontId="7" fillId="6" borderId="5" xfId="0" quotePrefix="1" applyFont="1" applyFill="1" applyBorder="1" applyAlignment="1" applyProtection="1">
      <alignment horizontal="left" wrapText="1"/>
      <protection hidden="1"/>
    </xf>
    <xf numFmtId="1" fontId="5" fillId="6" borderId="0" xfId="2" applyNumberFormat="1" applyFont="1" applyFill="1" applyBorder="1" applyAlignment="1" applyProtection="1">
      <alignment horizontal="right" vertical="center" wrapText="1"/>
      <protection hidden="1"/>
    </xf>
    <xf numFmtId="0" fontId="7" fillId="6" borderId="0" xfId="0" applyFont="1" applyFill="1" applyAlignment="1">
      <alignment wrapText="1"/>
    </xf>
    <xf numFmtId="37" fontId="7" fillId="6" borderId="6" xfId="0" applyNumberFormat="1" applyFont="1" applyFill="1" applyBorder="1" applyAlignment="1">
      <alignment horizontal="center"/>
    </xf>
    <xf numFmtId="1" fontId="10" fillId="6" borderId="0" xfId="0" applyNumberFormat="1" applyFont="1" applyFill="1" applyAlignment="1" applyProtection="1">
      <alignment horizontal="right" vertical="center"/>
      <protection hidden="1"/>
    </xf>
    <xf numFmtId="0" fontId="7" fillId="6" borderId="0" xfId="0" quotePrefix="1" applyFont="1" applyFill="1" applyAlignment="1" applyProtection="1">
      <alignment horizontal="left" wrapText="1"/>
      <protection hidden="1"/>
    </xf>
    <xf numFmtId="37" fontId="7" fillId="6" borderId="0" xfId="1" applyNumberFormat="1" applyFont="1" applyFill="1" applyBorder="1" applyAlignment="1" applyProtection="1">
      <alignment horizontal="center"/>
    </xf>
    <xf numFmtId="37" fontId="7" fillId="6" borderId="6" xfId="1" applyNumberFormat="1" applyFont="1" applyFill="1" applyBorder="1" applyAlignment="1" applyProtection="1">
      <alignment horizontal="center"/>
    </xf>
    <xf numFmtId="0" fontId="10" fillId="6" borderId="5" xfId="0" applyFont="1" applyFill="1" applyBorder="1" applyAlignment="1" applyProtection="1">
      <alignment vertical="center"/>
      <protection hidden="1"/>
    </xf>
    <xf numFmtId="0" fontId="7" fillId="15" borderId="13" xfId="0" applyFont="1" applyFill="1" applyBorder="1" applyAlignment="1">
      <alignment vertical="center"/>
    </xf>
    <xf numFmtId="0" fontId="7" fillId="15" borderId="13" xfId="0" applyFont="1" applyFill="1" applyBorder="1" applyAlignment="1">
      <alignment vertical="top" wrapText="1"/>
    </xf>
    <xf numFmtId="0" fontId="7" fillId="15" borderId="13" xfId="0" applyFont="1" applyFill="1" applyBorder="1"/>
    <xf numFmtId="0" fontId="10" fillId="6" borderId="0" xfId="0" applyFont="1" applyFill="1" applyAlignment="1" applyProtection="1">
      <alignment horizontal="left" vertical="center" wrapText="1"/>
      <protection hidden="1"/>
    </xf>
    <xf numFmtId="0" fontId="7" fillId="6" borderId="0" xfId="0" applyFont="1" applyFill="1" applyAlignment="1" applyProtection="1">
      <alignment horizontal="right" vertical="center"/>
      <protection hidden="1"/>
    </xf>
    <xf numFmtId="0" fontId="7" fillId="6" borderId="16" xfId="0" applyFont="1" applyFill="1" applyBorder="1" applyProtection="1">
      <protection hidden="1"/>
    </xf>
    <xf numFmtId="0" fontId="7" fillId="6" borderId="23" xfId="0" applyFont="1" applyFill="1" applyBorder="1" applyProtection="1">
      <protection hidden="1"/>
    </xf>
    <xf numFmtId="0" fontId="31" fillId="2" borderId="0" xfId="5" applyFont="1" applyFill="1"/>
    <xf numFmtId="0" fontId="28" fillId="0" borderId="0" xfId="0" applyFont="1"/>
    <xf numFmtId="0" fontId="0" fillId="0" borderId="0" xfId="0" applyAlignment="1" applyProtection="1">
      <alignment wrapText="1"/>
      <protection locked="0"/>
    </xf>
    <xf numFmtId="0" fontId="0" fillId="0" borderId="0" xfId="0" applyProtection="1">
      <protection locked="0"/>
    </xf>
    <xf numFmtId="0" fontId="7" fillId="0" borderId="0" xfId="0" applyFont="1" applyProtection="1">
      <protection locked="0"/>
    </xf>
    <xf numFmtId="0" fontId="7" fillId="0" borderId="18" xfId="0" applyFont="1" applyBorder="1" applyAlignment="1" applyProtection="1">
      <alignment vertical="top" wrapText="1"/>
      <protection locked="0"/>
    </xf>
    <xf numFmtId="0" fontId="7" fillId="0" borderId="17" xfId="0" applyFont="1" applyBorder="1" applyAlignment="1" applyProtection="1">
      <alignment vertical="top" wrapText="1"/>
      <protection locked="0"/>
    </xf>
    <xf numFmtId="178" fontId="7" fillId="0" borderId="21" xfId="1" applyNumberFormat="1" applyFont="1" applyFill="1" applyBorder="1" applyAlignment="1" applyProtection="1">
      <alignment horizontal="center"/>
      <protection locked="0"/>
    </xf>
    <xf numFmtId="178" fontId="7" fillId="6" borderId="0" xfId="1" applyNumberFormat="1" applyFont="1" applyFill="1" applyBorder="1" applyAlignment="1" applyProtection="1">
      <alignment horizontal="center"/>
      <protection locked="0"/>
    </xf>
    <xf numFmtId="178" fontId="7" fillId="7" borderId="13" xfId="1" applyNumberFormat="1" applyFont="1" applyFill="1" applyBorder="1" applyAlignment="1" applyProtection="1">
      <alignment horizontal="center"/>
      <protection hidden="1"/>
    </xf>
    <xf numFmtId="0" fontId="7" fillId="5" borderId="13" xfId="0" applyFont="1" applyFill="1" applyBorder="1" applyAlignment="1" applyProtection="1">
      <alignment horizontal="center"/>
      <protection hidden="1"/>
    </xf>
    <xf numFmtId="0" fontId="10" fillId="6" borderId="0" xfId="0" applyFont="1" applyFill="1" applyAlignment="1" applyProtection="1">
      <alignment vertical="center" wrapText="1"/>
      <protection hidden="1"/>
    </xf>
    <xf numFmtId="3" fontId="7" fillId="0" borderId="21" xfId="0" applyNumberFormat="1" applyFont="1" applyBorder="1" applyAlignment="1" applyProtection="1">
      <alignment horizontal="center"/>
      <protection locked="0"/>
    </xf>
    <xf numFmtId="0" fontId="7" fillId="5" borderId="21" xfId="0" applyFont="1" applyFill="1" applyBorder="1" applyAlignment="1" applyProtection="1">
      <alignment horizontal="center"/>
      <protection hidden="1"/>
    </xf>
    <xf numFmtId="0" fontId="2" fillId="6" borderId="5" xfId="0" quotePrefix="1" applyFont="1" applyFill="1" applyBorder="1" applyAlignment="1" applyProtection="1">
      <alignment horizontal="left" vertical="center" wrapText="1"/>
      <protection hidden="1"/>
    </xf>
    <xf numFmtId="0" fontId="2" fillId="6" borderId="0" xfId="0" quotePrefix="1" applyFont="1" applyFill="1" applyAlignment="1" applyProtection="1">
      <alignment horizontal="left" vertical="center" wrapText="1"/>
      <protection hidden="1"/>
    </xf>
    <xf numFmtId="37" fontId="2" fillId="6" borderId="0" xfId="1" applyNumberFormat="1" applyFont="1" applyFill="1" applyBorder="1" applyAlignment="1" applyProtection="1">
      <alignment horizontal="center" vertical="center" wrapText="1"/>
      <protection locked="0"/>
    </xf>
    <xf numFmtId="37" fontId="2" fillId="6" borderId="6" xfId="1" applyNumberFormat="1" applyFont="1" applyFill="1" applyBorder="1" applyAlignment="1" applyProtection="1">
      <alignment horizontal="center" vertical="center" wrapText="1"/>
      <protection locked="0"/>
    </xf>
    <xf numFmtId="0" fontId="2" fillId="6" borderId="9" xfId="0" applyFont="1" applyFill="1" applyBorder="1" applyAlignment="1" applyProtection="1">
      <alignment horizontal="center"/>
      <protection hidden="1"/>
    </xf>
    <xf numFmtId="0" fontId="7" fillId="6" borderId="5" xfId="0" quotePrefix="1" applyFont="1" applyFill="1" applyBorder="1" applyAlignment="1" applyProtection="1">
      <alignment horizontal="center"/>
      <protection hidden="1"/>
    </xf>
    <xf numFmtId="0" fontId="7" fillId="6" borderId="5" xfId="0" applyFont="1" applyFill="1" applyBorder="1" applyAlignment="1" applyProtection="1">
      <alignment horizontal="center"/>
      <protection hidden="1"/>
    </xf>
    <xf numFmtId="178" fontId="5" fillId="5" borderId="21" xfId="1" applyNumberFormat="1" applyFont="1" applyFill="1" applyBorder="1" applyAlignment="1">
      <alignment horizontal="center"/>
    </xf>
    <xf numFmtId="0" fontId="7" fillId="0" borderId="21" xfId="0" applyFont="1" applyBorder="1" applyAlignment="1" applyProtection="1">
      <alignment horizontal="left"/>
      <protection locked="0"/>
    </xf>
    <xf numFmtId="0" fontId="2" fillId="7" borderId="0" xfId="0" applyFont="1" applyFill="1" applyAlignment="1">
      <alignment horizontal="center" vertical="center"/>
    </xf>
    <xf numFmtId="0" fontId="7" fillId="0" borderId="21" xfId="0" applyFont="1" applyBorder="1" applyAlignment="1" applyProtection="1">
      <alignment horizontal="center"/>
      <protection locked="0"/>
    </xf>
    <xf numFmtId="0" fontId="7" fillId="15" borderId="13" xfId="0" applyFont="1" applyFill="1" applyBorder="1" applyProtection="1">
      <protection hidden="1"/>
    </xf>
    <xf numFmtId="0" fontId="2" fillId="6" borderId="6" xfId="0" applyFont="1" applyFill="1" applyBorder="1" applyProtection="1">
      <protection hidden="1"/>
    </xf>
    <xf numFmtId="178" fontId="7" fillId="0" borderId="13" xfId="3" applyNumberFormat="1" applyFont="1" applyFill="1" applyBorder="1" applyAlignment="1" applyProtection="1">
      <alignment horizontal="center"/>
      <protection locked="0"/>
    </xf>
    <xf numFmtId="0" fontId="20" fillId="6" borderId="0" xfId="0" applyFont="1" applyFill="1" applyProtection="1">
      <protection hidden="1"/>
    </xf>
    <xf numFmtId="0" fontId="7" fillId="0" borderId="13" xfId="0" applyFont="1" applyBorder="1" applyAlignment="1" applyProtection="1">
      <alignment horizontal="center" vertical="center" wrapText="1"/>
      <protection locked="0"/>
    </xf>
    <xf numFmtId="0" fontId="7" fillId="0" borderId="13" xfId="0" applyFont="1" applyBorder="1" applyAlignment="1" applyProtection="1">
      <alignment horizontal="center" vertical="center"/>
      <protection locked="0"/>
    </xf>
    <xf numFmtId="0" fontId="2" fillId="6" borderId="0" xfId="0" quotePrefix="1" applyFont="1" applyFill="1" applyAlignment="1" applyProtection="1">
      <alignment vertical="center" wrapText="1"/>
      <protection hidden="1"/>
    </xf>
    <xf numFmtId="0" fontId="7" fillId="14" borderId="21" xfId="0" quotePrefix="1" applyFont="1" applyFill="1" applyBorder="1" applyAlignment="1" applyProtection="1">
      <alignment wrapText="1"/>
      <protection hidden="1"/>
    </xf>
    <xf numFmtId="0" fontId="7" fillId="6" borderId="13" xfId="0" quotePrefix="1" applyFont="1" applyFill="1" applyBorder="1" applyAlignment="1" applyProtection="1">
      <alignment horizontal="left"/>
      <protection hidden="1"/>
    </xf>
    <xf numFmtId="10" fontId="7" fillId="7" borderId="13" xfId="2" applyNumberFormat="1" applyFont="1" applyFill="1" applyBorder="1" applyAlignment="1" applyProtection="1">
      <alignment horizontal="center"/>
      <protection hidden="1"/>
    </xf>
    <xf numFmtId="10" fontId="7" fillId="6" borderId="0" xfId="2" applyNumberFormat="1" applyFont="1" applyFill="1" applyBorder="1" applyAlignment="1" applyProtection="1">
      <alignment horizontal="center"/>
    </xf>
    <xf numFmtId="37" fontId="7" fillId="2" borderId="13" xfId="1" applyNumberFormat="1" applyFont="1" applyFill="1" applyBorder="1" applyAlignment="1" applyProtection="1">
      <protection locked="0"/>
    </xf>
    <xf numFmtId="178" fontId="7" fillId="7" borderId="13" xfId="1" applyNumberFormat="1" applyFont="1" applyFill="1" applyBorder="1" applyAlignment="1" applyProtection="1">
      <alignment horizontal="center" vertical="center"/>
    </xf>
    <xf numFmtId="178" fontId="7" fillId="2" borderId="13" xfId="1" applyNumberFormat="1" applyFont="1" applyFill="1" applyBorder="1" applyAlignment="1" applyProtection="1">
      <alignment horizontal="center"/>
      <protection locked="0"/>
    </xf>
    <xf numFmtId="178" fontId="7" fillId="7" borderId="0" xfId="1" applyNumberFormat="1" applyFont="1" applyFill="1" applyBorder="1" applyAlignment="1" applyProtection="1">
      <alignment horizontal="center"/>
      <protection locked="0"/>
    </xf>
    <xf numFmtId="0" fontId="7" fillId="7" borderId="21" xfId="0" applyFont="1" applyFill="1" applyBorder="1" applyAlignment="1" applyProtection="1">
      <alignment horizontal="center"/>
      <protection locked="0"/>
    </xf>
    <xf numFmtId="0" fontId="5" fillId="5" borderId="21" xfId="0" applyFont="1" applyFill="1" applyBorder="1" applyAlignment="1" applyProtection="1">
      <alignment horizontal="left"/>
      <protection hidden="1"/>
    </xf>
    <xf numFmtId="178" fontId="7" fillId="7" borderId="13" xfId="0" applyNumberFormat="1" applyFont="1" applyFill="1" applyBorder="1" applyAlignment="1" applyProtection="1">
      <alignment horizontal="center" vertical="center"/>
      <protection locked="0"/>
    </xf>
    <xf numFmtId="178" fontId="7" fillId="7" borderId="0" xfId="1" applyNumberFormat="1" applyFont="1" applyFill="1" applyBorder="1" applyAlignment="1" applyProtection="1">
      <alignment horizontal="center" vertical="center"/>
      <protection locked="0"/>
    </xf>
    <xf numFmtId="0" fontId="13" fillId="3" borderId="15" xfId="0" applyFont="1" applyFill="1" applyBorder="1" applyAlignment="1">
      <alignment horizontal="center" vertical="center" wrapText="1"/>
    </xf>
    <xf numFmtId="0" fontId="34" fillId="0" borderId="0" xfId="0" applyFont="1"/>
    <xf numFmtId="0" fontId="36" fillId="16" borderId="13" xfId="0" applyFont="1" applyFill="1" applyBorder="1" applyAlignment="1" applyProtection="1">
      <alignment vertical="top" wrapText="1"/>
      <protection locked="0"/>
    </xf>
    <xf numFmtId="0" fontId="36" fillId="0" borderId="13" xfId="0" applyFont="1" applyBorder="1" applyAlignment="1" applyProtection="1">
      <alignment vertical="top" wrapText="1"/>
      <protection locked="0"/>
    </xf>
    <xf numFmtId="0" fontId="37" fillId="0" borderId="13" xfId="0" applyFont="1" applyBorder="1" applyAlignment="1" applyProtection="1">
      <alignment vertical="top" wrapText="1"/>
      <protection locked="0"/>
    </xf>
    <xf numFmtId="0" fontId="42" fillId="3" borderId="25" xfId="0" applyFont="1" applyFill="1" applyBorder="1" applyAlignment="1">
      <alignment horizontal="center" vertical="center" wrapText="1"/>
    </xf>
    <xf numFmtId="0" fontId="45" fillId="0" borderId="13" xfId="0" applyFont="1" applyBorder="1" applyAlignment="1">
      <alignment vertical="top" wrapText="1"/>
    </xf>
    <xf numFmtId="0" fontId="35" fillId="16" borderId="13" xfId="0" applyFont="1" applyFill="1" applyBorder="1" applyAlignment="1" applyProtection="1">
      <alignment vertical="top" wrapText="1"/>
      <protection locked="0"/>
    </xf>
    <xf numFmtId="0" fontId="46" fillId="16" borderId="13" xfId="0" applyFont="1" applyFill="1" applyBorder="1" applyAlignment="1" applyProtection="1">
      <alignment vertical="top" wrapText="1"/>
      <protection locked="0"/>
    </xf>
    <xf numFmtId="0" fontId="36" fillId="0" borderId="21" xfId="0" quotePrefix="1" applyFont="1" applyBorder="1" applyAlignment="1" applyProtection="1">
      <alignment horizontal="left"/>
      <protection locked="0"/>
    </xf>
    <xf numFmtId="0" fontId="36" fillId="0" borderId="21" xfId="0" applyFont="1" applyBorder="1" applyAlignment="1" applyProtection="1">
      <alignment horizontal="left"/>
      <protection locked="0"/>
    </xf>
    <xf numFmtId="0" fontId="46" fillId="0" borderId="13" xfId="0" applyFont="1" applyBorder="1" applyAlignment="1" applyProtection="1">
      <alignment horizontal="center" vertical="center"/>
      <protection locked="0"/>
    </xf>
    <xf numFmtId="0" fontId="0" fillId="0" borderId="25" xfId="0" applyBorder="1" applyProtection="1">
      <protection locked="0"/>
    </xf>
    <xf numFmtId="0" fontId="0" fillId="0" borderId="18" xfId="0" applyBorder="1" applyProtection="1">
      <protection locked="0"/>
    </xf>
    <xf numFmtId="0" fontId="48" fillId="0" borderId="20" xfId="0" applyFont="1" applyBorder="1" applyAlignment="1" applyProtection="1">
      <alignment wrapText="1"/>
      <protection locked="0"/>
    </xf>
    <xf numFmtId="0" fontId="36" fillId="7" borderId="0" xfId="0" applyFont="1" applyFill="1" applyAlignment="1" applyProtection="1">
      <alignment horizontal="center" vertical="center" wrapText="1"/>
      <protection locked="0"/>
    </xf>
    <xf numFmtId="0" fontId="36" fillId="7" borderId="0" xfId="0" applyFont="1" applyFill="1" applyAlignment="1" applyProtection="1">
      <alignment horizontal="center" vertical="center"/>
      <protection locked="0"/>
    </xf>
    <xf numFmtId="0" fontId="51" fillId="0" borderId="0" xfId="0" applyFont="1" applyProtection="1">
      <protection hidden="1"/>
    </xf>
    <xf numFmtId="0" fontId="52" fillId="0" borderId="0" xfId="0" applyFont="1" applyProtection="1">
      <protection hidden="1"/>
    </xf>
    <xf numFmtId="0" fontId="51" fillId="0" borderId="0" xfId="0" quotePrefix="1" applyFont="1" applyProtection="1">
      <protection hidden="1"/>
    </xf>
    <xf numFmtId="0" fontId="52" fillId="11" borderId="13" xfId="0" applyFont="1" applyFill="1" applyBorder="1" applyProtection="1">
      <protection hidden="1"/>
    </xf>
    <xf numFmtId="0" fontId="52" fillId="11" borderId="0" xfId="0" applyFont="1" applyFill="1" applyProtection="1">
      <protection hidden="1"/>
    </xf>
    <xf numFmtId="0" fontId="53" fillId="5" borderId="27" xfId="0" applyFont="1" applyFill="1" applyBorder="1" applyProtection="1">
      <protection hidden="1"/>
    </xf>
    <xf numFmtId="0" fontId="53" fillId="5" borderId="27" xfId="0" quotePrefix="1" applyFont="1" applyFill="1" applyBorder="1" applyProtection="1">
      <protection hidden="1"/>
    </xf>
    <xf numFmtId="0" fontId="54" fillId="12" borderId="13" xfId="0" applyFont="1" applyFill="1" applyBorder="1" applyAlignment="1" applyProtection="1">
      <alignment vertical="top" wrapText="1"/>
      <protection hidden="1"/>
    </xf>
    <xf numFmtId="0" fontId="54" fillId="13" borderId="13" xfId="0" quotePrefix="1" applyFont="1" applyFill="1" applyBorder="1" applyAlignment="1" applyProtection="1">
      <alignment vertical="top" wrapText="1"/>
      <protection hidden="1"/>
    </xf>
    <xf numFmtId="0" fontId="53" fillId="0" borderId="0" xfId="0" applyFont="1" applyProtection="1">
      <protection hidden="1"/>
    </xf>
    <xf numFmtId="0" fontId="53" fillId="0" borderId="0" xfId="0" quotePrefix="1" applyFont="1" applyProtection="1">
      <protection hidden="1"/>
    </xf>
    <xf numFmtId="0" fontId="53" fillId="5" borderId="13" xfId="0" applyFont="1" applyFill="1" applyBorder="1" applyProtection="1">
      <protection hidden="1"/>
    </xf>
    <xf numFmtId="0" fontId="53" fillId="5" borderId="13" xfId="0" quotePrefix="1" applyFont="1" applyFill="1" applyBorder="1" applyProtection="1">
      <protection hidden="1"/>
    </xf>
    <xf numFmtId="0" fontId="54" fillId="11" borderId="13" xfId="0" applyFont="1" applyFill="1" applyBorder="1" applyAlignment="1" applyProtection="1">
      <alignment horizontal="left"/>
      <protection locked="0"/>
    </xf>
    <xf numFmtId="0" fontId="54" fillId="5" borderId="13" xfId="0" applyFont="1" applyFill="1" applyBorder="1" applyAlignment="1" applyProtection="1">
      <alignment horizontal="left"/>
      <protection hidden="1"/>
    </xf>
    <xf numFmtId="0" fontId="54" fillId="5" borderId="13" xfId="0" applyFont="1" applyFill="1" applyBorder="1" applyProtection="1">
      <protection hidden="1"/>
    </xf>
    <xf numFmtId="0" fontId="54" fillId="17" borderId="13" xfId="0" applyFont="1" applyFill="1" applyBorder="1" applyProtection="1">
      <protection hidden="1"/>
    </xf>
    <xf numFmtId="0" fontId="56" fillId="0" borderId="0" xfId="0" applyFont="1" applyProtection="1">
      <protection hidden="1"/>
    </xf>
    <xf numFmtId="0" fontId="57" fillId="0" borderId="0" xfId="0" quotePrefix="1" applyFont="1" applyProtection="1">
      <protection hidden="1"/>
    </xf>
    <xf numFmtId="0" fontId="54" fillId="5" borderId="13" xfId="0" applyFont="1" applyFill="1" applyBorder="1" applyAlignment="1" applyProtection="1">
      <alignment horizontal="center"/>
      <protection hidden="1"/>
    </xf>
    <xf numFmtId="9" fontId="54" fillId="5" borderId="13" xfId="2" applyFont="1" applyFill="1" applyBorder="1" applyProtection="1">
      <protection hidden="1"/>
    </xf>
    <xf numFmtId="0" fontId="53" fillId="5" borderId="0" xfId="0" applyFont="1" applyFill="1" applyProtection="1">
      <protection hidden="1"/>
    </xf>
    <xf numFmtId="0" fontId="52" fillId="5" borderId="27" xfId="0" applyFont="1" applyFill="1" applyBorder="1" applyAlignment="1" applyProtection="1">
      <alignment horizontal="center"/>
      <protection hidden="1"/>
    </xf>
    <xf numFmtId="0" fontId="52" fillId="0" borderId="0" xfId="0" applyFont="1"/>
    <xf numFmtId="0" fontId="53" fillId="5" borderId="13" xfId="0" quotePrefix="1" applyFont="1" applyFill="1" applyBorder="1" applyAlignment="1" applyProtection="1">
      <alignment wrapText="1"/>
      <protection hidden="1"/>
    </xf>
    <xf numFmtId="0" fontId="54" fillId="11" borderId="21" xfId="0" applyFont="1" applyFill="1" applyBorder="1" applyAlignment="1" applyProtection="1">
      <alignment horizontal="left" vertical="top" wrapText="1"/>
      <protection locked="0"/>
    </xf>
    <xf numFmtId="0" fontId="54" fillId="11" borderId="1" xfId="0" applyFont="1" applyFill="1" applyBorder="1" applyAlignment="1" applyProtection="1">
      <alignment horizontal="left" vertical="top" wrapText="1"/>
      <protection locked="0"/>
    </xf>
    <xf numFmtId="0" fontId="54" fillId="11" borderId="26" xfId="0" applyFont="1" applyFill="1" applyBorder="1" applyAlignment="1" applyProtection="1">
      <alignment horizontal="left" vertical="top" wrapText="1"/>
      <protection locked="0"/>
    </xf>
    <xf numFmtId="0" fontId="52" fillId="5" borderId="21" xfId="0" applyFont="1" applyFill="1" applyBorder="1" applyAlignment="1" applyProtection="1">
      <alignment horizontal="left"/>
      <protection hidden="1"/>
    </xf>
    <xf numFmtId="0" fontId="52" fillId="5" borderId="1" xfId="0" applyFont="1" applyFill="1" applyBorder="1" applyAlignment="1" applyProtection="1">
      <alignment horizontal="left"/>
      <protection hidden="1"/>
    </xf>
    <xf numFmtId="0" fontId="52" fillId="5" borderId="26" xfId="0" applyFont="1" applyFill="1" applyBorder="1" applyAlignment="1" applyProtection="1">
      <alignment horizontal="left"/>
      <protection hidden="1"/>
    </xf>
    <xf numFmtId="0" fontId="58" fillId="0" borderId="0" xfId="0" applyFont="1" applyProtection="1">
      <protection hidden="1"/>
    </xf>
    <xf numFmtId="0" fontId="58" fillId="5" borderId="21" xfId="0" applyFont="1" applyFill="1" applyBorder="1" applyAlignment="1" applyProtection="1">
      <alignment horizontal="left"/>
      <protection hidden="1"/>
    </xf>
    <xf numFmtId="0" fontId="58" fillId="5" borderId="1" xfId="0" applyFont="1" applyFill="1" applyBorder="1" applyAlignment="1" applyProtection="1">
      <alignment horizontal="left"/>
      <protection hidden="1"/>
    </xf>
    <xf numFmtId="0" fontId="58" fillId="5" borderId="26" xfId="0" applyFont="1" applyFill="1" applyBorder="1" applyAlignment="1" applyProtection="1">
      <alignment horizontal="left"/>
      <protection hidden="1"/>
    </xf>
    <xf numFmtId="0" fontId="54" fillId="11" borderId="13" xfId="0" applyFont="1" applyFill="1" applyBorder="1" applyAlignment="1" applyProtection="1">
      <alignment horizontal="left" vertical="top" wrapText="1"/>
      <protection locked="0"/>
    </xf>
    <xf numFmtId="9" fontId="52" fillId="5" borderId="13" xfId="2" applyFont="1" applyFill="1" applyBorder="1" applyAlignment="1" applyProtection="1">
      <alignment wrapText="1"/>
      <protection hidden="1"/>
    </xf>
    <xf numFmtId="0" fontId="52" fillId="0" borderId="0" xfId="0" applyFont="1" applyAlignment="1" applyProtection="1">
      <alignment wrapText="1"/>
      <protection hidden="1"/>
    </xf>
    <xf numFmtId="9" fontId="54" fillId="11" borderId="13" xfId="0" applyNumberFormat="1" applyFont="1" applyFill="1" applyBorder="1" applyAlignment="1" applyProtection="1">
      <alignment horizontal="left" vertical="top" wrapText="1"/>
      <protection locked="0"/>
    </xf>
    <xf numFmtId="0" fontId="58" fillId="5" borderId="21" xfId="0" applyFont="1" applyFill="1" applyBorder="1" applyAlignment="1" applyProtection="1">
      <alignment vertical="top"/>
      <protection hidden="1"/>
    </xf>
    <xf numFmtId="0" fontId="54" fillId="5" borderId="13" xfId="0" applyFont="1" applyFill="1" applyBorder="1" applyAlignment="1" applyProtection="1">
      <alignment horizontal="left" vertical="top" wrapText="1"/>
      <protection hidden="1"/>
    </xf>
    <xf numFmtId="0" fontId="49" fillId="0" borderId="0" xfId="0" applyFont="1" applyAlignment="1" applyProtection="1">
      <alignment horizontal="left" vertical="top" wrapText="1"/>
      <protection locked="0"/>
    </xf>
    <xf numFmtId="0" fontId="50" fillId="0" borderId="0" xfId="0" applyFont="1" applyAlignment="1" applyProtection="1">
      <alignment horizontal="left" vertical="top" wrapText="1"/>
      <protection locked="0"/>
    </xf>
    <xf numFmtId="0" fontId="9" fillId="0" borderId="0" xfId="0" applyFont="1" applyAlignment="1" applyProtection="1">
      <alignment horizontal="left" vertical="top" wrapText="1"/>
      <protection locked="0"/>
    </xf>
    <xf numFmtId="0" fontId="35" fillId="0" borderId="15" xfId="0" applyFont="1" applyBorder="1" applyAlignment="1" applyProtection="1">
      <alignment horizontal="left" wrapText="1"/>
      <protection locked="0"/>
    </xf>
    <xf numFmtId="0" fontId="7" fillId="0" borderId="25" xfId="0" applyFont="1" applyBorder="1" applyAlignment="1" applyProtection="1">
      <alignment horizontal="left" wrapText="1"/>
      <protection locked="0"/>
    </xf>
    <xf numFmtId="0" fontId="0" fillId="18" borderId="15" xfId="0" applyFill="1" applyBorder="1" applyAlignment="1" applyProtection="1">
      <alignment horizontal="center" vertical="center" wrapText="1"/>
      <protection locked="0"/>
    </xf>
    <xf numFmtId="0" fontId="0" fillId="18" borderId="17" xfId="0" applyFill="1" applyBorder="1" applyAlignment="1" applyProtection="1">
      <alignment horizontal="center" vertical="center" wrapText="1"/>
      <protection locked="0"/>
    </xf>
    <xf numFmtId="0" fontId="0" fillId="18" borderId="19" xfId="0" applyFill="1" applyBorder="1" applyAlignment="1" applyProtection="1">
      <alignment horizontal="center" vertical="center" wrapText="1"/>
      <protection locked="0"/>
    </xf>
    <xf numFmtId="0" fontId="37" fillId="0" borderId="19" xfId="0" applyFont="1" applyBorder="1" applyAlignment="1" applyProtection="1">
      <alignment horizontal="left" wrapText="1"/>
      <protection locked="0"/>
    </xf>
    <xf numFmtId="0" fontId="7" fillId="0" borderId="20" xfId="0" applyFont="1" applyBorder="1" applyAlignment="1" applyProtection="1">
      <alignment horizontal="left" wrapText="1"/>
      <protection locked="0"/>
    </xf>
    <xf numFmtId="0" fontId="40" fillId="0" borderId="15" xfId="0" applyFont="1" applyBorder="1" applyAlignment="1" applyProtection="1">
      <alignment horizontal="left" wrapText="1"/>
      <protection locked="0"/>
    </xf>
    <xf numFmtId="0" fontId="37" fillId="0" borderId="15" xfId="0" applyFont="1" applyBorder="1" applyAlignment="1" applyProtection="1">
      <alignment horizontal="left" wrapText="1"/>
      <protection locked="0"/>
    </xf>
    <xf numFmtId="0" fontId="38" fillId="3" borderId="15" xfId="0" applyFont="1" applyFill="1" applyBorder="1" applyAlignment="1">
      <alignment horizontal="center" vertical="center" wrapText="1"/>
    </xf>
    <xf numFmtId="0" fontId="13" fillId="3" borderId="25" xfId="0" applyFont="1" applyFill="1" applyBorder="1" applyAlignment="1">
      <alignment horizontal="center" vertical="center" wrapText="1"/>
    </xf>
    <xf numFmtId="0" fontId="19" fillId="5" borderId="21" xfId="4" applyFont="1" applyFill="1" applyBorder="1" applyAlignment="1" applyProtection="1">
      <alignment horizontal="center"/>
      <protection hidden="1"/>
    </xf>
    <xf numFmtId="0" fontId="19" fillId="5" borderId="1" xfId="4" applyFont="1" applyFill="1" applyBorder="1" applyAlignment="1" applyProtection="1">
      <alignment horizontal="center"/>
      <protection hidden="1"/>
    </xf>
    <xf numFmtId="0" fontId="19" fillId="5" borderId="26" xfId="4" applyFont="1" applyFill="1" applyBorder="1" applyAlignment="1" applyProtection="1">
      <alignment horizontal="center"/>
      <protection hidden="1"/>
    </xf>
    <xf numFmtId="0" fontId="4" fillId="3" borderId="0" xfId="0" quotePrefix="1" applyFont="1" applyFill="1" applyAlignment="1" applyProtection="1">
      <alignment horizontal="right" vertical="center" wrapText="1"/>
      <protection hidden="1"/>
    </xf>
    <xf numFmtId="0" fontId="4" fillId="3" borderId="0" xfId="0" applyFont="1" applyFill="1" applyAlignment="1" applyProtection="1">
      <alignment horizontal="right" vertical="center" wrapText="1"/>
      <protection hidden="1"/>
    </xf>
    <xf numFmtId="0" fontId="4" fillId="3" borderId="17" xfId="0" applyFont="1" applyFill="1" applyBorder="1" applyAlignment="1" applyProtection="1">
      <alignment horizontal="right" vertical="center" wrapText="1"/>
      <protection hidden="1"/>
    </xf>
    <xf numFmtId="0" fontId="7" fillId="7" borderId="0" xfId="0" applyFont="1" applyFill="1" applyAlignment="1" applyProtection="1">
      <alignment horizontal="center" vertical="center" wrapText="1"/>
      <protection locked="0"/>
    </xf>
    <xf numFmtId="0" fontId="7" fillId="5" borderId="21" xfId="0" applyFont="1" applyFill="1" applyBorder="1" applyAlignment="1" applyProtection="1">
      <alignment horizontal="center"/>
      <protection hidden="1"/>
    </xf>
    <xf numFmtId="0" fontId="7" fillId="5" borderId="1" xfId="0" applyFont="1" applyFill="1" applyBorder="1" applyAlignment="1" applyProtection="1">
      <alignment horizontal="center"/>
      <protection hidden="1"/>
    </xf>
    <xf numFmtId="0" fontId="7" fillId="5" borderId="26" xfId="0" applyFont="1" applyFill="1" applyBorder="1" applyAlignment="1" applyProtection="1">
      <alignment horizontal="center"/>
      <protection hidden="1"/>
    </xf>
    <xf numFmtId="0" fontId="21" fillId="2" borderId="8" xfId="4" applyFont="1" applyFill="1" applyBorder="1" applyAlignment="1" applyProtection="1">
      <alignment vertical="center"/>
      <protection locked="0" hidden="1"/>
    </xf>
    <xf numFmtId="0" fontId="0" fillId="0" borderId="8" xfId="0" applyBorder="1"/>
    <xf numFmtId="0" fontId="4" fillId="3" borderId="35" xfId="0" applyFont="1" applyFill="1" applyBorder="1" applyAlignment="1" applyProtection="1">
      <alignment horizontal="left"/>
      <protection locked="0" hidden="1"/>
    </xf>
    <xf numFmtId="0" fontId="4" fillId="3" borderId="37" xfId="0" applyFont="1" applyFill="1" applyBorder="1" applyAlignment="1" applyProtection="1">
      <alignment horizontal="left"/>
      <protection locked="0" hidden="1"/>
    </xf>
    <xf numFmtId="0" fontId="4" fillId="3" borderId="35" xfId="0" applyFont="1" applyFill="1" applyBorder="1" applyAlignment="1" applyProtection="1">
      <alignment horizontal="left"/>
      <protection hidden="1"/>
    </xf>
    <xf numFmtId="0" fontId="4" fillId="3" borderId="37" xfId="0" applyFont="1" applyFill="1" applyBorder="1" applyAlignment="1" applyProtection="1">
      <alignment horizontal="left"/>
      <protection hidden="1"/>
    </xf>
    <xf numFmtId="0" fontId="4" fillId="3" borderId="36" xfId="0" applyFont="1" applyFill="1" applyBorder="1" applyAlignment="1" applyProtection="1">
      <alignment horizontal="left"/>
      <protection hidden="1"/>
    </xf>
    <xf numFmtId="0" fontId="4" fillId="3" borderId="35" xfId="0" applyFont="1" applyFill="1" applyBorder="1" applyAlignment="1" applyProtection="1">
      <alignment horizontal="left" vertical="center" shrinkToFit="1"/>
      <protection hidden="1"/>
    </xf>
    <xf numFmtId="0" fontId="4" fillId="3" borderId="37" xfId="0" applyFont="1" applyFill="1" applyBorder="1" applyAlignment="1" applyProtection="1">
      <alignment horizontal="left" vertical="center" shrinkToFit="1"/>
      <protection hidden="1"/>
    </xf>
    <xf numFmtId="37" fontId="4" fillId="3" borderId="35" xfId="1" applyNumberFormat="1" applyFont="1" applyFill="1" applyBorder="1" applyAlignment="1" applyProtection="1">
      <alignment horizontal="left"/>
      <protection hidden="1"/>
    </xf>
    <xf numFmtId="37" fontId="4" fillId="3" borderId="36" xfId="1" applyNumberFormat="1" applyFont="1" applyFill="1" applyBorder="1" applyAlignment="1" applyProtection="1">
      <alignment horizontal="left"/>
      <protection hidden="1"/>
    </xf>
    <xf numFmtId="37" fontId="4" fillId="3" borderId="37" xfId="1" applyNumberFormat="1" applyFont="1" applyFill="1" applyBorder="1" applyAlignment="1" applyProtection="1">
      <alignment horizontal="left"/>
      <protection hidden="1"/>
    </xf>
    <xf numFmtId="0" fontId="16" fillId="6" borderId="2" xfId="0" quotePrefix="1" applyFont="1" applyFill="1" applyBorder="1" applyAlignment="1" applyProtection="1">
      <alignment horizontal="center" wrapText="1"/>
      <protection hidden="1"/>
    </xf>
    <xf numFmtId="0" fontId="16" fillId="6" borderId="3" xfId="0" quotePrefix="1" applyFont="1" applyFill="1" applyBorder="1" applyAlignment="1" applyProtection="1">
      <alignment horizontal="center" wrapText="1"/>
      <protection hidden="1"/>
    </xf>
    <xf numFmtId="0" fontId="16" fillId="6" borderId="4" xfId="0" quotePrefix="1" applyFont="1" applyFill="1" applyBorder="1" applyAlignment="1" applyProtection="1">
      <alignment horizontal="center" wrapText="1"/>
      <protection hidden="1"/>
    </xf>
    <xf numFmtId="0" fontId="16" fillId="6" borderId="5" xfId="0" quotePrefix="1" applyFont="1" applyFill="1" applyBorder="1" applyAlignment="1" applyProtection="1">
      <alignment horizontal="center" wrapText="1"/>
      <protection hidden="1"/>
    </xf>
    <xf numFmtId="0" fontId="16" fillId="6" borderId="0" xfId="0" quotePrefix="1" applyFont="1" applyFill="1" applyAlignment="1" applyProtection="1">
      <alignment horizontal="center" wrapText="1"/>
      <protection hidden="1"/>
    </xf>
    <xf numFmtId="0" fontId="16" fillId="6" borderId="6" xfId="0" quotePrefix="1" applyFont="1" applyFill="1" applyBorder="1" applyAlignment="1" applyProtection="1">
      <alignment horizontal="center" wrapText="1"/>
      <protection hidden="1"/>
    </xf>
    <xf numFmtId="0" fontId="7" fillId="6" borderId="5" xfId="0" quotePrefix="1" applyFont="1" applyFill="1" applyBorder="1" applyAlignment="1" applyProtection="1">
      <alignment horizontal="left" vertical="center"/>
      <protection hidden="1"/>
    </xf>
    <xf numFmtId="0" fontId="7" fillId="6" borderId="0" xfId="0" quotePrefix="1" applyFont="1" applyFill="1" applyAlignment="1" applyProtection="1">
      <alignment horizontal="left" vertical="center"/>
      <protection hidden="1"/>
    </xf>
    <xf numFmtId="0" fontId="7" fillId="6" borderId="18" xfId="0" quotePrefix="1" applyFont="1" applyFill="1" applyBorder="1" applyAlignment="1" applyProtection="1">
      <alignment horizontal="left" vertical="center"/>
      <protection hidden="1"/>
    </xf>
    <xf numFmtId="0" fontId="7" fillId="0" borderId="21"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7" fillId="0" borderId="24" xfId="0" applyFont="1" applyBorder="1" applyAlignment="1" applyProtection="1">
      <alignment horizontal="center" vertical="center" wrapText="1"/>
      <protection locked="0"/>
    </xf>
    <xf numFmtId="0" fontId="7" fillId="6" borderId="5" xfId="0" applyFont="1" applyFill="1" applyBorder="1" applyAlignment="1" applyProtection="1">
      <alignment horizontal="left" vertical="center"/>
      <protection hidden="1"/>
    </xf>
    <xf numFmtId="0" fontId="7" fillId="6" borderId="0" xfId="0" applyFont="1" applyFill="1" applyAlignment="1" applyProtection="1">
      <alignment horizontal="left" vertical="center"/>
      <protection hidden="1"/>
    </xf>
    <xf numFmtId="0" fontId="7" fillId="6" borderId="18" xfId="0" applyFont="1" applyFill="1" applyBorder="1" applyAlignment="1" applyProtection="1">
      <alignment horizontal="left" vertical="center"/>
      <protection hidden="1"/>
    </xf>
    <xf numFmtId="0" fontId="7" fillId="2" borderId="21" xfId="0" applyFont="1" applyFill="1" applyBorder="1" applyAlignment="1" applyProtection="1">
      <alignment horizontal="center" vertical="center"/>
      <protection locked="0"/>
    </xf>
    <xf numFmtId="0" fontId="7" fillId="2" borderId="26" xfId="0" applyFont="1" applyFill="1" applyBorder="1" applyAlignment="1" applyProtection="1">
      <alignment horizontal="center" vertical="center"/>
      <protection locked="0"/>
    </xf>
    <xf numFmtId="178" fontId="5" fillId="7" borderId="21" xfId="1" applyNumberFormat="1" applyFont="1" applyFill="1" applyBorder="1" applyAlignment="1" applyProtection="1">
      <alignment horizontal="right" vertical="center" wrapText="1" indent="2"/>
      <protection hidden="1"/>
    </xf>
    <xf numFmtId="178" fontId="5" fillId="7" borderId="1" xfId="1" applyNumberFormat="1" applyFont="1" applyFill="1" applyBorder="1" applyAlignment="1" applyProtection="1">
      <alignment horizontal="right" vertical="center" wrapText="1" indent="2"/>
      <protection hidden="1"/>
    </xf>
    <xf numFmtId="178" fontId="5" fillId="7" borderId="24" xfId="1" applyNumberFormat="1" applyFont="1" applyFill="1" applyBorder="1" applyAlignment="1" applyProtection="1">
      <alignment horizontal="right" vertical="center" wrapText="1" indent="2"/>
      <protection hidden="1"/>
    </xf>
    <xf numFmtId="0" fontId="7" fillId="6" borderId="5" xfId="0" quotePrefix="1" applyFont="1" applyFill="1" applyBorder="1" applyAlignment="1" applyProtection="1">
      <alignment horizontal="left" vertical="top" wrapText="1"/>
      <protection hidden="1"/>
    </xf>
    <xf numFmtId="0" fontId="7" fillId="6" borderId="0" xfId="0" quotePrefix="1" applyFont="1" applyFill="1" applyAlignment="1" applyProtection="1">
      <alignment horizontal="left" vertical="top" wrapText="1"/>
      <protection hidden="1"/>
    </xf>
    <xf numFmtId="0" fontId="7" fillId="6" borderId="18" xfId="0" quotePrefix="1" applyFont="1" applyFill="1" applyBorder="1" applyAlignment="1" applyProtection="1">
      <alignment horizontal="left" vertical="top" wrapText="1"/>
      <protection hidden="1"/>
    </xf>
    <xf numFmtId="0" fontId="7" fillId="0" borderId="15" xfId="0" applyFont="1" applyBorder="1" applyAlignment="1" applyProtection="1">
      <alignment horizontal="center" vertical="center"/>
      <protection locked="0"/>
    </xf>
    <xf numFmtId="0" fontId="7" fillId="0" borderId="16" xfId="0" applyFont="1" applyBorder="1" applyAlignment="1" applyProtection="1">
      <alignment horizontal="center" vertical="center"/>
      <protection locked="0"/>
    </xf>
    <xf numFmtId="0" fontId="7" fillId="0" borderId="23" xfId="0" applyFont="1" applyBorder="1" applyAlignment="1" applyProtection="1">
      <alignment horizontal="center" vertical="center"/>
      <protection locked="0"/>
    </xf>
    <xf numFmtId="0" fontId="7" fillId="0" borderId="19" xfId="0" applyFont="1" applyBorder="1" applyAlignment="1" applyProtection="1">
      <alignment horizontal="center" vertical="center"/>
      <protection locked="0"/>
    </xf>
    <xf numFmtId="0" fontId="7" fillId="0" borderId="14" xfId="0" applyFont="1" applyBorder="1" applyAlignment="1" applyProtection="1">
      <alignment horizontal="center" vertical="center"/>
      <protection locked="0"/>
    </xf>
    <xf numFmtId="0" fontId="7" fillId="0" borderId="22" xfId="0" applyFont="1" applyBorder="1" applyAlignment="1" applyProtection="1">
      <alignment horizontal="center" vertical="center"/>
      <protection locked="0"/>
    </xf>
    <xf numFmtId="0" fontId="7" fillId="6" borderId="5" xfId="0" quotePrefix="1" applyFont="1" applyFill="1" applyBorder="1" applyAlignment="1" applyProtection="1">
      <alignment horizontal="left" vertical="center" wrapText="1"/>
      <protection hidden="1"/>
    </xf>
    <xf numFmtId="0" fontId="7" fillId="6" borderId="0" xfId="0" quotePrefix="1" applyFont="1" applyFill="1" applyAlignment="1" applyProtection="1">
      <alignment horizontal="left" vertical="center" wrapText="1"/>
      <protection hidden="1"/>
    </xf>
    <xf numFmtId="0" fontId="7" fillId="6" borderId="18" xfId="0" quotePrefix="1" applyFont="1" applyFill="1" applyBorder="1" applyAlignment="1" applyProtection="1">
      <alignment horizontal="left" vertical="center" wrapText="1"/>
      <protection hidden="1"/>
    </xf>
    <xf numFmtId="0" fontId="7" fillId="0" borderId="26" xfId="0" applyFont="1" applyBorder="1" applyAlignment="1" applyProtection="1">
      <alignment horizontal="center" vertical="center" wrapText="1"/>
      <protection locked="0"/>
    </xf>
    <xf numFmtId="9" fontId="7" fillId="0" borderId="21" xfId="2" applyFont="1" applyBorder="1" applyAlignment="1" applyProtection="1">
      <alignment horizontal="center" vertical="center" wrapText="1"/>
      <protection locked="0"/>
    </xf>
    <xf numFmtId="9" fontId="7" fillId="0" borderId="26" xfId="2" applyFont="1" applyBorder="1" applyAlignment="1" applyProtection="1">
      <alignment horizontal="center" vertical="center" wrapText="1"/>
      <protection locked="0"/>
    </xf>
    <xf numFmtId="178" fontId="5" fillId="7" borderId="21" xfId="2" applyNumberFormat="1" applyFont="1" applyFill="1" applyBorder="1" applyAlignment="1" applyProtection="1">
      <alignment horizontal="center" vertical="center" wrapText="1"/>
      <protection hidden="1"/>
    </xf>
    <xf numFmtId="178" fontId="5" fillId="7" borderId="1" xfId="2" applyNumberFormat="1" applyFont="1" applyFill="1" applyBorder="1" applyAlignment="1" applyProtection="1">
      <alignment horizontal="center" vertical="center" wrapText="1"/>
      <protection hidden="1"/>
    </xf>
    <xf numFmtId="178" fontId="5" fillId="7" borderId="24" xfId="2" applyNumberFormat="1" applyFont="1" applyFill="1" applyBorder="1" applyAlignment="1" applyProtection="1">
      <alignment horizontal="center" vertical="center" wrapText="1"/>
      <protection hidden="1"/>
    </xf>
    <xf numFmtId="0" fontId="7" fillId="6" borderId="14" xfId="0" applyFont="1" applyFill="1" applyBorder="1" applyAlignment="1" applyProtection="1">
      <alignment horizontal="center"/>
      <protection hidden="1"/>
    </xf>
    <xf numFmtId="0" fontId="0" fillId="0" borderId="14" xfId="0" applyBorder="1" applyAlignment="1">
      <alignment horizontal="center"/>
    </xf>
    <xf numFmtId="0" fontId="0" fillId="0" borderId="22" xfId="0" applyBorder="1" applyAlignment="1">
      <alignment horizontal="center"/>
    </xf>
    <xf numFmtId="0" fontId="2" fillId="6" borderId="5" xfId="0" quotePrefix="1" applyFont="1" applyFill="1" applyBorder="1" applyAlignment="1" applyProtection="1">
      <alignment horizontal="left" vertical="center" wrapText="1"/>
      <protection hidden="1"/>
    </xf>
    <xf numFmtId="0" fontId="2" fillId="6" borderId="0" xfId="0" quotePrefix="1" applyFont="1" applyFill="1" applyAlignment="1" applyProtection="1">
      <alignment horizontal="left" vertical="center" wrapText="1"/>
      <protection hidden="1"/>
    </xf>
    <xf numFmtId="0" fontId="22" fillId="6" borderId="5" xfId="0" applyFont="1" applyFill="1" applyBorder="1" applyAlignment="1" applyProtection="1">
      <alignment horizontal="right"/>
      <protection hidden="1"/>
    </xf>
    <xf numFmtId="0" fontId="22" fillId="6" borderId="0" xfId="0" applyFont="1" applyFill="1" applyAlignment="1" applyProtection="1">
      <alignment horizontal="right"/>
      <protection hidden="1"/>
    </xf>
    <xf numFmtId="0" fontId="22" fillId="6" borderId="6" xfId="0" applyFont="1" applyFill="1" applyBorder="1" applyAlignment="1" applyProtection="1">
      <alignment horizontal="right"/>
      <protection hidden="1"/>
    </xf>
    <xf numFmtId="180" fontId="5" fillId="7" borderId="13" xfId="2" applyNumberFormat="1" applyFont="1" applyFill="1" applyBorder="1" applyAlignment="1" applyProtection="1">
      <alignment horizontal="right" vertical="center" wrapText="1"/>
      <protection hidden="1"/>
    </xf>
    <xf numFmtId="180" fontId="5" fillId="7" borderId="29" xfId="2" applyNumberFormat="1" applyFont="1" applyFill="1" applyBorder="1" applyAlignment="1" applyProtection="1">
      <alignment horizontal="right" vertical="center" wrapText="1"/>
      <protection hidden="1"/>
    </xf>
    <xf numFmtId="1" fontId="10" fillId="7" borderId="13" xfId="0" applyNumberFormat="1" applyFont="1" applyFill="1" applyBorder="1" applyAlignment="1" applyProtection="1">
      <alignment horizontal="right" vertical="center"/>
      <protection hidden="1"/>
    </xf>
    <xf numFmtId="1" fontId="10" fillId="7" borderId="29" xfId="0" applyNumberFormat="1" applyFont="1" applyFill="1" applyBorder="1" applyAlignment="1" applyProtection="1">
      <alignment horizontal="right" vertical="center"/>
      <protection hidden="1"/>
    </xf>
    <xf numFmtId="0" fontId="10" fillId="6" borderId="5" xfId="0" applyFont="1" applyFill="1" applyBorder="1" applyAlignment="1" applyProtection="1">
      <alignment vertical="center" wrapText="1"/>
      <protection hidden="1"/>
    </xf>
    <xf numFmtId="0" fontId="10" fillId="6" borderId="0" xfId="0" applyFont="1" applyFill="1" applyAlignment="1" applyProtection="1">
      <alignment vertical="center" wrapText="1"/>
      <protection hidden="1"/>
    </xf>
    <xf numFmtId="1" fontId="5" fillId="6" borderId="25" xfId="2" applyNumberFormat="1" applyFont="1" applyFill="1" applyBorder="1" applyAlignment="1" applyProtection="1">
      <alignment horizontal="right" vertical="center" wrapText="1"/>
      <protection hidden="1"/>
    </xf>
    <xf numFmtId="1" fontId="5" fillId="6" borderId="27" xfId="2" applyNumberFormat="1" applyFont="1" applyFill="1" applyBorder="1" applyAlignment="1" applyProtection="1">
      <alignment horizontal="right" vertical="center" wrapText="1"/>
      <protection hidden="1"/>
    </xf>
    <xf numFmtId="1" fontId="5" fillId="6" borderId="39" xfId="2" applyNumberFormat="1" applyFont="1" applyFill="1" applyBorder="1" applyAlignment="1" applyProtection="1">
      <alignment horizontal="right" vertical="center" wrapText="1"/>
      <protection hidden="1"/>
    </xf>
    <xf numFmtId="0" fontId="8" fillId="6" borderId="7" xfId="0" applyFont="1" applyFill="1" applyBorder="1" applyAlignment="1" applyProtection="1">
      <alignment vertical="center" wrapText="1"/>
      <protection hidden="1"/>
    </xf>
    <xf numFmtId="0" fontId="8" fillId="6" borderId="8" xfId="0" applyFont="1" applyFill="1" applyBorder="1" applyAlignment="1" applyProtection="1">
      <alignment vertical="center" wrapText="1"/>
      <protection hidden="1"/>
    </xf>
    <xf numFmtId="0" fontId="8" fillId="6" borderId="9" xfId="0" applyFont="1" applyFill="1" applyBorder="1" applyAlignment="1" applyProtection="1">
      <alignment vertical="center" wrapText="1"/>
      <protection hidden="1"/>
    </xf>
    <xf numFmtId="0" fontId="17" fillId="6" borderId="2" xfId="0" applyFont="1" applyFill="1" applyBorder="1" applyAlignment="1" applyProtection="1">
      <alignment horizontal="center" vertical="center" wrapText="1"/>
      <protection hidden="1"/>
    </xf>
    <xf numFmtId="0" fontId="17" fillId="6" borderId="3" xfId="0" applyFont="1" applyFill="1" applyBorder="1" applyAlignment="1" applyProtection="1">
      <alignment horizontal="center" vertical="center" wrapText="1"/>
      <protection hidden="1"/>
    </xf>
    <xf numFmtId="0" fontId="17" fillId="6" borderId="4" xfId="0" applyFont="1" applyFill="1" applyBorder="1" applyAlignment="1" applyProtection="1">
      <alignment horizontal="center" vertical="center" wrapText="1"/>
      <protection hidden="1"/>
    </xf>
    <xf numFmtId="0" fontId="17" fillId="6" borderId="5" xfId="0" applyFont="1" applyFill="1" applyBorder="1" applyAlignment="1" applyProtection="1">
      <alignment horizontal="center" vertical="center" wrapText="1"/>
      <protection hidden="1"/>
    </xf>
    <xf numFmtId="0" fontId="17" fillId="6" borderId="0" xfId="0" applyFont="1" applyFill="1" applyAlignment="1" applyProtection="1">
      <alignment horizontal="center" vertical="center" wrapText="1"/>
      <protection hidden="1"/>
    </xf>
    <xf numFmtId="0" fontId="17" fillId="6" borderId="6" xfId="0" applyFont="1" applyFill="1" applyBorder="1" applyAlignment="1" applyProtection="1">
      <alignment horizontal="center" vertical="center" wrapText="1"/>
      <protection hidden="1"/>
    </xf>
    <xf numFmtId="0" fontId="5" fillId="8" borderId="10" xfId="0" applyFont="1" applyFill="1" applyBorder="1" applyAlignment="1" applyProtection="1">
      <alignment horizontal="center"/>
      <protection hidden="1"/>
    </xf>
    <xf numFmtId="0" fontId="5" fillId="8" borderId="11" xfId="0" applyFont="1" applyFill="1" applyBorder="1" applyAlignment="1" applyProtection="1">
      <alignment horizontal="center"/>
      <protection hidden="1"/>
    </xf>
    <xf numFmtId="0" fontId="5" fillId="8" borderId="12" xfId="0" applyFont="1" applyFill="1" applyBorder="1" applyAlignment="1" applyProtection="1">
      <alignment horizontal="center"/>
      <protection hidden="1"/>
    </xf>
    <xf numFmtId="0" fontId="43" fillId="8" borderId="10" xfId="0" applyFont="1" applyFill="1" applyBorder="1" applyAlignment="1" applyProtection="1">
      <alignment horizontal="center"/>
      <protection hidden="1"/>
    </xf>
    <xf numFmtId="0" fontId="7" fillId="5" borderId="27" xfId="0" applyFont="1" applyFill="1" applyBorder="1" applyAlignment="1" applyProtection="1">
      <alignment horizontal="center"/>
      <protection hidden="1"/>
    </xf>
    <xf numFmtId="0" fontId="7" fillId="5" borderId="40" xfId="0" applyFont="1" applyFill="1" applyBorder="1" applyAlignment="1" applyProtection="1">
      <alignment horizontal="center"/>
      <protection hidden="1"/>
    </xf>
    <xf numFmtId="0" fontId="7" fillId="5" borderId="15" xfId="0" applyFont="1" applyFill="1" applyBorder="1" applyAlignment="1" applyProtection="1">
      <alignment horizontal="center" wrapText="1"/>
      <protection hidden="1"/>
    </xf>
    <xf numFmtId="0" fontId="7" fillId="5" borderId="25" xfId="0" applyFont="1" applyFill="1" applyBorder="1" applyAlignment="1" applyProtection="1">
      <alignment horizontal="center" wrapText="1"/>
      <protection hidden="1"/>
    </xf>
    <xf numFmtId="0" fontId="7" fillId="5" borderId="19" xfId="0" applyFont="1" applyFill="1" applyBorder="1" applyAlignment="1" applyProtection="1">
      <alignment horizontal="center" wrapText="1"/>
      <protection hidden="1"/>
    </xf>
    <xf numFmtId="0" fontId="7" fillId="5" borderId="20" xfId="0" applyFont="1" applyFill="1" applyBorder="1" applyAlignment="1" applyProtection="1">
      <alignment horizontal="center" wrapText="1"/>
      <protection hidden="1"/>
    </xf>
    <xf numFmtId="0" fontId="7" fillId="5" borderId="15" xfId="0" applyFont="1" applyFill="1" applyBorder="1" applyAlignment="1" applyProtection="1">
      <alignment horizontal="center"/>
      <protection hidden="1"/>
    </xf>
    <xf numFmtId="0" fontId="7" fillId="5" borderId="25" xfId="0" applyFont="1" applyFill="1" applyBorder="1" applyAlignment="1" applyProtection="1">
      <alignment horizontal="center"/>
      <protection hidden="1"/>
    </xf>
    <xf numFmtId="0" fontId="7" fillId="5" borderId="19" xfId="0" applyFont="1" applyFill="1" applyBorder="1" applyAlignment="1" applyProtection="1">
      <alignment horizontal="center"/>
      <protection hidden="1"/>
    </xf>
    <xf numFmtId="0" fontId="7" fillId="5" borderId="20" xfId="0" applyFont="1" applyFill="1" applyBorder="1" applyAlignment="1" applyProtection="1">
      <alignment horizontal="center"/>
      <protection hidden="1"/>
    </xf>
    <xf numFmtId="0" fontId="7" fillId="6" borderId="5" xfId="0" applyFont="1" applyFill="1" applyBorder="1" applyAlignment="1" applyProtection="1">
      <alignment horizontal="left"/>
      <protection hidden="1"/>
    </xf>
    <xf numFmtId="0" fontId="7" fillId="6" borderId="0" xfId="0" applyFont="1" applyFill="1" applyAlignment="1" applyProtection="1">
      <alignment horizontal="left"/>
      <protection hidden="1"/>
    </xf>
    <xf numFmtId="0" fontId="7" fillId="6" borderId="18" xfId="0" applyFont="1" applyFill="1" applyBorder="1" applyAlignment="1" applyProtection="1">
      <alignment horizontal="left"/>
      <protection hidden="1"/>
    </xf>
    <xf numFmtId="178" fontId="7" fillId="7" borderId="21" xfId="0" applyNumberFormat="1" applyFont="1" applyFill="1" applyBorder="1" applyAlignment="1" applyProtection="1">
      <alignment horizontal="center"/>
      <protection hidden="1"/>
    </xf>
    <xf numFmtId="178" fontId="7" fillId="7" borderId="24" xfId="0" applyNumberFormat="1" applyFont="1" applyFill="1" applyBorder="1" applyAlignment="1" applyProtection="1">
      <alignment horizontal="center"/>
      <protection hidden="1"/>
    </xf>
    <xf numFmtId="178" fontId="7" fillId="0" borderId="21" xfId="1" applyNumberFormat="1" applyFont="1" applyFill="1" applyBorder="1" applyAlignment="1" applyProtection="1">
      <alignment horizontal="center"/>
      <protection locked="0"/>
    </xf>
    <xf numFmtId="178" fontId="7" fillId="0" borderId="26" xfId="1" applyNumberFormat="1" applyFont="1" applyFill="1" applyBorder="1" applyAlignment="1" applyProtection="1">
      <alignment horizontal="center"/>
      <protection locked="0"/>
    </xf>
    <xf numFmtId="178" fontId="7" fillId="7" borderId="21" xfId="1" applyNumberFormat="1" applyFont="1" applyFill="1" applyBorder="1" applyAlignment="1" applyProtection="1">
      <alignment horizontal="center"/>
      <protection hidden="1"/>
    </xf>
    <xf numFmtId="178" fontId="7" fillId="7" borderId="26" xfId="1" applyNumberFormat="1" applyFont="1" applyFill="1" applyBorder="1" applyAlignment="1" applyProtection="1">
      <alignment horizontal="center"/>
      <protection hidden="1"/>
    </xf>
    <xf numFmtId="0" fontId="9" fillId="6" borderId="7" xfId="0" applyFont="1" applyFill="1" applyBorder="1" applyAlignment="1" applyProtection="1">
      <alignment horizontal="center"/>
      <protection hidden="1"/>
    </xf>
    <xf numFmtId="0" fontId="9" fillId="6" borderId="8" xfId="0" applyFont="1" applyFill="1" applyBorder="1" applyAlignment="1" applyProtection="1">
      <alignment horizontal="center"/>
      <protection hidden="1"/>
    </xf>
    <xf numFmtId="0" fontId="9" fillId="6" borderId="9" xfId="0" applyFont="1" applyFill="1" applyBorder="1" applyAlignment="1" applyProtection="1">
      <alignment horizontal="center"/>
      <protection hidden="1"/>
    </xf>
    <xf numFmtId="0" fontId="7" fillId="0" borderId="2" xfId="0" applyFont="1" applyBorder="1" applyAlignment="1" applyProtection="1">
      <alignment horizontal="left" vertical="top" wrapText="1"/>
      <protection locked="0"/>
    </xf>
    <xf numFmtId="0" fontId="7" fillId="0" borderId="3" xfId="0" applyFont="1" applyBorder="1" applyAlignment="1" applyProtection="1">
      <alignment horizontal="left" vertical="top" wrapText="1"/>
      <protection locked="0"/>
    </xf>
    <xf numFmtId="0" fontId="7" fillId="0" borderId="4" xfId="0" applyFont="1" applyBorder="1" applyAlignment="1" applyProtection="1">
      <alignment horizontal="left" vertical="top" wrapText="1"/>
      <protection locked="0"/>
    </xf>
    <xf numFmtId="0" fontId="7" fillId="0" borderId="5" xfId="0" applyFont="1" applyBorder="1" applyAlignment="1" applyProtection="1">
      <alignment horizontal="left" vertical="top" wrapText="1"/>
      <protection locked="0"/>
    </xf>
    <xf numFmtId="0" fontId="7" fillId="0" borderId="0" xfId="0" applyFont="1" applyAlignment="1" applyProtection="1">
      <alignment horizontal="left" vertical="top" wrapText="1"/>
      <protection locked="0"/>
    </xf>
    <xf numFmtId="0" fontId="7" fillId="0" borderId="6" xfId="0" applyFont="1" applyBorder="1" applyAlignment="1" applyProtection="1">
      <alignment horizontal="left" vertical="top" wrapText="1"/>
      <protection locked="0"/>
    </xf>
    <xf numFmtId="0" fontId="7" fillId="0" borderId="7" xfId="0" applyFont="1" applyBorder="1" applyAlignment="1" applyProtection="1">
      <alignment horizontal="left" vertical="top" wrapText="1"/>
      <protection locked="0"/>
    </xf>
    <xf numFmtId="0" fontId="7" fillId="0" borderId="8" xfId="0" applyFont="1" applyBorder="1" applyAlignment="1" applyProtection="1">
      <alignment horizontal="left" vertical="top" wrapText="1"/>
      <protection locked="0"/>
    </xf>
    <xf numFmtId="0" fontId="7" fillId="0" borderId="9" xfId="0" applyFont="1" applyBorder="1" applyAlignment="1" applyProtection="1">
      <alignment horizontal="left" vertical="top" wrapText="1"/>
      <protection locked="0"/>
    </xf>
    <xf numFmtId="0" fontId="7" fillId="6" borderId="5" xfId="0" quotePrefix="1" applyFont="1" applyFill="1" applyBorder="1" applyAlignment="1" applyProtection="1">
      <alignment wrapText="1"/>
      <protection hidden="1"/>
    </xf>
    <xf numFmtId="0" fontId="7" fillId="6" borderId="0" xfId="0" quotePrefix="1" applyFont="1" applyFill="1" applyAlignment="1" applyProtection="1">
      <alignment wrapText="1"/>
      <protection hidden="1"/>
    </xf>
    <xf numFmtId="0" fontId="7" fillId="6" borderId="5" xfId="0" applyFont="1" applyFill="1" applyBorder="1" applyAlignment="1" applyProtection="1">
      <alignment horizontal="center" vertical="center" wrapText="1"/>
      <protection hidden="1"/>
    </xf>
    <xf numFmtId="0" fontId="7" fillId="6" borderId="18" xfId="0" applyFont="1" applyFill="1" applyBorder="1" applyAlignment="1" applyProtection="1">
      <alignment horizontal="center" vertical="center" wrapText="1"/>
      <protection hidden="1"/>
    </xf>
    <xf numFmtId="178" fontId="7" fillId="7" borderId="15" xfId="0" applyNumberFormat="1" applyFont="1" applyFill="1" applyBorder="1" applyAlignment="1" applyProtection="1">
      <alignment horizontal="center" vertical="center" wrapText="1"/>
      <protection hidden="1"/>
    </xf>
    <xf numFmtId="178" fontId="7" fillId="7" borderId="25" xfId="0" applyNumberFormat="1" applyFont="1" applyFill="1" applyBorder="1" applyAlignment="1" applyProtection="1">
      <alignment horizontal="center" vertical="center" wrapText="1"/>
      <protection hidden="1"/>
    </xf>
    <xf numFmtId="178" fontId="7" fillId="7" borderId="17" xfId="0" applyNumberFormat="1" applyFont="1" applyFill="1" applyBorder="1" applyAlignment="1" applyProtection="1">
      <alignment horizontal="center" vertical="center" wrapText="1"/>
      <protection hidden="1"/>
    </xf>
    <xf numFmtId="178" fontId="7" fillId="7" borderId="18" xfId="0" applyNumberFormat="1" applyFont="1" applyFill="1" applyBorder="1" applyAlignment="1" applyProtection="1">
      <alignment horizontal="center" vertical="center" wrapText="1"/>
      <protection hidden="1"/>
    </xf>
    <xf numFmtId="178" fontId="7" fillId="7" borderId="19" xfId="0" applyNumberFormat="1" applyFont="1" applyFill="1" applyBorder="1" applyAlignment="1" applyProtection="1">
      <alignment horizontal="center" vertical="center" wrapText="1"/>
      <protection hidden="1"/>
    </xf>
    <xf numFmtId="178" fontId="7" fillId="7" borderId="20" xfId="0" applyNumberFormat="1" applyFont="1" applyFill="1" applyBorder="1" applyAlignment="1" applyProtection="1">
      <alignment horizontal="center" vertical="center" wrapText="1"/>
      <protection hidden="1"/>
    </xf>
    <xf numFmtId="0" fontId="7" fillId="6" borderId="17" xfId="0" applyFont="1" applyFill="1" applyBorder="1" applyAlignment="1" applyProtection="1">
      <alignment horizontal="center" vertical="center" wrapText="1"/>
      <protection hidden="1"/>
    </xf>
    <xf numFmtId="0" fontId="7" fillId="6" borderId="0" xfId="0" applyFont="1" applyFill="1" applyAlignment="1" applyProtection="1">
      <alignment horizontal="center" vertical="center" wrapText="1"/>
      <protection hidden="1"/>
    </xf>
    <xf numFmtId="0" fontId="7" fillId="6" borderId="6" xfId="0" applyFont="1" applyFill="1" applyBorder="1" applyAlignment="1" applyProtection="1">
      <alignment horizontal="center" vertical="center" wrapText="1"/>
      <protection hidden="1"/>
    </xf>
    <xf numFmtId="0" fontId="7" fillId="6" borderId="18" xfId="0" quotePrefix="1" applyFont="1" applyFill="1" applyBorder="1" applyAlignment="1" applyProtection="1">
      <alignment wrapText="1"/>
      <protection hidden="1"/>
    </xf>
    <xf numFmtId="0" fontId="23" fillId="7" borderId="2" xfId="0" applyFont="1" applyFill="1" applyBorder="1" applyAlignment="1" applyProtection="1">
      <alignment horizontal="center" vertical="center" wrapText="1"/>
      <protection hidden="1"/>
    </xf>
    <xf numFmtId="0" fontId="23" fillId="7" borderId="3" xfId="0" applyFont="1" applyFill="1" applyBorder="1" applyAlignment="1" applyProtection="1">
      <alignment horizontal="center" vertical="center" wrapText="1"/>
      <protection hidden="1"/>
    </xf>
    <xf numFmtId="0" fontId="23" fillId="7" borderId="4" xfId="0" applyFont="1" applyFill="1" applyBorder="1" applyAlignment="1" applyProtection="1">
      <alignment horizontal="center" vertical="center" wrapText="1"/>
      <protection hidden="1"/>
    </xf>
    <xf numFmtId="0" fontId="23" fillId="7" borderId="5" xfId="0" applyFont="1" applyFill="1" applyBorder="1" applyAlignment="1" applyProtection="1">
      <alignment horizontal="center" vertical="center" wrapText="1"/>
      <protection hidden="1"/>
    </xf>
    <xf numFmtId="0" fontId="23" fillId="7" borderId="0" xfId="0" applyFont="1" applyFill="1" applyAlignment="1" applyProtection="1">
      <alignment horizontal="center" vertical="center" wrapText="1"/>
      <protection hidden="1"/>
    </xf>
    <xf numFmtId="0" fontId="23" fillId="7" borderId="6" xfId="0" applyFont="1" applyFill="1" applyBorder="1" applyAlignment="1" applyProtection="1">
      <alignment horizontal="center" vertical="center" wrapText="1"/>
      <protection hidden="1"/>
    </xf>
    <xf numFmtId="0" fontId="23" fillId="7" borderId="7" xfId="0" applyFont="1" applyFill="1" applyBorder="1" applyAlignment="1" applyProtection="1">
      <alignment horizontal="center" vertical="center" wrapText="1"/>
      <protection hidden="1"/>
    </xf>
    <xf numFmtId="0" fontId="23" fillId="7" borderId="8" xfId="0" applyFont="1" applyFill="1" applyBorder="1" applyAlignment="1" applyProtection="1">
      <alignment horizontal="center" vertical="center" wrapText="1"/>
      <protection hidden="1"/>
    </xf>
    <xf numFmtId="0" fontId="23" fillId="7" borderId="9" xfId="0" applyFont="1" applyFill="1" applyBorder="1" applyAlignment="1" applyProtection="1">
      <alignment horizontal="center" vertical="center" wrapText="1"/>
      <protection hidden="1"/>
    </xf>
    <xf numFmtId="0" fontId="2" fillId="6" borderId="5" xfId="0" quotePrefix="1" applyFont="1" applyFill="1" applyBorder="1" applyAlignment="1" applyProtection="1">
      <alignment vertical="center" wrapText="1"/>
      <protection hidden="1"/>
    </xf>
    <xf numFmtId="0" fontId="2" fillId="6" borderId="0" xfId="0" quotePrefix="1" applyFont="1" applyFill="1" applyAlignment="1" applyProtection="1">
      <alignment vertical="center" wrapText="1"/>
      <protection hidden="1"/>
    </xf>
    <xf numFmtId="178" fontId="5" fillId="7" borderId="21" xfId="0" applyNumberFormat="1" applyFont="1" applyFill="1" applyBorder="1" applyAlignment="1" applyProtection="1">
      <alignment horizontal="right"/>
      <protection hidden="1"/>
    </xf>
    <xf numFmtId="178" fontId="5" fillId="7" borderId="1" xfId="0" applyNumberFormat="1" applyFont="1" applyFill="1" applyBorder="1" applyAlignment="1" applyProtection="1">
      <alignment horizontal="right"/>
      <protection hidden="1"/>
    </xf>
    <xf numFmtId="178" fontId="5" fillId="7" borderId="24" xfId="0" applyNumberFormat="1" applyFont="1" applyFill="1" applyBorder="1" applyAlignment="1" applyProtection="1">
      <alignment horizontal="right"/>
      <protection hidden="1"/>
    </xf>
    <xf numFmtId="0" fontId="25" fillId="7" borderId="2" xfId="0" applyFont="1" applyFill="1" applyBorder="1" applyAlignment="1" applyProtection="1">
      <alignment horizontal="center" vertical="center" wrapText="1"/>
      <protection hidden="1"/>
    </xf>
    <xf numFmtId="0" fontId="25" fillId="7" borderId="3" xfId="0" applyFont="1" applyFill="1" applyBorder="1" applyAlignment="1" applyProtection="1">
      <alignment horizontal="center" vertical="center" wrapText="1"/>
      <protection hidden="1"/>
    </xf>
    <xf numFmtId="0" fontId="25" fillId="7" borderId="4" xfId="0" applyFont="1" applyFill="1" applyBorder="1" applyAlignment="1" applyProtection="1">
      <alignment horizontal="center" vertical="center" wrapText="1"/>
      <protection hidden="1"/>
    </xf>
    <xf numFmtId="0" fontId="25" fillId="7" borderId="5" xfId="0" applyFont="1" applyFill="1" applyBorder="1" applyAlignment="1" applyProtection="1">
      <alignment horizontal="center" vertical="center" wrapText="1"/>
      <protection hidden="1"/>
    </xf>
    <xf numFmtId="0" fontId="25" fillId="7" borderId="0" xfId="0" applyFont="1" applyFill="1" applyAlignment="1" applyProtection="1">
      <alignment horizontal="center" vertical="center" wrapText="1"/>
      <protection hidden="1"/>
    </xf>
    <xf numFmtId="0" fontId="25" fillId="7" borderId="6" xfId="0" applyFont="1" applyFill="1" applyBorder="1" applyAlignment="1" applyProtection="1">
      <alignment horizontal="center" vertical="center" wrapText="1"/>
      <protection hidden="1"/>
    </xf>
    <xf numFmtId="0" fontId="9" fillId="6" borderId="0" xfId="0" applyFont="1" applyFill="1" applyAlignment="1" applyProtection="1">
      <alignment horizontal="center" vertical="top" wrapText="1"/>
      <protection hidden="1"/>
    </xf>
    <xf numFmtId="0" fontId="9" fillId="6" borderId="6" xfId="0" applyFont="1" applyFill="1" applyBorder="1" applyAlignment="1" applyProtection="1">
      <alignment horizontal="center" vertical="top" wrapText="1"/>
      <protection hidden="1"/>
    </xf>
    <xf numFmtId="0" fontId="9" fillId="6" borderId="8" xfId="0" applyFont="1" applyFill="1" applyBorder="1" applyAlignment="1" applyProtection="1">
      <alignment horizontal="center" vertical="top" wrapText="1"/>
      <protection hidden="1"/>
    </xf>
    <xf numFmtId="0" fontId="9" fillId="6" borderId="9" xfId="0" applyFont="1" applyFill="1" applyBorder="1" applyAlignment="1" applyProtection="1">
      <alignment horizontal="center" vertical="top" wrapText="1"/>
      <protection hidden="1"/>
    </xf>
    <xf numFmtId="0" fontId="25" fillId="7" borderId="7" xfId="0" applyFont="1" applyFill="1" applyBorder="1" applyAlignment="1" applyProtection="1">
      <alignment horizontal="center" vertical="center" wrapText="1"/>
      <protection hidden="1"/>
    </xf>
    <xf numFmtId="0" fontId="25" fillId="7" borderId="8" xfId="0" applyFont="1" applyFill="1" applyBorder="1" applyAlignment="1" applyProtection="1">
      <alignment horizontal="center" vertical="center" wrapText="1"/>
      <protection hidden="1"/>
    </xf>
    <xf numFmtId="0" fontId="25" fillId="7" borderId="9" xfId="0" applyFont="1" applyFill="1" applyBorder="1" applyAlignment="1" applyProtection="1">
      <alignment horizontal="center" vertical="center" wrapText="1"/>
      <protection hidden="1"/>
    </xf>
    <xf numFmtId="179" fontId="7" fillId="7" borderId="21" xfId="1" applyNumberFormat="1" applyFont="1" applyFill="1" applyBorder="1" applyAlignment="1" applyProtection="1">
      <alignment horizontal="center"/>
      <protection hidden="1"/>
    </xf>
    <xf numFmtId="179" fontId="7" fillId="7" borderId="1" xfId="1" applyNumberFormat="1" applyFont="1" applyFill="1" applyBorder="1" applyAlignment="1" applyProtection="1">
      <alignment horizontal="center"/>
      <protection hidden="1"/>
    </xf>
    <xf numFmtId="179" fontId="7" fillId="7" borderId="26" xfId="1" applyNumberFormat="1" applyFont="1" applyFill="1" applyBorder="1" applyAlignment="1" applyProtection="1">
      <alignment horizontal="center"/>
      <protection hidden="1"/>
    </xf>
    <xf numFmtId="178" fontId="7" fillId="7" borderId="1" xfId="1" applyNumberFormat="1" applyFont="1" applyFill="1" applyBorder="1" applyAlignment="1" applyProtection="1">
      <alignment horizontal="center"/>
      <protection hidden="1"/>
    </xf>
    <xf numFmtId="178" fontId="7" fillId="7" borderId="24" xfId="1" applyNumberFormat="1" applyFont="1" applyFill="1" applyBorder="1" applyAlignment="1" applyProtection="1">
      <alignment horizontal="center"/>
      <protection hidden="1"/>
    </xf>
    <xf numFmtId="178" fontId="7" fillId="7" borderId="21" xfId="3" applyNumberFormat="1" applyFont="1" applyFill="1" applyBorder="1" applyAlignment="1" applyProtection="1">
      <alignment horizontal="center"/>
      <protection hidden="1"/>
    </xf>
    <xf numFmtId="178" fontId="7" fillId="7" borderId="26" xfId="3" applyNumberFormat="1" applyFont="1" applyFill="1" applyBorder="1" applyAlignment="1" applyProtection="1">
      <alignment horizontal="center"/>
      <protection hidden="1"/>
    </xf>
    <xf numFmtId="9" fontId="7" fillId="7" borderId="21" xfId="2" applyFont="1" applyFill="1" applyBorder="1" applyAlignment="1" applyProtection="1">
      <alignment horizontal="center"/>
      <protection hidden="1"/>
    </xf>
    <xf numFmtId="9" fontId="7" fillId="7" borderId="26" xfId="2" applyFont="1" applyFill="1" applyBorder="1" applyAlignment="1" applyProtection="1">
      <alignment horizontal="center"/>
      <protection hidden="1"/>
    </xf>
    <xf numFmtId="178" fontId="7" fillId="7" borderId="17" xfId="3" applyNumberFormat="1" applyFont="1" applyFill="1" applyBorder="1" applyAlignment="1" applyProtection="1">
      <alignment horizontal="center"/>
      <protection hidden="1"/>
    </xf>
    <xf numFmtId="178" fontId="7" fillId="7" borderId="18" xfId="3" applyNumberFormat="1" applyFont="1" applyFill="1" applyBorder="1" applyAlignment="1" applyProtection="1">
      <alignment horizontal="center"/>
      <protection hidden="1"/>
    </xf>
    <xf numFmtId="9" fontId="7" fillId="7" borderId="17" xfId="2" applyFont="1" applyFill="1" applyBorder="1" applyAlignment="1" applyProtection="1">
      <alignment horizontal="center"/>
      <protection hidden="1"/>
    </xf>
    <xf numFmtId="9" fontId="7" fillId="7" borderId="18" xfId="2" applyFont="1" applyFill="1" applyBorder="1" applyAlignment="1" applyProtection="1">
      <alignment horizontal="center"/>
      <protection hidden="1"/>
    </xf>
    <xf numFmtId="0" fontId="7" fillId="6" borderId="16" xfId="0" applyFont="1" applyFill="1" applyBorder="1" applyAlignment="1" applyProtection="1">
      <alignment horizontal="right"/>
      <protection hidden="1"/>
    </xf>
    <xf numFmtId="0" fontId="7" fillId="6" borderId="0" xfId="0" applyFont="1" applyFill="1" applyAlignment="1" applyProtection="1">
      <alignment horizontal="right"/>
      <protection hidden="1"/>
    </xf>
    <xf numFmtId="178" fontId="7" fillId="7" borderId="19" xfId="0" applyNumberFormat="1" applyFont="1" applyFill="1" applyBorder="1" applyAlignment="1" applyProtection="1">
      <alignment horizontal="center"/>
      <protection hidden="1"/>
    </xf>
    <xf numFmtId="178" fontId="7" fillId="7" borderId="20" xfId="0" applyNumberFormat="1" applyFont="1" applyFill="1" applyBorder="1" applyAlignment="1" applyProtection="1">
      <alignment horizontal="center"/>
      <protection hidden="1"/>
    </xf>
    <xf numFmtId="178" fontId="7" fillId="7" borderId="1" xfId="0" applyNumberFormat="1" applyFont="1" applyFill="1" applyBorder="1" applyAlignment="1" applyProtection="1">
      <alignment horizontal="center"/>
      <protection hidden="1"/>
    </xf>
    <xf numFmtId="178" fontId="7" fillId="7" borderId="19" xfId="3" applyNumberFormat="1" applyFont="1" applyFill="1" applyBorder="1" applyAlignment="1" applyProtection="1">
      <alignment horizontal="center"/>
      <protection hidden="1"/>
    </xf>
    <xf numFmtId="178" fontId="7" fillId="7" borderId="20" xfId="3" applyNumberFormat="1" applyFont="1" applyFill="1" applyBorder="1" applyAlignment="1" applyProtection="1">
      <alignment horizontal="center"/>
      <protection hidden="1"/>
    </xf>
    <xf numFmtId="9" fontId="7" fillId="7" borderId="19" xfId="2" applyFont="1" applyFill="1" applyBorder="1" applyAlignment="1" applyProtection="1">
      <alignment horizontal="center"/>
      <protection hidden="1"/>
    </xf>
    <xf numFmtId="9" fontId="7" fillId="7" borderId="20" xfId="2" applyFont="1" applyFill="1" applyBorder="1" applyAlignment="1" applyProtection="1">
      <alignment horizontal="center"/>
      <protection hidden="1"/>
    </xf>
    <xf numFmtId="178" fontId="7" fillId="7" borderId="1" xfId="3" applyNumberFormat="1" applyFont="1" applyFill="1" applyBorder="1" applyAlignment="1" applyProtection="1">
      <alignment horizontal="center"/>
      <protection hidden="1"/>
    </xf>
    <xf numFmtId="178" fontId="7" fillId="7" borderId="15" xfId="3" applyNumberFormat="1" applyFont="1" applyFill="1" applyBorder="1" applyAlignment="1" applyProtection="1">
      <alignment horizontal="center"/>
      <protection hidden="1"/>
    </xf>
    <xf numFmtId="178" fontId="7" fillId="7" borderId="25" xfId="3" applyNumberFormat="1" applyFont="1" applyFill="1" applyBorder="1" applyAlignment="1" applyProtection="1">
      <alignment horizontal="center"/>
      <protection hidden="1"/>
    </xf>
    <xf numFmtId="9" fontId="7" fillId="7" borderId="15" xfId="2" applyFont="1" applyFill="1" applyBorder="1" applyAlignment="1" applyProtection="1">
      <alignment horizontal="center"/>
      <protection hidden="1"/>
    </xf>
    <xf numFmtId="9" fontId="7" fillId="7" borderId="25" xfId="2" applyFont="1" applyFill="1" applyBorder="1" applyAlignment="1" applyProtection="1">
      <alignment horizontal="center"/>
      <protection hidden="1"/>
    </xf>
    <xf numFmtId="178" fontId="5" fillId="7" borderId="15" xfId="0" applyNumberFormat="1" applyFont="1" applyFill="1" applyBorder="1" applyAlignment="1" applyProtection="1">
      <alignment horizontal="center" vertical="center" wrapText="1"/>
      <protection hidden="1"/>
    </xf>
    <xf numFmtId="178" fontId="5" fillId="7" borderId="23" xfId="0" applyNumberFormat="1" applyFont="1" applyFill="1" applyBorder="1" applyAlignment="1" applyProtection="1">
      <alignment horizontal="center" vertical="center" wrapText="1"/>
      <protection hidden="1"/>
    </xf>
    <xf numFmtId="178" fontId="5" fillId="7" borderId="17" xfId="0" applyNumberFormat="1" applyFont="1" applyFill="1" applyBorder="1" applyAlignment="1" applyProtection="1">
      <alignment horizontal="center" vertical="center" wrapText="1"/>
      <protection hidden="1"/>
    </xf>
    <xf numFmtId="178" fontId="5" fillId="7" borderId="6" xfId="0" applyNumberFormat="1" applyFont="1" applyFill="1" applyBorder="1" applyAlignment="1" applyProtection="1">
      <alignment horizontal="center" vertical="center" wrapText="1"/>
      <protection hidden="1"/>
    </xf>
    <xf numFmtId="178" fontId="5" fillId="7" borderId="19" xfId="0" applyNumberFormat="1" applyFont="1" applyFill="1" applyBorder="1" applyAlignment="1" applyProtection="1">
      <alignment horizontal="center" vertical="center" wrapText="1"/>
      <protection hidden="1"/>
    </xf>
    <xf numFmtId="178" fontId="5" fillId="7" borderId="22" xfId="0" applyNumberFormat="1" applyFont="1" applyFill="1" applyBorder="1" applyAlignment="1" applyProtection="1">
      <alignment horizontal="center" vertical="center" wrapText="1"/>
      <protection hidden="1"/>
    </xf>
    <xf numFmtId="178" fontId="5" fillId="7" borderId="21" xfId="0" applyNumberFormat="1" applyFont="1" applyFill="1" applyBorder="1" applyAlignment="1" applyProtection="1">
      <alignment horizontal="center"/>
      <protection hidden="1"/>
    </xf>
    <xf numFmtId="178" fontId="5" fillId="7" borderId="24" xfId="0" applyNumberFormat="1" applyFont="1" applyFill="1" applyBorder="1" applyAlignment="1" applyProtection="1">
      <alignment horizontal="center"/>
      <protection hidden="1"/>
    </xf>
    <xf numFmtId="9" fontId="5" fillId="7" borderId="15" xfId="0" applyNumberFormat="1" applyFont="1" applyFill="1" applyBorder="1" applyAlignment="1" applyProtection="1">
      <alignment horizontal="center" vertical="center" wrapText="1"/>
      <protection hidden="1"/>
    </xf>
    <xf numFmtId="9" fontId="5" fillId="7" borderId="25" xfId="0" applyNumberFormat="1" applyFont="1" applyFill="1" applyBorder="1" applyAlignment="1" applyProtection="1">
      <alignment horizontal="center" vertical="center" wrapText="1"/>
      <protection hidden="1"/>
    </xf>
    <xf numFmtId="9" fontId="5" fillId="7" borderId="17" xfId="0" applyNumberFormat="1" applyFont="1" applyFill="1" applyBorder="1" applyAlignment="1" applyProtection="1">
      <alignment horizontal="center" vertical="center" wrapText="1"/>
      <protection hidden="1"/>
    </xf>
    <xf numFmtId="9" fontId="5" fillId="7" borderId="18" xfId="0" applyNumberFormat="1" applyFont="1" applyFill="1" applyBorder="1" applyAlignment="1" applyProtection="1">
      <alignment horizontal="center" vertical="center" wrapText="1"/>
      <protection hidden="1"/>
    </xf>
    <xf numFmtId="9" fontId="5" fillId="7" borderId="19" xfId="0" applyNumberFormat="1" applyFont="1" applyFill="1" applyBorder="1" applyAlignment="1" applyProtection="1">
      <alignment horizontal="center" vertical="center" wrapText="1"/>
      <protection hidden="1"/>
    </xf>
    <xf numFmtId="9" fontId="5" fillId="7" borderId="20" xfId="0" applyNumberFormat="1" applyFont="1" applyFill="1" applyBorder="1" applyAlignment="1" applyProtection="1">
      <alignment horizontal="center" vertical="center" wrapText="1"/>
      <protection hidden="1"/>
    </xf>
    <xf numFmtId="0" fontId="7" fillId="6" borderId="17" xfId="0" applyFont="1" applyFill="1" applyBorder="1" applyAlignment="1" applyProtection="1">
      <alignment horizontal="center" wrapText="1"/>
      <protection hidden="1"/>
    </xf>
    <xf numFmtId="0" fontId="7" fillId="6" borderId="0" xfId="0" applyFont="1" applyFill="1" applyAlignment="1" applyProtection="1">
      <alignment horizontal="center" wrapText="1"/>
      <protection hidden="1"/>
    </xf>
    <xf numFmtId="0" fontId="7" fillId="6" borderId="18" xfId="0" applyFont="1" applyFill="1" applyBorder="1" applyAlignment="1" applyProtection="1">
      <alignment horizontal="center" wrapText="1"/>
      <protection hidden="1"/>
    </xf>
    <xf numFmtId="0" fontId="7" fillId="6" borderId="5" xfId="0" applyFont="1" applyFill="1" applyBorder="1" applyAlignment="1" applyProtection="1">
      <alignment horizontal="left" wrapText="1"/>
      <protection hidden="1"/>
    </xf>
    <xf numFmtId="0" fontId="7" fillId="6" borderId="0" xfId="0" applyFont="1" applyFill="1" applyAlignment="1" applyProtection="1">
      <alignment horizontal="left" wrapText="1"/>
      <protection hidden="1"/>
    </xf>
    <xf numFmtId="0" fontId="7" fillId="6" borderId="18" xfId="0" applyFont="1" applyFill="1" applyBorder="1" applyAlignment="1" applyProtection="1">
      <alignment horizontal="left" wrapText="1"/>
      <protection hidden="1"/>
    </xf>
    <xf numFmtId="178" fontId="5" fillId="7" borderId="15" xfId="0" applyNumberFormat="1" applyFont="1" applyFill="1" applyBorder="1" applyAlignment="1" applyProtection="1">
      <alignment horizontal="center" vertical="center"/>
      <protection hidden="1"/>
    </xf>
    <xf numFmtId="178" fontId="5" fillId="7" borderId="23" xfId="0" applyNumberFormat="1" applyFont="1" applyFill="1" applyBorder="1" applyAlignment="1" applyProtection="1">
      <alignment horizontal="center" vertical="center"/>
      <protection hidden="1"/>
    </xf>
    <xf numFmtId="178" fontId="5" fillId="7" borderId="17" xfId="0" applyNumberFormat="1" applyFont="1" applyFill="1" applyBorder="1" applyAlignment="1" applyProtection="1">
      <alignment horizontal="center" vertical="center"/>
      <protection hidden="1"/>
    </xf>
    <xf numFmtId="178" fontId="5" fillId="7" borderId="6" xfId="0" applyNumberFormat="1" applyFont="1" applyFill="1" applyBorder="1" applyAlignment="1" applyProtection="1">
      <alignment horizontal="center" vertical="center"/>
      <protection hidden="1"/>
    </xf>
    <xf numFmtId="178" fontId="5" fillId="7" borderId="19" xfId="0" applyNumberFormat="1" applyFont="1" applyFill="1" applyBorder="1" applyAlignment="1" applyProtection="1">
      <alignment horizontal="center" vertical="center"/>
      <protection hidden="1"/>
    </xf>
    <xf numFmtId="178" fontId="5" fillId="7" borderId="22" xfId="0" applyNumberFormat="1" applyFont="1" applyFill="1" applyBorder="1" applyAlignment="1" applyProtection="1">
      <alignment horizontal="center" vertical="center"/>
      <protection hidden="1"/>
    </xf>
    <xf numFmtId="0" fontId="7" fillId="5" borderId="24" xfId="0" applyFont="1" applyFill="1" applyBorder="1" applyAlignment="1" applyProtection="1">
      <alignment horizontal="center"/>
      <protection hidden="1"/>
    </xf>
    <xf numFmtId="0" fontId="7" fillId="5" borderId="21" xfId="0" applyFont="1" applyFill="1" applyBorder="1" applyAlignment="1" applyProtection="1">
      <alignment horizontal="center" wrapText="1"/>
      <protection hidden="1"/>
    </xf>
    <xf numFmtId="0" fontId="7" fillId="5" borderId="1" xfId="0" applyFont="1" applyFill="1" applyBorder="1" applyAlignment="1" applyProtection="1">
      <alignment horizontal="center" wrapText="1"/>
      <protection hidden="1"/>
    </xf>
    <xf numFmtId="0" fontId="7" fillId="5" borderId="26" xfId="0" applyFont="1" applyFill="1" applyBorder="1" applyAlignment="1" applyProtection="1">
      <alignment horizontal="center" wrapText="1"/>
      <protection hidden="1"/>
    </xf>
    <xf numFmtId="0" fontId="7" fillId="5" borderId="24" xfId="0" applyFont="1" applyFill="1" applyBorder="1" applyAlignment="1" applyProtection="1">
      <alignment horizontal="center" wrapText="1"/>
      <protection hidden="1"/>
    </xf>
    <xf numFmtId="0" fontId="7" fillId="0" borderId="0" xfId="0" applyFont="1" applyAlignment="1" applyProtection="1">
      <alignment horizontal="center" wrapText="1"/>
      <protection hidden="1"/>
    </xf>
    <xf numFmtId="0" fontId="7" fillId="0" borderId="14" xfId="0" applyFont="1" applyBorder="1" applyAlignment="1" applyProtection="1">
      <alignment horizontal="center" wrapText="1"/>
      <protection hidden="1"/>
    </xf>
    <xf numFmtId="0" fontId="7" fillId="6" borderId="28" xfId="0" applyFont="1" applyFill="1" applyBorder="1" applyAlignment="1" applyProtection="1">
      <alignment horizontal="center"/>
      <protection hidden="1"/>
    </xf>
    <xf numFmtId="0" fontId="7" fillId="6" borderId="3" xfId="0" applyFont="1" applyFill="1" applyBorder="1" applyAlignment="1" applyProtection="1">
      <alignment horizontal="center"/>
      <protection hidden="1"/>
    </xf>
    <xf numFmtId="0" fontId="20" fillId="5" borderId="15" xfId="0" applyFont="1" applyFill="1" applyBorder="1" applyAlignment="1" applyProtection="1">
      <alignment horizontal="center" vertical="top" wrapText="1"/>
      <protection hidden="1"/>
    </xf>
    <xf numFmtId="0" fontId="20" fillId="5" borderId="16" xfId="0" applyFont="1" applyFill="1" applyBorder="1" applyAlignment="1" applyProtection="1">
      <alignment horizontal="center" vertical="top" wrapText="1"/>
      <protection hidden="1"/>
    </xf>
    <xf numFmtId="0" fontId="20" fillId="5" borderId="19" xfId="0" applyFont="1" applyFill="1" applyBorder="1" applyAlignment="1" applyProtection="1">
      <alignment horizontal="center" vertical="top" wrapText="1"/>
      <protection hidden="1"/>
    </xf>
    <xf numFmtId="0" fontId="20" fillId="5" borderId="14" xfId="0" applyFont="1" applyFill="1" applyBorder="1" applyAlignment="1" applyProtection="1">
      <alignment horizontal="center" vertical="top" wrapText="1"/>
      <protection hidden="1"/>
    </xf>
    <xf numFmtId="0" fontId="7" fillId="5" borderId="16" xfId="0" applyFont="1" applyFill="1" applyBorder="1" applyAlignment="1" applyProtection="1">
      <alignment horizontal="center" vertical="top" wrapText="1"/>
      <protection hidden="1"/>
    </xf>
    <xf numFmtId="0" fontId="7" fillId="5" borderId="25" xfId="0" applyFont="1" applyFill="1" applyBorder="1" applyAlignment="1" applyProtection="1">
      <alignment horizontal="center" vertical="top" wrapText="1"/>
      <protection hidden="1"/>
    </xf>
    <xf numFmtId="0" fontId="7" fillId="5" borderId="14" xfId="0" applyFont="1" applyFill="1" applyBorder="1" applyAlignment="1" applyProtection="1">
      <alignment horizontal="center" vertical="top" wrapText="1"/>
      <protection hidden="1"/>
    </xf>
    <xf numFmtId="0" fontId="7" fillId="5" borderId="20" xfId="0" applyFont="1" applyFill="1" applyBorder="1" applyAlignment="1" applyProtection="1">
      <alignment horizontal="center" vertical="top" wrapText="1"/>
      <protection hidden="1"/>
    </xf>
    <xf numFmtId="0" fontId="7" fillId="5" borderId="27" xfId="0" applyFont="1" applyFill="1" applyBorder="1" applyAlignment="1" applyProtection="1">
      <alignment horizontal="center" wrapText="1"/>
      <protection hidden="1"/>
    </xf>
    <xf numFmtId="0" fontId="7" fillId="5" borderId="40" xfId="0" applyFont="1" applyFill="1" applyBorder="1" applyAlignment="1" applyProtection="1">
      <alignment horizontal="center" wrapText="1"/>
      <protection hidden="1"/>
    </xf>
    <xf numFmtId="1" fontId="10" fillId="7" borderId="21" xfId="0" applyNumberFormat="1" applyFont="1" applyFill="1" applyBorder="1" applyAlignment="1" applyProtection="1">
      <alignment horizontal="right" vertical="center"/>
      <protection hidden="1"/>
    </xf>
    <xf numFmtId="1" fontId="10" fillId="7" borderId="1" xfId="0" applyNumberFormat="1" applyFont="1" applyFill="1" applyBorder="1" applyAlignment="1" applyProtection="1">
      <alignment horizontal="right" vertical="center"/>
      <protection hidden="1"/>
    </xf>
    <xf numFmtId="1" fontId="10" fillId="7" borderId="24" xfId="0" applyNumberFormat="1" applyFont="1" applyFill="1" applyBorder="1" applyAlignment="1" applyProtection="1">
      <alignment horizontal="right" vertical="center"/>
      <protection hidden="1"/>
    </xf>
    <xf numFmtId="0" fontId="7" fillId="0" borderId="15" xfId="0" applyFont="1" applyBorder="1" applyAlignment="1" applyProtection="1">
      <alignment horizontal="center" vertical="center" wrapText="1"/>
      <protection locked="0"/>
    </xf>
    <xf numFmtId="0" fontId="7" fillId="0" borderId="16" xfId="0" applyFont="1" applyBorder="1" applyAlignment="1" applyProtection="1">
      <alignment horizontal="center" vertical="center" wrapText="1"/>
      <protection locked="0"/>
    </xf>
    <xf numFmtId="0" fontId="7" fillId="0" borderId="23" xfId="0" applyFont="1" applyBorder="1" applyAlignment="1" applyProtection="1">
      <alignment horizontal="center" vertical="center" wrapText="1"/>
      <protection locked="0"/>
    </xf>
    <xf numFmtId="0" fontId="7" fillId="0" borderId="19" xfId="0" applyFont="1" applyBorder="1" applyAlignment="1" applyProtection="1">
      <alignment horizontal="center" vertical="center" wrapText="1"/>
      <protection locked="0"/>
    </xf>
    <xf numFmtId="0" fontId="7" fillId="0" borderId="14" xfId="0" applyFont="1" applyBorder="1" applyAlignment="1" applyProtection="1">
      <alignment horizontal="center" vertical="center" wrapText="1"/>
      <protection locked="0"/>
    </xf>
    <xf numFmtId="0" fontId="7" fillId="0" borderId="22" xfId="0" applyFont="1" applyBorder="1" applyAlignment="1" applyProtection="1">
      <alignment horizontal="center" vertical="center" wrapText="1"/>
      <protection locked="0"/>
    </xf>
    <xf numFmtId="0" fontId="2" fillId="6" borderId="8" xfId="0" applyFont="1" applyFill="1" applyBorder="1" applyAlignment="1" applyProtection="1">
      <alignment horizontal="center"/>
      <protection hidden="1"/>
    </xf>
    <xf numFmtId="0" fontId="2" fillId="6" borderId="9" xfId="0" applyFont="1" applyFill="1" applyBorder="1" applyAlignment="1" applyProtection="1">
      <alignment horizontal="center"/>
      <protection hidden="1"/>
    </xf>
    <xf numFmtId="0" fontId="7" fillId="6" borderId="5" xfId="0" quotePrefix="1" applyFont="1" applyFill="1" applyBorder="1" applyAlignment="1" applyProtection="1">
      <alignment vertical="center"/>
      <protection hidden="1"/>
    </xf>
    <xf numFmtId="0" fontId="7" fillId="6" borderId="0" xfId="0" quotePrefix="1" applyFont="1" applyFill="1" applyAlignment="1" applyProtection="1">
      <alignment vertical="center"/>
      <protection hidden="1"/>
    </xf>
    <xf numFmtId="0" fontId="7" fillId="6" borderId="18" xfId="0" quotePrefix="1" applyFont="1" applyFill="1" applyBorder="1" applyAlignment="1" applyProtection="1">
      <alignment vertical="center"/>
      <protection hidden="1"/>
    </xf>
    <xf numFmtId="0" fontId="16" fillId="6" borderId="2" xfId="0" applyFont="1" applyFill="1" applyBorder="1" applyAlignment="1" applyProtection="1">
      <alignment horizontal="center" wrapText="1"/>
      <protection hidden="1"/>
    </xf>
    <xf numFmtId="0" fontId="16" fillId="6" borderId="3" xfId="0" applyFont="1" applyFill="1" applyBorder="1" applyAlignment="1" applyProtection="1">
      <alignment horizontal="center" wrapText="1"/>
      <protection hidden="1"/>
    </xf>
    <xf numFmtId="0" fontId="16" fillId="6" borderId="4" xfId="0" applyFont="1" applyFill="1" applyBorder="1" applyAlignment="1" applyProtection="1">
      <alignment horizontal="center" wrapText="1"/>
      <protection hidden="1"/>
    </xf>
    <xf numFmtId="0" fontId="16" fillId="6" borderId="5" xfId="0" applyFont="1" applyFill="1" applyBorder="1" applyAlignment="1" applyProtection="1">
      <alignment horizontal="center" wrapText="1"/>
      <protection hidden="1"/>
    </xf>
    <xf numFmtId="0" fontId="16" fillId="6" borderId="0" xfId="0" applyFont="1" applyFill="1" applyAlignment="1" applyProtection="1">
      <alignment horizontal="center" wrapText="1"/>
      <protection hidden="1"/>
    </xf>
    <xf numFmtId="0" fontId="16" fillId="6" borderId="6" xfId="0" applyFont="1" applyFill="1" applyBorder="1" applyAlignment="1" applyProtection="1">
      <alignment horizontal="center" wrapText="1"/>
      <protection hidden="1"/>
    </xf>
    <xf numFmtId="0" fontId="5" fillId="6" borderId="0" xfId="0" applyFont="1" applyFill="1" applyAlignment="1" applyProtection="1">
      <alignment horizontal="center"/>
      <protection hidden="1"/>
    </xf>
    <xf numFmtId="0" fontId="4" fillId="3" borderId="34" xfId="0" applyFont="1" applyFill="1" applyBorder="1" applyAlignment="1" applyProtection="1">
      <alignment horizontal="left"/>
      <protection hidden="1"/>
    </xf>
    <xf numFmtId="0" fontId="4" fillId="3" borderId="31" xfId="0" applyFont="1" applyFill="1" applyBorder="1" applyAlignment="1" applyProtection="1">
      <alignment horizontal="left"/>
      <protection hidden="1"/>
    </xf>
    <xf numFmtId="0" fontId="4" fillId="3" borderId="32" xfId="0" applyFont="1" applyFill="1" applyBorder="1" applyAlignment="1" applyProtection="1">
      <alignment horizontal="left"/>
      <protection hidden="1"/>
    </xf>
    <xf numFmtId="37" fontId="4" fillId="3" borderId="34" xfId="1" applyNumberFormat="1" applyFont="1" applyFill="1" applyBorder="1" applyAlignment="1" applyProtection="1">
      <alignment horizontal="left"/>
      <protection hidden="1"/>
    </xf>
    <xf numFmtId="37" fontId="4" fillId="3" borderId="31" xfId="1" applyNumberFormat="1" applyFont="1" applyFill="1" applyBorder="1" applyAlignment="1" applyProtection="1">
      <alignment horizontal="left"/>
      <protection hidden="1"/>
    </xf>
    <xf numFmtId="37" fontId="4" fillId="3" borderId="32" xfId="1" applyNumberFormat="1" applyFont="1" applyFill="1" applyBorder="1" applyAlignment="1" applyProtection="1">
      <alignment horizontal="left"/>
      <protection hidden="1"/>
    </xf>
    <xf numFmtId="0" fontId="4" fillId="3" borderId="35" xfId="0" applyFont="1" applyFill="1" applyBorder="1" applyProtection="1">
      <protection locked="0" hidden="1"/>
    </xf>
    <xf numFmtId="0" fontId="4" fillId="3" borderId="37" xfId="0" applyFont="1" applyFill="1" applyBorder="1" applyProtection="1">
      <protection locked="0" hidden="1"/>
    </xf>
    <xf numFmtId="0" fontId="4" fillId="3" borderId="35" xfId="0" applyFont="1" applyFill="1" applyBorder="1" applyProtection="1">
      <protection hidden="1"/>
    </xf>
    <xf numFmtId="0" fontId="4" fillId="3" borderId="37" xfId="0" applyFont="1" applyFill="1" applyBorder="1" applyProtection="1">
      <protection hidden="1"/>
    </xf>
    <xf numFmtId="0" fontId="52" fillId="5" borderId="21" xfId="0" quotePrefix="1" applyFont="1" applyFill="1" applyBorder="1" applyAlignment="1" applyProtection="1">
      <alignment horizontal="left"/>
      <protection hidden="1"/>
    </xf>
    <xf numFmtId="0" fontId="52" fillId="5" borderId="1" xfId="0" quotePrefix="1" applyFont="1" applyFill="1" applyBorder="1" applyAlignment="1" applyProtection="1">
      <alignment horizontal="left"/>
      <protection hidden="1"/>
    </xf>
    <xf numFmtId="0" fontId="52" fillId="5" borderId="26" xfId="0" quotePrefix="1" applyFont="1" applyFill="1" applyBorder="1" applyAlignment="1" applyProtection="1">
      <alignment horizontal="left"/>
      <protection hidden="1"/>
    </xf>
    <xf numFmtId="0" fontId="54" fillId="11" borderId="21" xfId="0" applyFont="1" applyFill="1" applyBorder="1" applyAlignment="1" applyProtection="1">
      <alignment horizontal="left" vertical="top" wrapText="1"/>
      <protection locked="0"/>
    </xf>
    <xf numFmtId="0" fontId="54" fillId="11" borderId="1" xfId="0" applyFont="1" applyFill="1" applyBorder="1" applyAlignment="1" applyProtection="1">
      <alignment horizontal="left" vertical="top" wrapText="1"/>
      <protection locked="0"/>
    </xf>
    <xf numFmtId="0" fontId="54" fillId="11" borderId="26" xfId="0" applyFont="1" applyFill="1" applyBorder="1" applyAlignment="1" applyProtection="1">
      <alignment horizontal="left" vertical="top" wrapText="1"/>
      <protection locked="0"/>
    </xf>
    <xf numFmtId="0" fontId="52" fillId="5" borderId="21" xfId="0" applyFont="1" applyFill="1" applyBorder="1" applyAlignment="1" applyProtection="1">
      <alignment horizontal="left"/>
      <protection hidden="1"/>
    </xf>
    <xf numFmtId="0" fontId="52" fillId="5" borderId="1" xfId="0" applyFont="1" applyFill="1" applyBorder="1" applyAlignment="1" applyProtection="1">
      <alignment horizontal="left"/>
      <protection hidden="1"/>
    </xf>
    <xf numFmtId="0" fontId="52" fillId="5" borderId="26" xfId="0" applyFont="1" applyFill="1" applyBorder="1" applyAlignment="1" applyProtection="1">
      <alignment horizontal="left"/>
      <protection hidden="1"/>
    </xf>
    <xf numFmtId="0" fontId="58" fillId="5" borderId="21" xfId="0" quotePrefix="1" applyFont="1" applyFill="1" applyBorder="1" applyAlignment="1" applyProtection="1">
      <alignment horizontal="left"/>
      <protection hidden="1"/>
    </xf>
    <xf numFmtId="0" fontId="58" fillId="5" borderId="1" xfId="0" quotePrefix="1" applyFont="1" applyFill="1" applyBorder="1" applyAlignment="1" applyProtection="1">
      <alignment horizontal="left"/>
      <protection hidden="1"/>
    </xf>
    <xf numFmtId="0" fontId="58" fillId="5" borderId="26" xfId="0" quotePrefix="1" applyFont="1" applyFill="1" applyBorder="1" applyAlignment="1" applyProtection="1">
      <alignment horizontal="left"/>
      <protection hidden="1"/>
    </xf>
    <xf numFmtId="0" fontId="58" fillId="5" borderId="21" xfId="0" applyFont="1" applyFill="1" applyBorder="1" applyAlignment="1" applyProtection="1">
      <alignment horizontal="left"/>
      <protection hidden="1"/>
    </xf>
    <xf numFmtId="0" fontId="58" fillId="5" borderId="1" xfId="0" applyFont="1" applyFill="1" applyBorder="1" applyAlignment="1" applyProtection="1">
      <alignment horizontal="left"/>
      <protection hidden="1"/>
    </xf>
    <xf numFmtId="0" fontId="58" fillId="5" borderId="26" xfId="0" applyFont="1" applyFill="1" applyBorder="1" applyAlignment="1" applyProtection="1">
      <alignment horizontal="left"/>
      <protection hidden="1"/>
    </xf>
    <xf numFmtId="0" fontId="53" fillId="5" borderId="21" xfId="0" quotePrefix="1" applyFont="1" applyFill="1" applyBorder="1" applyAlignment="1" applyProtection="1">
      <alignment horizontal="left"/>
      <protection hidden="1"/>
    </xf>
    <xf numFmtId="0" fontId="53" fillId="5" borderId="1" xfId="0" quotePrefix="1" applyFont="1" applyFill="1" applyBorder="1" applyAlignment="1" applyProtection="1">
      <alignment horizontal="left"/>
      <protection hidden="1"/>
    </xf>
    <xf numFmtId="0" fontId="53" fillId="5" borderId="26" xfId="0" quotePrefix="1" applyFont="1" applyFill="1" applyBorder="1" applyAlignment="1" applyProtection="1">
      <alignment horizontal="left"/>
      <protection hidden="1"/>
    </xf>
    <xf numFmtId="0" fontId="52" fillId="5" borderId="21" xfId="0" applyFont="1" applyFill="1" applyBorder="1" applyAlignment="1" applyProtection="1">
      <alignment horizontal="left" vertical="top" wrapText="1"/>
      <protection hidden="1"/>
    </xf>
    <xf numFmtId="0" fontId="52" fillId="5" borderId="1" xfId="0" applyFont="1" applyFill="1" applyBorder="1" applyAlignment="1" applyProtection="1">
      <alignment horizontal="left" vertical="top" wrapText="1"/>
      <protection hidden="1"/>
    </xf>
    <xf numFmtId="0" fontId="52" fillId="5" borderId="26" xfId="0" applyFont="1" applyFill="1" applyBorder="1" applyAlignment="1" applyProtection="1">
      <alignment horizontal="left" vertical="top" wrapText="1"/>
      <protection hidden="1"/>
    </xf>
    <xf numFmtId="0" fontId="52" fillId="5" borderId="21" xfId="0" applyFont="1" applyFill="1" applyBorder="1" applyAlignment="1" applyProtection="1">
      <alignment horizontal="left" wrapText="1"/>
      <protection hidden="1"/>
    </xf>
    <xf numFmtId="0" fontId="52" fillId="5" borderId="1" xfId="0" applyFont="1" applyFill="1" applyBorder="1" applyAlignment="1" applyProtection="1">
      <alignment horizontal="left" wrapText="1"/>
      <protection hidden="1"/>
    </xf>
    <xf numFmtId="0" fontId="52" fillId="5" borderId="26" xfId="0" applyFont="1" applyFill="1" applyBorder="1" applyAlignment="1" applyProtection="1">
      <alignment horizontal="left" wrapText="1"/>
      <protection hidden="1"/>
    </xf>
    <xf numFmtId="0" fontId="54" fillId="5" borderId="21" xfId="0" applyFont="1" applyFill="1" applyBorder="1" applyAlignment="1" applyProtection="1">
      <alignment horizontal="left"/>
      <protection hidden="1"/>
    </xf>
    <xf numFmtId="0" fontId="54" fillId="5" borderId="26" xfId="0" applyFont="1" applyFill="1" applyBorder="1" applyAlignment="1" applyProtection="1">
      <alignment horizontal="left"/>
      <protection hidden="1"/>
    </xf>
    <xf numFmtId="0" fontId="54" fillId="5" borderId="21" xfId="0" quotePrefix="1" applyFont="1" applyFill="1" applyBorder="1" applyAlignment="1" applyProtection="1">
      <alignment horizontal="left"/>
      <protection hidden="1"/>
    </xf>
    <xf numFmtId="0" fontId="54" fillId="5" borderId="26" xfId="0" quotePrefix="1" applyFont="1" applyFill="1" applyBorder="1" applyAlignment="1" applyProtection="1">
      <alignment horizontal="left"/>
      <protection hidden="1"/>
    </xf>
    <xf numFmtId="0" fontId="53" fillId="5" borderId="19" xfId="0" quotePrefix="1" applyFont="1" applyFill="1" applyBorder="1" applyAlignment="1" applyProtection="1">
      <alignment horizontal="left"/>
      <protection hidden="1"/>
    </xf>
    <xf numFmtId="0" fontId="53" fillId="5" borderId="14" xfId="0" quotePrefix="1" applyFont="1" applyFill="1" applyBorder="1" applyAlignment="1" applyProtection="1">
      <alignment horizontal="left"/>
      <protection hidden="1"/>
    </xf>
    <xf numFmtId="0" fontId="54" fillId="5" borderId="21" xfId="0" applyFont="1" applyFill="1" applyBorder="1" applyAlignment="1" applyProtection="1">
      <alignment horizontal="left" vertical="top" wrapText="1"/>
      <protection hidden="1"/>
    </xf>
    <xf numFmtId="0" fontId="54" fillId="5" borderId="1" xfId="0" applyFont="1" applyFill="1" applyBorder="1" applyAlignment="1" applyProtection="1">
      <alignment horizontal="left" vertical="top" wrapText="1"/>
      <protection hidden="1"/>
    </xf>
    <xf numFmtId="0" fontId="54" fillId="5" borderId="26" xfId="0" applyFont="1" applyFill="1" applyBorder="1" applyAlignment="1" applyProtection="1">
      <alignment horizontal="left" vertical="top" wrapText="1"/>
      <protection hidden="1"/>
    </xf>
    <xf numFmtId="0" fontId="54" fillId="5" borderId="21" xfId="0" quotePrefix="1" applyFont="1" applyFill="1" applyBorder="1" applyAlignment="1" applyProtection="1">
      <alignment horizontal="left" vertical="top" wrapText="1"/>
      <protection hidden="1"/>
    </xf>
    <xf numFmtId="0" fontId="54" fillId="5" borderId="1" xfId="0" quotePrefix="1" applyFont="1" applyFill="1" applyBorder="1" applyAlignment="1" applyProtection="1">
      <alignment horizontal="left" vertical="top" wrapText="1"/>
      <protection hidden="1"/>
    </xf>
    <xf numFmtId="0" fontId="54" fillId="5" borderId="26" xfId="0" quotePrefix="1" applyFont="1" applyFill="1" applyBorder="1" applyAlignment="1" applyProtection="1">
      <alignment horizontal="left" vertical="top" wrapText="1"/>
      <protection hidden="1"/>
    </xf>
    <xf numFmtId="0" fontId="58" fillId="5" borderId="14" xfId="0" applyFont="1" applyFill="1" applyBorder="1" applyAlignment="1" applyProtection="1">
      <alignment horizontal="left"/>
      <protection hidden="1"/>
    </xf>
    <xf numFmtId="0" fontId="58" fillId="5" borderId="20" xfId="0" applyFont="1" applyFill="1" applyBorder="1" applyAlignment="1" applyProtection="1">
      <alignment horizontal="left"/>
      <protection hidden="1"/>
    </xf>
    <xf numFmtId="0" fontId="52" fillId="1" borderId="13" xfId="0" applyFont="1" applyFill="1" applyBorder="1" applyAlignment="1" applyProtection="1">
      <alignment horizontal="center" vertical="center"/>
      <protection hidden="1"/>
    </xf>
    <xf numFmtId="0" fontId="52" fillId="0" borderId="17" xfId="0" applyFont="1" applyBorder="1" applyAlignment="1" applyProtection="1">
      <alignment vertical="top" wrapText="1"/>
      <protection hidden="1"/>
    </xf>
    <xf numFmtId="0" fontId="52" fillId="0" borderId="0" xfId="0" applyFont="1" applyAlignment="1" applyProtection="1">
      <alignment vertical="top" wrapText="1"/>
      <protection hidden="1"/>
    </xf>
    <xf numFmtId="0" fontId="20" fillId="5" borderId="15" xfId="0" applyFont="1" applyFill="1" applyBorder="1" applyAlignment="1" applyProtection="1">
      <alignment horizontal="center" vertical="center" wrapText="1"/>
      <protection hidden="1"/>
    </xf>
    <xf numFmtId="0" fontId="20" fillId="5" borderId="16" xfId="0" applyFont="1" applyFill="1" applyBorder="1" applyAlignment="1" applyProtection="1">
      <alignment horizontal="center" vertical="center" wrapText="1"/>
      <protection hidden="1"/>
    </xf>
    <xf numFmtId="0" fontId="20" fillId="5" borderId="19" xfId="0" applyFont="1" applyFill="1" applyBorder="1" applyAlignment="1" applyProtection="1">
      <alignment horizontal="center" vertical="center" wrapText="1"/>
      <protection hidden="1"/>
    </xf>
    <xf numFmtId="0" fontId="20" fillId="5" borderId="14" xfId="0" applyFont="1" applyFill="1" applyBorder="1" applyAlignment="1" applyProtection="1">
      <alignment horizontal="center" vertical="center" wrapText="1"/>
      <protection hidden="1"/>
    </xf>
    <xf numFmtId="0" fontId="7" fillId="5" borderId="16" xfId="0" applyFont="1" applyFill="1" applyBorder="1" applyAlignment="1" applyProtection="1">
      <alignment horizontal="center" vertical="center" wrapText="1"/>
      <protection hidden="1"/>
    </xf>
    <xf numFmtId="0" fontId="7" fillId="5" borderId="25" xfId="0" applyFont="1" applyFill="1" applyBorder="1" applyAlignment="1" applyProtection="1">
      <alignment horizontal="center" vertical="center" wrapText="1"/>
      <protection hidden="1"/>
    </xf>
    <xf numFmtId="0" fontId="7" fillId="5" borderId="14" xfId="0" applyFont="1" applyFill="1" applyBorder="1" applyAlignment="1" applyProtection="1">
      <alignment horizontal="center" vertical="center" wrapText="1"/>
      <protection hidden="1"/>
    </xf>
    <xf numFmtId="0" fontId="7" fillId="5" borderId="20" xfId="0" applyFont="1" applyFill="1" applyBorder="1" applyAlignment="1" applyProtection="1">
      <alignment horizontal="center" vertical="center" wrapText="1"/>
      <protection hidden="1"/>
    </xf>
    <xf numFmtId="0" fontId="46" fillId="0" borderId="21" xfId="0" applyFont="1" applyBorder="1" applyAlignment="1" applyProtection="1">
      <alignment horizontal="center" vertical="center" wrapText="1"/>
      <protection locked="0"/>
    </xf>
    <xf numFmtId="0" fontId="30" fillId="0" borderId="0" xfId="0" applyFont="1" applyAlignment="1">
      <alignment vertical="top" wrapText="1"/>
    </xf>
    <xf numFmtId="0" fontId="30" fillId="0" borderId="0" xfId="0" applyFont="1" applyAlignment="1">
      <alignment vertical="top"/>
    </xf>
    <xf numFmtId="0" fontId="55" fillId="11" borderId="21" xfId="0" applyFont="1" applyFill="1" applyBorder="1" applyAlignment="1" applyProtection="1">
      <alignment horizontal="left" vertical="top" wrapText="1"/>
      <protection locked="0"/>
    </xf>
  </cellXfs>
  <cellStyles count="6">
    <cellStyle name="Milliers 2" xfId="3" xr:uid="{00000000-0005-0000-0000-000003000000}"/>
    <cellStyle name="Normal 2 2" xfId="5" xr:uid="{00000000-0005-0000-0000-000005000000}"/>
    <cellStyle name="百分比" xfId="2" builtinId="5"/>
    <cellStyle name="常规" xfId="0" builtinId="0"/>
    <cellStyle name="超链接" xfId="4" builtinId="8"/>
    <cellStyle name="千位分隔" xfId="1" builtinId="3"/>
  </cellStyles>
  <dxfs count="308">
    <dxf>
      <font>
        <color theme="0" tint="-4.9989318521683403E-2"/>
      </font>
      <fill>
        <patternFill>
          <bgColor theme="0" tint="-4.9989318521683403E-2"/>
        </patternFill>
      </fill>
    </dxf>
    <dxf>
      <font>
        <color auto="1"/>
      </font>
    </dxf>
    <dxf>
      <fill>
        <patternFill>
          <bgColor theme="0" tint="-4.9989318521683403E-2"/>
        </patternFill>
      </fill>
      <border>
        <left/>
        <top/>
        <vertical/>
        <horizontal/>
      </border>
    </dxf>
    <dxf>
      <font>
        <color auto="1"/>
      </font>
      <fill>
        <patternFill patternType="solid">
          <bgColor theme="1"/>
        </patternFill>
      </fill>
    </dxf>
    <dxf>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border>
        <left/>
        <right/>
        <bottom/>
      </border>
    </dxf>
    <dxf>
      <font>
        <color auto="1"/>
      </font>
      <fill>
        <patternFill>
          <bgColor theme="0"/>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rgb="FFCCCCFF"/>
        </patternFill>
      </fill>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top style="thin">
          <color auto="1"/>
        </top>
        <bottom style="thin">
          <color auto="1"/>
        </bottom>
        <vertical/>
        <horizontal/>
      </border>
    </dxf>
    <dxf>
      <fill>
        <patternFill patternType="none">
          <bgColor auto="1"/>
        </patternFill>
      </fill>
      <border>
        <left style="thin">
          <color auto="1"/>
        </lef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top style="thin">
          <color auto="1"/>
        </top>
        <bottom style="thin">
          <color auto="1"/>
        </bottom>
        <vertical/>
        <horizontal/>
      </border>
    </dxf>
    <dxf>
      <font>
        <color rgb="FF00B050"/>
      </font>
    </dxf>
    <dxf>
      <font>
        <color theme="0" tint="-4.9989318521683403E-2"/>
      </font>
      <fill>
        <patternFill>
          <bgColor theme="0" tint="-4.9989318521683403E-2"/>
        </patternFill>
      </fill>
    </dxf>
    <dxf>
      <font>
        <color auto="1"/>
      </font>
    </dxf>
    <dxf>
      <fill>
        <patternFill>
          <bgColor theme="0" tint="-4.9989318521683403E-2"/>
        </patternFill>
      </fill>
      <border>
        <left/>
        <top/>
        <vertical/>
        <horizontal/>
      </border>
    </dxf>
    <dxf>
      <font>
        <color auto="1"/>
      </font>
      <fill>
        <patternFill patternType="solid">
          <bgColor theme="1"/>
        </patternFill>
      </fill>
    </dxf>
    <dxf>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border>
        <left/>
        <right/>
        <bottom/>
      </border>
    </dxf>
    <dxf>
      <font>
        <color auto="1"/>
      </font>
      <fill>
        <patternFill>
          <bgColor theme="0"/>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rgb="FFCCCCFF"/>
        </patternFill>
      </fill>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top style="thin">
          <color auto="1"/>
        </top>
        <bottom style="thin">
          <color auto="1"/>
        </bottom>
        <vertical/>
        <horizontal/>
      </border>
    </dxf>
    <dxf>
      <fill>
        <patternFill patternType="none">
          <bgColor auto="1"/>
        </patternFill>
      </fill>
      <border>
        <left style="thin">
          <color auto="1"/>
        </lef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top style="thin">
          <color auto="1"/>
        </top>
        <bottom style="thin">
          <color auto="1"/>
        </bottom>
        <vertical/>
        <horizontal/>
      </border>
    </dxf>
    <dxf>
      <font>
        <color rgb="FF00B050"/>
      </font>
    </dxf>
    <dxf>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border>
        <left/>
        <right/>
        <bottom/>
      </border>
    </dxf>
    <dxf>
      <font>
        <color auto="1"/>
      </font>
      <fill>
        <patternFill>
          <bgColor theme="0"/>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dxf>
    <dxf>
      <fill>
        <patternFill>
          <bgColor theme="0" tint="-4.9989318521683403E-2"/>
        </patternFill>
      </fill>
      <border>
        <left/>
        <top/>
        <vertical/>
        <horizontal/>
      </border>
    </dxf>
    <dxf>
      <font>
        <color auto="1"/>
      </font>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dxf>
    <dxf>
      <font>
        <color auto="1"/>
      </font>
      <fill>
        <patternFill patternType="solid">
          <bgColor theme="1"/>
        </patternFill>
      </fill>
      <border>
        <left style="thin">
          <color auto="1"/>
        </left>
        <right style="thin">
          <color auto="1"/>
        </righ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0" tint="-4.9989318521683403E-2"/>
        </patternFill>
      </fill>
      <border>
        <right/>
        <bottom/>
      </border>
    </dxf>
    <dxf>
      <fill>
        <patternFill patternType="solid">
          <bgColor rgb="FFCCCCFF"/>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bgColor rgb="FFCCCCFF"/>
        </patternFill>
      </fill>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top style="thin">
          <color auto="1"/>
        </top>
        <bottom style="thin">
          <color auto="1"/>
        </bottom>
        <vertical/>
        <horizontal/>
      </border>
    </dxf>
    <dxf>
      <fill>
        <patternFill patternType="none">
          <bgColor auto="1"/>
        </patternFill>
      </fill>
      <border>
        <left style="thin">
          <color auto="1"/>
        </lef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ill>
        <patternFill>
          <bgColor theme="0" tint="-4.9989318521683403E-2"/>
        </patternFill>
      </fill>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rgb="FF00B050"/>
      </font>
    </dxf>
    <dxf>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border>
        <left/>
        <right/>
        <bottom/>
      </border>
    </dxf>
    <dxf>
      <font>
        <color auto="1"/>
      </font>
      <fill>
        <patternFill>
          <bgColor theme="0"/>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dxf>
    <dxf>
      <fill>
        <patternFill>
          <bgColor theme="0" tint="-4.9989318521683403E-2"/>
        </patternFill>
      </fill>
      <border>
        <left/>
        <top/>
        <vertical/>
        <horizontal/>
      </border>
    </dxf>
    <dxf>
      <font>
        <color auto="1"/>
      </font>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dxf>
    <dxf>
      <font>
        <color auto="1"/>
      </font>
      <fill>
        <patternFill patternType="solid">
          <bgColor theme="1"/>
        </patternFill>
      </fill>
      <border>
        <left style="thin">
          <color auto="1"/>
        </left>
        <right style="thin">
          <color auto="1"/>
        </righ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0" tint="-4.9989318521683403E-2"/>
        </patternFill>
      </fill>
      <border>
        <right/>
        <bottom/>
      </border>
    </dxf>
    <dxf>
      <fill>
        <patternFill patternType="solid">
          <bgColor rgb="FFCCCCFF"/>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bgColor rgb="FFCCCCFF"/>
        </patternFill>
      </fill>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top style="thin">
          <color auto="1"/>
        </top>
        <bottom style="thin">
          <color auto="1"/>
        </bottom>
        <vertical/>
        <horizontal/>
      </border>
    </dxf>
    <dxf>
      <fill>
        <patternFill patternType="none">
          <bgColor auto="1"/>
        </patternFill>
      </fill>
      <border>
        <left style="thin">
          <color auto="1"/>
        </lef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ill>
        <patternFill>
          <bgColor theme="0" tint="-4.9989318521683403E-2"/>
        </patternFill>
      </fill>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rgb="FF00B050"/>
      </font>
    </dxf>
    <dxf>
      <font>
        <color theme="0" tint="-4.9989318521683403E-2"/>
      </font>
      <fill>
        <patternFill>
          <bgColor theme="0" tint="-4.9989318521683403E-2"/>
        </patternFill>
      </fill>
    </dxf>
    <dxf>
      <font>
        <color auto="1"/>
      </font>
    </dxf>
    <dxf>
      <fill>
        <patternFill>
          <bgColor theme="0" tint="-4.9989318521683403E-2"/>
        </patternFill>
      </fill>
      <border>
        <left/>
        <top/>
        <vertical/>
        <horizontal/>
      </border>
    </dxf>
    <dxf>
      <font>
        <color auto="1"/>
      </font>
      <fill>
        <patternFill patternType="solid">
          <bgColor theme="1"/>
        </patternFill>
      </fill>
    </dxf>
    <dxf>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border>
        <left/>
        <right/>
        <bottom/>
      </border>
    </dxf>
    <dxf>
      <font>
        <color auto="1"/>
      </font>
      <fill>
        <patternFill>
          <bgColor theme="0"/>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rgb="FFCCCCFF"/>
        </patternFill>
      </fill>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top style="thin">
          <color auto="1"/>
        </top>
        <bottom style="thin">
          <color auto="1"/>
        </bottom>
        <vertical/>
        <horizontal/>
      </border>
    </dxf>
    <dxf>
      <fill>
        <patternFill patternType="none">
          <bgColor auto="1"/>
        </patternFill>
      </fill>
      <border>
        <left style="thin">
          <color auto="1"/>
        </lef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top style="thin">
          <color auto="1"/>
        </top>
        <bottom style="thin">
          <color auto="1"/>
        </bottom>
        <vertical/>
        <horizontal/>
      </border>
    </dxf>
    <dxf>
      <font>
        <color rgb="FF00B050"/>
      </font>
    </dxf>
    <dxf>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border>
        <left/>
        <right/>
        <bottom/>
      </border>
    </dxf>
    <dxf>
      <font>
        <color auto="1"/>
      </font>
      <fill>
        <patternFill>
          <bgColor theme="0"/>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dxf>
    <dxf>
      <fill>
        <patternFill>
          <bgColor theme="0" tint="-4.9989318521683403E-2"/>
        </patternFill>
      </fill>
      <border>
        <left/>
        <top/>
        <vertical/>
        <horizontal/>
      </border>
    </dxf>
    <dxf>
      <font>
        <color auto="1"/>
      </font>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dxf>
    <dxf>
      <font>
        <color auto="1"/>
      </font>
      <fill>
        <patternFill patternType="solid">
          <bgColor theme="1"/>
        </patternFill>
      </fill>
      <border>
        <left style="thin">
          <color auto="1"/>
        </left>
        <right style="thin">
          <color auto="1"/>
        </righ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0" tint="-4.9989318521683403E-2"/>
        </patternFill>
      </fill>
      <border>
        <right/>
        <bottom/>
      </border>
    </dxf>
    <dxf>
      <fill>
        <patternFill patternType="solid">
          <bgColor rgb="FFCCCCFF"/>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bgColor rgb="FFCCCCFF"/>
        </patternFill>
      </fill>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top style="thin">
          <color auto="1"/>
        </top>
        <bottom style="thin">
          <color auto="1"/>
        </bottom>
        <vertical/>
        <horizontal/>
      </border>
    </dxf>
    <dxf>
      <fill>
        <patternFill patternType="none">
          <bgColor auto="1"/>
        </patternFill>
      </fill>
      <border>
        <left style="thin">
          <color auto="1"/>
        </lef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ill>
        <patternFill>
          <bgColor theme="0" tint="-4.9989318521683403E-2"/>
        </patternFill>
      </fill>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rgb="FF00B050"/>
      </font>
    </dxf>
    <dxf>
      <font>
        <color theme="0" tint="-4.9989318521683403E-2"/>
      </font>
      <fill>
        <patternFill>
          <bgColor theme="0" tint="-4.9989318521683403E-2"/>
        </patternFill>
      </fill>
    </dxf>
    <dxf>
      <font>
        <color auto="1"/>
      </font>
    </dxf>
    <dxf>
      <fill>
        <patternFill>
          <bgColor theme="0" tint="-4.9989318521683403E-2"/>
        </patternFill>
      </fill>
      <border>
        <left/>
        <top/>
        <vertical/>
        <horizontal/>
      </border>
    </dxf>
    <dxf>
      <font>
        <color auto="1"/>
      </font>
      <fill>
        <patternFill patternType="solid">
          <bgColor theme="1"/>
        </patternFill>
      </fill>
    </dxf>
    <dxf>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border>
        <left/>
        <right/>
        <bottom/>
      </border>
    </dxf>
    <dxf>
      <font>
        <color auto="1"/>
      </font>
      <fill>
        <patternFill>
          <bgColor theme="0"/>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rgb="FFCCCCFF"/>
        </patternFill>
      </fill>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top style="thin">
          <color auto="1"/>
        </top>
        <bottom style="thin">
          <color auto="1"/>
        </bottom>
        <vertical/>
        <horizontal/>
      </border>
    </dxf>
    <dxf>
      <fill>
        <patternFill patternType="none">
          <bgColor auto="1"/>
        </patternFill>
      </fill>
      <border>
        <left style="thin">
          <color auto="1"/>
        </lef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top style="thin">
          <color auto="1"/>
        </top>
        <bottom style="thin">
          <color auto="1"/>
        </bottom>
        <vertical/>
        <horizontal/>
      </border>
    </dxf>
    <dxf>
      <font>
        <color rgb="FF00B050"/>
      </font>
    </dxf>
    <dxf>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border>
        <left/>
        <right/>
        <bottom/>
      </border>
    </dxf>
    <dxf>
      <font>
        <color auto="1"/>
      </font>
      <fill>
        <patternFill>
          <bgColor theme="0"/>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dxf>
    <dxf>
      <fill>
        <patternFill>
          <bgColor theme="0" tint="-4.9989318521683403E-2"/>
        </patternFill>
      </fill>
      <border>
        <left/>
        <top/>
        <vertical/>
        <horizontal/>
      </border>
    </dxf>
    <dxf>
      <font>
        <color auto="1"/>
      </font>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4.9989318521683403E-2"/>
      </font>
      <fill>
        <patternFill>
          <bgColor theme="0" tint="-4.9989318521683403E-2"/>
        </patternFill>
      </fill>
    </dxf>
    <dxf>
      <font>
        <color auto="1"/>
      </font>
      <fill>
        <patternFill patternType="solid">
          <bgColor theme="1"/>
        </patternFill>
      </fill>
      <border>
        <left style="thin">
          <color auto="1"/>
        </left>
        <right style="thin">
          <color auto="1"/>
        </righ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theme="0" tint="-0.14996795556505021"/>
      </font>
      <fill>
        <patternFill>
          <bgColor theme="0" tint="-0.14996795556505021"/>
        </patternFill>
      </fill>
      <border>
        <left style="thin">
          <color auto="1"/>
        </left>
        <top style="thin">
          <color auto="1"/>
        </top>
        <bottom style="thin">
          <color auto="1"/>
        </bottom>
      </border>
    </dxf>
    <dxf>
      <fill>
        <patternFill>
          <bgColor theme="0" tint="-4.9989318521683403E-2"/>
        </patternFill>
      </fill>
      <border>
        <right/>
        <bottom/>
      </border>
    </dxf>
    <dxf>
      <fill>
        <patternFill patternType="solid">
          <bgColor rgb="FFCCCCFF"/>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patternType="none">
          <bgColor auto="1"/>
        </patternFill>
      </fill>
      <border>
        <left style="thin">
          <color auto="1"/>
        </left>
        <right style="thin">
          <color auto="1"/>
        </right>
        <top style="thin">
          <color auto="1"/>
        </top>
        <bottom style="thin">
          <color auto="1"/>
        </bottom>
        <vertical/>
        <horizontal/>
      </border>
    </dxf>
    <dxf>
      <fill>
        <patternFill>
          <bgColor rgb="FFCCCCFF"/>
        </patternFill>
      </fill>
      <border>
        <left style="thin">
          <color auto="1"/>
        </left>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patternType="none">
          <bgColor auto="1"/>
        </patternFill>
      </fill>
      <border>
        <left style="thin">
          <color auto="1"/>
        </left>
        <top style="thin">
          <color auto="1"/>
        </top>
        <bottom style="thin">
          <color auto="1"/>
        </bottom>
        <vertical/>
        <horizontal/>
      </border>
    </dxf>
    <dxf>
      <fill>
        <patternFill patternType="none">
          <bgColor auto="1"/>
        </patternFill>
      </fill>
      <border>
        <left style="thin">
          <color auto="1"/>
        </left>
        <top style="thin">
          <color auto="1"/>
        </top>
        <bottom style="thin">
          <color auto="1"/>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ill>
        <patternFill>
          <bgColor theme="0" tint="-4.9989318521683403E-2"/>
        </patternFill>
      </fill>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ont>
        <color rgb="FF00B050"/>
      </font>
    </dxf>
    <dxf>
      <fill>
        <patternFill>
          <bgColor rgb="FFFFE699"/>
        </patternFill>
      </fill>
      <border>
        <left style="thin">
          <color rgb="FFFF0000"/>
        </left>
        <right style="thin">
          <color rgb="FFFF0000"/>
        </right>
        <top style="thin">
          <color rgb="FFFF0000"/>
        </top>
        <bottom style="thin">
          <color rgb="FFFF0000"/>
        </bottom>
      </border>
    </dxf>
    <dxf>
      <font>
        <color rgb="FF4F2D7F"/>
      </font>
      <fill>
        <patternFill>
          <bgColor rgb="FF4F2D7F"/>
        </patternFill>
      </fill>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theme="7" tint="0.59996337778862885"/>
        </patternFill>
      </fill>
      <border>
        <left style="thin">
          <color rgb="FFFF0000"/>
        </left>
        <right style="thin">
          <color rgb="FFFF0000"/>
        </right>
        <top style="thin">
          <color rgb="FFFF0000"/>
        </top>
        <bottom style="thin">
          <color rgb="FFFF0000"/>
        </bottom>
        <vertical/>
        <horizontal/>
      </border>
    </dxf>
    <dxf>
      <fill>
        <patternFill>
          <bgColor rgb="FFFFE699"/>
        </patternFill>
      </fill>
      <border>
        <left style="thin">
          <color rgb="FFFF0000"/>
        </left>
        <right style="thin">
          <color rgb="FFFF0000"/>
        </right>
        <top style="thin">
          <color rgb="FFFF0000"/>
        </top>
        <bottom style="thin">
          <color rgb="FFFF0000"/>
        </bottom>
        <vertical/>
        <horizontal/>
      </border>
    </dxf>
    <dxf>
      <fill>
        <patternFill>
          <bgColor rgb="FFFFE699"/>
        </patternFill>
      </fill>
      <border>
        <left style="thin">
          <color rgb="FFFF0000"/>
        </left>
        <right style="thin">
          <color rgb="FFFF0000"/>
        </right>
        <top style="thin">
          <color rgb="FFFF0000"/>
        </top>
        <bottom style="thin">
          <color rgb="FFFF0000"/>
        </bottom>
        <vertical/>
        <horizontal/>
      </border>
    </dxf>
    <dxf>
      <fill>
        <patternFill>
          <bgColor rgb="FFFFE699"/>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colors>
    <mruColors>
      <color rgb="FFBFBFBF"/>
      <color rgb="FFCCCCFF"/>
      <color rgb="FFFFE699"/>
      <color rgb="FFFFE69B"/>
      <color rgb="FF4F2D7F"/>
      <color rgb="FF660066"/>
      <color rgb="FF4472C4"/>
      <color rgb="FF0000FF"/>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16452</xdr:colOff>
      <xdr:row>27</xdr:row>
      <xdr:rowOff>16452</xdr:rowOff>
    </xdr:from>
    <xdr:to>
      <xdr:col>1</xdr:col>
      <xdr:colOff>3876675</xdr:colOff>
      <xdr:row>42</xdr:row>
      <xdr:rowOff>92648</xdr:rowOff>
    </xdr:to>
    <xdr:pic>
      <xdr:nvPicPr>
        <xdr:cNvPr id="4" name="图片 3">
          <a:extLst>
            <a:ext uri="{FF2B5EF4-FFF2-40B4-BE49-F238E27FC236}">
              <a16:creationId xmlns:a16="http://schemas.microsoft.com/office/drawing/2014/main" id="{6CF7C7D8-A436-4908-AB24-8A1175DBE17A}"/>
            </a:ext>
          </a:extLst>
        </xdr:cNvPr>
        <xdr:cNvPicPr>
          <a:picLocks noChangeAspect="1"/>
        </xdr:cNvPicPr>
      </xdr:nvPicPr>
      <xdr:blipFill>
        <a:blip xmlns:r="http://schemas.openxmlformats.org/officeDocument/2006/relationships" r:embed="rId1"/>
        <a:stretch>
          <a:fillRect/>
        </a:stretch>
      </xdr:blipFill>
      <xdr:spPr>
        <a:xfrm>
          <a:off x="1273752" y="35697102"/>
          <a:ext cx="3860223" cy="27336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tinetorg-my.sharepoint.com/Users/ElizabethSloan/Downloads/ISA%20600%20Component%20Significance%20and%20Scoping%20November%20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Content Translation"/>
      <sheetName val="EnglishInstructionsForReference"/>
      <sheetName val="Data input"/>
      <sheetName val="Scoping input"/>
      <sheetName val="Component materiality input"/>
      <sheetName val="Type of work input"/>
      <sheetName val="Summary by type of work report"/>
      <sheetName val="Scoping summary report"/>
      <sheetName val="Summary of work by firm report"/>
      <sheetName val="Involvement report"/>
      <sheetName val="Data tab"/>
      <sheetName val="GT_Custom"/>
    </sheetNames>
    <sheetDataSet>
      <sheetData sheetId="0"/>
      <sheetData sheetId="1">
        <row r="3">
          <cell r="A3" t="str">
            <v>Instructions - component significance and scoping</v>
          </cell>
        </row>
        <row r="4">
          <cell r="A4" t="str">
            <v>Instructional Note to Group Engagement Team: This template is used in a group audit for identifying components, determining their significance, and determining the type of work to be performed on components. It includes the determination of component materiality (when required), the identification of component auditors, and the additional planned involvement (if any) in a component auditor's work.</v>
          </cell>
        </row>
        <row r="5">
          <cell r="A5" t="str">
            <v>Use of macros: This template has numerous macros. The execution of a macro purges the actions that can be undone using the "Undo" button or  using the keyboard shortcut CTRL+Z. Users are encouraged to save this document frequently as a precautionary measure.
***Do not add, delete, hide or unhide any rows or columns in this workbook when entering and revising financial information, as this will break macros contained in the workbook.  Financial information in the Data input worksheet may be customized by moving rows of information as needed, but new rows cannot be added or deleted.***</v>
          </cell>
        </row>
        <row r="6">
          <cell r="A6" t="str">
            <v>Getting started: To start using the template, enable editing. Then, complete the Data input worksheet and the Scoping worksheet using the How to guidance below.</v>
          </cell>
        </row>
        <row r="7">
          <cell r="A7" t="str">
            <v>Guidance: The guidance shown in this worksheet may be filtered below by type (that is, purpose, how to, general guidance, precedents and dependents, or all).</v>
          </cell>
        </row>
        <row r="8">
          <cell r="A8" t="str">
            <v>Filter guidance:</v>
          </cell>
        </row>
        <row r="9">
          <cell r="A9" t="str">
            <v>All</v>
          </cell>
        </row>
        <row r="10">
          <cell r="A10" t="str">
            <v>Data input</v>
          </cell>
        </row>
        <row r="11">
          <cell r="A11" t="str">
            <v xml:space="preserve">Purpose: This worksheet is used to capture information about the components included in the group audit.
</v>
          </cell>
        </row>
        <row r="12">
          <cell r="A12" t="str">
            <v xml:space="preserve">How to: Select the number of components (2-100) from the drop-down menu in cell B5 and then enter the name of each component and the type of each component in rows 7 and 8. Then, enter the financial statement amounts, including eliminations as appropriate, to derive the consolidated total. An example set of financial statements has been entered as a starting point; the line items may be renamed or left blank to align with the entity's financial statements (but rows cannot be added or deleted).
</v>
          </cell>
        </row>
        <row r="13">
          <cell r="A13" t="str">
            <v>General guidance: Often, the engagement team completes the initial scoping at an interim date based on preliminary or anticipated financial information. This template does not need to be updated after the initial scoping, unless deemed necessary based on the engagement team's professional judgement. This may include situations where the actual financial results are likely to be substantially different from the anticipated results that were used initially.</v>
          </cell>
        </row>
        <row r="14">
          <cell r="A14" t="str">
            <v xml:space="preserve">Precedents and dependents: The data entered in this worksheet is automatically carried forward to other worksheets, such as the Scoping input worksheet and the various reports worksheets.
</v>
          </cell>
        </row>
        <row r="15">
          <cell r="A15" t="str">
            <v>Number of components and component type</v>
          </cell>
        </row>
        <row r="16">
          <cell r="A16" t="str">
            <v xml:space="preserve">How to: To start the worksheet, select the number of components. Additional components may be subsequently added by changing the number of components in this field.
</v>
          </cell>
        </row>
        <row r="17">
          <cell r="A17" t="str">
            <v>General guidance: A component is an entity or business activity for which group or component management prepares financial information that should be included in the group financial statements (for example, a subsidiary; a joint venture; an investee accounted for by the equity or cost methods of accounting; a head office; a division or branch; a function, process, product or service; or a geographical location). The group engagement team determines the number of components considering the structure of the group and the group financial reporting system.</v>
          </cell>
        </row>
        <row r="18">
          <cell r="A18" t="str">
            <v>Precedents and dependents: This worksheet will display the corresponding number of components based on this input.</v>
          </cell>
        </row>
        <row r="19">
          <cell r="A19" t="str">
            <v>Eliminations</v>
          </cell>
        </row>
        <row r="20">
          <cell r="A20" t="str">
            <v>General guidance: The group financial reporting system may provide component financial information in various ways, depending on the consolidation process. This column may be used, as necessary, to include eliminations and other consolidation adjustments, such that the amounts sum to the consolidated total. Alternatively, intercompany balances and transactions may be eliminated by inputting the consolidating financial information net of eliminating amounts.</v>
          </cell>
        </row>
        <row r="21">
          <cell r="A21" t="str">
            <v>Scoping input</v>
          </cell>
        </row>
        <row r="22">
          <cell r="A22" t="str">
            <v xml:space="preserve">Purpose: This worksheet is used to determine the significance of components as well as the type of work to be performed. It includes component materiality and performance materiality, as applicable, and the identification of component auditors, as well as the additional planned involvement, if any, in the component auditor's work.
</v>
          </cell>
        </row>
        <row r="23">
          <cell r="A23" t="str">
            <v>How to: Select the number of relevant benchmarks from the drop-down menu in cell C3 and whether member firms or non-member firms will be component auditors in cell C4. Populate materiality information for the audit of the group financial statements in cells C6-C9. For each component beginning in row 13, complete the remaining cells in the row.</v>
          </cell>
        </row>
        <row r="24">
          <cell r="A24" t="str">
            <v xml:space="preserve">Precedents and dependents: The listing of components, component types, and benchmark information (when the benchmark wording used is identical to wording in column A of the Data input worksheet) is populated from the Data input worksheet. If the benchmark is not a separate line item, then the VLOOKUP formula will not pull the information and that benchmark's information needs to be manually added.
</v>
          </cell>
        </row>
        <row r="25">
          <cell r="A25" t="str">
            <v>Number of relevant benchmarks</v>
          </cell>
        </row>
        <row r="26">
          <cell r="A26" t="str">
            <v xml:space="preserve">General guidance: The group engagement team typically applies a percentage to a chosen benchmark to aid in identifying components that are of individual financial significance. Identifying one or more benchmarks and determining a percentage to be applied to those benchmarks involves exercising professional judgment, taking into account the understanding of the group and its components. Depending on the nature and circumstances of the group, appropriate benchmarks might include group assets, liabilities, cash flows, profit, or revenue. Typically, if a benchmark was used to determine materiality for the group financial statements as a whole, that same benchmark may also be appropriate to identify components that are of individual financial significance; this is because factors that affect the selection of an appropriate benchmark take into account, among other things, the nature of the entity.
</v>
          </cell>
        </row>
        <row r="27">
          <cell r="A27" t="str">
            <v xml:space="preserve">How to: If the benchmark wording used is identical to wording in column A of the Data input worksheet, this column will populate automatically using a VLOOKUP function. If the benchmark is not a separate line item, then information needs to be manually added.
</v>
          </cell>
        </row>
        <row r="28">
          <cell r="A28" t="str">
            <v>Precedents and dependents: This worksheet will display the corresponding number of benchmarks based on this input.</v>
          </cell>
        </row>
        <row r="29">
          <cell r="A29" t="str">
            <v>Will other member firms or non-member firms be component auditors?</v>
          </cell>
        </row>
        <row r="30">
          <cell r="A30" t="str">
            <v>Precedents and dependents: Select "Yes"/"No" to display/hide columns with component auditor details, including additional planned involvement in component auditor's work, based on whether other member firms or non-member firms will be involved in the group audit.</v>
          </cell>
        </row>
        <row r="31">
          <cell r="A31" t="str">
            <v xml:space="preserve">Amount of equity method investment (financial position and profit or loss) </v>
          </cell>
        </row>
        <row r="32">
          <cell r="A32" t="str">
            <v>General guidance: When a component is an investee accounted for by the equity method of accounting, the financial information of the component is included within these two columns (not within the benchmark amounts columns). The amounts included herein are the group amounts related to the equity method investment (not the investee amounts).</v>
          </cell>
        </row>
        <row r="33">
          <cell r="A33" t="str">
            <v>Precedents and dependents: These columns are only applicable for components that are equity method investments.</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persons/person.xml><?xml version="1.0" encoding="utf-8"?>
<personList xmlns="http://schemas.microsoft.com/office/spreadsheetml/2018/threadedcomments" xmlns:x="http://schemas.openxmlformats.org/spreadsheetml/2006/main">
  <person displayName="Administrator" id="{E9AB3956-2871-47B1-8F1C-9C85D4BF1399}" userId="Administrator" providerId="None"/>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33" dT="2023-12-15T09:40:24.33" personId="{E9AB3956-2871-47B1-8F1C-9C85D4BF1399}" id="{2EC8F1EE-1ED5-42C9-930B-C8669497003C}">
    <text>汇总结果</text>
  </threadedComment>
</ThreadedComment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1.bin"/><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customProperty" Target="../customProperty2.bin"/><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customProperty" Target="../customProperty3.bin"/><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customProperty" Target="../customProperty4.bin"/><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customProperty" Target="../customProperty5.bin"/><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heetViews>
  <sheetFormatPr defaultColWidth="9.125" defaultRowHeight="13.5"/>
  <sheetData/>
  <phoneticPr fontId="3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Instructions"/>
  <dimension ref="A1:D43"/>
  <sheetViews>
    <sheetView showGridLines="0" topLeftCell="A11" zoomScaleNormal="100" workbookViewId="0">
      <selection activeCell="E21" sqref="E21"/>
    </sheetView>
  </sheetViews>
  <sheetFormatPr defaultColWidth="8.5" defaultRowHeight="13.5"/>
  <cols>
    <col min="1" max="1" width="16.5" style="184" customWidth="1"/>
    <col min="2" max="2" width="125.5" style="185" customWidth="1"/>
    <col min="3" max="16384" width="8.5" style="185"/>
  </cols>
  <sheetData>
    <row r="1" spans="1:4" ht="18.75" customHeight="1">
      <c r="A1" s="227" t="s">
        <v>254</v>
      </c>
      <c r="B1" s="183"/>
    </row>
    <row r="2" spans="1:4" s="186" customFormat="1" ht="31.5" customHeight="1">
      <c r="A2" s="284" t="s">
        <v>255</v>
      </c>
      <c r="B2" s="284"/>
    </row>
    <row r="3" spans="1:4" s="186" customFormat="1" ht="38.25" customHeight="1">
      <c r="A3" s="285" t="s">
        <v>303</v>
      </c>
      <c r="B3" s="285"/>
    </row>
    <row r="4" spans="1:4" s="186" customFormat="1" ht="15.75" customHeight="1">
      <c r="A4" s="285" t="s">
        <v>304</v>
      </c>
      <c r="B4" s="286"/>
    </row>
    <row r="5" spans="1:4" ht="15.75">
      <c r="A5" s="296" t="s">
        <v>308</v>
      </c>
      <c r="B5" s="297"/>
      <c r="D5" s="111"/>
    </row>
    <row r="6" spans="1:4" ht="14.25">
      <c r="A6" s="287" t="s">
        <v>273</v>
      </c>
      <c r="B6" s="288"/>
    </row>
    <row r="7" spans="1:4" ht="14.25">
      <c r="A7" s="294" t="s">
        <v>305</v>
      </c>
      <c r="B7" s="288"/>
    </row>
    <row r="8" spans="1:4">
      <c r="A8" s="228" t="s">
        <v>256</v>
      </c>
      <c r="B8" s="229" t="s">
        <v>257</v>
      </c>
    </row>
    <row r="9" spans="1:4" ht="80.25" customHeight="1">
      <c r="A9" s="228" t="s">
        <v>258</v>
      </c>
      <c r="B9" s="229" t="s">
        <v>274</v>
      </c>
    </row>
    <row r="10" spans="1:4" ht="30" customHeight="1">
      <c r="A10" s="228" t="s">
        <v>259</v>
      </c>
      <c r="B10" s="229" t="s">
        <v>481</v>
      </c>
    </row>
    <row r="11" spans="1:4" ht="33">
      <c r="A11" s="234" t="s">
        <v>275</v>
      </c>
      <c r="B11" s="229" t="s">
        <v>276</v>
      </c>
    </row>
    <row r="12" spans="1:4" ht="31.5" customHeight="1">
      <c r="A12" s="188"/>
      <c r="B12" s="187"/>
    </row>
    <row r="13" spans="1:4" ht="24" customHeight="1">
      <c r="A13" s="228" t="s">
        <v>309</v>
      </c>
      <c r="B13" s="229" t="s">
        <v>261</v>
      </c>
    </row>
    <row r="14" spans="1:4" ht="104.25" customHeight="1">
      <c r="A14" s="228" t="s">
        <v>260</v>
      </c>
      <c r="B14" s="229" t="s">
        <v>277</v>
      </c>
    </row>
    <row r="15" spans="1:4" ht="87" customHeight="1">
      <c r="A15" s="228" t="s">
        <v>262</v>
      </c>
      <c r="B15" s="230" t="s">
        <v>483</v>
      </c>
    </row>
    <row r="17" spans="1:2" ht="15.6" customHeight="1">
      <c r="A17" s="226"/>
      <c r="B17" s="231" t="s">
        <v>263</v>
      </c>
    </row>
    <row r="18" spans="1:2" ht="14.45" customHeight="1">
      <c r="A18" s="295" t="s">
        <v>264</v>
      </c>
      <c r="B18" s="288"/>
    </row>
    <row r="19" spans="1:2" ht="14.45" customHeight="1">
      <c r="A19" s="292" t="s">
        <v>265</v>
      </c>
      <c r="B19" s="293"/>
    </row>
    <row r="20" spans="1:2" ht="30" customHeight="1">
      <c r="A20" s="228" t="s">
        <v>266</v>
      </c>
      <c r="B20" s="229" t="s">
        <v>278</v>
      </c>
    </row>
    <row r="21" spans="1:2" ht="40.5" customHeight="1">
      <c r="A21" s="228" t="s">
        <v>267</v>
      </c>
      <c r="B21" s="230" t="s">
        <v>279</v>
      </c>
    </row>
    <row r="22" spans="1:2" ht="66" customHeight="1">
      <c r="A22" s="228" t="s">
        <v>268</v>
      </c>
      <c r="B22" s="230" t="s">
        <v>482</v>
      </c>
    </row>
    <row r="23" spans="1:2" ht="98.25" customHeight="1">
      <c r="A23" s="228" t="s">
        <v>269</v>
      </c>
      <c r="B23" s="230" t="s">
        <v>280</v>
      </c>
    </row>
    <row r="24" spans="1:2" ht="50.25">
      <c r="A24" s="228" t="s">
        <v>270</v>
      </c>
      <c r="B24" s="232" t="s">
        <v>306</v>
      </c>
    </row>
    <row r="25" spans="1:2" ht="196.5" customHeight="1">
      <c r="A25" s="233" t="s">
        <v>296</v>
      </c>
      <c r="B25" s="230" t="s">
        <v>282</v>
      </c>
    </row>
    <row r="26" spans="1:2" ht="126">
      <c r="A26" s="233" t="s">
        <v>295</v>
      </c>
      <c r="B26" s="230" t="s">
        <v>298</v>
      </c>
    </row>
    <row r="27" spans="1:2" ht="77.25" customHeight="1">
      <c r="A27" s="228" t="s">
        <v>271</v>
      </c>
      <c r="B27" s="230" t="s">
        <v>272</v>
      </c>
    </row>
    <row r="28" spans="1:2">
      <c r="A28" s="289" t="s">
        <v>293</v>
      </c>
      <c r="B28" s="238"/>
    </row>
    <row r="29" spans="1:2">
      <c r="A29" s="290"/>
      <c r="B29" s="239"/>
    </row>
    <row r="30" spans="1:2">
      <c r="A30" s="290"/>
      <c r="B30" s="239"/>
    </row>
    <row r="31" spans="1:2">
      <c r="A31" s="290"/>
      <c r="B31" s="239"/>
    </row>
    <row r="32" spans="1:2">
      <c r="A32" s="290"/>
      <c r="B32" s="239"/>
    </row>
    <row r="33" spans="1:2">
      <c r="A33" s="290"/>
      <c r="B33" s="239"/>
    </row>
    <row r="34" spans="1:2">
      <c r="A34" s="290"/>
      <c r="B34" s="239"/>
    </row>
    <row r="35" spans="1:2">
      <c r="A35" s="290"/>
      <c r="B35" s="239"/>
    </row>
    <row r="36" spans="1:2">
      <c r="A36" s="290"/>
      <c r="B36" s="239"/>
    </row>
    <row r="37" spans="1:2">
      <c r="A37" s="290"/>
      <c r="B37" s="239"/>
    </row>
    <row r="38" spans="1:2">
      <c r="A38" s="290"/>
      <c r="B38" s="239"/>
    </row>
    <row r="39" spans="1:2">
      <c r="A39" s="290"/>
      <c r="B39" s="239"/>
    </row>
    <row r="40" spans="1:2">
      <c r="A40" s="290"/>
      <c r="B40" s="239"/>
    </row>
    <row r="41" spans="1:2" ht="12.75" customHeight="1">
      <c r="A41" s="290"/>
      <c r="B41" s="239"/>
    </row>
    <row r="42" spans="1:2" ht="21" customHeight="1">
      <c r="A42" s="290"/>
      <c r="B42" s="239"/>
    </row>
    <row r="43" spans="1:2" ht="68.25" customHeight="1">
      <c r="A43" s="291"/>
      <c r="B43" s="240" t="s">
        <v>297</v>
      </c>
    </row>
  </sheetData>
  <mergeCells count="9">
    <mergeCell ref="A2:B2"/>
    <mergeCell ref="A3:B3"/>
    <mergeCell ref="A4:B4"/>
    <mergeCell ref="A6:B6"/>
    <mergeCell ref="A28:A43"/>
    <mergeCell ref="A19:B19"/>
    <mergeCell ref="A7:B7"/>
    <mergeCell ref="A18:B18"/>
    <mergeCell ref="A5:B5"/>
  </mergeCells>
  <phoneticPr fontId="3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Summary">
    <pageSetUpPr fitToPage="1"/>
  </sheetPr>
  <dimension ref="A1:I26"/>
  <sheetViews>
    <sheetView showGridLines="0" workbookViewId="0">
      <selection activeCell="L9" sqref="L9"/>
    </sheetView>
  </sheetViews>
  <sheetFormatPr defaultColWidth="11.5" defaultRowHeight="15.95" customHeight="1"/>
  <cols>
    <col min="1" max="1" width="2.75" style="2" customWidth="1"/>
    <col min="2" max="2" width="5.75" style="2" customWidth="1"/>
    <col min="3" max="3" width="45.75" style="2" customWidth="1"/>
    <col min="4" max="5" width="25.75" style="2" customWidth="1"/>
    <col min="6" max="6" width="10.75" style="2" customWidth="1"/>
    <col min="7" max="7" width="30.75" style="2" customWidth="1"/>
    <col min="8" max="11" width="5.75" style="2" customWidth="1"/>
    <col min="12" max="12" width="11.25" style="2" customWidth="1"/>
    <col min="13" max="18" width="5.75" style="2" customWidth="1"/>
    <col min="19" max="16384" width="11.5" style="2"/>
  </cols>
  <sheetData>
    <row r="1" spans="1:9" ht="13.5" customHeight="1" thickBot="1"/>
    <row r="2" spans="1:9" ht="15.95" customHeight="1">
      <c r="A2" s="7"/>
      <c r="B2" s="38" t="str">
        <f>Drop!A182</f>
        <v>汇总</v>
      </c>
      <c r="C2" s="16"/>
      <c r="D2" s="16"/>
      <c r="E2" s="17"/>
      <c r="F2" s="18"/>
      <c r="G2" s="18"/>
      <c r="H2" s="18"/>
      <c r="I2" s="19"/>
    </row>
    <row r="3" spans="1:9" ht="38.25" customHeight="1">
      <c r="B3" s="20"/>
      <c r="C3" s="47" t="str">
        <f>Drop!A184</f>
        <v>适用的抽样方法</v>
      </c>
      <c r="D3" s="205" t="s">
        <v>285</v>
      </c>
      <c r="E3" s="302" t="str">
        <f>Drop!A183</f>
        <v>项目名称</v>
      </c>
      <c r="F3" s="302"/>
      <c r="G3" s="241"/>
      <c r="H3" s="8"/>
      <c r="I3" s="21"/>
    </row>
    <row r="4" spans="1:9" ht="12.95" customHeight="1">
      <c r="B4" s="20"/>
      <c r="C4" s="145"/>
      <c r="D4" s="8"/>
      <c r="E4" s="146"/>
      <c r="F4" s="8"/>
      <c r="G4" s="8"/>
      <c r="H4" s="8"/>
      <c r="I4" s="21"/>
    </row>
    <row r="5" spans="1:9" ht="15.95" customHeight="1">
      <c r="B5" s="20"/>
      <c r="C5" s="47" t="str">
        <f>Drop!A185</f>
        <v>是否是高风险业务或上市实体?</v>
      </c>
      <c r="D5" s="222" t="s">
        <v>283</v>
      </c>
      <c r="E5" s="303" t="str">
        <f>Drop!A215</f>
        <v>纳入审计范围的项目</v>
      </c>
      <c r="F5" s="302"/>
      <c r="G5" s="242"/>
      <c r="H5" s="8"/>
      <c r="I5" s="21"/>
    </row>
    <row r="6" spans="1:9" ht="12.95" customHeight="1">
      <c r="B6" s="20"/>
      <c r="C6" s="145"/>
      <c r="D6" s="8"/>
      <c r="E6" s="145"/>
      <c r="F6" s="8"/>
      <c r="G6" s="8"/>
      <c r="H6" s="8"/>
      <c r="I6" s="21"/>
    </row>
    <row r="7" spans="1:9" ht="32.1" customHeight="1">
      <c r="B7" s="20"/>
      <c r="C7" s="301" t="str">
        <f>Drop!A186</f>
        <v>被审计单位是否达到事务所规定的其他标准（如适用）?</v>
      </c>
      <c r="D7" s="304"/>
      <c r="E7" s="302" t="str">
        <f>Drop!A216</f>
        <v>纳入审计范围的项目 (绝对值)</v>
      </c>
      <c r="F7" s="302"/>
      <c r="G7" s="225"/>
      <c r="H7" s="8"/>
      <c r="I7" s="21"/>
    </row>
    <row r="8" spans="1:9" ht="15.95" customHeight="1">
      <c r="B8" s="20"/>
      <c r="C8" s="301"/>
      <c r="D8" s="304"/>
      <c r="E8" s="25"/>
      <c r="F8" s="25"/>
      <c r="G8" s="25"/>
      <c r="H8" s="8"/>
      <c r="I8" s="21"/>
    </row>
    <row r="9" spans="1:9" ht="12.95" customHeight="1">
      <c r="B9" s="20"/>
      <c r="C9" s="145"/>
      <c r="D9" s="8"/>
      <c r="E9" s="25"/>
      <c r="F9" s="25"/>
      <c r="G9" s="25"/>
      <c r="H9" s="8"/>
      <c r="I9" s="21"/>
    </row>
    <row r="10" spans="1:9" ht="15.95" customHeight="1">
      <c r="B10" s="20"/>
      <c r="C10" s="49" t="str">
        <f>Drop!A187</f>
        <v>实际执行的重要性</v>
      </c>
      <c r="D10" s="221"/>
      <c r="E10" s="25"/>
      <c r="F10" s="25"/>
      <c r="G10" s="25"/>
      <c r="H10" s="8"/>
      <c r="I10" s="21"/>
    </row>
    <row r="11" spans="1:9" ht="15.95" customHeight="1">
      <c r="B11" s="20"/>
      <c r="C11" s="9" t="str">
        <f>Drop!A189</f>
        <v>总体</v>
      </c>
      <c r="D11" s="8"/>
      <c r="E11" s="8"/>
      <c r="F11" s="8"/>
      <c r="G11" s="8"/>
      <c r="H11" s="8"/>
      <c r="I11" s="21"/>
    </row>
    <row r="12" spans="1:9" ht="15.95" customHeight="1">
      <c r="B12" s="20"/>
      <c r="C12" s="195" t="str">
        <f>Drop!A190</f>
        <v>名称</v>
      </c>
      <c r="D12" s="195" t="str">
        <f>Drop!A191</f>
        <v>绝对值</v>
      </c>
      <c r="E12" s="195" t="str">
        <f>Drop!A192</f>
        <v>范围</v>
      </c>
      <c r="F12" s="305" t="str">
        <f>Drop!A193</f>
        <v>测试页链接</v>
      </c>
      <c r="G12" s="306"/>
      <c r="H12" s="307"/>
      <c r="I12" s="21"/>
    </row>
    <row r="13" spans="1:9" ht="15.95" customHeight="1">
      <c r="B13" s="20"/>
      <c r="C13" s="235"/>
      <c r="D13" s="189"/>
      <c r="E13" s="206"/>
      <c r="F13" s="298" t="str">
        <f>IF(E13=Drop!$A$22,HYPERLINK("#'"&amp;Drop!A203&amp;" - "&amp;Drop!$A$199&amp;"'!$F$3",Drop!A203&amp;" - "&amp;Drop!$A$199),IF(E13=Drop!$A$23,HYPERLINK("#'"&amp;Drop!A203&amp;" - "&amp;Drop!$A$200&amp;"'!$F$3",Drop!A203&amp;" - "&amp;Drop!$A$200),""))</f>
        <v/>
      </c>
      <c r="G13" s="299"/>
      <c r="H13" s="300"/>
      <c r="I13" s="21"/>
    </row>
    <row r="14" spans="1:9" ht="15.95" customHeight="1">
      <c r="B14" s="20"/>
      <c r="C14" s="236"/>
      <c r="D14" s="189"/>
      <c r="E14" s="206"/>
      <c r="F14" s="298" t="str">
        <f>IF(E14=Drop!$A$22,HYPERLINK("#'"&amp;Drop!A204&amp;" - "&amp;Drop!$A$199&amp;"'!$F$3",Drop!A204&amp;" - "&amp;Drop!$A$199),IF(E14=Drop!$A$23,HYPERLINK("#'"&amp;Drop!A204&amp;" - "&amp;Drop!$A$200&amp;"'!$F$3",Drop!A204&amp;" - "&amp;Drop!$A$200),""))</f>
        <v/>
      </c>
      <c r="G14" s="299"/>
      <c r="H14" s="300"/>
      <c r="I14" s="21"/>
    </row>
    <row r="15" spans="1:9" ht="15.95" customHeight="1">
      <c r="B15" s="20"/>
      <c r="C15" s="204"/>
      <c r="D15" s="189"/>
      <c r="E15" s="206"/>
      <c r="F15" s="298" t="str">
        <f>IF(E15=Drop!$A$22,HYPERLINK("#'"&amp;Drop!A205&amp;" - "&amp;Drop!$A$199&amp;"'!$F$3",Drop!A205&amp;" - "&amp;Drop!$A$199),IF(E15=Drop!$A$23,HYPERLINK("#'"&amp;Drop!A205&amp;" - "&amp;Drop!$A$200&amp;"'!$F$3",Drop!A205&amp;" - "&amp;Drop!$A$200),""))</f>
        <v/>
      </c>
      <c r="G15" s="299"/>
      <c r="H15" s="300"/>
      <c r="I15" s="21"/>
    </row>
    <row r="16" spans="1:9" ht="15.95" customHeight="1">
      <c r="B16" s="20"/>
      <c r="C16" s="204"/>
      <c r="D16" s="189"/>
      <c r="E16" s="206"/>
      <c r="F16" s="298" t="str">
        <f>IF(E16=Drop!$A$22,HYPERLINK("#'"&amp;Drop!A206&amp;" - "&amp;Drop!$A$199&amp;"'!$F$3",Drop!A206&amp;" - "&amp;Drop!$A$199),IF(E16=Drop!$A$23,HYPERLINK("#'"&amp;Drop!A206&amp;" - "&amp;Drop!$A$200&amp;"'!$F$3",Drop!A206&amp;" - "&amp;Drop!$A$200),""))</f>
        <v/>
      </c>
      <c r="G16" s="299"/>
      <c r="H16" s="300"/>
      <c r="I16" s="21"/>
    </row>
    <row r="17" spans="2:9" ht="15.95" customHeight="1">
      <c r="B17" s="20"/>
      <c r="C17" s="204"/>
      <c r="D17" s="189"/>
      <c r="E17" s="206"/>
      <c r="F17" s="298" t="str">
        <f>IF(E17=Drop!$A$22,HYPERLINK("#'"&amp;Drop!A207&amp;" - "&amp;Drop!$A$199&amp;"'!$F$3",Drop!A207&amp;" - "&amp;Drop!$A$199),IF(E17=Drop!$A$23,HYPERLINK("#'"&amp;Drop!A207&amp;" - "&amp;Drop!$A$200&amp;"'!$F$3",Drop!A207&amp;" - "&amp;Drop!$A$200),""))</f>
        <v/>
      </c>
      <c r="G17" s="299"/>
      <c r="H17" s="300"/>
      <c r="I17" s="21"/>
    </row>
    <row r="18" spans="2:9" ht="15.95" customHeight="1">
      <c r="B18" s="20"/>
      <c r="C18" s="204"/>
      <c r="D18" s="189"/>
      <c r="E18" s="206"/>
      <c r="F18" s="298" t="str">
        <f>IF(E18=Drop!$A$22,HYPERLINK("#'"&amp;Drop!A208&amp;" - "&amp;Drop!$A$199&amp;"'!$F$3",Drop!A208&amp;" - "&amp;Drop!$A$199),IF(E18=Drop!$A$23,HYPERLINK("#'"&amp;Drop!A208&amp;" - "&amp;Drop!$A$200&amp;"'!$F$3",Drop!A208&amp;" - "&amp;Drop!$A$200),""))</f>
        <v/>
      </c>
      <c r="G18" s="299"/>
      <c r="H18" s="300"/>
      <c r="I18" s="21"/>
    </row>
    <row r="19" spans="2:9" ht="15.95" customHeight="1">
      <c r="B19" s="20"/>
      <c r="C19" s="204"/>
      <c r="D19" s="189"/>
      <c r="E19" s="206"/>
      <c r="F19" s="298" t="str">
        <f>IF(E19=Drop!$A$22,HYPERLINK("#'"&amp;Drop!A209&amp;" - "&amp;Drop!$A$199&amp;"'!$F$3",Drop!A209&amp;" - "&amp;Drop!$A$199),IF(E19=Drop!$A$23,HYPERLINK("#'"&amp;Drop!A209&amp;" - "&amp;Drop!$A$200&amp;"'!$F$3",Drop!A209&amp;" - "&amp;Drop!$A$200),""))</f>
        <v/>
      </c>
      <c r="G19" s="299"/>
      <c r="H19" s="300"/>
      <c r="I19" s="21"/>
    </row>
    <row r="20" spans="2:9" ht="15.95" customHeight="1">
      <c r="B20" s="20"/>
      <c r="C20" s="204"/>
      <c r="D20" s="189"/>
      <c r="E20" s="206"/>
      <c r="F20" s="298" t="str">
        <f>IF(E20=Drop!$A$22,HYPERLINK("#'"&amp;Drop!A210&amp;" - "&amp;Drop!$A$199&amp;"'!$F$3",Drop!A210&amp;" - "&amp;Drop!$A$199),IF(E20=Drop!$A$23,HYPERLINK("#'"&amp;Drop!A210&amp;" - "&amp;Drop!$A$200&amp;"'!$F$3",Drop!A210&amp;" - "&amp;Drop!$A$200),""))</f>
        <v/>
      </c>
      <c r="G20" s="299"/>
      <c r="H20" s="300"/>
      <c r="I20" s="21"/>
    </row>
    <row r="21" spans="2:9" ht="15.95" customHeight="1">
      <c r="B21" s="20"/>
      <c r="C21" s="204"/>
      <c r="D21" s="189"/>
      <c r="E21" s="206"/>
      <c r="F21" s="298" t="str">
        <f>IF(E21=Drop!$A$22,HYPERLINK("#'"&amp;Drop!A211&amp;" - "&amp;Drop!$A$199&amp;"'!$F$3",Drop!A211&amp;" - "&amp;Drop!$A$199),IF(E21=Drop!$A$23,HYPERLINK("#'"&amp;Drop!A211&amp;" - "&amp;Drop!$A$200&amp;"'!$F$3",Drop!A211&amp;" - "&amp;Drop!$A$200),""))</f>
        <v/>
      </c>
      <c r="G21" s="299"/>
      <c r="H21" s="300"/>
      <c r="I21" s="21"/>
    </row>
    <row r="22" spans="2:9" ht="15.95" customHeight="1">
      <c r="B22" s="20"/>
      <c r="C22" s="204"/>
      <c r="D22" s="189"/>
      <c r="E22" s="206"/>
      <c r="F22" s="298" t="str">
        <f>IF(E22=Drop!$A$22,HYPERLINK("#'"&amp;Drop!A212&amp;" - "&amp;Drop!$A$199&amp;"'!$F$3",Drop!A212&amp;" - "&amp;Drop!$A$199),IF(E22=Drop!$A$23,HYPERLINK("#'"&amp;Drop!A212&amp;" - "&amp;Drop!$A$200&amp;"'!$F$3",Drop!A212&amp;" - "&amp;Drop!$A$200),""))</f>
        <v/>
      </c>
      <c r="G22" s="299"/>
      <c r="H22" s="300"/>
      <c r="I22" s="21"/>
    </row>
    <row r="23" spans="2:9" ht="15.95" customHeight="1">
      <c r="B23" s="20"/>
      <c r="C23" s="223" t="str">
        <f>Drop!A194</f>
        <v>合计</v>
      </c>
      <c r="D23" s="203">
        <f>SUM(D13:D22)</f>
        <v>0</v>
      </c>
      <c r="E23" s="25"/>
      <c r="F23" s="25"/>
      <c r="G23" s="25"/>
      <c r="H23" s="25"/>
      <c r="I23" s="21"/>
    </row>
    <row r="24" spans="2:9" ht="15.95" customHeight="1">
      <c r="B24" s="20"/>
      <c r="C24" s="8"/>
      <c r="D24" s="131"/>
      <c r="E24" s="25"/>
      <c r="F24" s="25"/>
      <c r="G24" s="25"/>
      <c r="H24" s="25"/>
      <c r="I24" s="21"/>
    </row>
    <row r="25" spans="2:9" ht="15.95" customHeight="1" thickBot="1">
      <c r="B25" s="22"/>
      <c r="C25" s="23"/>
      <c r="D25" s="132"/>
      <c r="E25" s="23"/>
      <c r="F25" s="23"/>
      <c r="G25" s="23"/>
      <c r="H25" s="23"/>
      <c r="I25" s="24"/>
    </row>
    <row r="26" spans="2:9" ht="15.95" customHeight="1">
      <c r="D26" s="133"/>
    </row>
  </sheetData>
  <sheetProtection algorithmName="SHA-512" hashValue="h7NyEpVAYPCTc+3bY00AgL+a3YtH3wasUdhM6q0NT/s9283eu+y1RWcRLV4pDmoWHvFuWD+rJi4D9a7AKFBgeA==" saltValue="TU5I4uE/RWnt4trP62tdgA==" spinCount="100000" sheet="1" objects="1" scenarios="1"/>
  <protectedRanges>
    <protectedRange sqref="D3 D5 D7 D10 G3 G5 G10 G7 C13:E22" name="Summary"/>
  </protectedRanges>
  <mergeCells count="16">
    <mergeCell ref="E3:F3"/>
    <mergeCell ref="E5:F5"/>
    <mergeCell ref="E7:F7"/>
    <mergeCell ref="D7:D8"/>
    <mergeCell ref="F12:H12"/>
    <mergeCell ref="F13:H13"/>
    <mergeCell ref="F14:H14"/>
    <mergeCell ref="F15:H15"/>
    <mergeCell ref="C7:C8"/>
    <mergeCell ref="F19:H19"/>
    <mergeCell ref="F20:H20"/>
    <mergeCell ref="F21:H21"/>
    <mergeCell ref="F22:H22"/>
    <mergeCell ref="F16:H16"/>
    <mergeCell ref="F17:H17"/>
    <mergeCell ref="F18:H18"/>
  </mergeCells>
  <phoneticPr fontId="32" type="noConversion"/>
  <conditionalFormatting sqref="D5">
    <cfRule type="expression" dxfId="307" priority="7">
      <formula>ISBLANK($D$5)</formula>
    </cfRule>
  </conditionalFormatting>
  <conditionalFormatting sqref="D10">
    <cfRule type="expression" dxfId="306" priority="5">
      <formula>ISBLANK($D$10)</formula>
    </cfRule>
  </conditionalFormatting>
  <conditionalFormatting sqref="G3">
    <cfRule type="expression" dxfId="305" priority="4">
      <formula>ISBLANK($G$3)</formula>
    </cfRule>
  </conditionalFormatting>
  <conditionalFormatting sqref="G5">
    <cfRule type="expression" dxfId="304" priority="3">
      <formula>ISBLANK($G$5)</formula>
    </cfRule>
  </conditionalFormatting>
  <conditionalFormatting sqref="G7">
    <cfRule type="expression" dxfId="303" priority="2">
      <formula>ISBLANK($G$7)</formula>
    </cfRule>
  </conditionalFormatting>
  <conditionalFormatting sqref="D3">
    <cfRule type="expression" dxfId="302" priority="1">
      <formula>ISBLANK($D$3)</formula>
    </cfRule>
  </conditionalFormatting>
  <dataValidations count="8">
    <dataValidation type="list" allowBlank="1" showInputMessage="1" showErrorMessage="1" sqref="E13:E22" xr:uid="{00000000-0002-0000-0300-000000000000}">
      <formula1>Extent</formula1>
    </dataValidation>
    <dataValidation type="list" allowBlank="1" showInputMessage="1" showErrorMessage="1" sqref="D3" xr:uid="{00000000-0002-0000-0300-000001000000}">
      <formula1>Context</formula1>
    </dataValidation>
    <dataValidation type="textLength" allowBlank="1" showInputMessage="1" showErrorMessage="1" sqref="G3" xr:uid="{00000000-0002-0000-0300-000002000000}">
      <formula1>1</formula1>
      <formula2>250</formula2>
    </dataValidation>
    <dataValidation type="decimal" allowBlank="1" showInputMessage="1" showErrorMessage="1" sqref="D13:D22" xr:uid="{00000000-0002-0000-0300-000003000000}">
      <formula1>-9.99999999999999E+39</formula1>
      <formula2>9.99999999999999E+34</formula2>
    </dataValidation>
    <dataValidation type="list" allowBlank="1" showInputMessage="1" showErrorMessage="1" sqref="D5" xr:uid="{E1E4D605-E79B-4CEE-A9E8-3E0AE4FE66B9}">
      <formula1>YesNo</formula1>
    </dataValidation>
    <dataValidation type="list" allowBlank="1" showInputMessage="1" showErrorMessage="1" sqref="D7:D8" xr:uid="{283AD1D5-FBDE-403A-94BC-B55F7B12C77A}">
      <formula1>YesNoApp</formula1>
    </dataValidation>
    <dataValidation type="decimal" allowBlank="1" showInputMessage="1" showErrorMessage="1" sqref="D10" xr:uid="{351008E8-216B-4C81-8D1C-CD539B544B2E}">
      <formula1>0</formula1>
      <formula2>9.99999999999999E+39</formula2>
    </dataValidation>
    <dataValidation type="decimal" operator="greaterThanOrEqual" allowBlank="1" showInputMessage="1" showErrorMessage="1" error="请输入代表纳入审计范围内项目的绝对值（正值）。" sqref="G7" xr:uid="{1C94BBB8-CB7F-4C0E-9AFA-74D3BAEAD6C4}">
      <formula1>0</formula1>
    </dataValidation>
  </dataValidations>
  <pageMargins left="0.25" right="0.25" top="0.75" bottom="0.75" header="0.3" footer="0.3"/>
  <pageSetup scale="82" orientation="landscape" r:id="rId1"/>
  <headerFooter>
    <oddFooter>&amp;C&amp;P of &amp;N&amp;R&amp;A</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6" id="{00000000-000E-0000-0200-000003000000}">
            <xm:f>$D$5&lt;&gt;Drop!$A$14</xm:f>
            <x14:dxf>
              <font>
                <color rgb="FF4F2D7F"/>
              </font>
              <fill>
                <patternFill>
                  <bgColor rgb="FF4F2D7F"/>
                </patternFill>
              </fill>
            </x14:dxf>
          </x14:cfRule>
          <xm:sqref>C7:D7</xm:sqref>
        </x14:conditionalFormatting>
        <x14:conditionalFormatting xmlns:xm="http://schemas.microsoft.com/office/excel/2006/main">
          <x14:cfRule type="expression" priority="10" id="{8D558510-B31B-4FBF-8171-4E2E402397A9}">
            <xm:f>AND($D$5=Drop!$A$14,ISBLANK($D$7))</xm:f>
            <x14:dxf>
              <fill>
                <patternFill>
                  <bgColor rgb="FFFFE699"/>
                </patternFill>
              </fill>
              <border>
                <left style="thin">
                  <color rgb="FFFF0000"/>
                </left>
                <right style="thin">
                  <color rgb="FFFF0000"/>
                </right>
                <top style="thin">
                  <color rgb="FFFF0000"/>
                </top>
                <bottom style="thin">
                  <color rgb="FFFF0000"/>
                </bottom>
              </border>
            </x14:dxf>
          </x14:cfRule>
          <xm:sqref>D7:D8</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3338-217F-479E-A6E2-88F22467A4C0}">
  <sheetPr codeName="sheet0NonStatistical3">
    <pageSetUpPr fitToPage="1"/>
  </sheetPr>
  <dimension ref="A1:AL60"/>
  <sheetViews>
    <sheetView showGridLines="0" topLeftCell="F29" zoomScale="80" zoomScaleNormal="80" workbookViewId="0">
      <selection activeCell="S34" sqref="S34"/>
    </sheetView>
  </sheetViews>
  <sheetFormatPr defaultColWidth="9.125" defaultRowHeight="12.75" outlineLevelCol="1"/>
  <cols>
    <col min="1" max="1" width="2.75" style="2" customWidth="1"/>
    <col min="2" max="2" width="5.75" style="2" customWidth="1"/>
    <col min="3" max="5" width="25.75" style="2" customWidth="1"/>
    <col min="6" max="6" width="1.75" style="2" customWidth="1"/>
    <col min="7" max="7" width="1.125" style="2" customWidth="1"/>
    <col min="8" max="8" width="5.75" style="2" customWidth="1"/>
    <col min="9" max="9" width="17.75" style="2" customWidth="1"/>
    <col min="10" max="11" width="5.75" style="2" customWidth="1"/>
    <col min="12" max="12" width="17.75" style="2" customWidth="1"/>
    <col min="13" max="13" width="5.75" style="2" customWidth="1"/>
    <col min="14" max="14" width="9.75" style="2" customWidth="1"/>
    <col min="15" max="15" width="5.75" style="2" customWidth="1"/>
    <col min="16" max="16" width="15.75" style="2" customWidth="1"/>
    <col min="17" max="17" width="10.75" style="2" customWidth="1"/>
    <col min="18" max="18" width="1.5" style="2" customWidth="1"/>
    <col min="19" max="21" width="5.75" style="2" customWidth="1"/>
    <col min="22" max="22" width="11.75" style="2" customWidth="1"/>
    <col min="23" max="27" width="5.75" style="2" customWidth="1"/>
    <col min="28" max="28" width="21.75" style="2" customWidth="1"/>
    <col min="29" max="30" width="2.75" style="2" hidden="1" customWidth="1" outlineLevel="1"/>
    <col min="31" max="31" width="9.125" style="2" hidden="1" customWidth="1" outlineLevel="1"/>
    <col min="32" max="32" width="21.5" style="2" hidden="1" customWidth="1" outlineLevel="1"/>
    <col min="33" max="33" width="15.25" style="2" hidden="1" customWidth="1" outlineLevel="1"/>
    <col min="34" max="34" width="14.5" style="2" hidden="1" customWidth="1" outlineLevel="1"/>
    <col min="35" max="35" width="14.25" style="2" hidden="1" customWidth="1" outlineLevel="1"/>
    <col min="36" max="36" width="15.5" style="2" hidden="1" customWidth="1" outlineLevel="1"/>
    <col min="37" max="37" width="9.125" style="2" hidden="1" customWidth="1" outlineLevel="1"/>
    <col min="38" max="38" width="9.125" style="2" customWidth="1" collapsed="1"/>
    <col min="39" max="40" width="9.125" style="2" customWidth="1"/>
    <col min="41" max="16384" width="9.125" style="2"/>
  </cols>
  <sheetData>
    <row r="1" spans="1:37" ht="21" thickBot="1">
      <c r="A1" s="1"/>
      <c r="B1" s="308"/>
      <c r="C1" s="309"/>
      <c r="D1" s="309"/>
      <c r="E1" s="309"/>
      <c r="F1" s="1"/>
      <c r="G1" s="1"/>
      <c r="H1" s="1"/>
      <c r="I1" s="1"/>
      <c r="O1" s="1"/>
      <c r="AC1" s="1"/>
      <c r="AF1" s="10" t="s">
        <v>32</v>
      </c>
      <c r="AG1" s="2" t="s">
        <v>1</v>
      </c>
    </row>
    <row r="2" spans="1:37" ht="12.95" customHeight="1">
      <c r="A2" s="7"/>
      <c r="B2" s="38"/>
      <c r="C2" s="39"/>
      <c r="D2" s="39"/>
      <c r="E2" s="39"/>
      <c r="F2" s="39"/>
      <c r="G2" s="39"/>
      <c r="H2" s="39"/>
      <c r="I2" s="39"/>
      <c r="J2" s="40"/>
      <c r="K2" s="40"/>
      <c r="L2" s="40"/>
      <c r="M2" s="41"/>
      <c r="N2" s="41"/>
      <c r="O2" s="41"/>
      <c r="P2" s="41"/>
      <c r="Q2" s="41"/>
      <c r="R2" s="41"/>
      <c r="S2" s="41"/>
      <c r="T2" s="41"/>
      <c r="U2" s="41"/>
      <c r="V2" s="41"/>
      <c r="W2" s="41"/>
      <c r="X2" s="41"/>
      <c r="Y2" s="41"/>
      <c r="Z2" s="41"/>
      <c r="AA2" s="41"/>
      <c r="AB2" s="42"/>
      <c r="AF2" s="27"/>
      <c r="AG2" s="27"/>
    </row>
    <row r="3" spans="1:37" ht="12.95" customHeight="1">
      <c r="A3" s="15"/>
      <c r="B3" s="45"/>
      <c r="C3" s="47" t="str">
        <f>Drop!A102</f>
        <v>总体名称：</v>
      </c>
      <c r="D3" s="310"/>
      <c r="E3" s="311"/>
      <c r="F3" s="46"/>
      <c r="G3" s="46"/>
      <c r="H3" s="46"/>
      <c r="I3" s="46"/>
      <c r="J3" s="48"/>
      <c r="K3" s="49"/>
      <c r="L3" s="49"/>
      <c r="M3" s="49"/>
      <c r="N3" s="49"/>
      <c r="O3" s="49"/>
      <c r="P3" s="49"/>
      <c r="Q3" s="49"/>
      <c r="R3" s="49"/>
      <c r="S3" s="49"/>
      <c r="T3" s="49"/>
      <c r="U3" s="49"/>
      <c r="V3" s="50"/>
      <c r="W3" s="51"/>
      <c r="X3" s="51"/>
      <c r="Y3" s="51"/>
      <c r="Z3" s="51"/>
      <c r="AA3" s="51"/>
      <c r="AB3" s="52"/>
      <c r="AF3" s="27"/>
      <c r="AG3" s="27"/>
      <c r="AH3" s="27"/>
      <c r="AI3" s="27"/>
    </row>
    <row r="4" spans="1:37" ht="12.95" customHeight="1">
      <c r="A4" s="1"/>
      <c r="B4" s="53"/>
      <c r="C4" s="47" t="str">
        <f>Drop!A103</f>
        <v>适用的样本计划：</v>
      </c>
      <c r="D4" s="312" t="str">
        <f>汇总!D3</f>
        <v>致同抽样</v>
      </c>
      <c r="E4" s="313"/>
      <c r="F4" s="46"/>
      <c r="G4" s="46"/>
      <c r="H4" s="46"/>
      <c r="I4" s="46"/>
      <c r="J4" s="46"/>
      <c r="K4" s="49" t="str">
        <f>Drop!A105</f>
        <v>高信赖（其他标准）?：</v>
      </c>
      <c r="L4" s="312" t="str">
        <f>IF(ISBLANK(汇总!D7),Drop!A247,汇总!D7)</f>
        <v>否 - 不适用</v>
      </c>
      <c r="M4" s="314"/>
      <c r="N4" s="314"/>
      <c r="O4" s="313"/>
      <c r="P4" s="49"/>
      <c r="Q4" s="49"/>
      <c r="R4" s="49"/>
      <c r="S4" s="49"/>
      <c r="T4" s="49"/>
      <c r="U4" s="49"/>
      <c r="V4" s="50"/>
      <c r="W4" s="51"/>
      <c r="X4" s="51"/>
      <c r="Y4" s="51"/>
      <c r="Z4" s="51"/>
      <c r="AA4" s="51"/>
      <c r="AB4" s="52"/>
      <c r="AF4" s="27"/>
      <c r="AG4" s="27"/>
      <c r="AH4" s="27"/>
      <c r="AI4" s="27"/>
    </row>
    <row r="5" spans="1:37" ht="12.95" customHeight="1">
      <c r="A5" s="1"/>
      <c r="B5" s="54"/>
      <c r="C5" s="49" t="str">
        <f>Drop!A104</f>
        <v>上市实体/ 高风险?：</v>
      </c>
      <c r="D5" s="315" t="str">
        <f>汇总!D5</f>
        <v>是</v>
      </c>
      <c r="E5" s="316"/>
      <c r="F5" s="46"/>
      <c r="G5" s="46"/>
      <c r="H5" s="46"/>
      <c r="I5" s="46"/>
      <c r="J5" s="46"/>
      <c r="K5" s="49" t="str">
        <f>Drop!A106</f>
        <v>实际执行的重要性</v>
      </c>
      <c r="L5" s="317">
        <f>汇总!D10</f>
        <v>0</v>
      </c>
      <c r="M5" s="318"/>
      <c r="N5" s="318"/>
      <c r="O5" s="319"/>
      <c r="P5" s="49"/>
      <c r="Q5" s="49"/>
      <c r="R5" s="49"/>
      <c r="S5" s="49"/>
      <c r="T5" s="49"/>
      <c r="U5" s="49"/>
      <c r="V5" s="50"/>
      <c r="W5" s="51"/>
      <c r="X5" s="51"/>
      <c r="Y5" s="51"/>
      <c r="Z5" s="51"/>
      <c r="AA5" s="51"/>
      <c r="AB5" s="52"/>
      <c r="AF5" s="27" t="s">
        <v>161</v>
      </c>
      <c r="AG5" s="27" t="b">
        <f>OR(E11=Drop!A37)</f>
        <v>0</v>
      </c>
      <c r="AH5" s="11"/>
    </row>
    <row r="6" spans="1:37" ht="12.95" customHeight="1" thickBot="1">
      <c r="A6" s="1"/>
      <c r="B6" s="56"/>
      <c r="C6" s="57"/>
      <c r="D6" s="57"/>
      <c r="E6" s="57"/>
      <c r="F6" s="57"/>
      <c r="G6" s="57"/>
      <c r="H6" s="57"/>
      <c r="I6" s="57"/>
      <c r="J6" s="57"/>
      <c r="K6" s="57"/>
      <c r="L6" s="57"/>
      <c r="M6" s="57"/>
      <c r="N6" s="57"/>
      <c r="O6" s="57"/>
      <c r="P6" s="57"/>
      <c r="Q6" s="57"/>
      <c r="R6" s="57"/>
      <c r="S6" s="57"/>
      <c r="T6" s="57"/>
      <c r="U6" s="57"/>
      <c r="V6" s="57"/>
      <c r="W6" s="57"/>
      <c r="X6" s="57"/>
      <c r="Y6" s="57"/>
      <c r="Z6" s="57"/>
      <c r="AA6" s="57"/>
      <c r="AB6" s="58"/>
      <c r="AF6" s="27" t="s">
        <v>36</v>
      </c>
      <c r="AG6" s="27" t="b">
        <f>OR(D5=Drop!A13,L4=Drop!A246)</f>
        <v>1</v>
      </c>
      <c r="AH6" s="4"/>
    </row>
    <row r="7" spans="1:37" ht="13.5" thickBot="1">
      <c r="B7" s="60"/>
      <c r="C7" s="60"/>
      <c r="D7" s="60"/>
      <c r="E7" s="60"/>
      <c r="F7" s="35"/>
      <c r="G7" s="35"/>
      <c r="H7" s="35"/>
      <c r="I7" s="35"/>
      <c r="J7" s="35"/>
      <c r="K7" s="35"/>
      <c r="L7" s="35"/>
      <c r="M7" s="35"/>
      <c r="N7" s="35"/>
      <c r="O7" s="35"/>
      <c r="P7" s="35"/>
      <c r="Q7" s="35"/>
      <c r="R7" s="35"/>
      <c r="S7" s="35"/>
      <c r="T7" s="35"/>
      <c r="U7" s="35"/>
      <c r="V7" s="35"/>
      <c r="W7" s="35"/>
      <c r="X7" s="35"/>
      <c r="Y7" s="35"/>
      <c r="Z7" s="35"/>
      <c r="AA7" s="35"/>
      <c r="AB7" s="35"/>
      <c r="AF7" s="27" t="s">
        <v>37</v>
      </c>
      <c r="AG7" s="28">
        <f>IF(AG6=TRUE,5%,10%)</f>
        <v>0.05</v>
      </c>
      <c r="AH7" s="4"/>
    </row>
    <row r="8" spans="1:37" ht="13.5" thickBot="1">
      <c r="B8" s="62" t="str">
        <f>Drop!A93</f>
        <v>步骤 1 - 确定测试的目标</v>
      </c>
      <c r="C8" s="63"/>
      <c r="D8" s="63"/>
      <c r="E8" s="63"/>
      <c r="F8" s="64"/>
      <c r="G8" s="35"/>
      <c r="H8" s="65" t="str">
        <f>Drop!A95</f>
        <v>步骤 3 - 抽样方法</v>
      </c>
      <c r="I8" s="66"/>
      <c r="J8" s="66"/>
      <c r="K8" s="66"/>
      <c r="L8" s="66"/>
      <c r="M8" s="66"/>
      <c r="N8" s="66"/>
      <c r="O8" s="66"/>
      <c r="P8" s="66"/>
      <c r="Q8" s="67"/>
      <c r="R8" s="35"/>
      <c r="S8" s="65" t="str">
        <f>Drop!A97</f>
        <v>步骤 5 - 选取样本</v>
      </c>
      <c r="T8" s="66"/>
      <c r="U8" s="66"/>
      <c r="V8" s="66"/>
      <c r="W8" s="66"/>
      <c r="X8" s="66"/>
      <c r="Y8" s="66"/>
      <c r="Z8" s="66"/>
      <c r="AA8" s="66"/>
      <c r="AB8" s="67"/>
      <c r="AF8" s="27" t="s">
        <v>27</v>
      </c>
      <c r="AG8" s="26" t="str">
        <f>D4</f>
        <v>致同抽样</v>
      </c>
      <c r="AH8" s="12"/>
    </row>
    <row r="9" spans="1:37" ht="15" customHeight="1">
      <c r="B9" s="69"/>
      <c r="C9" s="70"/>
      <c r="D9" s="70"/>
      <c r="E9" s="70"/>
      <c r="F9" s="71"/>
      <c r="G9" s="35"/>
      <c r="H9" s="320" t="str">
        <f>IF(AG2=TRUE,Drop!A88,"")</f>
        <v/>
      </c>
      <c r="I9" s="321"/>
      <c r="J9" s="321"/>
      <c r="K9" s="321"/>
      <c r="L9" s="321"/>
      <c r="M9" s="321"/>
      <c r="N9" s="321"/>
      <c r="O9" s="321"/>
      <c r="P9" s="321"/>
      <c r="Q9" s="322"/>
      <c r="R9" s="35"/>
      <c r="S9" s="72"/>
      <c r="T9" s="32"/>
      <c r="U9" s="32"/>
      <c r="V9" s="32"/>
      <c r="W9" s="32"/>
      <c r="X9" s="32"/>
      <c r="Y9" s="32"/>
      <c r="Z9" s="32"/>
      <c r="AA9" s="32"/>
      <c r="AB9" s="73"/>
      <c r="AF9" s="27" t="s">
        <v>43</v>
      </c>
      <c r="AG9" s="26">
        <f>VLOOKUP(AG8,Drop!A17:B19,2,FALSE)</f>
        <v>2</v>
      </c>
      <c r="AH9" s="12"/>
    </row>
    <row r="10" spans="1:37" ht="20.100000000000001" customHeight="1">
      <c r="B10" s="326" t="str">
        <f>Drop!A108</f>
        <v>认定</v>
      </c>
      <c r="C10" s="327"/>
      <c r="D10" s="328"/>
      <c r="E10" s="212"/>
      <c r="F10" s="199"/>
      <c r="G10" s="35"/>
      <c r="H10" s="323"/>
      <c r="I10" s="324"/>
      <c r="J10" s="324"/>
      <c r="K10" s="324"/>
      <c r="L10" s="324"/>
      <c r="M10" s="324"/>
      <c r="N10" s="324"/>
      <c r="O10" s="324"/>
      <c r="P10" s="324"/>
      <c r="Q10" s="325"/>
      <c r="R10" s="35"/>
      <c r="S10" s="135" t="str">
        <f>Drop!A139</f>
        <v>使用的选取方法</v>
      </c>
      <c r="T10" s="32"/>
      <c r="U10" s="32"/>
      <c r="V10" s="32"/>
      <c r="W10" s="32"/>
      <c r="X10" s="32"/>
      <c r="Y10" s="329"/>
      <c r="Z10" s="330"/>
      <c r="AA10" s="330"/>
      <c r="AB10" s="331"/>
      <c r="AF10" s="27" t="s">
        <v>39</v>
      </c>
      <c r="AG10" s="28" t="e">
        <f>VLOOKUP(E11,Drop!A37:D39,AG9,FALSE)</f>
        <v>#N/A</v>
      </c>
      <c r="AH10" s="11"/>
    </row>
    <row r="11" spans="1:37" ht="26.1" customHeight="1">
      <c r="B11" s="326" t="str">
        <f>Drop!A109</f>
        <v>固有风险</v>
      </c>
      <c r="C11" s="327"/>
      <c r="D11" s="328"/>
      <c r="E11" s="211"/>
      <c r="F11" s="199"/>
      <c r="G11" s="35"/>
      <c r="H11" s="117"/>
      <c r="I11" s="32"/>
      <c r="J11" s="32"/>
      <c r="K11" s="118" t="str">
        <f>Drop!A121</f>
        <v>非统计抽样</v>
      </c>
      <c r="L11" s="32"/>
      <c r="M11" s="118"/>
      <c r="N11" s="118"/>
      <c r="O11" s="32"/>
      <c r="P11" s="32"/>
      <c r="Q11" s="73"/>
      <c r="R11" s="35"/>
      <c r="S11" s="74"/>
      <c r="T11" s="32"/>
      <c r="U11" s="32"/>
      <c r="V11" s="32"/>
      <c r="W11" s="32"/>
      <c r="X11" s="32"/>
      <c r="Y11" s="32"/>
      <c r="Z11" s="32"/>
      <c r="AA11" s="32"/>
      <c r="AB11" s="73"/>
      <c r="AF11" s="27" t="s">
        <v>40</v>
      </c>
      <c r="AG11" s="61" t="str">
        <f>IF(ISBLANK(E12),"",IF(E12=Drop!A43,Drop!B43,VLOOKUP(E13,Drop!A44:D46,AG9,FALSE)))</f>
        <v/>
      </c>
      <c r="AH11" s="29" t="s">
        <v>167</v>
      </c>
      <c r="AI11" s="27" t="b">
        <f>E12=Drop!A45</f>
        <v>0</v>
      </c>
      <c r="AJ11" s="27" t="str">
        <f>IF(AI$11=TRUE,Drop!A13,"")</f>
        <v/>
      </c>
      <c r="AK11" s="27" t="str">
        <f>IF(AI$11=TRUE,Drop!A14,"")</f>
        <v/>
      </c>
    </row>
    <row r="12" spans="1:37" ht="26.1" customHeight="1">
      <c r="B12" s="332" t="str">
        <f>Drop!A110</f>
        <v>对控制的信赖程度</v>
      </c>
      <c r="C12" s="333"/>
      <c r="D12" s="334"/>
      <c r="E12" s="212"/>
      <c r="F12" s="199"/>
      <c r="G12" s="35"/>
      <c r="H12" s="117"/>
      <c r="I12" s="32"/>
      <c r="J12" s="119"/>
      <c r="K12" s="119"/>
      <c r="L12" s="119"/>
      <c r="M12" s="119"/>
      <c r="N12" s="134" t="str">
        <f>Drop!A122</f>
        <v>总体的性质?</v>
      </c>
      <c r="O12" s="335"/>
      <c r="P12" s="336"/>
      <c r="Q12" s="73"/>
      <c r="R12" s="35"/>
      <c r="S12" s="135" t="str">
        <f>Drop!A140</f>
        <v>样本间隔</v>
      </c>
      <c r="T12" s="32"/>
      <c r="U12" s="32"/>
      <c r="V12" s="32"/>
      <c r="W12" s="32"/>
      <c r="X12" s="32"/>
      <c r="Y12" s="337" t="str" cm="1">
        <f t="array" ref="Y12">_xlfn.IFS(ISBLANK(Y10),"",AND(Y10=Drop!A62,O12=Drop!A125),Drop!A228,Y10&lt;&gt;Drop!A62,Drop!A222,ISERROR(AG25),Drop!A219,TRUE,AG25)</f>
        <v/>
      </c>
      <c r="Z12" s="338"/>
      <c r="AA12" s="338"/>
      <c r="AB12" s="339"/>
      <c r="AF12" s="27" t="s">
        <v>41</v>
      </c>
      <c r="AG12" s="28" t="e">
        <f>VLOOKUP(K19,Drop!A52:D54,AG9,FALSE)</f>
        <v>#N/A</v>
      </c>
      <c r="AH12" s="11"/>
      <c r="AJ12" s="2" t="str">
        <f>IF(AI$11=TRUE,Drop!A14,"")</f>
        <v/>
      </c>
    </row>
    <row r="13" spans="1:37" ht="20.100000000000001" customHeight="1">
      <c r="B13" s="332" t="str">
        <f>Drop!A48</f>
        <v>测试范围</v>
      </c>
      <c r="C13" s="333"/>
      <c r="D13" s="333"/>
      <c r="E13" s="212"/>
      <c r="F13" s="199"/>
      <c r="G13" s="35"/>
      <c r="H13" s="117"/>
      <c r="I13" s="32"/>
      <c r="J13" s="119"/>
      <c r="K13" s="119"/>
      <c r="L13" s="119"/>
      <c r="M13" s="119"/>
      <c r="N13" s="179"/>
      <c r="O13" s="119"/>
      <c r="P13" s="179"/>
      <c r="Q13" s="73"/>
      <c r="R13" s="35"/>
      <c r="S13" s="135"/>
      <c r="T13" s="32"/>
      <c r="U13" s="32"/>
      <c r="V13" s="32"/>
      <c r="W13" s="32"/>
      <c r="X13" s="32"/>
      <c r="Y13" s="180"/>
      <c r="Z13" s="180"/>
      <c r="AA13" s="180"/>
      <c r="AB13" s="181"/>
      <c r="AF13" s="27"/>
      <c r="AG13" s="28"/>
      <c r="AH13" s="11"/>
    </row>
    <row r="14" spans="1:37" ht="15.75" customHeight="1" thickBot="1">
      <c r="B14" s="162"/>
      <c r="C14" s="163"/>
      <c r="D14" s="163"/>
      <c r="E14" s="163"/>
      <c r="F14" s="200"/>
      <c r="G14" s="35"/>
      <c r="H14" s="76"/>
      <c r="I14" s="77"/>
      <c r="J14" s="77"/>
      <c r="K14" s="77"/>
      <c r="L14" s="77"/>
      <c r="M14" s="77"/>
      <c r="N14" s="77"/>
      <c r="O14" s="77"/>
      <c r="P14" s="77"/>
      <c r="Q14" s="78"/>
      <c r="R14" s="35"/>
      <c r="S14" s="76"/>
      <c r="T14" s="77"/>
      <c r="U14" s="77"/>
      <c r="V14" s="77"/>
      <c r="W14" s="77"/>
      <c r="X14" s="77"/>
      <c r="Y14" s="77"/>
      <c r="Z14" s="77"/>
      <c r="AA14" s="77"/>
      <c r="AB14" s="78"/>
      <c r="AF14" s="27" t="s">
        <v>38</v>
      </c>
      <c r="AG14" s="28" t="e">
        <f>VLOOKUP(K20,Drop!A52:D54,AG9,FALSE)</f>
        <v>#N/A</v>
      </c>
      <c r="AH14" s="13"/>
    </row>
    <row r="15" spans="1:37" ht="13.5" thickBot="1">
      <c r="B15" s="35"/>
      <c r="C15" s="35"/>
      <c r="D15" s="35"/>
      <c r="E15" s="35"/>
      <c r="F15" s="35"/>
      <c r="G15" s="35"/>
      <c r="H15" s="35"/>
      <c r="I15" s="35"/>
      <c r="J15" s="35"/>
      <c r="K15" s="35"/>
      <c r="L15" s="35"/>
      <c r="M15" s="35"/>
      <c r="N15" s="35"/>
      <c r="O15" s="35"/>
      <c r="P15" s="35"/>
      <c r="Q15" s="35"/>
      <c r="R15" s="35"/>
      <c r="S15" s="80"/>
      <c r="T15" s="81"/>
      <c r="U15" s="81"/>
      <c r="V15" s="81"/>
      <c r="W15" s="81"/>
      <c r="X15" s="81"/>
      <c r="Y15" s="81"/>
      <c r="Z15" s="81"/>
      <c r="AA15" s="81"/>
      <c r="AB15" s="81"/>
      <c r="AF15" s="27" t="s">
        <v>211</v>
      </c>
      <c r="AG15" s="28" t="e">
        <f>VLOOKUP(K21,Drop!A58:D59,AG9,FALSE)</f>
        <v>#N/A</v>
      </c>
      <c r="AH15" s="14"/>
    </row>
    <row r="16" spans="1:37" ht="13.5" thickBot="1">
      <c r="B16" s="65" t="str">
        <f>Drop!A94</f>
        <v>步骤 2 - 定义和分析总体</v>
      </c>
      <c r="C16" s="66"/>
      <c r="D16" s="66"/>
      <c r="E16" s="66"/>
      <c r="F16" s="67"/>
      <c r="G16" s="35"/>
      <c r="H16" s="65" t="str">
        <f>Drop!A96</f>
        <v>步骤 4 - 确定样本量</v>
      </c>
      <c r="I16" s="66"/>
      <c r="J16" s="66"/>
      <c r="K16" s="66"/>
      <c r="L16" s="66"/>
      <c r="M16" s="66"/>
      <c r="N16" s="66"/>
      <c r="O16" s="66"/>
      <c r="P16" s="66"/>
      <c r="Q16" s="67"/>
      <c r="R16" s="35"/>
      <c r="S16" s="65" t="str">
        <f>Drop!A98</f>
        <v>步骤 6 - 测试已选取样本</v>
      </c>
      <c r="T16" s="66"/>
      <c r="U16" s="66"/>
      <c r="V16" s="66"/>
      <c r="W16" s="66"/>
      <c r="X16" s="66"/>
      <c r="Y16" s="66"/>
      <c r="Z16" s="66"/>
      <c r="AA16" s="66"/>
      <c r="AB16" s="67"/>
      <c r="AF16" s="27" t="s">
        <v>45</v>
      </c>
      <c r="AG16" s="28" t="e">
        <f>AG7/(AG10*AG11*AG12*AG14*AG15)</f>
        <v>#N/A</v>
      </c>
    </row>
    <row r="17" spans="2:33">
      <c r="B17" s="85"/>
      <c r="C17" s="86"/>
      <c r="D17" s="86"/>
      <c r="E17" s="86"/>
      <c r="F17" s="87"/>
      <c r="G17" s="35"/>
      <c r="H17" s="85"/>
      <c r="I17" s="86"/>
      <c r="J17" s="86"/>
      <c r="K17" s="86"/>
      <c r="L17" s="86"/>
      <c r="M17" s="86"/>
      <c r="N17" s="86"/>
      <c r="O17" s="86"/>
      <c r="P17" s="86"/>
      <c r="Q17" s="87"/>
      <c r="R17" s="35"/>
      <c r="S17" s="74"/>
      <c r="T17" s="32"/>
      <c r="U17" s="32"/>
      <c r="V17" s="32"/>
      <c r="W17" s="32"/>
      <c r="X17" s="32"/>
      <c r="Y17" s="32"/>
      <c r="Z17" s="32"/>
      <c r="AA17" s="32"/>
      <c r="AB17" s="73"/>
      <c r="AF17" s="27" t="s">
        <v>46</v>
      </c>
      <c r="AG17" s="30" t="e">
        <f>1-AG16</f>
        <v>#N/A</v>
      </c>
    </row>
    <row r="18" spans="2:33" ht="14.25">
      <c r="B18" s="349" t="str">
        <f>Drop!A112</f>
        <v>总体的绝对值</v>
      </c>
      <c r="C18" s="350"/>
      <c r="D18" s="351"/>
      <c r="E18" s="224"/>
      <c r="F18" s="199"/>
      <c r="G18" s="35"/>
      <c r="H18" s="135" t="str">
        <f>Drop!A130</f>
        <v>提供的证据:</v>
      </c>
      <c r="I18" s="32"/>
      <c r="J18" s="32"/>
      <c r="K18" s="32"/>
      <c r="L18" s="32"/>
      <c r="M18" s="358" t="str">
        <f>Drop!A82</f>
        <v>描述程序</v>
      </c>
      <c r="N18" s="359"/>
      <c r="O18" s="359"/>
      <c r="P18" s="359"/>
      <c r="Q18" s="360"/>
      <c r="R18" s="35"/>
      <c r="S18" s="340" t="str">
        <f>Drop!A142</f>
        <v>相关测试记录的工作底稿索引:</v>
      </c>
      <c r="T18" s="341"/>
      <c r="U18" s="341"/>
      <c r="V18" s="341"/>
      <c r="W18" s="341"/>
      <c r="X18" s="341"/>
      <c r="Y18" s="342"/>
      <c r="Z18" s="343"/>
      <c r="AA18" s="344"/>
      <c r="AB18" s="345"/>
      <c r="AF18" s="27" t="s">
        <v>48</v>
      </c>
      <c r="AG18" s="31">
        <f>IF(E19=Drop!A14,(E18-E24-E25),(E20 - E24-E25))</f>
        <v>0</v>
      </c>
    </row>
    <row r="19" spans="2:33" ht="30" customHeight="1">
      <c r="B19" s="349" t="str">
        <f>Drop!A67</f>
        <v>测试少于总体的100%？</v>
      </c>
      <c r="C19" s="350"/>
      <c r="D19" s="351"/>
      <c r="E19" s="211"/>
      <c r="F19" s="199"/>
      <c r="G19" s="136"/>
      <c r="H19" s="135" t="str">
        <f>Drop!A131</f>
        <v>分析程序</v>
      </c>
      <c r="I19" s="93"/>
      <c r="J19" s="130"/>
      <c r="K19" s="329"/>
      <c r="L19" s="352"/>
      <c r="M19" s="329"/>
      <c r="N19" s="330"/>
      <c r="O19" s="330"/>
      <c r="P19" s="330"/>
      <c r="Q19" s="331"/>
      <c r="R19" s="35"/>
      <c r="S19" s="340"/>
      <c r="T19" s="341"/>
      <c r="U19" s="341"/>
      <c r="V19" s="341"/>
      <c r="W19" s="341"/>
      <c r="X19" s="341"/>
      <c r="Y19" s="342"/>
      <c r="Z19" s="346"/>
      <c r="AA19" s="347"/>
      <c r="AB19" s="348"/>
      <c r="AF19" s="27" t="s">
        <v>49</v>
      </c>
      <c r="AG19" s="27" t="b">
        <f>OR(E24&gt;0,E25&gt;0,D24&gt;0,D25&gt;0)</f>
        <v>0</v>
      </c>
    </row>
    <row r="20" spans="2:33" ht="30" customHeight="1" thickBot="1">
      <c r="B20" s="361" t="str">
        <f>IF(OR(ISBLANK(E19),E19=Drop!A14),"",Drop!A68)</f>
        <v/>
      </c>
      <c r="C20" s="362"/>
      <c r="D20" s="362"/>
      <c r="E20" s="198"/>
      <c r="F20" s="199"/>
      <c r="G20" s="136"/>
      <c r="H20" s="137" t="str">
        <f>Drop!A132</f>
        <v>其他细节测试</v>
      </c>
      <c r="I20" s="93"/>
      <c r="J20" s="130"/>
      <c r="K20" s="329"/>
      <c r="L20" s="352"/>
      <c r="M20" s="329"/>
      <c r="N20" s="330"/>
      <c r="O20" s="330"/>
      <c r="P20" s="330"/>
      <c r="Q20" s="331"/>
      <c r="R20" s="35"/>
      <c r="S20" s="76"/>
      <c r="T20" s="77"/>
      <c r="U20" s="77"/>
      <c r="V20" s="77"/>
      <c r="W20" s="77"/>
      <c r="X20" s="77"/>
      <c r="Y20" s="77"/>
      <c r="Z20" s="77"/>
      <c r="AA20" s="77"/>
      <c r="AB20" s="78"/>
      <c r="AF20" s="153" t="s">
        <v>99</v>
      </c>
      <c r="AG20" s="27" t="str">
        <f>IF(ISERROR(OR(AG12&lt;100%,AG14&lt;100%)),"",OR(AG12&lt;100%,AG14&lt;100%))</f>
        <v/>
      </c>
    </row>
    <row r="21" spans="2:33" ht="30" customHeight="1">
      <c r="B21" s="196"/>
      <c r="C21" s="197"/>
      <c r="D21" s="197"/>
      <c r="E21" s="197"/>
      <c r="F21" s="199"/>
      <c r="G21" s="136"/>
      <c r="H21" s="137" t="str">
        <f>Drop!A133</f>
        <v>审计数据分析</v>
      </c>
      <c r="I21" s="93"/>
      <c r="J21" s="130"/>
      <c r="K21" s="329"/>
      <c r="L21" s="352"/>
      <c r="M21" s="329"/>
      <c r="N21" s="330"/>
      <c r="O21" s="330"/>
      <c r="P21" s="330"/>
      <c r="Q21" s="331"/>
      <c r="R21" s="35"/>
      <c r="S21" s="35"/>
      <c r="T21" s="35"/>
      <c r="U21" s="35"/>
      <c r="V21" s="35"/>
      <c r="W21" s="35"/>
      <c r="X21" s="35"/>
      <c r="Y21" s="35"/>
      <c r="Z21" s="35"/>
      <c r="AA21" s="35"/>
      <c r="AB21" s="35"/>
      <c r="AF21" s="176" t="s">
        <v>205</v>
      </c>
      <c r="AG21" s="177" t="b">
        <f>OR(O12=Drop!A125,O12=Drop!A126,Y10=Drop!A62)</f>
        <v>0</v>
      </c>
    </row>
    <row r="22" spans="2:33" s="141" customFormat="1" ht="23.25" customHeight="1">
      <c r="B22" s="158" t="str">
        <f>Drop!A113</f>
        <v>重大金额或关键项目进行单独测试:</v>
      </c>
      <c r="C22" s="159"/>
      <c r="D22" s="159"/>
      <c r="E22" s="159"/>
      <c r="F22" s="157"/>
      <c r="G22" s="136"/>
      <c r="H22" s="137" t="str">
        <f>Drop!A134</f>
        <v>预期总体错报金额</v>
      </c>
      <c r="I22" s="93"/>
      <c r="J22" s="93"/>
      <c r="K22" s="93"/>
      <c r="L22" s="93"/>
      <c r="M22" s="353">
        <v>0.1</v>
      </c>
      <c r="N22" s="354"/>
      <c r="O22" s="355">
        <f>IF(ISBLANK(M22),"",$L$5*M22)</f>
        <v>0</v>
      </c>
      <c r="P22" s="356"/>
      <c r="Q22" s="357"/>
      <c r="R22" s="136"/>
      <c r="S22" s="136"/>
      <c r="T22" s="136"/>
      <c r="U22" s="136"/>
      <c r="V22" s="136"/>
      <c r="W22" s="136"/>
      <c r="X22" s="136"/>
      <c r="Y22" s="136"/>
      <c r="Z22" s="136"/>
      <c r="AA22" s="136"/>
      <c r="AB22" s="136"/>
      <c r="AF22" s="153"/>
      <c r="AG22" s="27"/>
    </row>
    <row r="23" spans="2:33">
      <c r="B23" s="166"/>
      <c r="C23" s="168"/>
      <c r="D23" s="195" t="str">
        <f>Drop!A114</f>
        <v>项目总数</v>
      </c>
      <c r="E23" s="192" t="str">
        <f>Drop!A115</f>
        <v>合计金额</v>
      </c>
      <c r="F23" s="73"/>
      <c r="G23" s="35"/>
      <c r="H23" s="363" t="str" cm="1">
        <f t="array" ref="H23">_xlfn.IFS(ISBLANK(M22),"",ISERROR(O22),Drop!A219,M22&lt;Drop!F62,Drop!A79,M22&gt;=Drop!H62,Drop!A81,M22&gt;Drop!G62,Drop!A80,TRUE,"")</f>
        <v/>
      </c>
      <c r="I23" s="364"/>
      <c r="J23" s="364"/>
      <c r="K23" s="364"/>
      <c r="L23" s="364"/>
      <c r="M23" s="364"/>
      <c r="N23" s="364"/>
      <c r="O23" s="364"/>
      <c r="P23" s="364"/>
      <c r="Q23" s="365"/>
      <c r="R23" s="35"/>
      <c r="S23" s="35"/>
      <c r="T23" s="35"/>
      <c r="U23" s="35"/>
      <c r="V23" s="35"/>
      <c r="W23" s="35"/>
      <c r="X23" s="35"/>
      <c r="Y23" s="35"/>
      <c r="Z23" s="35"/>
      <c r="AA23" s="35"/>
      <c r="AB23" s="161" t="str">
        <f>Drop!A243</f>
        <v>图例</v>
      </c>
      <c r="AF23" s="175" t="s">
        <v>85</v>
      </c>
      <c r="AG23" s="175" t="str">
        <f>IF(OR(ISBLANK(O12),ISBLANK(Y10)),"",IF(AG21,1,1.5))</f>
        <v/>
      </c>
    </row>
    <row r="24" spans="2:33" ht="24.95" customHeight="1">
      <c r="B24" s="166"/>
      <c r="C24" s="215" t="str">
        <f>Drop!A116</f>
        <v>定性</v>
      </c>
      <c r="D24" s="194"/>
      <c r="E24" s="218"/>
      <c r="F24" s="73"/>
      <c r="G24" s="91"/>
      <c r="H24" s="174" t="str">
        <f>IF(E19=Drop!A13,Drop!A137,"")</f>
        <v/>
      </c>
      <c r="I24" s="193"/>
      <c r="J24" s="193"/>
      <c r="K24" s="193"/>
      <c r="L24" s="167"/>
      <c r="M24" s="167"/>
      <c r="N24" s="167"/>
      <c r="O24" s="355" t="str">
        <f>IF(AND(E19=Drop!A13,ISBLANK(M22)=FALSE),O22*E20/E18,"")</f>
        <v/>
      </c>
      <c r="P24" s="356"/>
      <c r="Q24" s="357"/>
      <c r="R24" s="35"/>
      <c r="S24" s="35"/>
      <c r="T24" s="35"/>
      <c r="U24" s="35"/>
      <c r="V24" s="35"/>
      <c r="W24" s="35"/>
      <c r="X24" s="35"/>
      <c r="Y24" s="35"/>
      <c r="Z24" s="35"/>
      <c r="AA24" s="148" t="str">
        <f>Drop!A234</f>
        <v>系统生成或计算值</v>
      </c>
      <c r="AB24" s="150"/>
      <c r="AF24" s="27" t="s">
        <v>12</v>
      </c>
      <c r="AG24" s="140" t="str">
        <f>IF(ISBLANK(E19),Drop!A219,IF(E19=Drop!A13,IF(AG17&gt;0,ROUNDUP(PoissonSample(AG16,((O22*(E20/E18))/AG18),((L5*(E20/E18))/AG18))*AG23,0),0),IF(E19=Drop!A14,IF(AG17&gt;0,ROUNDUP(PoissonSample(AG16,((O22)/AG18),((L5)/AG18))*AG23,0),0))))</f>
        <v>核实所有输入</v>
      </c>
    </row>
    <row r="25" spans="2:33" ht="24.95" customHeight="1">
      <c r="B25" s="166"/>
      <c r="C25" s="215" t="str">
        <f>Drop!A117</f>
        <v>定量</v>
      </c>
      <c r="D25" s="194"/>
      <c r="E25" s="218"/>
      <c r="F25" s="73"/>
      <c r="G25" s="35"/>
      <c r="H25" s="92" t="str">
        <f>Drop!A135</f>
        <v>设计置信水平</v>
      </c>
      <c r="I25" s="121"/>
      <c r="J25" s="93"/>
      <c r="K25" s="93"/>
      <c r="L25" s="366" t="str">
        <f>IF(ISERROR(IF(AG17&lt;=0,Drop!A69,AG17)),Drop!A219,IF(AG17&lt;=0,Drop!A69,AG17))</f>
        <v>核实所有输入</v>
      </c>
      <c r="M25" s="366"/>
      <c r="N25" s="366"/>
      <c r="O25" s="366"/>
      <c r="P25" s="366"/>
      <c r="Q25" s="367"/>
      <c r="R25" s="35"/>
      <c r="S25" s="35"/>
      <c r="T25" s="35"/>
      <c r="U25" s="35"/>
      <c r="V25" s="35"/>
      <c r="W25" s="35"/>
      <c r="X25" s="35"/>
      <c r="Y25" s="35"/>
      <c r="Z25" s="35"/>
      <c r="AA25" s="148" t="str">
        <f>Drop!A235</f>
        <v>要求用户选择如何确定样本</v>
      </c>
      <c r="AB25" s="147"/>
      <c r="AF25" s="27" t="s">
        <v>106</v>
      </c>
      <c r="AG25" s="143" t="e" cm="1">
        <f t="array" ref="AG25">_xlfn.IFS(L26=Drop!A85,Drop!A227,L26=Drop!A84,ROUND(AG18/5,0),TRUE,ROUND(AG18/L26,0))</f>
        <v>#VALUE!</v>
      </c>
    </row>
    <row r="26" spans="2:33" ht="24.95" customHeight="1">
      <c r="B26" s="166"/>
      <c r="C26" s="168"/>
      <c r="D26" s="214" t="str">
        <f>Drop!A118</f>
        <v>抽样总体</v>
      </c>
      <c r="E26" s="219">
        <f>AG18</f>
        <v>0</v>
      </c>
      <c r="F26" s="169"/>
      <c r="G26" s="35"/>
      <c r="H26" s="92" t="str">
        <f>Drop!A136</f>
        <v>样本量</v>
      </c>
      <c r="I26" s="121"/>
      <c r="J26" s="93"/>
      <c r="K26" s="93"/>
      <c r="L26" s="368" t="str" cm="1">
        <f t="array" ref="L26">_xlfn.IFS(AG18&lt;=L5,Drop!A89,AG26=TRUE,Drop!A219,O22="",Drop!A219,ISERROR(AG24&gt;=5),Drop!A219,AG24&gt;=5,AG24,AG17&lt;=0,Drop!A85,TRUE,Drop!A84)</f>
        <v xml:space="preserve">警告 - 样本量小于或等于实际执行的重要性。			</v>
      </c>
      <c r="M26" s="368"/>
      <c r="N26" s="368"/>
      <c r="O26" s="368"/>
      <c r="P26" s="368"/>
      <c r="Q26" s="369"/>
      <c r="R26" s="35"/>
      <c r="S26" s="35"/>
      <c r="T26" s="35"/>
      <c r="U26" s="35"/>
      <c r="V26" s="35"/>
      <c r="W26" s="35"/>
      <c r="X26" s="35"/>
      <c r="Y26" s="35"/>
      <c r="Z26" s="35"/>
      <c r="AA26" s="148" t="str">
        <f>Drop!A236</f>
        <v>其他用户输入栏</v>
      </c>
      <c r="AB26" s="151"/>
      <c r="AF26" s="153" t="s">
        <v>244</v>
      </c>
      <c r="AG26" s="143" t="b">
        <f>M22&gt;=Drop!H62</f>
        <v>0</v>
      </c>
    </row>
    <row r="27" spans="2:33" ht="24.95" customHeight="1">
      <c r="B27" s="166"/>
      <c r="C27" s="168"/>
      <c r="D27" s="168"/>
      <c r="E27" s="168"/>
      <c r="F27" s="169"/>
      <c r="G27" s="35"/>
      <c r="H27" s="370" t="str">
        <f>IF(AG19=TRUE,Drop!A70,"")</f>
        <v/>
      </c>
      <c r="I27" s="371"/>
      <c r="J27" s="371"/>
      <c r="K27" s="371"/>
      <c r="L27" s="372" t="str">
        <f>IF(AG19=TRUE,D24+D25,"")</f>
        <v/>
      </c>
      <c r="M27" s="373"/>
      <c r="N27" s="373" t="str">
        <f>IF(AG19=TRUE,D24+D25,"")</f>
        <v/>
      </c>
      <c r="O27" s="373"/>
      <c r="P27" s="373"/>
      <c r="Q27" s="374"/>
      <c r="R27" s="35"/>
      <c r="S27" s="35"/>
      <c r="T27" s="35"/>
      <c r="U27" s="35"/>
      <c r="V27" s="35"/>
      <c r="W27" s="35"/>
      <c r="X27" s="35"/>
      <c r="Y27" s="35"/>
      <c r="Z27" s="35"/>
      <c r="AA27" s="148"/>
      <c r="AB27" s="35"/>
    </row>
    <row r="28" spans="2:33" ht="34.15" customHeight="1" thickBot="1">
      <c r="B28" s="375" t="str" cm="1">
        <f t="array" ref="B28">_xlfn.IFS(AG28=TRUE,Drop!A220,AG29=TRUE,Drop!A223,AG30=TRUE,Drop!A221,TRUE,"")</f>
        <v/>
      </c>
      <c r="C28" s="376"/>
      <c r="D28" s="376"/>
      <c r="E28" s="376"/>
      <c r="F28" s="377"/>
      <c r="G28" s="35"/>
      <c r="H28" s="76"/>
      <c r="I28" s="77"/>
      <c r="J28" s="77"/>
      <c r="K28" s="77"/>
      <c r="L28" s="77"/>
      <c r="M28" s="77"/>
      <c r="N28" s="77"/>
      <c r="O28" s="94"/>
      <c r="P28" s="77"/>
      <c r="Q28" s="95"/>
      <c r="R28" s="35"/>
      <c r="S28" s="35"/>
      <c r="T28" s="35"/>
      <c r="U28" s="35"/>
      <c r="V28" s="35"/>
      <c r="W28" s="35"/>
      <c r="X28" s="35"/>
      <c r="Y28" s="35"/>
      <c r="Z28" s="35"/>
      <c r="AA28" s="35"/>
      <c r="AB28" s="35"/>
      <c r="AF28" s="154" t="s">
        <v>206</v>
      </c>
      <c r="AG28" s="207" t="str">
        <f>IF(ISBLANK(E18),"",IF(E19=Drop!A13,SUM(E24:E25)&gt;E20,SUM(E24:E25)&gt;E18))</f>
        <v/>
      </c>
    </row>
    <row r="29" spans="2:33" ht="24.95" customHeight="1" thickBot="1">
      <c r="B29" s="96"/>
      <c r="C29" s="35"/>
      <c r="D29" s="35"/>
      <c r="E29" s="35"/>
      <c r="F29" s="35"/>
      <c r="G29" s="35"/>
      <c r="H29" s="35"/>
      <c r="I29" s="35"/>
      <c r="J29" s="35"/>
      <c r="K29" s="35"/>
      <c r="L29" s="35"/>
      <c r="M29" s="35"/>
      <c r="N29" s="35"/>
      <c r="O29" s="35"/>
      <c r="P29" s="35"/>
      <c r="Q29" s="35"/>
      <c r="R29" s="35"/>
      <c r="S29" s="35"/>
      <c r="T29" s="35"/>
      <c r="U29" s="35"/>
      <c r="V29" s="35"/>
      <c r="W29" s="35"/>
      <c r="X29" s="35"/>
      <c r="Y29" s="35"/>
      <c r="Z29" s="35"/>
      <c r="AA29" s="35"/>
      <c r="AB29" s="35"/>
      <c r="AF29" s="154" t="s">
        <v>207</v>
      </c>
      <c r="AG29" s="207" t="str">
        <f>IF(ISBLANK(E18),"",IF(E19=Drop!A13,(SUM(E24:E25)/E20)&gt;Drop!E223,(SUM(E24:E25)/E18)&gt;Drop!E223))</f>
        <v/>
      </c>
    </row>
    <row r="30" spans="2:33" ht="13.5" thickBot="1">
      <c r="B30" s="65" t="str">
        <f>Drop!A99</f>
        <v>步骤 7 - 评价样本结果</v>
      </c>
      <c r="C30" s="66"/>
      <c r="D30" s="66"/>
      <c r="E30" s="66"/>
      <c r="F30" s="66"/>
      <c r="G30" s="66"/>
      <c r="H30" s="66"/>
      <c r="I30" s="66"/>
      <c r="J30" s="66"/>
      <c r="K30" s="66"/>
      <c r="L30" s="66"/>
      <c r="M30" s="66"/>
      <c r="N30" s="66"/>
      <c r="O30" s="66"/>
      <c r="P30" s="66"/>
      <c r="Q30" s="66"/>
      <c r="R30" s="66"/>
      <c r="S30" s="66"/>
      <c r="T30" s="66"/>
      <c r="U30" s="66"/>
      <c r="V30" s="66"/>
      <c r="W30" s="66"/>
      <c r="X30" s="66"/>
      <c r="Y30" s="66"/>
      <c r="Z30" s="66"/>
      <c r="AA30" s="66"/>
      <c r="AB30" s="67"/>
      <c r="AF30" s="27" t="s">
        <v>237</v>
      </c>
      <c r="AG30" s="27" t="b">
        <f>OR(E24&lt;0,E25&lt;0)</f>
        <v>0</v>
      </c>
    </row>
    <row r="31" spans="2:33" ht="15" customHeight="1">
      <c r="B31" s="378" t="str" cm="1">
        <f t="array" ref="B31">_xlfn.IFS(L26=Drop!A85,Drop!A86,L26=Drop!A84,Drop!A87,ISERROR(L26),Drop!A219,TRUE,"")</f>
        <v/>
      </c>
      <c r="C31" s="379"/>
      <c r="D31" s="379"/>
      <c r="E31" s="379"/>
      <c r="F31" s="379"/>
      <c r="G31" s="379"/>
      <c r="H31" s="379"/>
      <c r="I31" s="379"/>
      <c r="J31" s="379"/>
      <c r="K31" s="379"/>
      <c r="L31" s="379"/>
      <c r="M31" s="379"/>
      <c r="N31" s="379"/>
      <c r="O31" s="379"/>
      <c r="P31" s="379"/>
      <c r="Q31" s="379"/>
      <c r="R31" s="379"/>
      <c r="S31" s="379"/>
      <c r="T31" s="379"/>
      <c r="U31" s="379"/>
      <c r="V31" s="379"/>
      <c r="W31" s="379"/>
      <c r="X31" s="379"/>
      <c r="Y31" s="379"/>
      <c r="Z31" s="379"/>
      <c r="AA31" s="379"/>
      <c r="AB31" s="380"/>
    </row>
    <row r="32" spans="2:33" ht="15.75" customHeight="1" thickBot="1">
      <c r="B32" s="381"/>
      <c r="C32" s="382"/>
      <c r="D32" s="382"/>
      <c r="E32" s="382"/>
      <c r="F32" s="382"/>
      <c r="G32" s="382"/>
      <c r="H32" s="382"/>
      <c r="I32" s="382"/>
      <c r="J32" s="382"/>
      <c r="K32" s="382"/>
      <c r="L32" s="382"/>
      <c r="M32" s="382"/>
      <c r="N32" s="382"/>
      <c r="O32" s="382"/>
      <c r="P32" s="382"/>
      <c r="Q32" s="382"/>
      <c r="R32" s="382"/>
      <c r="S32" s="382"/>
      <c r="T32" s="382"/>
      <c r="U32" s="382"/>
      <c r="V32" s="382"/>
      <c r="W32" s="382"/>
      <c r="X32" s="382"/>
      <c r="Y32" s="382"/>
      <c r="Z32" s="382"/>
      <c r="AA32" s="382"/>
      <c r="AB32" s="383"/>
    </row>
    <row r="33" spans="2:35" ht="15.75" customHeight="1" thickBot="1">
      <c r="B33" s="384" t="str">
        <f>Drop!A164</f>
        <v>存在错报</v>
      </c>
      <c r="C33" s="385"/>
      <c r="D33" s="385"/>
      <c r="E33" s="385"/>
      <c r="F33" s="385"/>
      <c r="G33" s="385"/>
      <c r="H33" s="385"/>
      <c r="I33" s="385"/>
      <c r="J33" s="385"/>
      <c r="K33" s="385"/>
      <c r="L33" s="385"/>
      <c r="M33" s="385"/>
      <c r="N33" s="385"/>
      <c r="O33" s="385"/>
      <c r="P33" s="385"/>
      <c r="Q33" s="386"/>
      <c r="R33" s="35"/>
      <c r="S33" s="387" t="s">
        <v>307</v>
      </c>
      <c r="T33" s="385"/>
      <c r="U33" s="385"/>
      <c r="V33" s="385"/>
      <c r="W33" s="385"/>
      <c r="X33" s="385"/>
      <c r="Y33" s="385"/>
      <c r="Z33" s="385"/>
      <c r="AA33" s="385"/>
      <c r="AB33" s="386"/>
    </row>
    <row r="34" spans="2:35">
      <c r="B34" s="202"/>
      <c r="C34" s="97"/>
      <c r="D34" s="97"/>
      <c r="E34" s="97"/>
      <c r="F34" s="97"/>
      <c r="G34" s="97"/>
      <c r="H34" s="97"/>
      <c r="I34" s="97"/>
      <c r="J34" s="97"/>
      <c r="K34" s="97"/>
      <c r="L34" s="97"/>
      <c r="M34" s="97"/>
      <c r="N34" s="97"/>
      <c r="O34" s="97"/>
      <c r="P34" s="97"/>
      <c r="Q34" s="98"/>
      <c r="R34" s="35"/>
      <c r="S34" s="74"/>
      <c r="T34" s="32"/>
      <c r="U34" s="32"/>
      <c r="V34" s="32"/>
      <c r="W34" s="32"/>
      <c r="X34" s="32"/>
      <c r="Y34" s="32"/>
      <c r="Z34" s="32"/>
      <c r="AA34" s="32"/>
      <c r="AB34" s="73"/>
      <c r="AF34" s="27" t="s">
        <v>105</v>
      </c>
      <c r="AG34" s="27">
        <f>COUNT(D37)</f>
        <v>0</v>
      </c>
      <c r="AH34" s="14"/>
    </row>
    <row r="35" spans="2:35">
      <c r="B35" s="72"/>
      <c r="C35" s="32"/>
      <c r="D35" s="388" t="str">
        <f>Drop!A165</f>
        <v>分层 1</v>
      </c>
      <c r="E35" s="388" t="str">
        <f>Drop!A166</f>
        <v>分层 2</v>
      </c>
      <c r="F35" s="32"/>
      <c r="G35" s="32"/>
      <c r="H35" s="390" t="str">
        <f>Drop!A167</f>
        <v>重大金额或关键项目</v>
      </c>
      <c r="I35" s="391"/>
      <c r="J35" s="32"/>
      <c r="K35" s="394" t="str">
        <f>Drop!A168</f>
        <v>合计</v>
      </c>
      <c r="L35" s="395"/>
      <c r="M35" s="32"/>
      <c r="N35" s="32"/>
      <c r="O35" s="32"/>
      <c r="P35" s="32"/>
      <c r="Q35" s="73"/>
      <c r="R35" s="35"/>
      <c r="S35" s="398" t="str">
        <f>Drop!A175</f>
        <v>样本的实际错报金额:</v>
      </c>
      <c r="T35" s="399"/>
      <c r="U35" s="399"/>
      <c r="V35" s="399"/>
      <c r="W35" s="399"/>
      <c r="X35" s="399"/>
      <c r="Y35" s="399"/>
      <c r="Z35" s="400"/>
      <c r="AA35" s="401">
        <f>K37</f>
        <v>0</v>
      </c>
      <c r="AB35" s="402"/>
      <c r="AF35" s="27" t="s">
        <v>183</v>
      </c>
      <c r="AG35" s="27">
        <f>COUNT(E37)</f>
        <v>0</v>
      </c>
    </row>
    <row r="36" spans="2:35">
      <c r="B36" s="74"/>
      <c r="C36" s="32"/>
      <c r="D36" s="389"/>
      <c r="E36" s="389"/>
      <c r="F36" s="32"/>
      <c r="G36" s="32"/>
      <c r="H36" s="392"/>
      <c r="I36" s="393"/>
      <c r="J36" s="32"/>
      <c r="K36" s="396"/>
      <c r="L36" s="397"/>
      <c r="M36" s="100"/>
      <c r="N36" s="100"/>
      <c r="O36" s="100"/>
      <c r="P36" s="100"/>
      <c r="Q36" s="122"/>
      <c r="R36" s="35"/>
      <c r="S36" s="398" t="str">
        <f>Drop!A176</f>
        <v>推断总体错报金额</v>
      </c>
      <c r="T36" s="399"/>
      <c r="U36" s="399"/>
      <c r="V36" s="399"/>
      <c r="W36" s="399"/>
      <c r="X36" s="399"/>
      <c r="Y36" s="399"/>
      <c r="Z36" s="400"/>
      <c r="AA36" s="401" t="str">
        <f>IFERROR(K45,"")</f>
        <v/>
      </c>
      <c r="AB36" s="402"/>
      <c r="AF36" s="27" t="s">
        <v>184</v>
      </c>
      <c r="AG36" s="27">
        <f>COUNT(H37)</f>
        <v>0</v>
      </c>
      <c r="AH36" s="4"/>
    </row>
    <row r="37" spans="2:35" ht="13.5" thickBot="1">
      <c r="B37" s="419" t="str">
        <f>Drop!A169</f>
        <v>合计错报金额</v>
      </c>
      <c r="C37" s="420"/>
      <c r="D37" s="220"/>
      <c r="E37" s="220"/>
      <c r="F37" s="32"/>
      <c r="G37" s="32"/>
      <c r="H37" s="403"/>
      <c r="I37" s="404"/>
      <c r="J37" s="124"/>
      <c r="K37" s="405">
        <f>D37+E37+H37</f>
        <v>0</v>
      </c>
      <c r="L37" s="406"/>
      <c r="M37" s="125"/>
      <c r="N37" s="125"/>
      <c r="O37" s="125"/>
      <c r="P37" s="125"/>
      <c r="Q37" s="120"/>
      <c r="R37" s="35"/>
      <c r="S37" s="74" t="str">
        <f>Drop!A177</f>
        <v>结果:</v>
      </c>
      <c r="T37" s="106"/>
      <c r="U37" s="106"/>
      <c r="V37" s="106"/>
      <c r="W37" s="106"/>
      <c r="X37" s="106"/>
      <c r="Y37" s="106"/>
      <c r="Z37" s="106"/>
      <c r="AA37" s="106"/>
      <c r="AB37" s="107"/>
      <c r="AF37" s="27" t="s">
        <v>86</v>
      </c>
      <c r="AG37" s="26"/>
      <c r="AH37" s="4"/>
      <c r="AI37" s="14"/>
    </row>
    <row r="38" spans="2:35" ht="12.75" customHeight="1">
      <c r="B38" s="74"/>
      <c r="C38" s="32"/>
      <c r="D38" s="125"/>
      <c r="E38" s="126"/>
      <c r="F38" s="32"/>
      <c r="G38" s="32"/>
      <c r="H38" s="126"/>
      <c r="I38" s="126"/>
      <c r="J38" s="124"/>
      <c r="K38" s="124"/>
      <c r="L38" s="125"/>
      <c r="M38" s="125"/>
      <c r="N38" s="125"/>
      <c r="O38" s="125"/>
      <c r="P38" s="125"/>
      <c r="Q38" s="120"/>
      <c r="R38" s="35"/>
      <c r="S38" s="433" t="str">
        <f>IF(O12=Drop!A125,IF(COUNTA(D43:E43)&lt;2,Drop!A219,IF(ISERROR(IF(AG38=FALSE,Drop!A77,Drop!A78)),Drop!A219,IF(AG38=FALSE,Drop!A77,Drop!A78))),IF(ISBLANK(O12),Drop!A219,IF(COUNTA(D43:D43)&lt;1,Drop!A219,IF(ISERROR(IF(AG38=FALSE,Drop!A77,Drop!A78)),Drop!A219,IF(AG38=FALSE,Drop!A77,Drop!A78)))))</f>
        <v>核实所有输入</v>
      </c>
      <c r="T38" s="434"/>
      <c r="U38" s="434"/>
      <c r="V38" s="434"/>
      <c r="W38" s="434"/>
      <c r="X38" s="434"/>
      <c r="Y38" s="434"/>
      <c r="Z38" s="434"/>
      <c r="AA38" s="434"/>
      <c r="AB38" s="435"/>
      <c r="AF38" s="27" t="s">
        <v>88</v>
      </c>
      <c r="AG38" s="26" t="e">
        <f>IF(ABS(U43)&gt;O22,TRUE,FALSE)</f>
        <v>#VALUE!</v>
      </c>
      <c r="AH38" s="4"/>
      <c r="AI38" s="14"/>
    </row>
    <row r="39" spans="2:35">
      <c r="B39" s="419" t="str">
        <f>Drop!A170</f>
        <v>样本项目账面价值</v>
      </c>
      <c r="C39" s="420"/>
      <c r="D39" s="220"/>
      <c r="E39" s="190"/>
      <c r="F39" s="32"/>
      <c r="G39" s="32"/>
      <c r="H39" s="125"/>
      <c r="I39" s="125"/>
      <c r="J39" s="124"/>
      <c r="K39" s="125"/>
      <c r="L39" s="125"/>
      <c r="M39" s="125"/>
      <c r="N39" s="125"/>
      <c r="O39" s="125"/>
      <c r="P39" s="125"/>
      <c r="Q39" s="120"/>
      <c r="R39" s="35"/>
      <c r="S39" s="436"/>
      <c r="T39" s="437"/>
      <c r="U39" s="437"/>
      <c r="V39" s="437"/>
      <c r="W39" s="437"/>
      <c r="X39" s="437"/>
      <c r="Y39" s="437"/>
      <c r="Z39" s="437"/>
      <c r="AA39" s="437"/>
      <c r="AB39" s="438"/>
      <c r="AF39" s="4"/>
      <c r="AG39" s="4"/>
      <c r="AH39" s="4"/>
      <c r="AI39" s="14"/>
    </row>
    <row r="40" spans="2:35">
      <c r="B40" s="74"/>
      <c r="C40" s="32"/>
      <c r="D40" s="125"/>
      <c r="E40" s="126"/>
      <c r="F40" s="32"/>
      <c r="G40" s="32"/>
      <c r="H40" s="126"/>
      <c r="I40" s="126"/>
      <c r="J40" s="124"/>
      <c r="K40" s="124"/>
      <c r="L40" s="125"/>
      <c r="M40" s="125"/>
      <c r="N40" s="125"/>
      <c r="O40" s="125"/>
      <c r="P40" s="125"/>
      <c r="Q40" s="120"/>
      <c r="R40" s="35"/>
      <c r="S40" s="436"/>
      <c r="T40" s="437"/>
      <c r="U40" s="437"/>
      <c r="V40" s="437"/>
      <c r="W40" s="437"/>
      <c r="X40" s="437"/>
      <c r="Y40" s="437"/>
      <c r="Z40" s="437"/>
      <c r="AA40" s="437"/>
      <c r="AB40" s="438"/>
      <c r="AF40" s="4"/>
      <c r="AG40" s="4"/>
      <c r="AH40" s="4"/>
      <c r="AI40" s="14"/>
    </row>
    <row r="41" spans="2:35" ht="32.25" customHeight="1" thickBot="1">
      <c r="B41" s="419" t="str">
        <f>Drop!A171</f>
        <v>错报比率</v>
      </c>
      <c r="C41" s="432"/>
      <c r="D41" s="216" t="str">
        <f>IF(AG34=1,D37/D39,"")</f>
        <v/>
      </c>
      <c r="E41" s="217" t="str">
        <f>IFERROR( IF(AG35=1,E37/E39,""),"")</f>
        <v/>
      </c>
      <c r="F41" s="32"/>
      <c r="G41" s="32"/>
      <c r="H41" s="125"/>
      <c r="I41" s="125"/>
      <c r="J41" s="124"/>
      <c r="K41" s="125"/>
      <c r="L41" s="125"/>
      <c r="M41" s="125"/>
      <c r="N41" s="125"/>
      <c r="O41" s="125"/>
      <c r="P41" s="125"/>
      <c r="Q41" s="120"/>
      <c r="R41" s="35"/>
      <c r="S41" s="439"/>
      <c r="T41" s="440"/>
      <c r="U41" s="440"/>
      <c r="V41" s="440"/>
      <c r="W41" s="440"/>
      <c r="X41" s="440"/>
      <c r="Y41" s="440"/>
      <c r="Z41" s="440"/>
      <c r="AA41" s="440"/>
      <c r="AB41" s="441"/>
      <c r="AF41" s="4"/>
      <c r="AG41" s="4"/>
      <c r="AH41" s="4"/>
      <c r="AI41" s="14"/>
    </row>
    <row r="42" spans="2:35">
      <c r="B42" s="123"/>
      <c r="C42" s="32"/>
      <c r="D42" s="125"/>
      <c r="E42" s="126"/>
      <c r="F42" s="32"/>
      <c r="G42" s="32"/>
      <c r="H42" s="126"/>
      <c r="I42" s="126"/>
      <c r="J42" s="124"/>
      <c r="K42" s="124"/>
      <c r="L42" s="125"/>
      <c r="M42" s="125"/>
      <c r="N42" s="125"/>
      <c r="O42" s="125"/>
      <c r="P42" s="125"/>
      <c r="Q42" s="120"/>
      <c r="R42" s="35"/>
      <c r="S42" s="74"/>
      <c r="T42" s="32"/>
      <c r="U42" s="32"/>
      <c r="V42" s="32"/>
      <c r="W42" s="32"/>
      <c r="X42" s="32"/>
      <c r="Y42" s="32"/>
      <c r="Z42" s="32"/>
      <c r="AA42" s="32"/>
      <c r="AB42" s="73"/>
      <c r="AF42" s="4"/>
      <c r="AG42" s="4"/>
      <c r="AH42" s="4"/>
      <c r="AI42" s="14"/>
    </row>
    <row r="43" spans="2:35" ht="12.75" customHeight="1">
      <c r="B43" s="419" t="str">
        <f>Drop!A172</f>
        <v>合计总体账面价值</v>
      </c>
      <c r="C43" s="420"/>
      <c r="D43" s="190"/>
      <c r="E43" s="190"/>
      <c r="F43" s="32"/>
      <c r="G43" s="32"/>
      <c r="H43" s="125"/>
      <c r="I43" s="125"/>
      <c r="J43" s="124"/>
      <c r="K43" s="125"/>
      <c r="L43" s="125"/>
      <c r="M43" s="125"/>
      <c r="N43" s="125"/>
      <c r="O43" s="125"/>
      <c r="P43" s="125"/>
      <c r="Q43" s="120"/>
      <c r="R43" s="35"/>
      <c r="S43" s="421" t="str">
        <f>Drop!A178</f>
        <v>金额</v>
      </c>
      <c r="T43" s="422"/>
      <c r="U43" s="423" t="e">
        <f>K45</f>
        <v>#VALUE!</v>
      </c>
      <c r="V43" s="424"/>
      <c r="W43" s="429" t="str">
        <f>Drop!A179</f>
        <v>应记录到审计调整分录或未更正错报汇总</v>
      </c>
      <c r="X43" s="430"/>
      <c r="Y43" s="430"/>
      <c r="Z43" s="430"/>
      <c r="AA43" s="430"/>
      <c r="AB43" s="431"/>
      <c r="AF43" s="4"/>
      <c r="AG43" s="4"/>
      <c r="AH43" s="4"/>
      <c r="AI43" s="14"/>
    </row>
    <row r="44" spans="2:35">
      <c r="B44" s="123"/>
      <c r="C44" s="32"/>
      <c r="D44" s="125"/>
      <c r="E44" s="126"/>
      <c r="F44" s="32"/>
      <c r="G44" s="32"/>
      <c r="H44" s="126"/>
      <c r="I44" s="126"/>
      <c r="J44" s="124"/>
      <c r="K44" s="124"/>
      <c r="L44" s="125"/>
      <c r="M44" s="125"/>
      <c r="N44" s="125"/>
      <c r="O44" s="125"/>
      <c r="P44" s="125"/>
      <c r="Q44" s="120"/>
      <c r="R44" s="35"/>
      <c r="S44" s="421"/>
      <c r="T44" s="422"/>
      <c r="U44" s="425"/>
      <c r="V44" s="426"/>
      <c r="W44" s="429"/>
      <c r="X44" s="430"/>
      <c r="Y44" s="430"/>
      <c r="Z44" s="430"/>
      <c r="AA44" s="430"/>
      <c r="AB44" s="431"/>
      <c r="AF44" s="4"/>
      <c r="AG44" s="4"/>
      <c r="AH44" s="4"/>
      <c r="AI44" s="14"/>
    </row>
    <row r="45" spans="2:35">
      <c r="B45" s="419" t="str">
        <f>Drop!A173</f>
        <v>推断总体错报</v>
      </c>
      <c r="C45" s="432"/>
      <c r="D45" s="191" t="str">
        <f>IF(AG34=1,D41*D43,"")</f>
        <v/>
      </c>
      <c r="E45" s="191" t="str">
        <f>IF(AG35=1,E41*E43,"")</f>
        <v/>
      </c>
      <c r="F45" s="127"/>
      <c r="G45" s="127"/>
      <c r="H45" s="405">
        <f>IF(AG36=1,H37,0)</f>
        <v>0</v>
      </c>
      <c r="I45" s="406"/>
      <c r="J45" s="124"/>
      <c r="K45" s="405" t="e">
        <f>IF(O12=Drop!A125,D45+E45+H45,D45+H45)</f>
        <v>#VALUE!</v>
      </c>
      <c r="L45" s="406"/>
      <c r="M45" s="125"/>
      <c r="N45" s="125"/>
      <c r="O45" s="125"/>
      <c r="P45" s="125"/>
      <c r="Q45" s="120"/>
      <c r="R45" s="35"/>
      <c r="S45" s="421"/>
      <c r="T45" s="422"/>
      <c r="U45" s="427"/>
      <c r="V45" s="428"/>
      <c r="W45" s="429"/>
      <c r="X45" s="430"/>
      <c r="Y45" s="430"/>
      <c r="Z45" s="430"/>
      <c r="AA45" s="430"/>
      <c r="AB45" s="431"/>
      <c r="AF45" s="4"/>
      <c r="AG45" s="4"/>
      <c r="AH45" s="4"/>
      <c r="AI45" s="14"/>
    </row>
    <row r="46" spans="2:35" ht="13.5" thickBot="1">
      <c r="B46" s="76"/>
      <c r="C46" s="77"/>
      <c r="D46" s="77"/>
      <c r="E46" s="77"/>
      <c r="F46" s="77"/>
      <c r="G46" s="77"/>
      <c r="H46" s="77"/>
      <c r="I46" s="77"/>
      <c r="J46" s="77"/>
      <c r="K46" s="77"/>
      <c r="L46" s="77"/>
      <c r="M46" s="77"/>
      <c r="N46" s="77"/>
      <c r="O46" s="77"/>
      <c r="P46" s="77"/>
      <c r="Q46" s="78"/>
      <c r="R46" s="110"/>
      <c r="S46" s="407"/>
      <c r="T46" s="408"/>
      <c r="U46" s="408"/>
      <c r="V46" s="408"/>
      <c r="W46" s="408"/>
      <c r="X46" s="408"/>
      <c r="Y46" s="408"/>
      <c r="Z46" s="408"/>
      <c r="AA46" s="408"/>
      <c r="AB46" s="409"/>
      <c r="AF46" s="4"/>
      <c r="AG46" s="4"/>
      <c r="AI46" s="14"/>
    </row>
    <row r="47" spans="2:35" ht="15" thickBot="1">
      <c r="B47" s="35"/>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F47"/>
      <c r="AI47" s="14"/>
    </row>
    <row r="48" spans="2:35" ht="15" thickBot="1">
      <c r="B48" s="65" t="str">
        <f>Drop!A100</f>
        <v>步骤 8 - 记录程序的结果</v>
      </c>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9"/>
      <c r="AF48" s="5"/>
      <c r="AI48" s="14"/>
    </row>
    <row r="49" spans="2:35" ht="15" customHeight="1">
      <c r="B49" s="410"/>
      <c r="C49" s="411"/>
      <c r="D49" s="411"/>
      <c r="E49" s="411"/>
      <c r="F49" s="411"/>
      <c r="G49" s="411"/>
      <c r="H49" s="411"/>
      <c r="I49" s="411"/>
      <c r="J49" s="411"/>
      <c r="K49" s="411"/>
      <c r="L49" s="411"/>
      <c r="M49" s="411"/>
      <c r="N49" s="411"/>
      <c r="O49" s="411"/>
      <c r="P49" s="411"/>
      <c r="Q49" s="411"/>
      <c r="R49" s="411"/>
      <c r="S49" s="411"/>
      <c r="T49" s="411"/>
      <c r="U49" s="411"/>
      <c r="V49" s="411"/>
      <c r="W49" s="411"/>
      <c r="X49" s="411"/>
      <c r="Y49" s="411"/>
      <c r="Z49" s="411"/>
      <c r="AA49" s="411"/>
      <c r="AB49" s="412"/>
    </row>
    <row r="50" spans="2:35" ht="14.25">
      <c r="B50" s="413"/>
      <c r="C50" s="414"/>
      <c r="D50" s="414"/>
      <c r="E50" s="414"/>
      <c r="F50" s="414"/>
      <c r="G50" s="414"/>
      <c r="H50" s="414"/>
      <c r="I50" s="414"/>
      <c r="J50" s="414"/>
      <c r="K50" s="414"/>
      <c r="L50" s="414"/>
      <c r="M50" s="414"/>
      <c r="N50" s="414"/>
      <c r="O50" s="414"/>
      <c r="P50" s="414"/>
      <c r="Q50" s="414"/>
      <c r="R50" s="414"/>
      <c r="S50" s="414"/>
      <c r="T50" s="414"/>
      <c r="U50" s="414"/>
      <c r="V50" s="414"/>
      <c r="W50" s="414"/>
      <c r="X50" s="414"/>
      <c r="Y50" s="414"/>
      <c r="Z50" s="414"/>
      <c r="AA50" s="414"/>
      <c r="AB50" s="415"/>
      <c r="AH50"/>
    </row>
    <row r="51" spans="2:35" ht="14.25">
      <c r="B51" s="413"/>
      <c r="C51" s="414"/>
      <c r="D51" s="414"/>
      <c r="E51" s="414"/>
      <c r="F51" s="414"/>
      <c r="G51" s="414"/>
      <c r="H51" s="414"/>
      <c r="I51" s="414"/>
      <c r="J51" s="414"/>
      <c r="K51" s="414"/>
      <c r="L51" s="414"/>
      <c r="M51" s="414"/>
      <c r="N51" s="414"/>
      <c r="O51" s="414"/>
      <c r="P51" s="414"/>
      <c r="Q51" s="414"/>
      <c r="R51" s="414"/>
      <c r="S51" s="414"/>
      <c r="T51" s="414"/>
      <c r="U51" s="414"/>
      <c r="V51" s="414"/>
      <c r="W51" s="414"/>
      <c r="X51" s="414"/>
      <c r="Y51" s="414"/>
      <c r="Z51" s="414"/>
      <c r="AA51" s="414"/>
      <c r="AB51" s="415"/>
      <c r="AF51" s="6"/>
      <c r="AG51"/>
      <c r="AH51"/>
      <c r="AI51" s="14"/>
    </row>
    <row r="52" spans="2:35" ht="14.25">
      <c r="B52" s="413"/>
      <c r="C52" s="414"/>
      <c r="D52" s="414"/>
      <c r="E52" s="414"/>
      <c r="F52" s="414"/>
      <c r="G52" s="414"/>
      <c r="H52" s="414"/>
      <c r="I52" s="414"/>
      <c r="J52" s="414"/>
      <c r="K52" s="414"/>
      <c r="L52" s="414"/>
      <c r="M52" s="414"/>
      <c r="N52" s="414"/>
      <c r="O52" s="414"/>
      <c r="P52" s="414"/>
      <c r="Q52" s="414"/>
      <c r="R52" s="414"/>
      <c r="S52" s="414"/>
      <c r="T52" s="414"/>
      <c r="U52" s="414"/>
      <c r="V52" s="414"/>
      <c r="W52" s="414"/>
      <c r="X52" s="414"/>
      <c r="Y52" s="414"/>
      <c r="Z52" s="414"/>
      <c r="AA52" s="414"/>
      <c r="AB52" s="415"/>
      <c r="AF52"/>
      <c r="AG52"/>
      <c r="AH52"/>
      <c r="AI52" s="14"/>
    </row>
    <row r="53" spans="2:35" ht="15" thickBot="1">
      <c r="B53" s="416"/>
      <c r="C53" s="417"/>
      <c r="D53" s="417"/>
      <c r="E53" s="417"/>
      <c r="F53" s="417"/>
      <c r="G53" s="417"/>
      <c r="H53" s="417"/>
      <c r="I53" s="417"/>
      <c r="J53" s="417"/>
      <c r="K53" s="417"/>
      <c r="L53" s="417"/>
      <c r="M53" s="417"/>
      <c r="N53" s="417"/>
      <c r="O53" s="417"/>
      <c r="P53" s="417"/>
      <c r="Q53" s="417"/>
      <c r="R53" s="417"/>
      <c r="S53" s="417"/>
      <c r="T53" s="417"/>
      <c r="U53" s="417"/>
      <c r="V53" s="417"/>
      <c r="W53" s="417"/>
      <c r="X53" s="417"/>
      <c r="Y53" s="417"/>
      <c r="Z53" s="417"/>
      <c r="AA53" s="417"/>
      <c r="AB53" s="418"/>
      <c r="AF53" s="5"/>
      <c r="AG53"/>
      <c r="AH53"/>
      <c r="AI53" s="14"/>
    </row>
    <row r="54" spans="2:35" ht="14.25">
      <c r="AF54" s="5"/>
      <c r="AG54"/>
      <c r="AI54" s="14"/>
    </row>
    <row r="60" spans="2:35">
      <c r="AF60" s="3"/>
    </row>
  </sheetData>
  <sheetProtection algorithmName="SHA-512" hashValue="ngf5iTlJ2+DnHdEyt4TeXoQf0BmOBkY+2QaeTNPQ1qPjCQcj+ijaz8UyReuoSYYdNVoWfCYYm3DaRVLPHKWtEw==" saltValue="ZXu1xD0GCqFqbGKVRX2a/w==" spinCount="100000" sheet="1" objects="1" scenarios="1"/>
  <mergeCells count="61">
    <mergeCell ref="H37:I37"/>
    <mergeCell ref="K37:L37"/>
    <mergeCell ref="S46:AB46"/>
    <mergeCell ref="B49:AB53"/>
    <mergeCell ref="B43:C43"/>
    <mergeCell ref="S43:T45"/>
    <mergeCell ref="U43:V45"/>
    <mergeCell ref="W43:AB45"/>
    <mergeCell ref="B45:C45"/>
    <mergeCell ref="H45:I45"/>
    <mergeCell ref="K45:L45"/>
    <mergeCell ref="S38:AB41"/>
    <mergeCell ref="B39:C39"/>
    <mergeCell ref="B41:C41"/>
    <mergeCell ref="B37:C37"/>
    <mergeCell ref="B28:F28"/>
    <mergeCell ref="B31:AB32"/>
    <mergeCell ref="B33:Q33"/>
    <mergeCell ref="S33:AB33"/>
    <mergeCell ref="D35:D36"/>
    <mergeCell ref="E35:E36"/>
    <mergeCell ref="H35:I36"/>
    <mergeCell ref="K35:L36"/>
    <mergeCell ref="S35:Z35"/>
    <mergeCell ref="AA35:AB35"/>
    <mergeCell ref="S36:Z36"/>
    <mergeCell ref="AA36:AB36"/>
    <mergeCell ref="H23:Q23"/>
    <mergeCell ref="O24:Q24"/>
    <mergeCell ref="L25:Q25"/>
    <mergeCell ref="L26:Q26"/>
    <mergeCell ref="H27:K27"/>
    <mergeCell ref="L27:Q27"/>
    <mergeCell ref="M22:N22"/>
    <mergeCell ref="O22:Q22"/>
    <mergeCell ref="B13:D13"/>
    <mergeCell ref="B18:D18"/>
    <mergeCell ref="M18:Q18"/>
    <mergeCell ref="B20:D20"/>
    <mergeCell ref="K20:L20"/>
    <mergeCell ref="M20:Q20"/>
    <mergeCell ref="K21:L21"/>
    <mergeCell ref="M21:Q21"/>
    <mergeCell ref="S18:Y19"/>
    <mergeCell ref="Z18:AB19"/>
    <mergeCell ref="B19:D19"/>
    <mergeCell ref="K19:L19"/>
    <mergeCell ref="M19:Q19"/>
    <mergeCell ref="H9:Q10"/>
    <mergeCell ref="B10:D10"/>
    <mergeCell ref="Y10:AB10"/>
    <mergeCell ref="B11:D11"/>
    <mergeCell ref="B12:D12"/>
    <mergeCell ref="O12:P12"/>
    <mergeCell ref="Y12:AB12"/>
    <mergeCell ref="B1:E1"/>
    <mergeCell ref="D3:E3"/>
    <mergeCell ref="D4:E4"/>
    <mergeCell ref="L4:O4"/>
    <mergeCell ref="D5:E5"/>
    <mergeCell ref="L5:O5"/>
  </mergeCells>
  <phoneticPr fontId="32" type="noConversion"/>
  <conditionalFormatting sqref="S38">
    <cfRule type="expression" dxfId="299" priority="32">
      <formula>$AG$38=FALSE</formula>
    </cfRule>
  </conditionalFormatting>
  <conditionalFormatting sqref="O12:P12">
    <cfRule type="expression" dxfId="298" priority="30">
      <formula>ISBLANK($O$12)</formula>
    </cfRule>
  </conditionalFormatting>
  <conditionalFormatting sqref="Y10:AB10">
    <cfRule type="expression" dxfId="297" priority="29">
      <formula>ISBLANK($Y$10)</formula>
    </cfRule>
  </conditionalFormatting>
  <conditionalFormatting sqref="E39">
    <cfRule type="expression" dxfId="296" priority="28">
      <formula>$AG$23=1.5</formula>
    </cfRule>
  </conditionalFormatting>
  <conditionalFormatting sqref="E43">
    <cfRule type="expression" dxfId="295" priority="27">
      <formula>$AG$23=1.5</formula>
    </cfRule>
  </conditionalFormatting>
  <conditionalFormatting sqref="K21:L21">
    <cfRule type="expression" dxfId="294" priority="24">
      <formula>ISBLANK($K$21)</formula>
    </cfRule>
  </conditionalFormatting>
  <conditionalFormatting sqref="M20:Q20">
    <cfRule type="expression" dxfId="293" priority="23">
      <formula>ISTEXT($M$20)</formula>
    </cfRule>
  </conditionalFormatting>
  <conditionalFormatting sqref="M21:Q21">
    <cfRule type="expression" dxfId="292" priority="20">
      <formula>ISTEXT($M$21)</formula>
    </cfRule>
  </conditionalFormatting>
  <conditionalFormatting sqref="K19:L19">
    <cfRule type="expression" dxfId="291" priority="17">
      <formula>ISBLANK($K$19)</formula>
    </cfRule>
  </conditionalFormatting>
  <conditionalFormatting sqref="K20:L20">
    <cfRule type="expression" dxfId="290" priority="16">
      <formula>ISBLANK($K$20)</formula>
    </cfRule>
  </conditionalFormatting>
  <conditionalFormatting sqref="M22:N22">
    <cfRule type="expression" dxfId="289" priority="15">
      <formula>ISBLANK($M$22)</formula>
    </cfRule>
  </conditionalFormatting>
  <conditionalFormatting sqref="L27:Q27">
    <cfRule type="expression" dxfId="288" priority="14">
      <formula>$L$27&lt;&gt;""</formula>
    </cfRule>
  </conditionalFormatting>
  <conditionalFormatting sqref="E37">
    <cfRule type="expression" dxfId="287" priority="34">
      <formula>ABS($E$37)&gt;0</formula>
    </cfRule>
  </conditionalFormatting>
  <conditionalFormatting sqref="E39">
    <cfRule type="expression" dxfId="286" priority="35">
      <formula>ABS($E$39)&gt;0</formula>
    </cfRule>
  </conditionalFormatting>
  <conditionalFormatting sqref="E43">
    <cfRule type="expression" dxfId="285" priority="36">
      <formula>ABS($E$43)&gt;0</formula>
    </cfRule>
  </conditionalFormatting>
  <conditionalFormatting sqref="D37">
    <cfRule type="expression" dxfId="284" priority="41">
      <formula>AND($AG$23&gt;=1,ISBLANK($D$37))</formula>
    </cfRule>
  </conditionalFormatting>
  <conditionalFormatting sqref="D39">
    <cfRule type="expression" dxfId="283" priority="42">
      <formula>AND($AG$23&gt;=1,OR(ISBLANK($D$39),$D$39=0))</formula>
    </cfRule>
  </conditionalFormatting>
  <conditionalFormatting sqref="D43">
    <cfRule type="expression" dxfId="282" priority="43">
      <formula>ABS($D$43)&gt;0</formula>
    </cfRule>
    <cfRule type="expression" dxfId="281" priority="44">
      <formula>AND($AG$23&gt;=1,OR(ISBLANK($D$43),$D$43=0))</formula>
    </cfRule>
  </conditionalFormatting>
  <conditionalFormatting sqref="E19">
    <cfRule type="expression" dxfId="280" priority="10">
      <formula>ISBLANK($E$19)</formula>
    </cfRule>
  </conditionalFormatting>
  <conditionalFormatting sqref="E10">
    <cfRule type="expression" dxfId="279" priority="9">
      <formula>ISBLANK($E$10)</formula>
    </cfRule>
  </conditionalFormatting>
  <conditionalFormatting sqref="E11">
    <cfRule type="expression" dxfId="278" priority="8">
      <formula>ISBLANK($E$11)</formula>
    </cfRule>
  </conditionalFormatting>
  <conditionalFormatting sqref="E12">
    <cfRule type="expression" dxfId="277" priority="7">
      <formula>ISBLANK($E$12)</formula>
    </cfRule>
  </conditionalFormatting>
  <conditionalFormatting sqref="E41">
    <cfRule type="expression" dxfId="276" priority="3">
      <formula>$AG$23=1.5</formula>
    </cfRule>
  </conditionalFormatting>
  <dataValidations count="11">
    <dataValidation operator="greaterThanOrEqual" allowBlank="1" errorTitle="test1" error="test2" sqref="E24" xr:uid="{9907840D-CBB7-484B-8FDA-1ECBDD908AA8}"/>
    <dataValidation type="decimal" allowBlank="1" errorTitle="test" error="test" sqref="M22:N22" xr:uid="{CDF2D676-2287-4A66-8299-716572115861}">
      <formula1>0</formula1>
      <formula2>1</formula2>
    </dataValidation>
    <dataValidation type="list" allowBlank="1" showInputMessage="1" showErrorMessage="1" sqref="K21:L21" xr:uid="{4270E6B8-7B49-4819-B3C4-34F342E33787}">
      <formula1>ADA</formula1>
    </dataValidation>
    <dataValidation type="decimal" allowBlank="1" showInputMessage="1" showErrorMessage="1" error="Absolute tested value cannot be less than zero or greater than value of population." sqref="F21" xr:uid="{BF7164B3-F320-49A8-91EB-A53842FAC693}">
      <formula1>0</formula1>
      <formula2>F19</formula2>
    </dataValidation>
    <dataValidation type="list" allowBlank="1" showErrorMessage="1" error="Choose a relevant or applicable assertion" prompt="Choose the applicable assertion" sqref="E10" xr:uid="{A749F020-46B7-44CF-9999-8BA019944E0F}">
      <formula1>Assertions</formula1>
    </dataValidation>
    <dataValidation type="list" allowBlank="1" showInputMessage="1" showErrorMessage="1" sqref="K19:K20" xr:uid="{D6A237B8-52FC-46DB-BB6B-35AE2190214E}">
      <formula1>OtherEvidence</formula1>
    </dataValidation>
    <dataValidation type="list" allowBlank="1" showInputMessage="1" showErrorMessage="1" sqref="E19" xr:uid="{970A2FF4-ECC5-4343-AEFA-66DF52D5749C}">
      <formula1>YesNo</formula1>
    </dataValidation>
    <dataValidation type="list" allowBlank="1" showInputMessage="1" showErrorMessage="1" sqref="Y10" xr:uid="{4F6AEE03-12F5-4D50-A521-51E453696F57}">
      <formula1>SelectionMethods</formula1>
    </dataValidation>
    <dataValidation type="list" allowBlank="1" showInputMessage="1" showErrorMessage="1" sqref="E11" xr:uid="{82D5B066-FD92-4D75-A083-3F37D0A2372F}">
      <formula1>InherentRisk</formula1>
    </dataValidation>
    <dataValidation type="list" allowBlank="1" showInputMessage="1" showErrorMessage="1" sqref="O12:P12" xr:uid="{22043A14-3D2E-456D-A8A1-132F47EC483F}">
      <formula1>NatureOfPop</formula1>
    </dataValidation>
    <dataValidation type="whole" allowBlank="1" showInputMessage="1" showErrorMessage="1" error="测试项目的绝对值不能小于零或大于总体值。" sqref="E20" xr:uid="{578064D2-A01F-4BED-872E-13660DB5BBF3}">
      <formula1>0</formula1>
      <formula2>E18</formula2>
    </dataValidation>
  </dataValidations>
  <pageMargins left="0.25" right="0.25" top="0.75" bottom="0.75" header="0.3" footer="0.3"/>
  <pageSetup scale="50" orientation="landscape" r:id="rId1"/>
  <headerFooter>
    <oddFooter>&amp;C&amp;P of &amp;N&amp;R&amp;A</oddFooter>
  </headerFooter>
  <customProperties>
    <customPr name="CodeName" r:id="rId2"/>
  </customProperties>
  <legacyDrawing r:id="rId3"/>
  <extLst>
    <ext xmlns:x14="http://schemas.microsoft.com/office/spreadsheetml/2009/9/main" uri="{78C0D931-6437-407d-A8EE-F0AAD7539E65}">
      <x14:conditionalFormattings>
        <x14:conditionalFormatting xmlns:xm="http://schemas.microsoft.com/office/excel/2006/main">
          <x14:cfRule type="expression" priority="2" id="{E772B266-0102-45C8-AD42-CDDF7787EA35}">
            <xm:f>O12=Drop!A125</xm:f>
            <x14:dxf>
              <fill>
                <patternFill patternType="solid">
                  <bgColor rgb="FFCCCCFF"/>
                </patternFill>
              </fill>
              <border>
                <left style="thin">
                  <color auto="1"/>
                </left>
                <right style="thin">
                  <color auto="1"/>
                </right>
                <top style="thin">
                  <color auto="1"/>
                </top>
                <bottom style="thin">
                  <color auto="1"/>
                </bottom>
                <vertical/>
                <horizontal/>
              </border>
            </x14:dxf>
          </x14:cfRule>
          <xm:sqref>E41</xm:sqref>
        </x14:conditionalFormatting>
        <x14:conditionalFormatting xmlns:xm="http://schemas.microsoft.com/office/excel/2006/main">
          <x14:cfRule type="expression" priority="25" id="{33592CFB-FB2C-482F-A20E-2663E75B2D9A}">
            <xm:f>$O$12&lt;&gt;Drop!$A$125</xm:f>
            <x14:dxf>
              <fill>
                <patternFill>
                  <bgColor theme="0" tint="-4.9989318521683403E-2"/>
                </patternFill>
              </fill>
              <border>
                <right/>
                <bottom/>
              </border>
            </x14:dxf>
          </x14:cfRule>
          <xm:sqref>E37</xm:sqref>
        </x14:conditionalFormatting>
        <x14:conditionalFormatting xmlns:xm="http://schemas.microsoft.com/office/excel/2006/main">
          <x14:cfRule type="expression" priority="26" id="{B1A606E6-82AB-490D-B7C7-A12D8282E30D}">
            <xm:f>OR(ISBLANK($K$19),$K$19=Drop!$A$52)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31" id="{76C02349-46C5-4623-A64A-2DB96713B32B}">
            <xm:f>AND(OR($K$19=Drop!$A$53,$K$19=Drop!$A$54),ISBLANK($M$19))</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M19:Q19</xm:sqref>
        </x14:conditionalFormatting>
        <x14:conditionalFormatting xmlns:xm="http://schemas.microsoft.com/office/excel/2006/main">
          <x14:cfRule type="expression" priority="21" id="{5F3977D2-2075-4609-AE92-25DB0B91E4DA}">
            <xm:f>OR(ISBLANK($K$20),$K$20=Drop!$A$52)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22" id="{7C6C6D3F-DF67-47DA-AF8A-1370BB1F0CF7}">
            <xm:f>AND(OR($K$20=Drop!$A$53,$K$20=Drop!$A$54),ISBLANK($M$20))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M20:Q20</xm:sqref>
        </x14:conditionalFormatting>
        <x14:conditionalFormatting xmlns:xm="http://schemas.microsoft.com/office/excel/2006/main">
          <x14:cfRule type="expression" priority="18" id="{7B831B7F-4B2E-43B7-BBFF-B6E61EA246EF}">
            <xm:f>OR(ISBLANK($K$21),$K$21=Drop!$A$58)</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19" id="{BB28D690-18AB-4204-A90C-3E1C640AE074}">
            <xm:f>AND($K$21=Drop!$A$59,ISBLANK($M$21))</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M21:Q21</xm:sqref>
        </x14:conditionalFormatting>
        <x14:conditionalFormatting xmlns:xm="http://schemas.microsoft.com/office/excel/2006/main">
          <x14:cfRule type="expression" priority="1" id="{F6291998-AA7F-4F83-B85C-42922BA8C7A0}">
            <xm:f>$L$26=Drop!$A$85</xm:f>
            <x14:dxf>
              <font>
                <color auto="1"/>
              </font>
              <fill>
                <patternFill patternType="solid">
                  <bgColor theme="1"/>
                </patternFill>
              </fill>
              <border>
                <left style="thin">
                  <color auto="1"/>
                </left>
                <right style="thin">
                  <color auto="1"/>
                </right>
                <top style="thin">
                  <color auto="1"/>
                </top>
                <bottom style="thin">
                  <color auto="1"/>
                </bottom>
              </border>
            </x14:dxf>
          </x14:cfRule>
          <xm:sqref>B34:AB46</xm:sqref>
        </x14:conditionalFormatting>
        <x14:conditionalFormatting xmlns:xm="http://schemas.microsoft.com/office/excel/2006/main">
          <x14:cfRule type="expression" priority="33" id="{317C9FE8-9CFC-4344-B836-FA7A0CC56A12}">
            <xm:f>$E$12&lt;&gt;Drop!$A$47</xm:f>
            <x14:dxf>
              <font>
                <color theme="0" tint="-4.9989318521683403E-2"/>
              </font>
              <fill>
                <patternFill>
                  <bgColor theme="0" tint="-4.9989318521683403E-2"/>
                </patternFill>
              </fill>
            </x14:dxf>
          </x14:cfRule>
          <xm:sqref>B13</xm:sqref>
        </x14:conditionalFormatting>
        <x14:conditionalFormatting xmlns:xm="http://schemas.microsoft.com/office/excel/2006/main">
          <x14:cfRule type="expression" priority="37" id="{1BF50962-F4A8-406B-80AE-40281D655A52}">
            <xm:f>AND(O12=Drop!A125,ISBLANK($E$37))</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E37</xm:sqref>
        </x14:conditionalFormatting>
        <x14:conditionalFormatting xmlns:xm="http://schemas.microsoft.com/office/excel/2006/main">
          <x14:cfRule type="expression" priority="38" id="{2F863E0F-281C-4C42-99F9-1787FE21E3A4}">
            <xm:f>O12=Drop!A125</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E39 E41</xm:sqref>
        </x14:conditionalFormatting>
        <x14:conditionalFormatting xmlns:xm="http://schemas.microsoft.com/office/excel/2006/main">
          <x14:cfRule type="expression" priority="39" id="{BAA6FDB0-FE26-43BF-BF90-FBA91BFB449C}">
            <xm:f>O12=Drop!A125</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E43</xm:sqref>
        </x14:conditionalFormatting>
        <x14:conditionalFormatting xmlns:xm="http://schemas.microsoft.com/office/excel/2006/main">
          <x14:cfRule type="expression" priority="40" id="{60F3C7B4-3E87-496C-914B-6B29F62E5C70}">
            <xm:f>$E$19&lt;&gt;Drop!$A$13</xm:f>
            <x14:dxf>
              <font>
                <color auto="1"/>
              </font>
            </x14:dxf>
          </x14:cfRule>
          <xm:sqref>B21:E21 B20</xm:sqref>
        </x14:conditionalFormatting>
        <x14:conditionalFormatting xmlns:xm="http://schemas.microsoft.com/office/excel/2006/main">
          <x14:cfRule type="expression" priority="45" id="{29EAA8B3-EC36-4BA1-BF6E-F69BEA428209}">
            <xm:f>OR(E19&lt;&gt;Drop!A13,ISBLANK(M22))</xm:f>
            <x14:dxf>
              <fill>
                <patternFill>
                  <bgColor theme="0" tint="-4.9989318521683403E-2"/>
                </patternFill>
              </fill>
              <border>
                <left/>
                <top/>
                <vertical/>
                <horizontal/>
              </border>
            </x14:dxf>
          </x14:cfRule>
          <xm:sqref>O24:Q24</xm:sqref>
        </x14:conditionalFormatting>
        <x14:conditionalFormatting xmlns:xm="http://schemas.microsoft.com/office/excel/2006/main">
          <x14:cfRule type="expression" priority="11" id="{B3FE31B0-CD96-4290-BC65-566EE62523B7}">
            <xm:f>OR(ISBLANK($E$19),$E$19=Drop!$A$14)</xm:f>
            <x14:dxf>
              <font>
                <color theme="0" tint="-4.9989318521683403E-2"/>
              </font>
              <fill>
                <patternFill>
                  <bgColor theme="0" tint="-4.9989318521683403E-2"/>
                </patternFill>
              </fill>
            </x14:dxf>
          </x14:cfRule>
          <x14:cfRule type="expression" priority="12" id="{CE34587F-9088-492A-8F65-CBF1979DBF71}">
            <xm:f>AND($E$19=Drop!$A$13,ISBLANK($E$20))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13" id="{9C8CA350-6A8E-4644-A3FE-D9EB068746BD}">
            <xm:f>AND($E$20&gt;0,$E$19=Drop!$A$13)</xm:f>
            <x14:dxf>
              <font>
                <color auto="1"/>
              </font>
              <fill>
                <patternFill>
                  <bgColor theme="0"/>
                </patternFill>
              </fill>
              <border>
                <left style="thin">
                  <color auto="1"/>
                </left>
                <right style="thin">
                  <color auto="1"/>
                </right>
                <top style="thin">
                  <color auto="1"/>
                </top>
                <bottom style="thin">
                  <color auto="1"/>
                </bottom>
                <vertical/>
                <horizontal/>
              </border>
            </x14:dxf>
          </x14:cfRule>
          <xm:sqref>E20</xm:sqref>
        </x14:conditionalFormatting>
        <x14:conditionalFormatting xmlns:xm="http://schemas.microsoft.com/office/excel/2006/main">
          <x14:cfRule type="expression" priority="4" id="{930BCB25-33F2-4328-90AA-AEFBE9CCEED1}">
            <xm:f>$E$12&lt;&gt;Drop!$A$47</xm:f>
            <x14:dxf>
              <font>
                <color theme="0" tint="-4.9989318521683403E-2"/>
              </font>
              <fill>
                <patternFill>
                  <bgColor theme="0" tint="-4.9989318521683403E-2"/>
                </patternFill>
              </fill>
              <border>
                <left/>
                <right/>
                <bottom/>
              </border>
            </x14:dxf>
          </x14:cfRule>
          <x14:cfRule type="expression" priority="5" id="{B062E218-7635-4C13-9266-4187B9B05F42}">
            <xm:f>AND(ISBLANK($E$13),$E$12=Drop!$A$47)</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6" id="{0E7ABE4C-8665-4557-91A9-EB02DD8E0480}">
            <xm:f>$E$12=Drop!$A$47</xm:f>
            <x14:dxf>
              <border>
                <left style="thin">
                  <color auto="1"/>
                </left>
                <bottom style="thin">
                  <color auto="1"/>
                </bottom>
                <vertical/>
                <horizontal/>
              </border>
            </x14:dxf>
          </x14:cfRule>
          <xm:sqref>E13</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568C62F-A890-4EC4-AE33-55C8C82DF417}">
          <x14:formula1>
            <xm:f>Drop!$A$44:$A$46</xm:f>
          </x14:formula1>
          <xm:sqref>E13</xm:sqref>
        </x14:dataValidation>
        <x14:dataValidation type="list" allowBlank="1" showInputMessage="1" showErrorMessage="1" xr:uid="{A9D0793A-D341-40B0-9CC2-91C6E59AC447}">
          <x14:formula1>
            <xm:f>Drop!$G$43:$G$44</xm:f>
          </x14:formula1>
          <xm:sqref>E12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B4E2-446B-4758-A742-96BA8CCAA8F8}">
  <sheetPr codeName="sheet0Statistical">
    <pageSetUpPr fitToPage="1"/>
  </sheetPr>
  <dimension ref="A1:AM78"/>
  <sheetViews>
    <sheetView showGridLines="0" topLeftCell="A12" zoomScale="80" zoomScaleNormal="80" workbookViewId="0">
      <selection activeCell="C47" sqref="C47"/>
    </sheetView>
  </sheetViews>
  <sheetFormatPr defaultColWidth="9.125" defaultRowHeight="12.75" outlineLevelCol="1"/>
  <cols>
    <col min="1" max="1" width="2.75" style="35" customWidth="1"/>
    <col min="2" max="2" width="5.75" style="35" customWidth="1"/>
    <col min="3" max="5" width="25.75" style="35" customWidth="1"/>
    <col min="6" max="6" width="1.75" style="35" customWidth="1"/>
    <col min="7" max="7" width="1.125" style="35" customWidth="1"/>
    <col min="8" max="8" width="5.75" style="35" customWidth="1"/>
    <col min="9" max="9" width="17.75" style="35" customWidth="1"/>
    <col min="10" max="11" width="5.75" style="35" customWidth="1"/>
    <col min="12" max="12" width="17.75" style="35" customWidth="1"/>
    <col min="13" max="13" width="5.75" style="35" customWidth="1"/>
    <col min="14" max="14" width="9.75" style="35" customWidth="1"/>
    <col min="15" max="15" width="5.75" style="35" customWidth="1"/>
    <col min="16" max="16" width="15.75" style="35" customWidth="1"/>
    <col min="17" max="17" width="10.75" style="35" customWidth="1"/>
    <col min="18" max="18" width="1.5" style="35" customWidth="1"/>
    <col min="19" max="21" width="5.75" style="35" customWidth="1"/>
    <col min="22" max="22" width="11.75" style="35" customWidth="1"/>
    <col min="23" max="27" width="5.75" style="35" customWidth="1"/>
    <col min="28" max="28" width="21.75" style="35" customWidth="1"/>
    <col min="29" max="29" width="4.25" style="35" hidden="1" customWidth="1" outlineLevel="1"/>
    <col min="30" max="30" width="2.75" style="35" hidden="1" customWidth="1" outlineLevel="1"/>
    <col min="31" max="31" width="9.125" style="35" hidden="1" customWidth="1" outlineLevel="1"/>
    <col min="32" max="32" width="15.75" style="35" hidden="1" customWidth="1" outlineLevel="1"/>
    <col min="33" max="33" width="14.25" style="35" hidden="1" customWidth="1" outlineLevel="1"/>
    <col min="34" max="34" width="16.125" style="35" hidden="1" customWidth="1" outlineLevel="1"/>
    <col min="35" max="35" width="13.25" style="35" hidden="1" customWidth="1" outlineLevel="1"/>
    <col min="36" max="36" width="14.25" style="35" hidden="1" customWidth="1" outlineLevel="1"/>
    <col min="37" max="37" width="15.5" style="35" hidden="1" customWidth="1" outlineLevel="1"/>
    <col min="38" max="38" width="18.75" style="35" hidden="1" customWidth="1" outlineLevel="1"/>
    <col min="39" max="39" width="9.125" style="35" customWidth="1" collapsed="1"/>
    <col min="40" max="42" width="9.125" style="35" customWidth="1"/>
    <col min="43" max="16384" width="9.125" style="35"/>
  </cols>
  <sheetData>
    <row r="1" spans="1:37" s="2" customFormat="1" ht="21" thickBot="1">
      <c r="A1" s="1"/>
      <c r="B1" s="308"/>
      <c r="C1" s="309"/>
      <c r="D1" s="309"/>
      <c r="F1" s="1"/>
      <c r="G1" s="1"/>
      <c r="H1" s="1"/>
      <c r="I1" s="1"/>
      <c r="J1" s="1"/>
      <c r="K1" s="1"/>
      <c r="L1" s="1"/>
      <c r="M1" s="1"/>
      <c r="AC1" s="1"/>
      <c r="AF1" s="10" t="s">
        <v>32</v>
      </c>
      <c r="AG1" s="2" t="s">
        <v>1</v>
      </c>
    </row>
    <row r="2" spans="1:37" ht="12.95" customHeight="1">
      <c r="A2" s="37"/>
      <c r="B2" s="38"/>
      <c r="C2" s="39"/>
      <c r="D2" s="39"/>
      <c r="E2" s="39"/>
      <c r="F2" s="39"/>
      <c r="G2" s="39"/>
      <c r="H2" s="39"/>
      <c r="I2" s="39"/>
      <c r="J2" s="40"/>
      <c r="K2" s="40"/>
      <c r="L2" s="40"/>
      <c r="M2" s="41"/>
      <c r="N2" s="41"/>
      <c r="O2" s="41"/>
      <c r="P2" s="41"/>
      <c r="Q2" s="41"/>
      <c r="R2" s="41"/>
      <c r="S2" s="41"/>
      <c r="T2" s="41"/>
      <c r="U2" s="41"/>
      <c r="V2" s="41"/>
      <c r="W2" s="41"/>
      <c r="X2" s="41"/>
      <c r="Y2" s="41"/>
      <c r="Z2" s="41"/>
      <c r="AA2" s="41"/>
      <c r="AB2" s="42"/>
      <c r="AF2" s="43"/>
      <c r="AG2" s="43"/>
    </row>
    <row r="3" spans="1:37" ht="12.95" customHeight="1">
      <c r="A3" s="44"/>
      <c r="B3" s="45"/>
      <c r="C3" s="47" t="str">
        <f>Drop!A102</f>
        <v>总体名称：</v>
      </c>
      <c r="D3" s="559"/>
      <c r="E3" s="560"/>
      <c r="F3" s="46"/>
      <c r="G3" s="46"/>
      <c r="H3" s="46"/>
      <c r="I3" s="46"/>
      <c r="J3" s="48"/>
      <c r="K3" s="49"/>
      <c r="L3" s="49"/>
      <c r="M3" s="49"/>
      <c r="N3" s="49"/>
      <c r="O3" s="49"/>
      <c r="P3" s="49"/>
      <c r="Q3" s="49"/>
      <c r="R3" s="49"/>
      <c r="S3" s="49"/>
      <c r="T3" s="49"/>
      <c r="U3" s="49"/>
      <c r="V3" s="50"/>
      <c r="W3" s="51"/>
      <c r="X3" s="51"/>
      <c r="Y3" s="51"/>
      <c r="Z3" s="51"/>
      <c r="AA3" s="51"/>
      <c r="AB3" s="52"/>
      <c r="AF3" s="43"/>
      <c r="AG3" s="43"/>
      <c r="AH3" s="43"/>
      <c r="AI3" s="43"/>
    </row>
    <row r="4" spans="1:37" ht="12.95" customHeight="1">
      <c r="A4" s="34"/>
      <c r="B4" s="53"/>
      <c r="C4" s="47" t="str">
        <f>Drop!A103</f>
        <v>适用的样本计划：</v>
      </c>
      <c r="D4" s="561" t="str">
        <f>汇总!D3</f>
        <v>致同抽样</v>
      </c>
      <c r="E4" s="562"/>
      <c r="F4" s="46"/>
      <c r="G4" s="46"/>
      <c r="H4" s="46"/>
      <c r="I4" s="46"/>
      <c r="J4" s="46"/>
      <c r="K4" s="49" t="str">
        <f>Drop!A105</f>
        <v>高信赖（其他标准）?：</v>
      </c>
      <c r="L4" s="553" t="str">
        <f>IF(ISBLANK(汇总!D7),Drop!A247,汇总!D7)</f>
        <v>否 - 不适用</v>
      </c>
      <c r="M4" s="554"/>
      <c r="N4" s="554"/>
      <c r="O4" s="555"/>
      <c r="P4" s="144"/>
      <c r="Q4" s="49"/>
      <c r="R4" s="49"/>
      <c r="S4" s="49"/>
      <c r="T4" s="49"/>
      <c r="U4" s="49"/>
      <c r="V4" s="50"/>
      <c r="W4" s="51"/>
      <c r="X4" s="51"/>
      <c r="Y4" s="51"/>
      <c r="Z4" s="51"/>
      <c r="AA4" s="51"/>
      <c r="AB4" s="52"/>
      <c r="AF4" s="43"/>
      <c r="AG4" s="43"/>
      <c r="AH4" s="43"/>
      <c r="AI4" s="43"/>
    </row>
    <row r="5" spans="1:37" ht="12.95" customHeight="1">
      <c r="A5" s="34"/>
      <c r="B5" s="54"/>
      <c r="C5" s="49" t="str">
        <f>Drop!A104</f>
        <v>上市实体/ 高风险?：</v>
      </c>
      <c r="D5" s="315" t="str">
        <f>汇总!D5</f>
        <v>是</v>
      </c>
      <c r="E5" s="316"/>
      <c r="F5" s="46"/>
      <c r="G5" s="46"/>
      <c r="H5" s="46"/>
      <c r="I5" s="46"/>
      <c r="J5" s="46"/>
      <c r="K5" s="49" t="str">
        <f>Drop!A106</f>
        <v>实际执行的重要性</v>
      </c>
      <c r="L5" s="556">
        <f>汇总!D10</f>
        <v>0</v>
      </c>
      <c r="M5" s="557"/>
      <c r="N5" s="557"/>
      <c r="O5" s="558"/>
      <c r="P5" s="49"/>
      <c r="Q5" s="49"/>
      <c r="R5" s="49"/>
      <c r="S5" s="49"/>
      <c r="T5" s="49"/>
      <c r="U5" s="49"/>
      <c r="V5" s="50"/>
      <c r="W5" s="51"/>
      <c r="X5" s="51"/>
      <c r="Y5" s="51"/>
      <c r="Z5" s="51"/>
      <c r="AA5" s="51"/>
      <c r="AB5" s="52"/>
      <c r="AF5" s="43" t="s">
        <v>161</v>
      </c>
      <c r="AG5" s="43" t="b">
        <f>OR(E11=Drop!A37)</f>
        <v>0</v>
      </c>
      <c r="AH5" s="55"/>
      <c r="AI5" s="55"/>
      <c r="AJ5" s="55"/>
      <c r="AK5" s="55"/>
    </row>
    <row r="6" spans="1:37" ht="12.95" customHeight="1" thickBot="1">
      <c r="A6" s="34"/>
      <c r="B6" s="56"/>
      <c r="C6" s="57"/>
      <c r="D6" s="57"/>
      <c r="E6" s="57"/>
      <c r="F6" s="57"/>
      <c r="G6" s="57"/>
      <c r="H6" s="57"/>
      <c r="I6" s="57"/>
      <c r="J6" s="57"/>
      <c r="K6" s="57"/>
      <c r="L6" s="57"/>
      <c r="M6" s="57"/>
      <c r="N6" s="57"/>
      <c r="O6" s="57"/>
      <c r="P6" s="57"/>
      <c r="Q6" s="57"/>
      <c r="R6" s="57"/>
      <c r="S6" s="57"/>
      <c r="T6" s="57"/>
      <c r="U6" s="57"/>
      <c r="V6" s="57"/>
      <c r="W6" s="57"/>
      <c r="X6" s="57"/>
      <c r="Y6" s="57"/>
      <c r="Z6" s="57"/>
      <c r="AA6" s="57"/>
      <c r="AB6" s="58"/>
      <c r="AF6" s="43" t="s">
        <v>36</v>
      </c>
      <c r="AG6" s="43" t="b">
        <f>OR(D5=Drop!A13,L4=Drop!A246)</f>
        <v>1</v>
      </c>
      <c r="AH6" s="59"/>
      <c r="AI6" s="59"/>
      <c r="AJ6" s="59"/>
      <c r="AK6" s="59"/>
    </row>
    <row r="7" spans="1:37" ht="13.5" thickBot="1">
      <c r="B7" s="60"/>
      <c r="C7" s="60"/>
      <c r="AF7" s="43" t="s">
        <v>37</v>
      </c>
      <c r="AG7" s="61">
        <f>IF(AG6=TRUE,5%,10%)</f>
        <v>0.05</v>
      </c>
      <c r="AH7" s="59"/>
      <c r="AI7" s="59"/>
      <c r="AJ7" s="59"/>
      <c r="AK7" s="59"/>
    </row>
    <row r="8" spans="1:37" ht="13.5" thickBot="1">
      <c r="B8" s="62" t="str">
        <f>Drop!A93</f>
        <v>步骤 1 - 确定测试的目标</v>
      </c>
      <c r="C8" s="63"/>
      <c r="D8" s="63"/>
      <c r="E8" s="63"/>
      <c r="F8" s="64"/>
      <c r="H8" s="65" t="str">
        <f>Drop!A95</f>
        <v>步骤 3 - 抽样方法</v>
      </c>
      <c r="I8" s="66"/>
      <c r="J8" s="66"/>
      <c r="K8" s="66"/>
      <c r="L8" s="66"/>
      <c r="M8" s="66"/>
      <c r="N8" s="66"/>
      <c r="O8" s="66"/>
      <c r="P8" s="66"/>
      <c r="Q8" s="67"/>
      <c r="S8" s="65" t="str">
        <f>Drop!A97</f>
        <v>步骤 5 - 选取样本</v>
      </c>
      <c r="T8" s="66"/>
      <c r="U8" s="66"/>
      <c r="V8" s="66"/>
      <c r="W8" s="66"/>
      <c r="X8" s="66"/>
      <c r="Y8" s="66"/>
      <c r="Z8" s="66"/>
      <c r="AA8" s="66"/>
      <c r="AB8" s="67"/>
      <c r="AF8" s="43" t="s">
        <v>27</v>
      </c>
      <c r="AG8" s="138" t="str">
        <f>D4</f>
        <v>致同抽样</v>
      </c>
      <c r="AH8" s="68"/>
      <c r="AI8" s="68"/>
      <c r="AJ8" s="68"/>
      <c r="AK8" s="68"/>
    </row>
    <row r="9" spans="1:37" ht="15" customHeight="1">
      <c r="B9" s="69"/>
      <c r="C9" s="70"/>
      <c r="D9" s="70"/>
      <c r="E9" s="70"/>
      <c r="F9" s="71"/>
      <c r="H9" s="546" t="str">
        <f>IF(AG2=TRUE,Drop!A88,"")</f>
        <v/>
      </c>
      <c r="I9" s="547"/>
      <c r="J9" s="547"/>
      <c r="K9" s="547"/>
      <c r="L9" s="547"/>
      <c r="M9" s="547"/>
      <c r="N9" s="547"/>
      <c r="O9" s="547"/>
      <c r="P9" s="547"/>
      <c r="Q9" s="548"/>
      <c r="S9" s="72"/>
      <c r="T9" s="32"/>
      <c r="U9" s="32"/>
      <c r="V9" s="32"/>
      <c r="W9" s="32"/>
      <c r="X9" s="32"/>
      <c r="Y9" s="32"/>
      <c r="Z9" s="32"/>
      <c r="AA9" s="32"/>
      <c r="AB9" s="73"/>
      <c r="AF9" s="43" t="s">
        <v>43</v>
      </c>
      <c r="AG9" s="138">
        <f>VLOOKUP(AG8,Drop!A17:B19,2,FALSE)</f>
        <v>2</v>
      </c>
      <c r="AH9" s="68"/>
      <c r="AI9" s="68"/>
      <c r="AJ9" s="68"/>
      <c r="AK9" s="68"/>
    </row>
    <row r="10" spans="1:37" ht="20.100000000000001" customHeight="1">
      <c r="B10" s="326" t="str">
        <f>Drop!A108</f>
        <v>认定</v>
      </c>
      <c r="C10" s="327"/>
      <c r="D10" s="328"/>
      <c r="E10" s="212"/>
      <c r="F10" s="208"/>
      <c r="H10" s="549"/>
      <c r="I10" s="550"/>
      <c r="J10" s="550"/>
      <c r="K10" s="550"/>
      <c r="L10" s="550"/>
      <c r="M10" s="550"/>
      <c r="N10" s="550"/>
      <c r="O10" s="550"/>
      <c r="P10" s="550"/>
      <c r="Q10" s="551"/>
      <c r="S10" s="135" t="str">
        <f>Drop!A139</f>
        <v>使用的选取方法</v>
      </c>
      <c r="T10" s="32"/>
      <c r="U10" s="32"/>
      <c r="V10" s="32"/>
      <c r="W10" s="32"/>
      <c r="X10" s="32"/>
      <c r="Y10" s="329" t="s">
        <v>186</v>
      </c>
      <c r="Z10" s="330"/>
      <c r="AA10" s="330"/>
      <c r="AB10" s="331"/>
      <c r="AF10" s="43" t="s">
        <v>39</v>
      </c>
      <c r="AG10" s="61" t="e">
        <f>VLOOKUP(E11,Drop!A$37:D$39,AG9,FALSE)</f>
        <v>#N/A</v>
      </c>
      <c r="AH10" s="55"/>
      <c r="AI10" s="55"/>
      <c r="AJ10" s="55"/>
      <c r="AK10" s="55"/>
    </row>
    <row r="11" spans="1:37" ht="26.1" customHeight="1">
      <c r="B11" s="326" t="str">
        <f>Drop!A109</f>
        <v>固有风险</v>
      </c>
      <c r="C11" s="327"/>
      <c r="D11" s="328"/>
      <c r="E11" s="211"/>
      <c r="F11" s="208"/>
      <c r="H11" s="74"/>
      <c r="I11" s="32"/>
      <c r="J11" s="32"/>
      <c r="K11" s="552" t="str">
        <f>Drop!A120</f>
        <v>统计抽样</v>
      </c>
      <c r="L11" s="552"/>
      <c r="M11" s="552"/>
      <c r="N11" s="552"/>
      <c r="O11" s="32"/>
      <c r="P11" s="32"/>
      <c r="Q11" s="73"/>
      <c r="S11" s="74"/>
      <c r="T11" s="32"/>
      <c r="U11" s="32"/>
      <c r="V11" s="32"/>
      <c r="W11" s="32"/>
      <c r="X11" s="32"/>
      <c r="Y11" s="32"/>
      <c r="Z11" s="32"/>
      <c r="AA11" s="32"/>
      <c r="AB11" s="73"/>
      <c r="AF11" s="43" t="s">
        <v>40</v>
      </c>
      <c r="AG11" s="61" t="str">
        <f>IF(ISBLANK(E12),"",IF(E12=Drop!A43,Drop!B43,VLOOKUP(E13,Drop!A44:D46,AG9,FALSE)))</f>
        <v/>
      </c>
      <c r="AH11" s="75" t="s">
        <v>167</v>
      </c>
      <c r="AI11" s="43" t="b">
        <f>E12=Drop!A45</f>
        <v>0</v>
      </c>
      <c r="AJ11" s="43" t="str">
        <f>IF(AI$11=TRUE,Drop!A13,"")</f>
        <v/>
      </c>
      <c r="AK11" s="35" t="str">
        <f>IF(AI$11=TRUE,Drop!A14,"")</f>
        <v/>
      </c>
    </row>
    <row r="12" spans="1:37" ht="26.1" customHeight="1">
      <c r="B12" s="332" t="str">
        <f>Drop!A110</f>
        <v>对控制的信赖程度</v>
      </c>
      <c r="C12" s="333"/>
      <c r="D12" s="334"/>
      <c r="E12" s="212"/>
      <c r="F12" s="208"/>
      <c r="H12" s="74"/>
      <c r="I12" s="32"/>
      <c r="J12" s="32"/>
      <c r="K12" s="32"/>
      <c r="L12" s="32"/>
      <c r="M12" s="32"/>
      <c r="N12" s="32"/>
      <c r="O12" s="32"/>
      <c r="P12" s="32"/>
      <c r="Q12" s="73"/>
      <c r="S12" s="135" t="str">
        <f>Drop!A140</f>
        <v>样本间隔</v>
      </c>
      <c r="T12" s="32"/>
      <c r="U12" s="32"/>
      <c r="V12" s="32"/>
      <c r="W12" s="32"/>
      <c r="X12" s="32"/>
      <c r="Y12" s="337" t="str" cm="1">
        <f t="array" ref="Y12">_xlfn.IFS(ISBLANK(Y10),"",AND(Y10=Drop!A62,O12=Drop!A125),Drop!A228,Y10&lt;&gt;Drop!A62,Drop!A222,ISERROR(AG25),Drop!A219,TRUE,AG25)</f>
        <v>系统抽样未被选取，间隔不适用</v>
      </c>
      <c r="Z12" s="338"/>
      <c r="AA12" s="338"/>
      <c r="AB12" s="339"/>
      <c r="AF12" s="43" t="s">
        <v>41</v>
      </c>
      <c r="AG12" s="61" t="e">
        <f>VLOOKUP(K19,Drop!A52:D54,AG9,FALSE)</f>
        <v>#N/A</v>
      </c>
      <c r="AH12" s="55"/>
      <c r="AK12" s="55"/>
    </row>
    <row r="13" spans="1:37" ht="20.100000000000001" customHeight="1">
      <c r="B13" s="332" t="str">
        <f>Drop!A48</f>
        <v>测试范围</v>
      </c>
      <c r="C13" s="333"/>
      <c r="D13" s="334"/>
      <c r="E13" s="212"/>
      <c r="F13" s="208"/>
      <c r="H13" s="74"/>
      <c r="I13" s="32"/>
      <c r="J13" s="32"/>
      <c r="K13" s="32"/>
      <c r="L13" s="32"/>
      <c r="M13" s="32"/>
      <c r="N13" s="32"/>
      <c r="O13" s="32"/>
      <c r="P13" s="32"/>
      <c r="Q13" s="73"/>
      <c r="S13" s="135"/>
      <c r="T13" s="32"/>
      <c r="U13" s="32"/>
      <c r="V13" s="32"/>
      <c r="W13" s="32"/>
      <c r="X13" s="32"/>
      <c r="Y13" s="180"/>
      <c r="Z13" s="180"/>
      <c r="AA13" s="180"/>
      <c r="AB13" s="181"/>
      <c r="AF13" s="43"/>
      <c r="AG13" s="61"/>
      <c r="AH13" s="55"/>
      <c r="AK13" s="55"/>
    </row>
    <row r="14" spans="1:37" ht="15.75" customHeight="1" thickBot="1">
      <c r="B14" s="162"/>
      <c r="C14" s="163"/>
      <c r="D14" s="541"/>
      <c r="E14" s="541"/>
      <c r="F14" s="542"/>
      <c r="H14" s="76"/>
      <c r="I14" s="77"/>
      <c r="J14" s="77"/>
      <c r="K14" s="77"/>
      <c r="L14" s="77"/>
      <c r="M14" s="77"/>
      <c r="N14" s="77"/>
      <c r="O14" s="77"/>
      <c r="P14" s="77"/>
      <c r="Q14" s="78"/>
      <c r="S14" s="76"/>
      <c r="T14" s="77"/>
      <c r="U14" s="77"/>
      <c r="V14" s="77"/>
      <c r="W14" s="77"/>
      <c r="X14" s="77"/>
      <c r="Y14" s="77"/>
      <c r="Z14" s="77"/>
      <c r="AA14" s="77"/>
      <c r="AB14" s="78"/>
      <c r="AF14" s="43" t="s">
        <v>38</v>
      </c>
      <c r="AG14" s="61" t="e">
        <f>VLOOKUP(K20,Drop!A52:D54,AG9,FALSE)</f>
        <v>#N/A</v>
      </c>
      <c r="AH14" s="79"/>
      <c r="AI14" s="79"/>
      <c r="AJ14" s="79"/>
      <c r="AK14" s="79"/>
    </row>
    <row r="15" spans="1:37" ht="13.5" thickBot="1">
      <c r="S15" s="80"/>
      <c r="T15" s="81"/>
      <c r="U15" s="81"/>
      <c r="V15" s="81"/>
      <c r="W15" s="81"/>
      <c r="X15" s="81"/>
      <c r="Y15" s="81"/>
      <c r="Z15" s="81"/>
      <c r="AA15" s="81"/>
      <c r="AB15" s="81"/>
      <c r="AF15" s="43" t="s">
        <v>211</v>
      </c>
      <c r="AG15" s="61" t="e">
        <f>VLOOKUP(K21,Drop!A58:D59,AG9,FALSE)</f>
        <v>#N/A</v>
      </c>
      <c r="AH15" s="82"/>
      <c r="AI15" s="82"/>
      <c r="AJ15" s="82"/>
      <c r="AK15" s="82"/>
    </row>
    <row r="16" spans="1:37" ht="13.5" thickBot="1">
      <c r="B16" s="65" t="str">
        <f>Drop!A94</f>
        <v>步骤 2 - 定义和分析总体</v>
      </c>
      <c r="C16" s="66"/>
      <c r="D16" s="66"/>
      <c r="E16" s="66"/>
      <c r="F16" s="67"/>
      <c r="H16" s="65" t="str">
        <f>Drop!A96</f>
        <v>步骤 4 - 确定样本量</v>
      </c>
      <c r="I16" s="66"/>
      <c r="J16" s="66"/>
      <c r="K16" s="66"/>
      <c r="L16" s="66"/>
      <c r="M16" s="66"/>
      <c r="N16" s="66"/>
      <c r="O16" s="66"/>
      <c r="P16" s="66"/>
      <c r="Q16" s="67"/>
      <c r="S16" s="83" t="str">
        <f>Drop!A98</f>
        <v>步骤 6 - 测试已选取样本</v>
      </c>
      <c r="T16" s="66"/>
      <c r="U16" s="66"/>
      <c r="V16" s="66"/>
      <c r="W16" s="66"/>
      <c r="X16" s="66"/>
      <c r="Y16" s="66"/>
      <c r="Z16" s="66"/>
      <c r="AA16" s="66"/>
      <c r="AB16" s="67"/>
      <c r="AF16" s="43" t="s">
        <v>45</v>
      </c>
      <c r="AG16" s="61" t="e">
        <f>AG7/(AG10*AG11*AG12*AG14*AG15)</f>
        <v>#N/A</v>
      </c>
    </row>
    <row r="17" spans="2:33">
      <c r="B17" s="85"/>
      <c r="C17" s="86"/>
      <c r="D17" s="86"/>
      <c r="E17" s="86"/>
      <c r="F17" s="87"/>
      <c r="H17" s="152"/>
      <c r="I17" s="88"/>
      <c r="J17" s="88"/>
      <c r="K17" s="88"/>
      <c r="L17" s="88"/>
      <c r="M17" s="88"/>
      <c r="N17" s="88"/>
      <c r="O17" s="88"/>
      <c r="P17" s="88"/>
      <c r="Q17" s="89"/>
      <c r="S17" s="74"/>
      <c r="T17" s="32"/>
      <c r="U17" s="32"/>
      <c r="V17" s="32"/>
      <c r="W17" s="32"/>
      <c r="X17" s="32"/>
      <c r="Y17" s="32"/>
      <c r="Z17" s="32"/>
      <c r="AA17" s="32"/>
      <c r="AB17" s="73"/>
      <c r="AF17" s="43" t="s">
        <v>46</v>
      </c>
      <c r="AG17" s="84" t="e">
        <f>1-AG16</f>
        <v>#N/A</v>
      </c>
    </row>
    <row r="18" spans="2:33" ht="14.25">
      <c r="B18" s="543" t="str">
        <f>Drop!A112</f>
        <v>总体的绝对值</v>
      </c>
      <c r="C18" s="544"/>
      <c r="D18" s="545"/>
      <c r="E18" s="224"/>
      <c r="F18" s="199"/>
      <c r="H18" s="135" t="str">
        <f>Drop!A130</f>
        <v>提供的证据:</v>
      </c>
      <c r="I18" s="32"/>
      <c r="J18" s="32"/>
      <c r="K18" s="32"/>
      <c r="L18" s="32"/>
      <c r="M18" s="358" t="str">
        <f>Drop!A82</f>
        <v>描述程序</v>
      </c>
      <c r="N18" s="359"/>
      <c r="O18" s="359"/>
      <c r="P18" s="359"/>
      <c r="Q18" s="360"/>
      <c r="S18" s="340" t="str">
        <f>Drop!A142</f>
        <v>相关测试记录的工作底稿索引:</v>
      </c>
      <c r="T18" s="341"/>
      <c r="U18" s="341"/>
      <c r="V18" s="341"/>
      <c r="W18" s="341"/>
      <c r="X18" s="341"/>
      <c r="Y18" s="342"/>
      <c r="Z18" s="535"/>
      <c r="AA18" s="536"/>
      <c r="AB18" s="537"/>
      <c r="AF18" s="43" t="s">
        <v>48</v>
      </c>
      <c r="AG18" s="90">
        <f>IF(E19=Drop!A14,(E18-E24-E25),(E20 - E24-E25))</f>
        <v>0</v>
      </c>
    </row>
    <row r="19" spans="2:33" ht="30" customHeight="1">
      <c r="B19" s="543" t="str">
        <f>Drop!A67</f>
        <v>测试少于总体的100%？</v>
      </c>
      <c r="C19" s="544"/>
      <c r="D19" s="545"/>
      <c r="E19" s="211"/>
      <c r="F19" s="199"/>
      <c r="H19" s="135" t="str">
        <f>Drop!A131</f>
        <v>分析程序</v>
      </c>
      <c r="I19" s="93"/>
      <c r="J19" s="93"/>
      <c r="K19" s="329"/>
      <c r="L19" s="352"/>
      <c r="M19" s="329"/>
      <c r="N19" s="330"/>
      <c r="O19" s="330"/>
      <c r="P19" s="330"/>
      <c r="Q19" s="331"/>
      <c r="S19" s="340"/>
      <c r="T19" s="341"/>
      <c r="U19" s="341"/>
      <c r="V19" s="341"/>
      <c r="W19" s="341"/>
      <c r="X19" s="341"/>
      <c r="Y19" s="342"/>
      <c r="Z19" s="538"/>
      <c r="AA19" s="539"/>
      <c r="AB19" s="540"/>
      <c r="AF19" s="43"/>
      <c r="AG19" s="90"/>
    </row>
    <row r="20" spans="2:33" ht="30" customHeight="1" thickBot="1">
      <c r="B20" s="442" t="str">
        <f>IF(OR(ISBLANK(E19),E19=Drop!A14),"",Drop!A68)</f>
        <v/>
      </c>
      <c r="C20" s="443"/>
      <c r="D20" s="443"/>
      <c r="E20" s="198"/>
      <c r="F20" s="199"/>
      <c r="H20" s="137" t="str">
        <f>Drop!A132</f>
        <v>其他细节测试</v>
      </c>
      <c r="I20" s="93"/>
      <c r="J20" s="93"/>
      <c r="K20" s="329"/>
      <c r="L20" s="352"/>
      <c r="M20" s="329"/>
      <c r="N20" s="330"/>
      <c r="O20" s="330"/>
      <c r="P20" s="330"/>
      <c r="Q20" s="331"/>
      <c r="S20" s="76"/>
      <c r="T20" s="77"/>
      <c r="U20" s="77"/>
      <c r="V20" s="77"/>
      <c r="W20" s="77"/>
      <c r="X20" s="77"/>
      <c r="Y20" s="77"/>
      <c r="Z20" s="77"/>
      <c r="AA20" s="77"/>
      <c r="AB20" s="78"/>
      <c r="AF20" s="43" t="s">
        <v>49</v>
      </c>
      <c r="AG20" s="43" t="b">
        <f>OR(E24&gt;0,E25&gt;0,D24&gt;0,D25&gt;0)</f>
        <v>0</v>
      </c>
    </row>
    <row r="21" spans="2:33" ht="30" customHeight="1">
      <c r="B21" s="196"/>
      <c r="C21" s="197"/>
      <c r="D21" s="213"/>
      <c r="E21" s="198"/>
      <c r="F21" s="199"/>
      <c r="H21" s="137" t="str">
        <f>Drop!A133</f>
        <v>审计数据分析</v>
      </c>
      <c r="I21" s="93"/>
      <c r="J21" s="93"/>
      <c r="K21" s="329"/>
      <c r="L21" s="352"/>
      <c r="M21" s="329"/>
      <c r="N21" s="330"/>
      <c r="O21" s="330"/>
      <c r="P21" s="330"/>
      <c r="Q21" s="331"/>
      <c r="AF21" s="43" t="s">
        <v>99</v>
      </c>
      <c r="AG21" s="43" t="e">
        <f>OR(AG12&lt;100%,AG14&lt;100%)</f>
        <v>#N/A</v>
      </c>
    </row>
    <row r="22" spans="2:33" s="136" customFormat="1" ht="23.25" customHeight="1">
      <c r="B22" s="158" t="str">
        <f>Drop!A113</f>
        <v>重大金额或关键项目进行单独测试:</v>
      </c>
      <c r="C22" s="159"/>
      <c r="D22" s="159"/>
      <c r="E22" s="159"/>
      <c r="F22" s="157"/>
      <c r="H22" s="137" t="str">
        <f>Drop!A134</f>
        <v>预期总体错报金额</v>
      </c>
      <c r="I22" s="93"/>
      <c r="J22" s="93"/>
      <c r="K22" s="93"/>
      <c r="L22" s="93"/>
      <c r="M22" s="353">
        <v>0.1</v>
      </c>
      <c r="N22" s="354"/>
      <c r="O22" s="355">
        <f>IF(ISBLANK(M22),"",$L$5*M22)</f>
        <v>0</v>
      </c>
      <c r="P22" s="356"/>
      <c r="Q22" s="357"/>
      <c r="AB22" s="160"/>
      <c r="AF22" s="43"/>
      <c r="AG22" s="43"/>
    </row>
    <row r="23" spans="2:33">
      <c r="B23" s="166"/>
      <c r="C23" s="32"/>
      <c r="D23" s="195" t="str">
        <f>Drop!A114</f>
        <v>项目总数</v>
      </c>
      <c r="E23" s="192" t="str">
        <f>Drop!A115</f>
        <v>合计金额</v>
      </c>
      <c r="F23" s="73"/>
      <c r="H23" s="363" t="str" cm="1">
        <f t="array" ref="H23">_xlfn.IFS(ISBLANK(M22),"",ISERROR(O22),Drop!A219,M22&lt;Drop!F62,Drop!A79,M22&gt;=Drop!H62,Drop!A81,M22&gt;Drop!G62,Drop!A80,TRUE,"")</f>
        <v/>
      </c>
      <c r="I23" s="364"/>
      <c r="J23" s="364"/>
      <c r="K23" s="364"/>
      <c r="L23" s="364"/>
      <c r="M23" s="364"/>
      <c r="N23" s="364"/>
      <c r="O23" s="364"/>
      <c r="P23" s="364"/>
      <c r="Q23" s="365"/>
      <c r="V23" s="149"/>
      <c r="AB23" s="161" t="str">
        <f>Drop!A243</f>
        <v>图例</v>
      </c>
      <c r="AF23" s="142"/>
      <c r="AG23" s="142"/>
    </row>
    <row r="24" spans="2:33" ht="24.95" customHeight="1">
      <c r="B24" s="166"/>
      <c r="C24" s="215" t="str">
        <f>Drop!A116</f>
        <v>定性</v>
      </c>
      <c r="D24" s="194"/>
      <c r="E24" s="218"/>
      <c r="F24" s="73"/>
      <c r="G24" s="91"/>
      <c r="H24" s="174" t="str">
        <f>IF(E19=Drop!A13,Drop!A137,"")</f>
        <v/>
      </c>
      <c r="I24" s="178"/>
      <c r="J24" s="178"/>
      <c r="K24" s="178"/>
      <c r="L24" s="170"/>
      <c r="M24" s="170"/>
      <c r="N24" s="170"/>
      <c r="O24" s="355" t="str">
        <f>IF(AND(E19=Drop!A13,ISBLANK(M22)=FALSE),O22*E20/E18,"")</f>
        <v/>
      </c>
      <c r="P24" s="356"/>
      <c r="Q24" s="357"/>
      <c r="V24" s="136"/>
      <c r="W24" s="136"/>
      <c r="X24" s="136"/>
      <c r="Y24" s="136"/>
      <c r="Z24" s="136"/>
      <c r="AA24" s="148" t="str">
        <f>Drop!A234</f>
        <v>系统生成或计算值</v>
      </c>
      <c r="AB24" s="150"/>
      <c r="AF24" s="43" t="s">
        <v>12</v>
      </c>
      <c r="AG24" s="138" t="str">
        <f>IF(ISBLANK(E19),Drop!A219,IF(E19=Drop!A13,IF(AG17&gt;0,ROUNDUP(PoissonSample(AG16,((O22*(E20/E18))/AG18),((L5*(E20/E18))/AG18)),0),0),IF(E19=Drop!A14,IF(AG17&gt;0,ROUNDUP(PoissonSample(AG16,((O22)/AG18),((L5)/AG18)),0),0))))</f>
        <v>核实所有输入</v>
      </c>
    </row>
    <row r="25" spans="2:33" ht="24.95" customHeight="1">
      <c r="B25" s="166"/>
      <c r="C25" s="215" t="str">
        <f>Drop!A117</f>
        <v>定量</v>
      </c>
      <c r="D25" s="194"/>
      <c r="E25" s="218"/>
      <c r="F25" s="73"/>
      <c r="H25" s="92" t="str">
        <f>Drop!A135</f>
        <v>设计置信水平</v>
      </c>
      <c r="I25" s="93"/>
      <c r="J25" s="93"/>
      <c r="K25" s="164"/>
      <c r="L25" s="366" t="str">
        <f>IF(ISERROR(IF(AG17&lt;=0,Drop!A69,AG17)),Drop!A219,IF(AG17&lt;=0,Drop!A69,AG17))</f>
        <v>核实所有输入</v>
      </c>
      <c r="M25" s="366"/>
      <c r="N25" s="366"/>
      <c r="O25" s="366"/>
      <c r="P25" s="366"/>
      <c r="Q25" s="367"/>
      <c r="V25" s="136"/>
      <c r="W25" s="136"/>
      <c r="X25" s="136"/>
      <c r="Y25" s="136"/>
      <c r="Z25" s="136"/>
      <c r="AA25" s="148" t="str">
        <f>Drop!A235</f>
        <v>要求用户选择如何确定样本</v>
      </c>
      <c r="AB25" s="147"/>
      <c r="AF25" s="43" t="s">
        <v>106</v>
      </c>
      <c r="AG25" s="143" t="e" cm="1">
        <f t="array" ref="AG25">_xlfn.IFS(L26=Drop!A85,Drop!A227,L26=Drop!A84,ROUND(AG18/5,0),TRUE,ROUND(AG18/L26,0))</f>
        <v>#VALUE!</v>
      </c>
    </row>
    <row r="26" spans="2:33" ht="24.95" customHeight="1">
      <c r="B26" s="166"/>
      <c r="C26" s="32"/>
      <c r="D26" s="214" t="str">
        <f>Drop!A118</f>
        <v>抽样总体</v>
      </c>
      <c r="E26" s="219">
        <f>AG18</f>
        <v>0</v>
      </c>
      <c r="F26" s="73"/>
      <c r="H26" s="92" t="str">
        <f>Drop!A136</f>
        <v>样本量</v>
      </c>
      <c r="I26" s="93"/>
      <c r="J26" s="93"/>
      <c r="K26" s="93"/>
      <c r="L26" s="532" t="str" cm="1">
        <f t="array" ref="L26">_xlfn.IFS(AG18&lt;=L5,Drop!A89,AG26=TRUE,Drop!A219,O22="",Drop!A219,ISERROR(AG24&gt;=5),Drop!A219,AG24&gt;=5,AG24,AG17&lt;=0,Drop!A85,TRUE,Drop!A84)</f>
        <v xml:space="preserve">警告 - 样本量小于或等于实际执行的重要性。			</v>
      </c>
      <c r="M26" s="533"/>
      <c r="N26" s="533" t="str">
        <f>IF(ISERROR(IF(AG24&gt;5,AG24,Drop!A84)),Drop!A219,IF(AG24&gt;5,AG24,Drop!A84))</f>
        <v>核实所有输入</v>
      </c>
      <c r="O26" s="533"/>
      <c r="P26" s="533"/>
      <c r="Q26" s="534"/>
      <c r="R26" s="165"/>
      <c r="AA26" s="148" t="str">
        <f>Drop!A236</f>
        <v>其他用户输入栏</v>
      </c>
      <c r="AB26" s="151"/>
      <c r="AF26" s="153" t="s">
        <v>244</v>
      </c>
      <c r="AG26" s="143" t="b">
        <f>M22&gt;=Drop!H62</f>
        <v>0</v>
      </c>
    </row>
    <row r="27" spans="2:33" ht="24.95" customHeight="1">
      <c r="B27" s="166"/>
      <c r="C27" s="171"/>
      <c r="D27" s="168"/>
      <c r="E27" s="172"/>
      <c r="F27" s="173"/>
      <c r="H27" s="370" t="str">
        <f>IF(AG20=TRUE,Drop!A70,"")</f>
        <v/>
      </c>
      <c r="I27" s="371"/>
      <c r="J27" s="371"/>
      <c r="K27" s="371"/>
      <c r="L27" s="372" t="str">
        <f>IF(AG20=TRUE,D24+D25,"")</f>
        <v/>
      </c>
      <c r="M27" s="373"/>
      <c r="N27" s="373"/>
      <c r="O27" s="373"/>
      <c r="P27" s="373"/>
      <c r="Q27" s="374"/>
      <c r="AA27" s="148"/>
    </row>
    <row r="28" spans="2:33" ht="33.75" customHeight="1" thickBot="1">
      <c r="B28" s="375" t="str" cm="1">
        <f t="array" ref="B28">_xlfn.IFS(AG28=TRUE,Drop!A220,AG29=TRUE,Drop!A223,AG30=TRUE,Drop!A221,TRUE,"")</f>
        <v/>
      </c>
      <c r="C28" s="376"/>
      <c r="D28" s="376"/>
      <c r="E28" s="376"/>
      <c r="F28" s="377"/>
      <c r="H28" s="76"/>
      <c r="I28" s="77"/>
      <c r="J28" s="77"/>
      <c r="K28" s="77"/>
      <c r="L28" s="77"/>
      <c r="M28" s="77"/>
      <c r="N28" s="77"/>
      <c r="O28" s="94"/>
      <c r="P28" s="77"/>
      <c r="Q28" s="95"/>
      <c r="AF28" s="43" t="s">
        <v>206</v>
      </c>
      <c r="AG28" s="43" t="str">
        <f>IF(ISBLANK(E18),"",IF(E19=Drop!A13,SUM(E24:E25)&gt;E20,SUM(E24:E25)&gt;E18))</f>
        <v/>
      </c>
    </row>
    <row r="29" spans="2:33" ht="24.95" customHeight="1" thickBot="1">
      <c r="B29" s="96"/>
      <c r="AF29" s="43" t="s">
        <v>207</v>
      </c>
      <c r="AG29" s="43" t="str">
        <f>IF(ISBLANK(E18),"",IF(E19=Drop!A13,(SUM(E24:E25)/E20)&gt;Drop!E223,(SUM(E24:E25)/E18)&gt;Drop!E223))</f>
        <v/>
      </c>
    </row>
    <row r="30" spans="2:33" ht="13.5" thickBot="1">
      <c r="B30" s="65" t="str">
        <f>Drop!A99</f>
        <v>步骤 7 - 评价样本结果</v>
      </c>
      <c r="C30" s="66"/>
      <c r="D30" s="66"/>
      <c r="E30" s="66"/>
      <c r="F30" s="66"/>
      <c r="G30" s="66"/>
      <c r="H30" s="66"/>
      <c r="I30" s="66"/>
      <c r="J30" s="66"/>
      <c r="K30" s="66"/>
      <c r="L30" s="66"/>
      <c r="M30" s="66"/>
      <c r="N30" s="66"/>
      <c r="O30" s="66"/>
      <c r="P30" s="66"/>
      <c r="Q30" s="66"/>
      <c r="R30" s="66"/>
      <c r="S30" s="66"/>
      <c r="T30" s="66"/>
      <c r="U30" s="66"/>
      <c r="V30" s="66"/>
      <c r="W30" s="66"/>
      <c r="X30" s="66"/>
      <c r="Y30" s="66"/>
      <c r="Z30" s="66"/>
      <c r="AA30" s="66"/>
      <c r="AB30" s="67"/>
      <c r="AF30" s="27" t="s">
        <v>237</v>
      </c>
      <c r="AG30" s="27" t="b">
        <f>OR(E24&lt;0,E25&lt;0)</f>
        <v>0</v>
      </c>
    </row>
    <row r="31" spans="2:33" ht="15" customHeight="1">
      <c r="B31" s="378" t="str" cm="1">
        <f t="array" ref="B31">_xlfn.IFS(L26=Drop!A85,Drop!A86,L26=Drop!A84,Drop!A87,ISERROR(L26),Drop!A219,TRUE,"")</f>
        <v/>
      </c>
      <c r="C31" s="379"/>
      <c r="D31" s="379"/>
      <c r="E31" s="379"/>
      <c r="F31" s="379"/>
      <c r="G31" s="379"/>
      <c r="H31" s="379"/>
      <c r="I31" s="379"/>
      <c r="J31" s="379"/>
      <c r="K31" s="379"/>
      <c r="L31" s="379"/>
      <c r="M31" s="379"/>
      <c r="N31" s="379"/>
      <c r="O31" s="379"/>
      <c r="P31" s="379"/>
      <c r="Q31" s="379"/>
      <c r="R31" s="379"/>
      <c r="S31" s="379"/>
      <c r="T31" s="379"/>
      <c r="U31" s="379"/>
      <c r="V31" s="379"/>
      <c r="W31" s="379"/>
      <c r="X31" s="379"/>
      <c r="Y31" s="379"/>
      <c r="Z31" s="379"/>
      <c r="AA31" s="379"/>
      <c r="AB31" s="380"/>
    </row>
    <row r="32" spans="2:33" ht="15.75" customHeight="1" thickBot="1">
      <c r="B32" s="381"/>
      <c r="C32" s="382"/>
      <c r="D32" s="382"/>
      <c r="E32" s="382"/>
      <c r="F32" s="382"/>
      <c r="G32" s="382"/>
      <c r="H32" s="382"/>
      <c r="I32" s="382"/>
      <c r="J32" s="382"/>
      <c r="K32" s="382"/>
      <c r="L32" s="382"/>
      <c r="M32" s="382"/>
      <c r="N32" s="382"/>
      <c r="O32" s="382"/>
      <c r="P32" s="382"/>
      <c r="Q32" s="382"/>
      <c r="R32" s="382"/>
      <c r="S32" s="382"/>
      <c r="T32" s="382"/>
      <c r="U32" s="382"/>
      <c r="V32" s="382"/>
      <c r="W32" s="382"/>
      <c r="X32" s="382"/>
      <c r="Y32" s="382"/>
      <c r="Z32" s="382"/>
      <c r="AA32" s="382"/>
      <c r="AB32" s="383"/>
    </row>
    <row r="33" spans="2:39" ht="15.75" customHeight="1" thickBot="1">
      <c r="B33" s="384" t="str">
        <f>Drop!A144</f>
        <v>识别出的错报</v>
      </c>
      <c r="C33" s="385"/>
      <c r="D33" s="385"/>
      <c r="E33" s="385"/>
      <c r="F33" s="385"/>
      <c r="G33" s="385"/>
      <c r="H33" s="385"/>
      <c r="I33" s="385"/>
      <c r="J33" s="385"/>
      <c r="K33" s="385"/>
      <c r="L33" s="385"/>
      <c r="M33" s="385"/>
      <c r="N33" s="385"/>
      <c r="O33" s="385"/>
      <c r="P33" s="385"/>
      <c r="Q33" s="386"/>
      <c r="S33" s="384" t="str">
        <f>Drop!A156</f>
        <v>汇总结果</v>
      </c>
      <c r="T33" s="385"/>
      <c r="U33" s="385"/>
      <c r="V33" s="385"/>
      <c r="W33" s="385"/>
      <c r="X33" s="385"/>
      <c r="Y33" s="385"/>
      <c r="Z33" s="385"/>
      <c r="AA33" s="385"/>
      <c r="AB33" s="386"/>
      <c r="AF33" s="35" t="s">
        <v>104</v>
      </c>
      <c r="AG33" s="35" t="b">
        <f>MIN(AJ38:AJ57)&lt;Drop!A240</f>
        <v>0</v>
      </c>
    </row>
    <row r="34" spans="2:39">
      <c r="B34" s="202"/>
      <c r="C34" s="520"/>
      <c r="D34" s="520"/>
      <c r="E34" s="520"/>
      <c r="F34" s="521"/>
      <c r="G34" s="97"/>
      <c r="H34" s="97"/>
      <c r="I34" s="97"/>
      <c r="J34" s="97"/>
      <c r="K34" s="97"/>
      <c r="L34" s="97"/>
      <c r="M34" s="97"/>
      <c r="N34" s="97"/>
      <c r="O34" s="97"/>
      <c r="P34" s="97"/>
      <c r="Q34" s="98"/>
      <c r="S34" s="74"/>
      <c r="T34" s="32"/>
      <c r="U34" s="32"/>
      <c r="V34" s="32"/>
      <c r="W34" s="32"/>
      <c r="X34" s="32"/>
      <c r="Y34" s="32"/>
      <c r="Z34" s="32"/>
      <c r="AA34" s="32"/>
      <c r="AB34" s="73"/>
      <c r="AK34" s="82"/>
    </row>
    <row r="35" spans="2:39">
      <c r="B35" s="72"/>
      <c r="C35" s="530" t="str">
        <f>Drop!A145</f>
        <v>账面金额</v>
      </c>
      <c r="D35" s="530" t="str">
        <f>Drop!A146</f>
        <v>审计金额</v>
      </c>
      <c r="E35" s="530" t="str">
        <f>Drop!A147</f>
        <v>与重大金额或关键项目相关?</v>
      </c>
      <c r="F35" s="210"/>
      <c r="G35" s="210"/>
      <c r="H35" s="522" t="str">
        <f>Drop!A148</f>
        <v>错报金额合计</v>
      </c>
      <c r="I35" s="523"/>
      <c r="J35" s="526" t="str">
        <f>Drop!A149</f>
        <v>渲染</v>
      </c>
      <c r="K35" s="527"/>
      <c r="L35" s="305" t="str">
        <f>Drop!A150</f>
        <v>推断总体</v>
      </c>
      <c r="M35" s="306"/>
      <c r="N35" s="306"/>
      <c r="O35" s="306"/>
      <c r="P35" s="306"/>
      <c r="Q35" s="513"/>
      <c r="S35" s="74" t="str">
        <f>Drop!A157</f>
        <v>样本的实际错报金额:</v>
      </c>
      <c r="T35" s="32"/>
      <c r="U35" s="32"/>
      <c r="V35" s="32"/>
      <c r="W35" s="32"/>
      <c r="X35" s="32"/>
      <c r="Y35" s="32"/>
      <c r="Z35" s="32"/>
      <c r="AA35" s="401">
        <f>H57</f>
        <v>0</v>
      </c>
      <c r="AB35" s="402"/>
      <c r="AF35" s="35" t="s">
        <v>57</v>
      </c>
      <c r="AG35" s="82" t="e">
        <f>Y12*AG37</f>
        <v>#VALUE!</v>
      </c>
      <c r="AH35" s="82"/>
      <c r="AI35" s="82"/>
      <c r="AJ35" s="82"/>
      <c r="AK35" s="82"/>
    </row>
    <row r="36" spans="2:39">
      <c r="B36" s="202"/>
      <c r="C36" s="531"/>
      <c r="D36" s="531"/>
      <c r="E36" s="531"/>
      <c r="F36" s="210"/>
      <c r="G36" s="210"/>
      <c r="H36" s="524"/>
      <c r="I36" s="525"/>
      <c r="J36" s="528"/>
      <c r="K36" s="529"/>
      <c r="L36" s="514" t="str">
        <f>Drop!A151</f>
        <v>包括渲染</v>
      </c>
      <c r="M36" s="515"/>
      <c r="N36" s="516"/>
      <c r="O36" s="514" t="str">
        <f>Drop!A152</f>
        <v>没有渲染</v>
      </c>
      <c r="P36" s="515"/>
      <c r="Q36" s="517"/>
      <c r="S36" s="74"/>
      <c r="T36" s="100"/>
      <c r="U36" s="100"/>
      <c r="V36" s="100"/>
      <c r="W36" s="100"/>
      <c r="X36" s="100"/>
      <c r="Y36" s="100"/>
      <c r="Z36" s="32"/>
      <c r="AA36" s="32"/>
      <c r="AB36" s="73"/>
      <c r="AF36" s="59" t="s">
        <v>56</v>
      </c>
      <c r="AG36" s="35" t="s">
        <v>42</v>
      </c>
      <c r="AH36" s="35" t="s">
        <v>70</v>
      </c>
      <c r="AI36" s="35" t="s">
        <v>102</v>
      </c>
      <c r="AJ36" s="99" t="s">
        <v>91</v>
      </c>
      <c r="AK36" s="99" t="s">
        <v>92</v>
      </c>
      <c r="AL36" s="518" t="s">
        <v>58</v>
      </c>
    </row>
    <row r="37" spans="2:39" ht="15.75" customHeight="1">
      <c r="B37" s="201"/>
      <c r="C37" s="189"/>
      <c r="D37" s="189"/>
      <c r="E37" s="209"/>
      <c r="F37" s="32"/>
      <c r="G37" s="32"/>
      <c r="H37" s="465">
        <f t="shared" ref="H37:H56" si="0">C37-D37</f>
        <v>0</v>
      </c>
      <c r="I37" s="466"/>
      <c r="J37" s="467" t="str">
        <f t="shared" ref="J37:J56" si="1">IF(C37&gt;0,H37/C37,"")</f>
        <v/>
      </c>
      <c r="K37" s="468"/>
      <c r="L37" s="460">
        <f>IF(ISERROR(IF(C37&gt;0,IF(OR(C37&gt;$Y$12,E37=Drop!A$13),0,J37*$Y$12),0)),Drop!A$219,IF(C37&gt;0,IF(OR(C37&gt;$Y$12,E37=Drop!A$13),0,J37*$Y$12),0))</f>
        <v>0</v>
      </c>
      <c r="M37" s="461"/>
      <c r="N37" s="462"/>
      <c r="O37" s="405">
        <f>IF(ISERROR(IF(OR(C37&gt;$Y$12,E37=Drop!A$13),H37,0)),Drop!A$219,IF(OR(C37&gt;$Y$12,E37=Drop!A$13),H37,0))</f>
        <v>0</v>
      </c>
      <c r="P37" s="463"/>
      <c r="Q37" s="464"/>
      <c r="S37" s="504" t="str">
        <f>Drop!A158</f>
        <v>推断总体错报金额 (记录到审计调整分录或未更正错报汇总):</v>
      </c>
      <c r="T37" s="505"/>
      <c r="U37" s="505"/>
      <c r="V37" s="505"/>
      <c r="W37" s="505"/>
      <c r="X37" s="505"/>
      <c r="Y37" s="505"/>
      <c r="Z37" s="506"/>
      <c r="AA37" s="507">
        <f>L58</f>
        <v>0</v>
      </c>
      <c r="AB37" s="508"/>
      <c r="AF37" s="192">
        <v>0</v>
      </c>
      <c r="AG37" s="192" t="e">
        <f t="shared" ref="AG37:AG57" si="2">_xlfn.GAMMA.INV($AG$17,AF37+1,1)</f>
        <v>#N/A</v>
      </c>
      <c r="AH37" s="192"/>
      <c r="AI37" s="192"/>
      <c r="AJ37" s="101"/>
      <c r="AK37" s="101"/>
      <c r="AL37" s="519"/>
      <c r="AM37" s="104"/>
    </row>
    <row r="38" spans="2:39" ht="15.75" customHeight="1">
      <c r="B38" s="201"/>
      <c r="C38" s="189"/>
      <c r="D38" s="189"/>
      <c r="E38" s="209"/>
      <c r="F38" s="32"/>
      <c r="G38" s="32"/>
      <c r="H38" s="465">
        <f t="shared" si="0"/>
        <v>0</v>
      </c>
      <c r="I38" s="466"/>
      <c r="J38" s="467" t="str">
        <f t="shared" si="1"/>
        <v/>
      </c>
      <c r="K38" s="468"/>
      <c r="L38" s="460">
        <f>IF(ISERROR(IF(C38&gt;0,IF(OR(C38&gt;$Y$12,E38=Drop!A$13),0,J38*$Y$12),0)),Drop!A$219,IF(C38&gt;0,IF(OR(C38&gt;$Y$12,E38=Drop!A$13),0,J38*$Y$12),0))</f>
        <v>0</v>
      </c>
      <c r="M38" s="461"/>
      <c r="N38" s="462"/>
      <c r="O38" s="405">
        <f>IF(ISERROR(IF(OR(C38&gt;$Y$12,E38=Drop!A$13),H38,0)),Drop!A$219,IF(OR(C38&gt;$Y$12,E38=Drop!A$13),H38,0))</f>
        <v>0</v>
      </c>
      <c r="P38" s="463"/>
      <c r="Q38" s="464"/>
      <c r="S38" s="504"/>
      <c r="T38" s="505"/>
      <c r="U38" s="505"/>
      <c r="V38" s="505"/>
      <c r="W38" s="505"/>
      <c r="X38" s="505"/>
      <c r="Y38" s="505"/>
      <c r="Z38" s="506"/>
      <c r="AA38" s="509"/>
      <c r="AB38" s="510"/>
      <c r="AF38" s="192">
        <f>AF37+1</f>
        <v>1</v>
      </c>
      <c r="AG38" s="192" t="e">
        <f t="shared" si="2"/>
        <v>#N/A</v>
      </c>
      <c r="AH38" s="192" t="e">
        <f t="shared" ref="AH38:AH46" si="3">AG38-AG37</f>
        <v>#N/A</v>
      </c>
      <c r="AI38" s="192">
        <f>ABS(L37)</f>
        <v>0</v>
      </c>
      <c r="AJ38" s="101">
        <f t="shared" ref="AJ38:AJ57" si="4">RANK(AI38,AI$38:AI$57)</f>
        <v>1</v>
      </c>
      <c r="AK38" s="102">
        <f>L37</f>
        <v>0</v>
      </c>
      <c r="AL38" s="103" t="e">
        <f>VLOOKUP(AJ38,AF$37:AH$57,3,FALSE)*AK38</f>
        <v>#N/A</v>
      </c>
      <c r="AM38" s="104"/>
    </row>
    <row r="39" spans="2:39" ht="15.75" customHeight="1">
      <c r="B39" s="201"/>
      <c r="C39" s="189"/>
      <c r="D39" s="189"/>
      <c r="E39" s="209"/>
      <c r="F39" s="32"/>
      <c r="G39" s="32"/>
      <c r="H39" s="465">
        <f t="shared" si="0"/>
        <v>0</v>
      </c>
      <c r="I39" s="466"/>
      <c r="J39" s="467" t="str">
        <f t="shared" si="1"/>
        <v/>
      </c>
      <c r="K39" s="468"/>
      <c r="L39" s="460">
        <f>IF(ISERROR(IF(C39&gt;0,IF(OR(C39&gt;$Y$12,E39=Drop!A$13),0,J39*$Y$12),0)),Drop!A$219,IF(C39&gt;0,IF(OR(C39&gt;$Y$12,E39=Drop!A$13),0,J39*$Y$12),0))</f>
        <v>0</v>
      </c>
      <c r="M39" s="461"/>
      <c r="N39" s="462"/>
      <c r="O39" s="405">
        <f>IF(ISERROR(IF(OR(C39&gt;$Y$12,E39=Drop!A$13),H39,0)),Drop!A$219,IF(OR(C39&gt;$Y$12,E39=Drop!A$13),H39,0))</f>
        <v>0</v>
      </c>
      <c r="P39" s="463"/>
      <c r="Q39" s="464"/>
      <c r="S39" s="504"/>
      <c r="T39" s="505"/>
      <c r="U39" s="505"/>
      <c r="V39" s="505"/>
      <c r="W39" s="505"/>
      <c r="X39" s="505"/>
      <c r="Y39" s="505"/>
      <c r="Z39" s="506"/>
      <c r="AA39" s="511"/>
      <c r="AB39" s="512"/>
      <c r="AF39" s="192">
        <f t="shared" ref="AF39:AF57" si="5">AF38+1</f>
        <v>2</v>
      </c>
      <c r="AG39" s="192" t="e">
        <f t="shared" si="2"/>
        <v>#N/A</v>
      </c>
      <c r="AH39" s="192" t="e">
        <f t="shared" si="3"/>
        <v>#N/A</v>
      </c>
      <c r="AI39" s="192">
        <f t="shared" ref="AI39:AI57" si="6">ABS(L38)</f>
        <v>0</v>
      </c>
      <c r="AJ39" s="101">
        <f t="shared" si="4"/>
        <v>1</v>
      </c>
      <c r="AK39" s="102">
        <f t="shared" ref="AK39:AK57" si="7">L38</f>
        <v>0</v>
      </c>
      <c r="AL39" s="103" t="e">
        <f>VLOOKUP(AJ39,AF$37:AH$57,3,FALSE)*AK39</f>
        <v>#N/A</v>
      </c>
      <c r="AM39" s="104"/>
    </row>
    <row r="40" spans="2:39" ht="15.75" customHeight="1">
      <c r="B40" s="201"/>
      <c r="C40" s="189"/>
      <c r="D40" s="189"/>
      <c r="E40" s="209"/>
      <c r="F40" s="32"/>
      <c r="G40" s="32"/>
      <c r="H40" s="465">
        <f t="shared" si="0"/>
        <v>0</v>
      </c>
      <c r="I40" s="466"/>
      <c r="J40" s="467" t="str">
        <f t="shared" si="1"/>
        <v/>
      </c>
      <c r="K40" s="468"/>
      <c r="L40" s="460">
        <f>IF(ISERROR(IF(C40&gt;0,IF(OR(C40&gt;$Y$12,E40=Drop!A$13),0,J40*$Y$12),0)),Drop!A$219,IF(C40&gt;0,IF(OR(C40&gt;$Y$12,E40=Drop!A$13),0,J40*$Y$12),0))</f>
        <v>0</v>
      </c>
      <c r="M40" s="461"/>
      <c r="N40" s="462"/>
      <c r="O40" s="405">
        <f>IF(ISERROR(IF(OR(C40&gt;$Y$12,E40=Drop!A$13),H40,0)),Drop!A$219,IF(OR(C40&gt;$Y$12,E40=Drop!A$13),H40,0))</f>
        <v>0</v>
      </c>
      <c r="P40" s="463"/>
      <c r="Q40" s="464"/>
      <c r="S40" s="105"/>
      <c r="T40" s="32"/>
      <c r="U40" s="32"/>
      <c r="V40" s="32"/>
      <c r="W40" s="32"/>
      <c r="X40" s="32"/>
      <c r="Y40" s="32"/>
      <c r="Z40" s="32"/>
      <c r="AA40" s="32"/>
      <c r="AB40" s="73"/>
      <c r="AF40" s="192">
        <f t="shared" si="5"/>
        <v>3</v>
      </c>
      <c r="AG40" s="192" t="e">
        <f t="shared" si="2"/>
        <v>#N/A</v>
      </c>
      <c r="AH40" s="192" t="e">
        <f t="shared" si="3"/>
        <v>#N/A</v>
      </c>
      <c r="AI40" s="192">
        <f t="shared" si="6"/>
        <v>0</v>
      </c>
      <c r="AJ40" s="101">
        <f t="shared" si="4"/>
        <v>1</v>
      </c>
      <c r="AK40" s="102">
        <f t="shared" si="7"/>
        <v>0</v>
      </c>
      <c r="AL40" s="103" t="e">
        <f t="shared" ref="AL40:AL57" si="8">VLOOKUP(AJ40,AF$37:AH$57,3,FALSE)*AK40</f>
        <v>#N/A</v>
      </c>
      <c r="AM40" s="104"/>
    </row>
    <row r="41" spans="2:39" ht="15.75" customHeight="1">
      <c r="B41" s="201"/>
      <c r="C41" s="189"/>
      <c r="D41" s="189"/>
      <c r="E41" s="209"/>
      <c r="F41" s="32"/>
      <c r="G41" s="32"/>
      <c r="H41" s="465">
        <f t="shared" si="0"/>
        <v>0</v>
      </c>
      <c r="I41" s="466"/>
      <c r="J41" s="467" t="str">
        <f t="shared" si="1"/>
        <v/>
      </c>
      <c r="K41" s="468"/>
      <c r="L41" s="460">
        <f>IF(ISERROR(IF(C41&gt;0,IF(OR(C41&gt;$Y$12,E41=Drop!A$13),0,J41*$Y$12),0)),Drop!A$219,IF(C41&gt;0,IF(OR(C41&gt;$Y$12,E41=Drop!A$13),0,J41*$Y$12),0))</f>
        <v>0</v>
      </c>
      <c r="M41" s="461"/>
      <c r="N41" s="462"/>
      <c r="O41" s="405">
        <f>IF(ISERROR(IF(OR(C41&gt;$Y$12,E41=Drop!A$13),H41,0)),Drop!A$219,IF(OR(C41&gt;$Y$12,E41=Drop!A$13),H41,0))</f>
        <v>0</v>
      </c>
      <c r="P41" s="463"/>
      <c r="Q41" s="464"/>
      <c r="S41" s="74" t="str">
        <f>Drop!A159</f>
        <v>整体精准度:</v>
      </c>
      <c r="T41" s="32"/>
      <c r="U41" s="32"/>
      <c r="V41" s="32"/>
      <c r="W41" s="32"/>
      <c r="X41" s="32"/>
      <c r="Y41" s="32"/>
      <c r="Z41" s="32"/>
      <c r="AA41" s="493" t="str">
        <f>IF(ISERROR(AL66),Drop!A219,AL66)</f>
        <v>核实所有输入</v>
      </c>
      <c r="AB41" s="494"/>
      <c r="AF41" s="192">
        <f t="shared" si="5"/>
        <v>4</v>
      </c>
      <c r="AG41" s="192" t="e">
        <f t="shared" si="2"/>
        <v>#N/A</v>
      </c>
      <c r="AH41" s="192" t="e">
        <f t="shared" si="3"/>
        <v>#N/A</v>
      </c>
      <c r="AI41" s="192">
        <f t="shared" si="6"/>
        <v>0</v>
      </c>
      <c r="AJ41" s="101">
        <f t="shared" si="4"/>
        <v>1</v>
      </c>
      <c r="AK41" s="102">
        <f t="shared" si="7"/>
        <v>0</v>
      </c>
      <c r="AL41" s="103" t="e">
        <f t="shared" si="8"/>
        <v>#N/A</v>
      </c>
      <c r="AM41" s="104"/>
    </row>
    <row r="42" spans="2:39" ht="15.75" customHeight="1">
      <c r="B42" s="201"/>
      <c r="C42" s="189"/>
      <c r="D42" s="189"/>
      <c r="E42" s="209"/>
      <c r="F42" s="32"/>
      <c r="G42" s="32"/>
      <c r="H42" s="465">
        <f t="shared" si="0"/>
        <v>0</v>
      </c>
      <c r="I42" s="466"/>
      <c r="J42" s="467" t="str">
        <f t="shared" si="1"/>
        <v/>
      </c>
      <c r="K42" s="468"/>
      <c r="L42" s="460">
        <f>IF(ISERROR(IF(C42&gt;0,IF(OR(C42&gt;$Y$12,E42=Drop!A$13),0,J42*$Y$12),0)),Drop!A$219,IF(C42&gt;0,IF(OR(C42&gt;$Y$12,E42=Drop!A$13),0,J42*$Y$12),0))</f>
        <v>0</v>
      </c>
      <c r="M42" s="461"/>
      <c r="N42" s="462"/>
      <c r="O42" s="405">
        <f>IF(ISERROR(IF(OR(C42&gt;$Y$12,E42=Drop!A$13),H42,0)),Drop!A$219,IF(OR(C42&gt;$Y$12,E42=Drop!A$13),H42,0))</f>
        <v>0</v>
      </c>
      <c r="P42" s="463"/>
      <c r="Q42" s="464"/>
      <c r="S42" s="74"/>
      <c r="T42" s="32"/>
      <c r="U42" s="32"/>
      <c r="V42" s="32"/>
      <c r="W42" s="32"/>
      <c r="X42" s="32"/>
      <c r="Y42" s="32"/>
      <c r="Z42" s="32"/>
      <c r="AA42" s="32"/>
      <c r="AB42" s="73"/>
      <c r="AF42" s="192">
        <f t="shared" si="5"/>
        <v>5</v>
      </c>
      <c r="AG42" s="192" t="e">
        <f t="shared" si="2"/>
        <v>#N/A</v>
      </c>
      <c r="AH42" s="192" t="e">
        <f t="shared" si="3"/>
        <v>#N/A</v>
      </c>
      <c r="AI42" s="192">
        <f t="shared" si="6"/>
        <v>0</v>
      </c>
      <c r="AJ42" s="101">
        <f t="shared" si="4"/>
        <v>1</v>
      </c>
      <c r="AK42" s="102">
        <f t="shared" si="7"/>
        <v>0</v>
      </c>
      <c r="AL42" s="103" t="e">
        <f t="shared" si="8"/>
        <v>#N/A</v>
      </c>
      <c r="AM42" s="104"/>
    </row>
    <row r="43" spans="2:39" ht="15.75" customHeight="1">
      <c r="B43" s="201"/>
      <c r="C43" s="189"/>
      <c r="D43" s="189"/>
      <c r="E43" s="209"/>
      <c r="F43" s="32"/>
      <c r="G43" s="32"/>
      <c r="H43" s="465">
        <f t="shared" si="0"/>
        <v>0</v>
      </c>
      <c r="I43" s="466"/>
      <c r="J43" s="467" t="str">
        <f t="shared" si="1"/>
        <v/>
      </c>
      <c r="K43" s="468"/>
      <c r="L43" s="460">
        <f>IF(ISERROR(IF(C43&gt;0,IF(OR(C43&gt;$Y$12,E43=Drop!A$13),0,J43*$Y$12),0)),Drop!A$219,IF(C43&gt;0,IF(OR(C43&gt;$Y$12,E43=Drop!A$13),0,J43*$Y$12),0))</f>
        <v>0</v>
      </c>
      <c r="M43" s="461"/>
      <c r="N43" s="462"/>
      <c r="O43" s="405">
        <f>IF(ISERROR(IF(OR(C43&gt;$Y$12,E43=Drop!A$13),H43,0)),Drop!A$219,IF(OR(C43&gt;$Y$12,E43=Drop!A$13),H43,0))</f>
        <v>0</v>
      </c>
      <c r="P43" s="463"/>
      <c r="Q43" s="464"/>
      <c r="S43" s="421" t="str">
        <f>Drop!A160</f>
        <v>这里有</v>
      </c>
      <c r="T43" s="422"/>
      <c r="U43" s="495" t="str">
        <f>IF(ISERROR(AG16),Drop!A219,AG16)</f>
        <v>核实所有输入</v>
      </c>
      <c r="V43" s="496"/>
      <c r="W43" s="501" t="str">
        <f>Drop!A161</f>
        <v>机会已记账金额被多计超过</v>
      </c>
      <c r="X43" s="502"/>
      <c r="Y43" s="502"/>
      <c r="Z43" s="503"/>
      <c r="AA43" s="487" t="str">
        <f>IF(ISERROR(AL72),Drop!A219,AL72)</f>
        <v>核实所有输入</v>
      </c>
      <c r="AB43" s="488"/>
      <c r="AF43" s="192">
        <f t="shared" si="5"/>
        <v>6</v>
      </c>
      <c r="AG43" s="192" t="e">
        <f t="shared" si="2"/>
        <v>#N/A</v>
      </c>
      <c r="AH43" s="192" t="e">
        <f t="shared" si="3"/>
        <v>#N/A</v>
      </c>
      <c r="AI43" s="192">
        <f t="shared" si="6"/>
        <v>0</v>
      </c>
      <c r="AJ43" s="101">
        <f t="shared" si="4"/>
        <v>1</v>
      </c>
      <c r="AK43" s="102">
        <f t="shared" si="7"/>
        <v>0</v>
      </c>
      <c r="AL43" s="103" t="e">
        <f t="shared" si="8"/>
        <v>#N/A</v>
      </c>
      <c r="AM43" s="104"/>
    </row>
    <row r="44" spans="2:39" ht="15.75" customHeight="1">
      <c r="B44" s="201"/>
      <c r="C44" s="189"/>
      <c r="D44" s="189"/>
      <c r="E44" s="209"/>
      <c r="F44" s="32"/>
      <c r="G44" s="32"/>
      <c r="H44" s="465">
        <f t="shared" si="0"/>
        <v>0</v>
      </c>
      <c r="I44" s="466"/>
      <c r="J44" s="467" t="str">
        <f t="shared" si="1"/>
        <v/>
      </c>
      <c r="K44" s="468"/>
      <c r="L44" s="460">
        <f>IF(ISERROR(IF(C44&gt;0,IF(OR(C44&gt;$Y$12,E44=Drop!A$13),0,J44*$Y$12),0)),Drop!A$219,IF(C44&gt;0,IF(OR(C44&gt;$Y$12,E44=Drop!A$13),0,J44*$Y$12),0))</f>
        <v>0</v>
      </c>
      <c r="M44" s="461"/>
      <c r="N44" s="462"/>
      <c r="O44" s="405">
        <f>IF(ISERROR(IF(OR(C44&gt;$Y$12,E44=Drop!A$13),H44,0)),Drop!A$219,IF(OR(C44&gt;$Y$12,E44=Drop!A$13),H44,0))</f>
        <v>0</v>
      </c>
      <c r="P44" s="463"/>
      <c r="Q44" s="464"/>
      <c r="S44" s="421"/>
      <c r="T44" s="422"/>
      <c r="U44" s="497"/>
      <c r="V44" s="498"/>
      <c r="W44" s="501"/>
      <c r="X44" s="502"/>
      <c r="Y44" s="502"/>
      <c r="Z44" s="503"/>
      <c r="AA44" s="489"/>
      <c r="AB44" s="490"/>
      <c r="AF44" s="192">
        <f t="shared" si="5"/>
        <v>7</v>
      </c>
      <c r="AG44" s="192" t="e">
        <f t="shared" si="2"/>
        <v>#N/A</v>
      </c>
      <c r="AH44" s="192" t="e">
        <f t="shared" si="3"/>
        <v>#N/A</v>
      </c>
      <c r="AI44" s="192">
        <f t="shared" si="6"/>
        <v>0</v>
      </c>
      <c r="AJ44" s="101">
        <f t="shared" si="4"/>
        <v>1</v>
      </c>
      <c r="AK44" s="102">
        <f t="shared" si="7"/>
        <v>0</v>
      </c>
      <c r="AL44" s="103" t="e">
        <f t="shared" si="8"/>
        <v>#N/A</v>
      </c>
      <c r="AM44" s="104"/>
    </row>
    <row r="45" spans="2:39" ht="15.75" customHeight="1">
      <c r="B45" s="201"/>
      <c r="C45" s="189"/>
      <c r="D45" s="189"/>
      <c r="E45" s="209"/>
      <c r="F45" s="32"/>
      <c r="G45" s="32"/>
      <c r="H45" s="465">
        <f t="shared" si="0"/>
        <v>0</v>
      </c>
      <c r="I45" s="466"/>
      <c r="J45" s="467" t="str">
        <f t="shared" si="1"/>
        <v/>
      </c>
      <c r="K45" s="468"/>
      <c r="L45" s="460">
        <f>IF(ISERROR(IF(C45&gt;0,IF(OR(C45&gt;$Y$12,E45=Drop!A$13),0,J45*$Y$12),0)),Drop!A$219,IF(C45&gt;0,IF(OR(C45&gt;$Y$12,E45=Drop!A$13),0,J45*$Y$12),0))</f>
        <v>0</v>
      </c>
      <c r="M45" s="461"/>
      <c r="N45" s="462"/>
      <c r="O45" s="405">
        <f>IF(ISERROR(IF(OR(C45&gt;$Y$12,E45=Drop!A$13),H45,0)),Drop!A$219,IF(OR(C45&gt;$Y$12,E45=Drop!A$13),H45,0))</f>
        <v>0</v>
      </c>
      <c r="P45" s="463"/>
      <c r="Q45" s="464"/>
      <c r="S45" s="421"/>
      <c r="T45" s="422"/>
      <c r="U45" s="499"/>
      <c r="V45" s="500"/>
      <c r="W45" s="501"/>
      <c r="X45" s="502"/>
      <c r="Y45" s="502"/>
      <c r="Z45" s="503"/>
      <c r="AA45" s="491"/>
      <c r="AB45" s="492"/>
      <c r="AF45" s="192">
        <f t="shared" si="5"/>
        <v>8</v>
      </c>
      <c r="AG45" s="192" t="e">
        <f t="shared" si="2"/>
        <v>#N/A</v>
      </c>
      <c r="AH45" s="192" t="e">
        <f t="shared" si="3"/>
        <v>#N/A</v>
      </c>
      <c r="AI45" s="192">
        <f t="shared" si="6"/>
        <v>0</v>
      </c>
      <c r="AJ45" s="101">
        <f t="shared" si="4"/>
        <v>1</v>
      </c>
      <c r="AK45" s="102">
        <f t="shared" si="7"/>
        <v>0</v>
      </c>
      <c r="AL45" s="103" t="e">
        <f t="shared" si="8"/>
        <v>#N/A</v>
      </c>
      <c r="AM45" s="104"/>
    </row>
    <row r="46" spans="2:39" ht="15.75" customHeight="1">
      <c r="B46" s="201"/>
      <c r="C46" s="189"/>
      <c r="D46" s="189"/>
      <c r="E46" s="209"/>
      <c r="F46" s="32"/>
      <c r="G46" s="32"/>
      <c r="H46" s="483">
        <f t="shared" si="0"/>
        <v>0</v>
      </c>
      <c r="I46" s="484"/>
      <c r="J46" s="485" t="str">
        <f t="shared" si="1"/>
        <v/>
      </c>
      <c r="K46" s="486"/>
      <c r="L46" s="460">
        <f>IF(ISERROR(IF(C46&gt;0,IF(OR(C46&gt;$Y$12,E46=Drop!A$13),0,J46*$Y$12),0)),Drop!A$219,IF(C46&gt;0,IF(OR(C46&gt;$Y$12,E46=Drop!A$13),0,J46*$Y$12),0))</f>
        <v>0</v>
      </c>
      <c r="M46" s="461"/>
      <c r="N46" s="462"/>
      <c r="O46" s="405">
        <f>IF(ISERROR(IF(OR(C46&gt;$Y$12,E46=Drop!A$13),H46,0)),Drop!A$219,IF(OR(C46&gt;$Y$12,E46=Drop!A$13),H46,0))</f>
        <v>0</v>
      </c>
      <c r="P46" s="463"/>
      <c r="Q46" s="464"/>
      <c r="S46" s="74"/>
      <c r="T46" s="32"/>
      <c r="U46" s="32"/>
      <c r="V46" s="32"/>
      <c r="W46" s="32"/>
      <c r="X46" s="32"/>
      <c r="Y46" s="32"/>
      <c r="Z46" s="32"/>
      <c r="AA46" s="32"/>
      <c r="AB46" s="73"/>
      <c r="AF46" s="192">
        <f t="shared" si="5"/>
        <v>9</v>
      </c>
      <c r="AG46" s="192" t="e">
        <f t="shared" si="2"/>
        <v>#N/A</v>
      </c>
      <c r="AH46" s="192" t="e">
        <f t="shared" si="3"/>
        <v>#N/A</v>
      </c>
      <c r="AI46" s="192">
        <f t="shared" si="6"/>
        <v>0</v>
      </c>
      <c r="AJ46" s="101">
        <f t="shared" si="4"/>
        <v>1</v>
      </c>
      <c r="AK46" s="102">
        <f t="shared" si="7"/>
        <v>0</v>
      </c>
      <c r="AL46" s="103" t="e">
        <f t="shared" si="8"/>
        <v>#N/A</v>
      </c>
      <c r="AM46" s="104"/>
    </row>
    <row r="47" spans="2:39" ht="15.75" customHeight="1">
      <c r="B47" s="201"/>
      <c r="C47" s="189"/>
      <c r="D47" s="189"/>
      <c r="E47" s="209"/>
      <c r="F47" s="32"/>
      <c r="G47" s="32"/>
      <c r="H47" s="483">
        <f t="shared" si="0"/>
        <v>0</v>
      </c>
      <c r="I47" s="484"/>
      <c r="J47" s="485" t="str">
        <f t="shared" si="1"/>
        <v/>
      </c>
      <c r="K47" s="486"/>
      <c r="L47" s="461">
        <f>IF(ISERROR(IF(C47&gt;0,IF(OR(C47&gt;$Y$12,E47=Drop!A$13),0,J47*$Y$12),0)),Drop!A$219,IF(C47&gt;0,IF(OR(C47&gt;$Y$12,E47=Drop!A$13),0,J47*$Y$12),0))</f>
        <v>0</v>
      </c>
      <c r="M47" s="461"/>
      <c r="N47" s="462"/>
      <c r="O47" s="405">
        <f>IF(ISERROR(IF(OR(C47&gt;$Y$12,E47=Drop!A$13),H47,0)),Drop!A$219,IF(OR(C47&gt;$Y$12,E47=Drop!A$13),H47,0))</f>
        <v>0</v>
      </c>
      <c r="P47" s="463"/>
      <c r="Q47" s="464"/>
      <c r="S47" s="74"/>
      <c r="T47" s="32"/>
      <c r="U47" s="32"/>
      <c r="V47" s="32"/>
      <c r="W47" s="32"/>
      <c r="X47" s="32"/>
      <c r="Y47" s="32"/>
      <c r="Z47" s="32"/>
      <c r="AA47" s="32"/>
      <c r="AB47" s="73"/>
      <c r="AF47" s="192">
        <f t="shared" si="5"/>
        <v>10</v>
      </c>
      <c r="AG47" s="192" t="e">
        <f t="shared" si="2"/>
        <v>#N/A</v>
      </c>
      <c r="AH47" s="192" t="e">
        <f t="shared" ref="AH47:AH56" si="9">AG47-AG46</f>
        <v>#N/A</v>
      </c>
      <c r="AI47" s="192">
        <f t="shared" si="6"/>
        <v>0</v>
      </c>
      <c r="AJ47" s="101">
        <f t="shared" si="4"/>
        <v>1</v>
      </c>
      <c r="AK47" s="102">
        <f t="shared" si="7"/>
        <v>0</v>
      </c>
      <c r="AL47" s="103" t="e">
        <f t="shared" si="8"/>
        <v>#N/A</v>
      </c>
      <c r="AM47" s="104"/>
    </row>
    <row r="48" spans="2:39" ht="15.75" customHeight="1">
      <c r="B48" s="201"/>
      <c r="C48" s="189"/>
      <c r="D48" s="189"/>
      <c r="E48" s="209"/>
      <c r="F48" s="32"/>
      <c r="G48" s="32"/>
      <c r="H48" s="465">
        <f t="shared" si="0"/>
        <v>0</v>
      </c>
      <c r="I48" s="482"/>
      <c r="J48" s="467" t="str">
        <f t="shared" si="1"/>
        <v/>
      </c>
      <c r="K48" s="468"/>
      <c r="L48" s="461">
        <f>IF(ISERROR(IF(C48&gt;0,IF(OR(C48&gt;$Y$12,E48=Drop!A$13),0,J48*$Y$12),0)),Drop!A$219,IF(C48&gt;0,IF(OR(C48&gt;$Y$12,E48=Drop!A$13),0,J48*$Y$12),0))</f>
        <v>0</v>
      </c>
      <c r="M48" s="461"/>
      <c r="N48" s="462"/>
      <c r="O48" s="405">
        <f>IF(ISERROR(IF(OR(C48&gt;$Y$12,E48=Drop!A$13),H48,0)),Drop!A$219,IF(OR(C48&gt;$Y$12,E48=Drop!A$13),H48,0))</f>
        <v>0</v>
      </c>
      <c r="P48" s="463"/>
      <c r="Q48" s="464"/>
      <c r="S48" s="74"/>
      <c r="T48" s="32"/>
      <c r="U48" s="32"/>
      <c r="V48" s="32"/>
      <c r="W48" s="32"/>
      <c r="X48" s="32"/>
      <c r="Y48" s="32"/>
      <c r="Z48" s="32"/>
      <c r="AA48" s="32"/>
      <c r="AB48" s="73"/>
      <c r="AF48" s="192">
        <f t="shared" si="5"/>
        <v>11</v>
      </c>
      <c r="AG48" s="192" t="e">
        <f t="shared" si="2"/>
        <v>#N/A</v>
      </c>
      <c r="AH48" s="192" t="e">
        <f t="shared" si="9"/>
        <v>#N/A</v>
      </c>
      <c r="AI48" s="192">
        <f t="shared" si="6"/>
        <v>0</v>
      </c>
      <c r="AJ48" s="101">
        <f t="shared" si="4"/>
        <v>1</v>
      </c>
      <c r="AK48" s="102">
        <f t="shared" si="7"/>
        <v>0</v>
      </c>
      <c r="AL48" s="103" t="e">
        <f t="shared" si="8"/>
        <v>#N/A</v>
      </c>
      <c r="AM48" s="104"/>
    </row>
    <row r="49" spans="2:39" ht="15.75" customHeight="1">
      <c r="B49" s="201"/>
      <c r="C49" s="189"/>
      <c r="D49" s="189"/>
      <c r="E49" s="209"/>
      <c r="F49" s="32"/>
      <c r="G49" s="32"/>
      <c r="H49" s="469">
        <f t="shared" si="0"/>
        <v>0</v>
      </c>
      <c r="I49" s="470"/>
      <c r="J49" s="471" t="str">
        <f t="shared" si="1"/>
        <v/>
      </c>
      <c r="K49" s="472"/>
      <c r="L49" s="461">
        <f>IF(ISERROR(IF(C49&gt;0,IF(OR(C49&gt;$Y$12,E49=Drop!A$13),0,J49*$Y$12),0)),Drop!A$219,IF(C49&gt;0,IF(OR(C49&gt;$Y$12,E49=Drop!A$13),0,J49*$Y$12),0))</f>
        <v>0</v>
      </c>
      <c r="M49" s="461"/>
      <c r="N49" s="462"/>
      <c r="O49" s="405">
        <f>IF(ISERROR(IF(OR(C49&gt;$Y$12,E49=Drop!A$13),H49,0)),Drop!A$219,IF(OR(C49&gt;$Y$12,E49=Drop!A$13),H49,0))</f>
        <v>0</v>
      </c>
      <c r="P49" s="463"/>
      <c r="Q49" s="464"/>
      <c r="S49" s="74"/>
      <c r="T49" s="32"/>
      <c r="U49" s="32"/>
      <c r="V49" s="32"/>
      <c r="W49" s="32"/>
      <c r="X49" s="32"/>
      <c r="Y49" s="32"/>
      <c r="Z49" s="32"/>
      <c r="AA49" s="32"/>
      <c r="AB49" s="73"/>
      <c r="AF49" s="192">
        <f t="shared" si="5"/>
        <v>12</v>
      </c>
      <c r="AG49" s="192" t="e">
        <f t="shared" si="2"/>
        <v>#N/A</v>
      </c>
      <c r="AH49" s="192" t="e">
        <f t="shared" si="9"/>
        <v>#N/A</v>
      </c>
      <c r="AI49" s="192">
        <f t="shared" si="6"/>
        <v>0</v>
      </c>
      <c r="AJ49" s="101">
        <f t="shared" si="4"/>
        <v>1</v>
      </c>
      <c r="AK49" s="102">
        <f t="shared" si="7"/>
        <v>0</v>
      </c>
      <c r="AL49" s="103" t="e">
        <f t="shared" si="8"/>
        <v>#N/A</v>
      </c>
      <c r="AM49" s="104"/>
    </row>
    <row r="50" spans="2:39" ht="15.75" customHeight="1">
      <c r="B50" s="201"/>
      <c r="C50" s="189"/>
      <c r="D50" s="189"/>
      <c r="E50" s="209"/>
      <c r="F50" s="32"/>
      <c r="G50" s="32"/>
      <c r="H50" s="465">
        <f t="shared" si="0"/>
        <v>0</v>
      </c>
      <c r="I50" s="482"/>
      <c r="J50" s="467" t="str">
        <f t="shared" si="1"/>
        <v/>
      </c>
      <c r="K50" s="468"/>
      <c r="L50" s="461">
        <f>IF(ISERROR(IF(C50&gt;0,IF(OR(C50&gt;$Y$12,E50=Drop!A$13),0,J50*$Y$12),0)),Drop!A$219,IF(C50&gt;0,IF(OR(C50&gt;$Y$12,E50=Drop!A$13),0,J50*$Y$12),0))</f>
        <v>0</v>
      </c>
      <c r="M50" s="461"/>
      <c r="N50" s="462"/>
      <c r="O50" s="405">
        <f>IF(ISERROR(IF(OR(C50&gt;$Y$12,E50=Drop!A$13),H50,0)),Drop!A$219,IF(OR(C50&gt;$Y$12,E50=Drop!A$13),H50,0))</f>
        <v>0</v>
      </c>
      <c r="P50" s="463"/>
      <c r="Q50" s="464"/>
      <c r="S50" s="74"/>
      <c r="T50" s="32"/>
      <c r="U50" s="32"/>
      <c r="V50" s="32"/>
      <c r="W50" s="32"/>
      <c r="X50" s="32"/>
      <c r="Y50" s="32"/>
      <c r="Z50" s="32"/>
      <c r="AA50" s="32"/>
      <c r="AB50" s="73"/>
      <c r="AF50" s="192">
        <f t="shared" si="5"/>
        <v>13</v>
      </c>
      <c r="AG50" s="192" t="e">
        <f t="shared" si="2"/>
        <v>#N/A</v>
      </c>
      <c r="AH50" s="192" t="e">
        <f t="shared" si="9"/>
        <v>#N/A</v>
      </c>
      <c r="AI50" s="192">
        <f t="shared" si="6"/>
        <v>0</v>
      </c>
      <c r="AJ50" s="101">
        <f t="shared" si="4"/>
        <v>1</v>
      </c>
      <c r="AK50" s="102">
        <f t="shared" si="7"/>
        <v>0</v>
      </c>
      <c r="AL50" s="103" t="e">
        <f t="shared" si="8"/>
        <v>#N/A</v>
      </c>
      <c r="AM50" s="104"/>
    </row>
    <row r="51" spans="2:39" ht="15.75" customHeight="1">
      <c r="B51" s="201"/>
      <c r="C51" s="189"/>
      <c r="D51" s="189"/>
      <c r="E51" s="209"/>
      <c r="F51" s="32"/>
      <c r="G51" s="32"/>
      <c r="H51" s="478">
        <f t="shared" si="0"/>
        <v>0</v>
      </c>
      <c r="I51" s="479"/>
      <c r="J51" s="480" t="str">
        <f t="shared" si="1"/>
        <v/>
      </c>
      <c r="K51" s="481"/>
      <c r="L51" s="461">
        <f>IF(ISERROR(IF(C51&gt;0,IF(OR(C51&gt;$Y$12,E51=Drop!A$13),0,J51*$Y$12),0)),Drop!A$219,IF(C51&gt;0,IF(OR(C51&gt;$Y$12,E51=Drop!A$13),0,J51*$Y$12),0))</f>
        <v>0</v>
      </c>
      <c r="M51" s="461"/>
      <c r="N51" s="462"/>
      <c r="O51" s="405">
        <f>IF(ISERROR(IF(OR(C51&gt;$Y$12,E51=Drop!A$13),H51,0)),Drop!A$219,IF(OR(C51&gt;$Y$12,E51=Drop!A$13),H51,0))</f>
        <v>0</v>
      </c>
      <c r="P51" s="463"/>
      <c r="Q51" s="464"/>
      <c r="S51" s="74"/>
      <c r="T51" s="32"/>
      <c r="U51" s="32"/>
      <c r="V51" s="32"/>
      <c r="W51" s="32"/>
      <c r="X51" s="32"/>
      <c r="Y51" s="32"/>
      <c r="Z51" s="32"/>
      <c r="AA51" s="32"/>
      <c r="AB51" s="73"/>
      <c r="AF51" s="192">
        <f t="shared" si="5"/>
        <v>14</v>
      </c>
      <c r="AG51" s="192" t="e">
        <f t="shared" si="2"/>
        <v>#N/A</v>
      </c>
      <c r="AH51" s="192" t="e">
        <f t="shared" si="9"/>
        <v>#N/A</v>
      </c>
      <c r="AI51" s="192">
        <f t="shared" si="6"/>
        <v>0</v>
      </c>
      <c r="AJ51" s="101">
        <f t="shared" si="4"/>
        <v>1</v>
      </c>
      <c r="AK51" s="102">
        <f t="shared" si="7"/>
        <v>0</v>
      </c>
      <c r="AL51" s="103" t="e">
        <f t="shared" si="8"/>
        <v>#N/A</v>
      </c>
      <c r="AM51" s="104"/>
    </row>
    <row r="52" spans="2:39" ht="15.75" customHeight="1">
      <c r="B52" s="201"/>
      <c r="C52" s="189"/>
      <c r="D52" s="189"/>
      <c r="E52" s="209"/>
      <c r="F52" s="32"/>
      <c r="G52" s="32"/>
      <c r="H52" s="469">
        <f t="shared" si="0"/>
        <v>0</v>
      </c>
      <c r="I52" s="470"/>
      <c r="J52" s="471" t="str">
        <f t="shared" si="1"/>
        <v/>
      </c>
      <c r="K52" s="472"/>
      <c r="L52" s="460">
        <f>IF(ISERROR(IF(C52&gt;0,IF(OR(C52&gt;$Y$12,E52=Drop!A$13),0,J52*$Y$12),0)),Drop!A$219,IF(C52&gt;0,IF(OR(C52&gt;$Y$12,E52=Drop!A$13),0,J52*$Y$12),0))</f>
        <v>0</v>
      </c>
      <c r="M52" s="461"/>
      <c r="N52" s="462"/>
      <c r="O52" s="405">
        <f>IF(ISERROR(IF(OR(C52&gt;$Y$12,E52=Drop!A$13),H52,0)),Drop!A$219,IF(OR(C52&gt;$Y$12,E52=Drop!A$13),H52,0))</f>
        <v>0</v>
      </c>
      <c r="P52" s="463"/>
      <c r="Q52" s="464"/>
      <c r="S52" s="74"/>
      <c r="T52" s="32"/>
      <c r="U52" s="32"/>
      <c r="V52" s="32"/>
      <c r="W52" s="32"/>
      <c r="X52" s="32"/>
      <c r="Y52" s="32"/>
      <c r="Z52" s="32"/>
      <c r="AA52" s="32"/>
      <c r="AB52" s="73"/>
      <c r="AF52" s="192">
        <f t="shared" si="5"/>
        <v>15</v>
      </c>
      <c r="AG52" s="192" t="e">
        <f t="shared" si="2"/>
        <v>#N/A</v>
      </c>
      <c r="AH52" s="192" t="e">
        <f t="shared" si="9"/>
        <v>#N/A</v>
      </c>
      <c r="AI52" s="192">
        <f t="shared" si="6"/>
        <v>0</v>
      </c>
      <c r="AJ52" s="101">
        <f t="shared" si="4"/>
        <v>1</v>
      </c>
      <c r="AK52" s="102">
        <f t="shared" si="7"/>
        <v>0</v>
      </c>
      <c r="AL52" s="103" t="e">
        <f t="shared" si="8"/>
        <v>#N/A</v>
      </c>
      <c r="AM52" s="104"/>
    </row>
    <row r="53" spans="2:39" ht="15.75" customHeight="1">
      <c r="B53" s="201"/>
      <c r="C53" s="189"/>
      <c r="D53" s="189"/>
      <c r="E53" s="209"/>
      <c r="F53" s="32"/>
      <c r="G53" s="32"/>
      <c r="H53" s="465">
        <f t="shared" si="0"/>
        <v>0</v>
      </c>
      <c r="I53" s="466"/>
      <c r="J53" s="467" t="str">
        <f t="shared" si="1"/>
        <v/>
      </c>
      <c r="K53" s="468"/>
      <c r="L53" s="460">
        <f>IF(ISERROR(IF(C53&gt;0,IF(OR(C53&gt;$Y$12,E53=Drop!A$13),0,J53*$Y$12),0)),Drop!A$219,IF(C53&gt;0,IF(OR(C53&gt;$Y$12,E53=Drop!A$13),0,J53*$Y$12),0))</f>
        <v>0</v>
      </c>
      <c r="M53" s="461"/>
      <c r="N53" s="462"/>
      <c r="O53" s="405">
        <f>IF(ISERROR(IF(OR(C53&gt;$Y$12,E53=Drop!A$13),H53,0)),Drop!A$219,IF(OR(C53&gt;$Y$12,E53=Drop!A$13),H53,0))</f>
        <v>0</v>
      </c>
      <c r="P53" s="463"/>
      <c r="Q53" s="464"/>
      <c r="S53" s="74"/>
      <c r="T53" s="32"/>
      <c r="U53" s="32"/>
      <c r="V53" s="32"/>
      <c r="W53" s="32"/>
      <c r="X53" s="32"/>
      <c r="Y53" s="32"/>
      <c r="Z53" s="32"/>
      <c r="AA53" s="32"/>
      <c r="AB53" s="73"/>
      <c r="AF53" s="192">
        <f t="shared" si="5"/>
        <v>16</v>
      </c>
      <c r="AG53" s="192" t="e">
        <f t="shared" si="2"/>
        <v>#N/A</v>
      </c>
      <c r="AH53" s="192" t="e">
        <f t="shared" si="9"/>
        <v>#N/A</v>
      </c>
      <c r="AI53" s="192">
        <f t="shared" si="6"/>
        <v>0</v>
      </c>
      <c r="AJ53" s="101">
        <f t="shared" si="4"/>
        <v>1</v>
      </c>
      <c r="AK53" s="102">
        <f t="shared" si="7"/>
        <v>0</v>
      </c>
      <c r="AL53" s="103" t="e">
        <f t="shared" si="8"/>
        <v>#N/A</v>
      </c>
      <c r="AM53" s="104"/>
    </row>
    <row r="54" spans="2:39" ht="15.75" customHeight="1">
      <c r="B54" s="201"/>
      <c r="C54" s="189"/>
      <c r="D54" s="189"/>
      <c r="E54" s="209"/>
      <c r="F54" s="32"/>
      <c r="G54" s="32"/>
      <c r="H54" s="469">
        <f t="shared" si="0"/>
        <v>0</v>
      </c>
      <c r="I54" s="470"/>
      <c r="J54" s="471" t="str">
        <f t="shared" si="1"/>
        <v/>
      </c>
      <c r="K54" s="472"/>
      <c r="L54" s="460">
        <f>IF(ISERROR(IF(C54&gt;0,IF(OR(C54&gt;$Y$12,E54=Drop!A$13),0,J54*$Y$12),0)),Drop!A$219,IF(C54&gt;0,IF(OR(C54&gt;$Y$12,E54=Drop!A$13),0,J54*$Y$12),0))</f>
        <v>0</v>
      </c>
      <c r="M54" s="461"/>
      <c r="N54" s="462"/>
      <c r="O54" s="405">
        <f>IF(ISERROR(IF(OR(C54&gt;$Y$12,E54=Drop!A$13),H54,0)),Drop!A$219,IF(OR(C54&gt;$Y$12,E54=Drop!A$13),H54,0))</f>
        <v>0</v>
      </c>
      <c r="P54" s="463"/>
      <c r="Q54" s="464"/>
      <c r="S54" s="74"/>
      <c r="T54" s="32"/>
      <c r="U54" s="32"/>
      <c r="V54" s="32"/>
      <c r="W54" s="32"/>
      <c r="X54" s="32"/>
      <c r="Y54" s="32"/>
      <c r="Z54" s="32"/>
      <c r="AA54" s="32"/>
      <c r="AB54" s="73"/>
      <c r="AF54" s="192">
        <f t="shared" si="5"/>
        <v>17</v>
      </c>
      <c r="AG54" s="192" t="e">
        <f t="shared" si="2"/>
        <v>#N/A</v>
      </c>
      <c r="AH54" s="192" t="e">
        <f t="shared" si="9"/>
        <v>#N/A</v>
      </c>
      <c r="AI54" s="192">
        <f t="shared" si="6"/>
        <v>0</v>
      </c>
      <c r="AJ54" s="101">
        <f t="shared" si="4"/>
        <v>1</v>
      </c>
      <c r="AK54" s="102">
        <f t="shared" si="7"/>
        <v>0</v>
      </c>
      <c r="AL54" s="103" t="e">
        <f t="shared" si="8"/>
        <v>#N/A</v>
      </c>
      <c r="AM54" s="104"/>
    </row>
    <row r="55" spans="2:39" ht="15.75" customHeight="1">
      <c r="B55" s="201"/>
      <c r="C55" s="189"/>
      <c r="D55" s="189"/>
      <c r="E55" s="209"/>
      <c r="F55" s="32"/>
      <c r="G55" s="32"/>
      <c r="H55" s="465">
        <f t="shared" si="0"/>
        <v>0</v>
      </c>
      <c r="I55" s="466"/>
      <c r="J55" s="467" t="str">
        <f t="shared" si="1"/>
        <v/>
      </c>
      <c r="K55" s="468"/>
      <c r="L55" s="460">
        <f>IF(ISERROR(IF(C55&gt;0,IF(OR(C55&gt;$Y$12,E55=Drop!A$13),0,J55*$Y$12),0)),Drop!A$219,IF(C55&gt;0,IF(OR(C55&gt;$Y$12,E55=Drop!A$13),0,J55*$Y$12),0))</f>
        <v>0</v>
      </c>
      <c r="M55" s="461"/>
      <c r="N55" s="462"/>
      <c r="O55" s="405">
        <f>IF(ISERROR(IF(OR(C55&gt;$Y$12,E55=Drop!A$13),H55,0)),Drop!A$219,IF(OR(C55&gt;$Y$12,E55=Drop!A$13),H55,0))</f>
        <v>0</v>
      </c>
      <c r="P55" s="463"/>
      <c r="Q55" s="464"/>
      <c r="S55" s="74"/>
      <c r="T55" s="32"/>
      <c r="U55" s="32"/>
      <c r="V55" s="32"/>
      <c r="W55" s="32"/>
      <c r="X55" s="32"/>
      <c r="Y55" s="32"/>
      <c r="Z55" s="32"/>
      <c r="AA55" s="32"/>
      <c r="AB55" s="73"/>
      <c r="AF55" s="192">
        <f t="shared" si="5"/>
        <v>18</v>
      </c>
      <c r="AG55" s="192" t="e">
        <f t="shared" si="2"/>
        <v>#N/A</v>
      </c>
      <c r="AH55" s="192" t="e">
        <f t="shared" si="9"/>
        <v>#N/A</v>
      </c>
      <c r="AI55" s="192">
        <f t="shared" si="6"/>
        <v>0</v>
      </c>
      <c r="AJ55" s="101">
        <f t="shared" si="4"/>
        <v>1</v>
      </c>
      <c r="AK55" s="102">
        <f t="shared" si="7"/>
        <v>0</v>
      </c>
      <c r="AL55" s="103" t="e">
        <f t="shared" si="8"/>
        <v>#N/A</v>
      </c>
      <c r="AM55" s="104"/>
    </row>
    <row r="56" spans="2:39" ht="15.75" customHeight="1">
      <c r="B56" s="201"/>
      <c r="C56" s="189"/>
      <c r="D56" s="189"/>
      <c r="E56" s="209"/>
      <c r="F56" s="32"/>
      <c r="G56" s="32"/>
      <c r="H56" s="478">
        <f t="shared" si="0"/>
        <v>0</v>
      </c>
      <c r="I56" s="479"/>
      <c r="J56" s="480" t="str">
        <f t="shared" si="1"/>
        <v/>
      </c>
      <c r="K56" s="481"/>
      <c r="L56" s="460">
        <f>IF(ISERROR(IF(C56&gt;0,IF(OR(C56&gt;$Y$12,E56=Drop!A$13),0,J56*$Y$12),0)),Drop!A$219,IF(C56&gt;0,IF(OR(C56&gt;$Y$12,E56=Drop!A$13),0,J56*$Y$12),0))</f>
        <v>0</v>
      </c>
      <c r="M56" s="461"/>
      <c r="N56" s="462"/>
      <c r="O56" s="405">
        <f>IF(ISERROR(IF(OR(C56&gt;$Y$12,E56=Drop!A$13),H56,0)),Drop!A$219,IF(OR(C56&gt;$Y$12,E56=Drop!A$13),H56,0))</f>
        <v>0</v>
      </c>
      <c r="P56" s="463"/>
      <c r="Q56" s="464"/>
      <c r="S56" s="74"/>
      <c r="T56" s="32"/>
      <c r="U56" s="32"/>
      <c r="V56" s="32"/>
      <c r="W56" s="32"/>
      <c r="X56" s="32"/>
      <c r="Y56" s="32"/>
      <c r="Z56" s="32"/>
      <c r="AA56" s="32"/>
      <c r="AB56" s="73"/>
      <c r="AF56" s="192">
        <f t="shared" si="5"/>
        <v>19</v>
      </c>
      <c r="AG56" s="192" t="e">
        <f t="shared" si="2"/>
        <v>#N/A</v>
      </c>
      <c r="AH56" s="192" t="e">
        <f t="shared" si="9"/>
        <v>#N/A</v>
      </c>
      <c r="AI56" s="192">
        <f t="shared" si="6"/>
        <v>0</v>
      </c>
      <c r="AJ56" s="101">
        <f t="shared" si="4"/>
        <v>1</v>
      </c>
      <c r="AK56" s="102">
        <f t="shared" si="7"/>
        <v>0</v>
      </c>
      <c r="AL56" s="103" t="e">
        <f t="shared" si="8"/>
        <v>#N/A</v>
      </c>
      <c r="AM56" s="104"/>
    </row>
    <row r="57" spans="2:39" ht="15.75" customHeight="1" thickBot="1">
      <c r="B57" s="74"/>
      <c r="C57" s="473" t="str">
        <f>Drop!A153</f>
        <v>推断总体错报金额</v>
      </c>
      <c r="D57" s="473"/>
      <c r="E57" s="473"/>
      <c r="F57" s="474"/>
      <c r="G57" s="32"/>
      <c r="H57" s="475">
        <f>SUM(H37:I56)</f>
        <v>0</v>
      </c>
      <c r="I57" s="476"/>
      <c r="J57" s="32"/>
      <c r="K57" s="32"/>
      <c r="L57" s="460">
        <f>SUM(L37:N56)</f>
        <v>0</v>
      </c>
      <c r="M57" s="461"/>
      <c r="N57" s="462"/>
      <c r="O57" s="401">
        <f>SUM(O37:Q56)</f>
        <v>0</v>
      </c>
      <c r="P57" s="477"/>
      <c r="Q57" s="402"/>
      <c r="S57" s="74" t="str">
        <f>Drop!A162</f>
        <v>结果:</v>
      </c>
      <c r="T57" s="106"/>
      <c r="U57" s="106"/>
      <c r="V57" s="106"/>
      <c r="W57" s="106"/>
      <c r="X57" s="106"/>
      <c r="Y57" s="106"/>
      <c r="Z57" s="106"/>
      <c r="AA57" s="106"/>
      <c r="AB57" s="107"/>
      <c r="AF57" s="192">
        <f t="shared" si="5"/>
        <v>20</v>
      </c>
      <c r="AG57" s="192" t="e">
        <f t="shared" si="2"/>
        <v>#N/A</v>
      </c>
      <c r="AH57" s="192" t="e">
        <f>AG57-AG56</f>
        <v>#N/A</v>
      </c>
      <c r="AI57" s="192">
        <f t="shared" si="6"/>
        <v>0</v>
      </c>
      <c r="AJ57" s="101">
        <f t="shared" si="4"/>
        <v>1</v>
      </c>
      <c r="AK57" s="102">
        <f t="shared" si="7"/>
        <v>0</v>
      </c>
      <c r="AL57" s="103" t="e">
        <f t="shared" si="8"/>
        <v>#N/A</v>
      </c>
      <c r="AM57" s="104"/>
    </row>
    <row r="58" spans="2:39" ht="15.75" customHeight="1">
      <c r="B58" s="74"/>
      <c r="C58" s="32"/>
      <c r="D58" s="32"/>
      <c r="E58" s="32"/>
      <c r="F58" s="32"/>
      <c r="G58" s="32"/>
      <c r="H58" s="32"/>
      <c r="I58" s="33" t="str">
        <f>Drop!A154</f>
        <v>(实际)</v>
      </c>
      <c r="J58" s="32"/>
      <c r="K58" s="32"/>
      <c r="L58" s="444">
        <f>IF(ISERROR(SUM(L57:Q57)),Drop!A219,SUM(L57:Q57))</f>
        <v>0</v>
      </c>
      <c r="M58" s="445"/>
      <c r="N58" s="445"/>
      <c r="O58" s="445"/>
      <c r="P58" s="445"/>
      <c r="Q58" s="446"/>
      <c r="S58" s="447" t="str">
        <f>IF(ISERROR(IF(AG74=TRUE,Drop!A71,Drop!A72)),Drop!A219,IF(AG74=TRUE,Drop!A71,Drop!A72))</f>
        <v>核实所有输入</v>
      </c>
      <c r="T58" s="448"/>
      <c r="U58" s="448"/>
      <c r="V58" s="448"/>
      <c r="W58" s="448"/>
      <c r="X58" s="448"/>
      <c r="Y58" s="448"/>
      <c r="Z58" s="448"/>
      <c r="AA58" s="448"/>
      <c r="AB58" s="449"/>
    </row>
    <row r="59" spans="2:39" ht="27.6" customHeight="1">
      <c r="B59" s="74"/>
      <c r="C59" s="32"/>
      <c r="D59" s="32"/>
      <c r="E59" s="32"/>
      <c r="F59" s="32"/>
      <c r="G59" s="32"/>
      <c r="H59" s="32"/>
      <c r="I59" s="32"/>
      <c r="J59" s="32"/>
      <c r="K59" s="32"/>
      <c r="L59" s="32"/>
      <c r="M59" s="32"/>
      <c r="N59" s="32"/>
      <c r="O59" s="32"/>
      <c r="P59" s="32"/>
      <c r="Q59" s="108" t="str">
        <f>Drop!A155</f>
        <v>(合计推断金额)</v>
      </c>
      <c r="S59" s="450"/>
      <c r="T59" s="451"/>
      <c r="U59" s="451"/>
      <c r="V59" s="451"/>
      <c r="W59" s="451"/>
      <c r="X59" s="451"/>
      <c r="Y59" s="451"/>
      <c r="Z59" s="451"/>
      <c r="AA59" s="451"/>
      <c r="AB59" s="452"/>
      <c r="AF59" s="96" t="s">
        <v>59</v>
      </c>
      <c r="AL59" s="90" t="e">
        <f>SUM(AL38:AL57)</f>
        <v>#N/A</v>
      </c>
    </row>
    <row r="60" spans="2:39" ht="26.25" customHeight="1">
      <c r="B60" s="74"/>
      <c r="C60" s="109"/>
      <c r="D60" s="109"/>
      <c r="E60" s="109"/>
      <c r="F60" s="109"/>
      <c r="G60" s="109"/>
      <c r="H60" s="109"/>
      <c r="I60" s="109"/>
      <c r="J60" s="32"/>
      <c r="K60" s="32"/>
      <c r="L60" s="32"/>
      <c r="M60" s="32"/>
      <c r="N60" s="32"/>
      <c r="O60" s="32"/>
      <c r="P60" s="32"/>
      <c r="Q60" s="73"/>
      <c r="S60" s="450" t="str">
        <f>IF(ISERROR(IF(AG76=TRUE,Drop!A75,"")),Drop!A219,IF(AG76=TRUE,Drop!A75,""))</f>
        <v>核实所有输入</v>
      </c>
      <c r="T60" s="451"/>
      <c r="U60" s="451"/>
      <c r="V60" s="451"/>
      <c r="W60" s="451"/>
      <c r="X60" s="451"/>
      <c r="Y60" s="451"/>
      <c r="Z60" s="451"/>
      <c r="AA60" s="451"/>
      <c r="AB60" s="452"/>
      <c r="AF60" s="35" t="s">
        <v>60</v>
      </c>
      <c r="AL60" s="90">
        <f>L57</f>
        <v>0</v>
      </c>
    </row>
    <row r="61" spans="2:39" ht="45" customHeight="1">
      <c r="B61" s="74"/>
      <c r="C61" s="32"/>
      <c r="D61" s="32"/>
      <c r="E61" s="32"/>
      <c r="F61" s="32"/>
      <c r="G61" s="32"/>
      <c r="H61" s="453" t="str">
        <f>IF(AG33=TRUE,Drop!A83,"")</f>
        <v/>
      </c>
      <c r="I61" s="453"/>
      <c r="J61" s="453"/>
      <c r="K61" s="453"/>
      <c r="L61" s="453"/>
      <c r="M61" s="453"/>
      <c r="N61" s="453"/>
      <c r="O61" s="453"/>
      <c r="P61" s="453"/>
      <c r="Q61" s="454"/>
      <c r="S61" s="450"/>
      <c r="T61" s="451"/>
      <c r="U61" s="451"/>
      <c r="V61" s="451"/>
      <c r="W61" s="451"/>
      <c r="X61" s="451"/>
      <c r="Y61" s="451"/>
      <c r="Z61" s="451"/>
      <c r="AA61" s="451"/>
      <c r="AB61" s="452"/>
      <c r="AF61" s="35" t="s">
        <v>61</v>
      </c>
      <c r="AL61" s="90" t="e">
        <f>AL59-AL60</f>
        <v>#N/A</v>
      </c>
    </row>
    <row r="62" spans="2:39" ht="26.25" customHeight="1">
      <c r="B62" s="74"/>
      <c r="C62" s="32"/>
      <c r="D62" s="32"/>
      <c r="E62" s="32"/>
      <c r="F62" s="32"/>
      <c r="G62" s="32"/>
      <c r="H62" s="453"/>
      <c r="I62" s="453"/>
      <c r="J62" s="453"/>
      <c r="K62" s="453"/>
      <c r="L62" s="453"/>
      <c r="M62" s="453"/>
      <c r="N62" s="453"/>
      <c r="O62" s="453"/>
      <c r="P62" s="453"/>
      <c r="Q62" s="454"/>
      <c r="S62" s="450" t="str">
        <f>IF(ISERROR(IF(AG78=TRUE,Drop!A76,"")),Drop!A219,IF(AG78=TRUE,Drop!A76,""))</f>
        <v>核实所有输入</v>
      </c>
      <c r="T62" s="451"/>
      <c r="U62" s="451"/>
      <c r="V62" s="451"/>
      <c r="W62" s="451"/>
      <c r="X62" s="451"/>
      <c r="Y62" s="451"/>
      <c r="Z62" s="451"/>
      <c r="AA62" s="451"/>
      <c r="AB62" s="452"/>
    </row>
    <row r="63" spans="2:39" ht="80.25" customHeight="1" thickBot="1">
      <c r="B63" s="76"/>
      <c r="C63" s="77"/>
      <c r="D63" s="77"/>
      <c r="E63" s="77"/>
      <c r="F63" s="77"/>
      <c r="G63" s="77"/>
      <c r="H63" s="455"/>
      <c r="I63" s="455"/>
      <c r="J63" s="455"/>
      <c r="K63" s="455"/>
      <c r="L63" s="455"/>
      <c r="M63" s="455"/>
      <c r="N63" s="455"/>
      <c r="O63" s="455"/>
      <c r="P63" s="455"/>
      <c r="Q63" s="456"/>
      <c r="R63" s="110"/>
      <c r="S63" s="457"/>
      <c r="T63" s="458"/>
      <c r="U63" s="458"/>
      <c r="V63" s="458"/>
      <c r="W63" s="458"/>
      <c r="X63" s="458"/>
      <c r="Y63" s="458"/>
      <c r="Z63" s="458"/>
      <c r="AA63" s="458"/>
      <c r="AB63" s="459"/>
      <c r="AF63" s="36" t="s">
        <v>62</v>
      </c>
    </row>
    <row r="64" spans="2:39" ht="15" thickBot="1">
      <c r="AF64" s="111" t="s">
        <v>63</v>
      </c>
      <c r="AL64" s="90" t="e">
        <f>AG35</f>
        <v>#VALUE!</v>
      </c>
    </row>
    <row r="65" spans="2:38" ht="15" thickBot="1">
      <c r="B65" s="139" t="str">
        <f>Drop!A100</f>
        <v>步骤 8 - 记录程序的结果</v>
      </c>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c r="AA65" s="113"/>
      <c r="AB65" s="114"/>
      <c r="AF65" s="112" t="s">
        <v>64</v>
      </c>
      <c r="AL65" s="90" t="e">
        <f>AL61</f>
        <v>#N/A</v>
      </c>
    </row>
    <row r="66" spans="2:38" ht="15" customHeight="1">
      <c r="B66" s="410"/>
      <c r="C66" s="411"/>
      <c r="D66" s="411"/>
      <c r="E66" s="411"/>
      <c r="F66" s="411"/>
      <c r="G66" s="411"/>
      <c r="H66" s="411"/>
      <c r="I66" s="411"/>
      <c r="J66" s="411"/>
      <c r="K66" s="411"/>
      <c r="L66" s="411"/>
      <c r="M66" s="411"/>
      <c r="N66" s="411"/>
      <c r="O66" s="411"/>
      <c r="P66" s="411"/>
      <c r="Q66" s="411"/>
      <c r="R66" s="411"/>
      <c r="S66" s="411"/>
      <c r="T66" s="411"/>
      <c r="U66" s="411"/>
      <c r="V66" s="411"/>
      <c r="W66" s="411"/>
      <c r="X66" s="411"/>
      <c r="Y66" s="411"/>
      <c r="Z66" s="411"/>
      <c r="AA66" s="411"/>
      <c r="AB66" s="412"/>
      <c r="AF66" s="35" t="s">
        <v>62</v>
      </c>
      <c r="AL66" s="90" t="e">
        <f>AL64+AL65</f>
        <v>#VALUE!</v>
      </c>
    </row>
    <row r="67" spans="2:38">
      <c r="B67" s="413"/>
      <c r="C67" s="414"/>
      <c r="D67" s="414"/>
      <c r="E67" s="414"/>
      <c r="F67" s="414"/>
      <c r="G67" s="414"/>
      <c r="H67" s="414"/>
      <c r="I67" s="414"/>
      <c r="J67" s="414"/>
      <c r="K67" s="414"/>
      <c r="L67" s="414"/>
      <c r="M67" s="414"/>
      <c r="N67" s="414"/>
      <c r="O67" s="414"/>
      <c r="P67" s="414"/>
      <c r="Q67" s="414"/>
      <c r="R67" s="414"/>
      <c r="S67" s="414"/>
      <c r="T67" s="414"/>
      <c r="U67" s="414"/>
      <c r="V67" s="414"/>
      <c r="W67" s="414"/>
      <c r="X67" s="414"/>
      <c r="Y67" s="414"/>
      <c r="Z67" s="414"/>
      <c r="AA67" s="414"/>
      <c r="AB67" s="415"/>
      <c r="AL67" s="43"/>
    </row>
    <row r="68" spans="2:38" ht="14.25">
      <c r="B68" s="413"/>
      <c r="C68" s="414"/>
      <c r="D68" s="414"/>
      <c r="E68" s="414"/>
      <c r="F68" s="414"/>
      <c r="G68" s="414"/>
      <c r="H68" s="414"/>
      <c r="I68" s="414"/>
      <c r="J68" s="414"/>
      <c r="K68" s="414"/>
      <c r="L68" s="414"/>
      <c r="M68" s="414"/>
      <c r="N68" s="414"/>
      <c r="O68" s="414"/>
      <c r="P68" s="414"/>
      <c r="Q68" s="414"/>
      <c r="R68" s="414"/>
      <c r="S68" s="414"/>
      <c r="T68" s="414"/>
      <c r="U68" s="414"/>
      <c r="V68" s="414"/>
      <c r="W68" s="414"/>
      <c r="X68" s="414"/>
      <c r="Y68" s="414"/>
      <c r="Z68" s="414"/>
      <c r="AA68" s="414"/>
      <c r="AB68" s="415"/>
      <c r="AF68" s="115" t="s">
        <v>65</v>
      </c>
      <c r="AG68" s="111"/>
      <c r="AH68" s="111"/>
      <c r="AI68" s="111"/>
      <c r="AJ68" s="111"/>
      <c r="AK68" s="111"/>
      <c r="AL68" s="43"/>
    </row>
    <row r="69" spans="2:38" ht="14.25">
      <c r="B69" s="413"/>
      <c r="C69" s="414"/>
      <c r="D69" s="414"/>
      <c r="E69" s="414"/>
      <c r="F69" s="414"/>
      <c r="G69" s="414"/>
      <c r="H69" s="414"/>
      <c r="I69" s="414"/>
      <c r="J69" s="414"/>
      <c r="K69" s="414"/>
      <c r="L69" s="414"/>
      <c r="M69" s="414"/>
      <c r="N69" s="414"/>
      <c r="O69" s="414"/>
      <c r="P69" s="414"/>
      <c r="Q69" s="414"/>
      <c r="R69" s="414"/>
      <c r="S69" s="414"/>
      <c r="T69" s="414"/>
      <c r="U69" s="414"/>
      <c r="V69" s="414"/>
      <c r="W69" s="414"/>
      <c r="X69" s="414"/>
      <c r="Y69" s="414"/>
      <c r="Z69" s="414"/>
      <c r="AA69" s="414"/>
      <c r="AB69" s="415"/>
      <c r="AF69" s="111" t="s">
        <v>63</v>
      </c>
      <c r="AG69" s="111"/>
      <c r="AH69" s="111"/>
      <c r="AI69" s="111"/>
      <c r="AJ69" s="111"/>
      <c r="AK69" s="111"/>
      <c r="AL69" s="90" t="e">
        <f>AG35</f>
        <v>#VALUE!</v>
      </c>
    </row>
    <row r="70" spans="2:38" ht="15" thickBot="1">
      <c r="B70" s="416"/>
      <c r="C70" s="417"/>
      <c r="D70" s="417"/>
      <c r="E70" s="417"/>
      <c r="F70" s="417"/>
      <c r="G70" s="417"/>
      <c r="H70" s="417"/>
      <c r="I70" s="417"/>
      <c r="J70" s="417"/>
      <c r="K70" s="417"/>
      <c r="L70" s="417"/>
      <c r="M70" s="417"/>
      <c r="N70" s="417"/>
      <c r="O70" s="417"/>
      <c r="P70" s="417"/>
      <c r="Q70" s="417"/>
      <c r="R70" s="417"/>
      <c r="S70" s="417"/>
      <c r="T70" s="417"/>
      <c r="U70" s="417"/>
      <c r="V70" s="417"/>
      <c r="W70" s="417"/>
      <c r="X70" s="417"/>
      <c r="Y70" s="417"/>
      <c r="Z70" s="417"/>
      <c r="AA70" s="417"/>
      <c r="AB70" s="418"/>
      <c r="AF70" s="112" t="s">
        <v>66</v>
      </c>
      <c r="AG70" s="111"/>
      <c r="AH70" s="111"/>
      <c r="AI70" s="111"/>
      <c r="AJ70" s="111"/>
      <c r="AK70" s="111"/>
      <c r="AL70" s="90" t="e">
        <f>AL59</f>
        <v>#N/A</v>
      </c>
    </row>
    <row r="71" spans="2:38" ht="14.25">
      <c r="AF71" s="112" t="s">
        <v>67</v>
      </c>
      <c r="AG71" s="111"/>
      <c r="AH71" s="111"/>
      <c r="AI71" s="111"/>
      <c r="AJ71" s="111"/>
      <c r="AK71" s="111"/>
      <c r="AL71" s="90">
        <f>O57</f>
        <v>0</v>
      </c>
    </row>
    <row r="72" spans="2:38">
      <c r="AF72" s="35" t="s">
        <v>65</v>
      </c>
      <c r="AL72" s="90" t="e">
        <f>SUM(AL69:AL71)</f>
        <v>#VALUE!</v>
      </c>
    </row>
    <row r="73" spans="2:38">
      <c r="AF73" s="35" t="s">
        <v>103</v>
      </c>
      <c r="AL73" s="116" t="e">
        <f>ABS(AL72)</f>
        <v>#VALUE!</v>
      </c>
    </row>
    <row r="74" spans="2:38">
      <c r="AF74" s="35" t="s">
        <v>75</v>
      </c>
      <c r="AG74" s="43" t="e">
        <f>IF(AL73&lt;L5,TRUE,FALSE)</f>
        <v>#VALUE!</v>
      </c>
    </row>
    <row r="75" spans="2:38">
      <c r="AF75" s="35" t="s">
        <v>76</v>
      </c>
      <c r="AG75" s="43" t="e">
        <f>IF((AL73-AA35)&lt;L5,TRUE,FALSE)</f>
        <v>#VALUE!</v>
      </c>
    </row>
    <row r="76" spans="2:38">
      <c r="AF76" s="35" t="s">
        <v>77</v>
      </c>
      <c r="AG76" s="43" t="e">
        <f>AND(AG74=FALSE,AG75=TRUE)</f>
        <v>#VALUE!</v>
      </c>
    </row>
    <row r="77" spans="2:38">
      <c r="AF77" s="96" t="s">
        <v>78</v>
      </c>
      <c r="AG77" s="43" t="e">
        <f>IF((AL73-L58)&lt;L5,TRUE,FALSE)</f>
        <v>#VALUE!</v>
      </c>
    </row>
    <row r="78" spans="2:38">
      <c r="AF78" s="35" t="s">
        <v>252</v>
      </c>
      <c r="AG78" s="43" t="e">
        <f>AND(AG74=FALSE,AG77=TRUE)</f>
        <v>#VALUE!</v>
      </c>
    </row>
  </sheetData>
  <mergeCells count="147">
    <mergeCell ref="H9:Q10"/>
    <mergeCell ref="Y10:AB10"/>
    <mergeCell ref="K11:N11"/>
    <mergeCell ref="B10:D10"/>
    <mergeCell ref="B11:D11"/>
    <mergeCell ref="B1:D1"/>
    <mergeCell ref="L4:O4"/>
    <mergeCell ref="L5:O5"/>
    <mergeCell ref="D3:E3"/>
    <mergeCell ref="D4:E4"/>
    <mergeCell ref="D5:E5"/>
    <mergeCell ref="M18:Q18"/>
    <mergeCell ref="S18:Y19"/>
    <mergeCell ref="Z18:AB19"/>
    <mergeCell ref="K19:L19"/>
    <mergeCell ref="M19:Q19"/>
    <mergeCell ref="Y12:AB12"/>
    <mergeCell ref="D14:F14"/>
    <mergeCell ref="B12:D12"/>
    <mergeCell ref="B13:D13"/>
    <mergeCell ref="B18:D18"/>
    <mergeCell ref="B19:D19"/>
    <mergeCell ref="L25:Q25"/>
    <mergeCell ref="L26:Q26"/>
    <mergeCell ref="M22:N22"/>
    <mergeCell ref="O22:Q22"/>
    <mergeCell ref="H23:Q23"/>
    <mergeCell ref="O24:Q24"/>
    <mergeCell ref="K20:L20"/>
    <mergeCell ref="M20:Q20"/>
    <mergeCell ref="K21:L21"/>
    <mergeCell ref="M21:Q21"/>
    <mergeCell ref="L35:Q35"/>
    <mergeCell ref="AA35:AB35"/>
    <mergeCell ref="L36:N36"/>
    <mergeCell ref="O36:Q36"/>
    <mergeCell ref="AL36:AL37"/>
    <mergeCell ref="C34:F34"/>
    <mergeCell ref="H35:I36"/>
    <mergeCell ref="J35:K36"/>
    <mergeCell ref="H27:K27"/>
    <mergeCell ref="L27:Q27"/>
    <mergeCell ref="B28:F28"/>
    <mergeCell ref="B31:AB32"/>
    <mergeCell ref="B33:Q33"/>
    <mergeCell ref="S33:AB33"/>
    <mergeCell ref="C35:C36"/>
    <mergeCell ref="D35:D36"/>
    <mergeCell ref="E35:E36"/>
    <mergeCell ref="H38:I38"/>
    <mergeCell ref="J38:K38"/>
    <mergeCell ref="H37:I37"/>
    <mergeCell ref="J37:K37"/>
    <mergeCell ref="L37:N37"/>
    <mergeCell ref="O37:Q37"/>
    <mergeCell ref="S37:Z39"/>
    <mergeCell ref="AA37:AB39"/>
    <mergeCell ref="L38:N38"/>
    <mergeCell ref="O38:Q38"/>
    <mergeCell ref="L39:N39"/>
    <mergeCell ref="O39:Q39"/>
    <mergeCell ref="L40:N40"/>
    <mergeCell ref="O40:Q40"/>
    <mergeCell ref="H41:I41"/>
    <mergeCell ref="J41:K41"/>
    <mergeCell ref="L41:N41"/>
    <mergeCell ref="O41:Q41"/>
    <mergeCell ref="H40:I40"/>
    <mergeCell ref="J40:K40"/>
    <mergeCell ref="H39:I39"/>
    <mergeCell ref="J39:K39"/>
    <mergeCell ref="AA41:AB41"/>
    <mergeCell ref="H42:I42"/>
    <mergeCell ref="J42:K42"/>
    <mergeCell ref="L42:N42"/>
    <mergeCell ref="O42:Q42"/>
    <mergeCell ref="H45:I45"/>
    <mergeCell ref="J45:K45"/>
    <mergeCell ref="H44:I44"/>
    <mergeCell ref="J44:K44"/>
    <mergeCell ref="L43:N43"/>
    <mergeCell ref="O43:Q43"/>
    <mergeCell ref="S43:T45"/>
    <mergeCell ref="U43:V45"/>
    <mergeCell ref="W43:Z45"/>
    <mergeCell ref="L46:N46"/>
    <mergeCell ref="O46:Q46"/>
    <mergeCell ref="H47:I47"/>
    <mergeCell ref="J47:K47"/>
    <mergeCell ref="L47:N47"/>
    <mergeCell ref="O47:Q47"/>
    <mergeCell ref="H46:I46"/>
    <mergeCell ref="J46:K46"/>
    <mergeCell ref="AA43:AB45"/>
    <mergeCell ref="L44:N44"/>
    <mergeCell ref="O44:Q44"/>
    <mergeCell ref="L45:N45"/>
    <mergeCell ref="O45:Q45"/>
    <mergeCell ref="H43:I43"/>
    <mergeCell ref="J43:K43"/>
    <mergeCell ref="H51:I51"/>
    <mergeCell ref="J51:K51"/>
    <mergeCell ref="L51:N51"/>
    <mergeCell ref="O51:Q51"/>
    <mergeCell ref="H50:I50"/>
    <mergeCell ref="J50:K50"/>
    <mergeCell ref="L48:N48"/>
    <mergeCell ref="O48:Q48"/>
    <mergeCell ref="H49:I49"/>
    <mergeCell ref="J49:K49"/>
    <mergeCell ref="L49:N49"/>
    <mergeCell ref="O49:Q49"/>
    <mergeCell ref="H48:I48"/>
    <mergeCell ref="J48:K48"/>
    <mergeCell ref="B66:AB70"/>
    <mergeCell ref="L56:N56"/>
    <mergeCell ref="O56:Q56"/>
    <mergeCell ref="C57:F57"/>
    <mergeCell ref="H57:I57"/>
    <mergeCell ref="L57:N57"/>
    <mergeCell ref="O57:Q57"/>
    <mergeCell ref="H56:I56"/>
    <mergeCell ref="J56:K56"/>
    <mergeCell ref="B20:D20"/>
    <mergeCell ref="L58:Q58"/>
    <mergeCell ref="S58:AB59"/>
    <mergeCell ref="S60:AB61"/>
    <mergeCell ref="H61:Q63"/>
    <mergeCell ref="S62:AB63"/>
    <mergeCell ref="L54:N54"/>
    <mergeCell ref="O54:Q54"/>
    <mergeCell ref="H55:I55"/>
    <mergeCell ref="J55:K55"/>
    <mergeCell ref="L55:N55"/>
    <mergeCell ref="O55:Q55"/>
    <mergeCell ref="H54:I54"/>
    <mergeCell ref="J54:K54"/>
    <mergeCell ref="L52:N52"/>
    <mergeCell ref="O52:Q52"/>
    <mergeCell ref="H53:I53"/>
    <mergeCell ref="J53:K53"/>
    <mergeCell ref="L53:N53"/>
    <mergeCell ref="O53:Q53"/>
    <mergeCell ref="H52:I52"/>
    <mergeCell ref="J52:K52"/>
    <mergeCell ref="L50:N50"/>
    <mergeCell ref="O50:Q50"/>
  </mergeCells>
  <phoneticPr fontId="32" type="noConversion"/>
  <conditionalFormatting sqref="S58">
    <cfRule type="expression" dxfId="254" priority="81">
      <formula>$AG$74=TRUE</formula>
    </cfRule>
  </conditionalFormatting>
  <conditionalFormatting sqref="M19:Q19">
    <cfRule type="expression" dxfId="253" priority="31">
      <formula>ISTEXT($M$19)</formula>
    </cfRule>
  </conditionalFormatting>
  <conditionalFormatting sqref="Y10:AB10">
    <cfRule type="expression" dxfId="252" priority="29">
      <formula>ISBLANK($Y$10)</formula>
    </cfRule>
  </conditionalFormatting>
  <conditionalFormatting sqref="E10">
    <cfRule type="expression" dxfId="251" priority="28">
      <formula>ISBLANK($E$10)</formula>
    </cfRule>
  </conditionalFormatting>
  <conditionalFormatting sqref="E19">
    <cfRule type="expression" dxfId="250" priority="13">
      <formula>ISBLANK($E$19)</formula>
    </cfRule>
  </conditionalFormatting>
  <conditionalFormatting sqref="M20:Q20">
    <cfRule type="expression" dxfId="249" priority="26">
      <formula>ISTEXT($M$20)</formula>
    </cfRule>
  </conditionalFormatting>
  <conditionalFormatting sqref="M21:Q21">
    <cfRule type="expression" dxfId="248" priority="22">
      <formula>ISTEXT($M$21)</formula>
    </cfRule>
  </conditionalFormatting>
  <conditionalFormatting sqref="K20:L20">
    <cfRule type="expression" dxfId="247" priority="19">
      <formula>ISBLANK($K$20)</formula>
    </cfRule>
  </conditionalFormatting>
  <conditionalFormatting sqref="K21:L21">
    <cfRule type="expression" dxfId="246" priority="18">
      <formula>ISBLANK($K$21)</formula>
    </cfRule>
  </conditionalFormatting>
  <conditionalFormatting sqref="K19:L19">
    <cfRule type="expression" dxfId="245" priority="17">
      <formula>ISBLANK($K$19)</formula>
    </cfRule>
  </conditionalFormatting>
  <conditionalFormatting sqref="E11">
    <cfRule type="expression" dxfId="244" priority="12">
      <formula>ISBLANK($E$11)</formula>
    </cfRule>
  </conditionalFormatting>
  <conditionalFormatting sqref="E12">
    <cfRule type="expression" dxfId="243" priority="11">
      <formula>ISBLANK($E$12)</formula>
    </cfRule>
  </conditionalFormatting>
  <conditionalFormatting sqref="M22:N22">
    <cfRule type="expression" dxfId="242" priority="6">
      <formula>ISBLANK($M$22)</formula>
    </cfRule>
  </conditionalFormatting>
  <conditionalFormatting sqref="L27:Q27">
    <cfRule type="expression" dxfId="241" priority="4">
      <formula>$L$27&lt;&gt;""</formula>
    </cfRule>
  </conditionalFormatting>
  <dataValidations count="9">
    <dataValidation type="list" allowBlank="1" showInputMessage="1" showErrorMessage="1" sqref="K19:K20" xr:uid="{E67B7AC4-14CD-4805-9728-ABCFAF7BE269}">
      <formula1>OtherEvidence</formula1>
    </dataValidation>
    <dataValidation type="list" allowBlank="1" showInputMessage="1" showErrorMessage="1" sqref="E37:F56 E19" xr:uid="{D877FF1D-B34A-4604-BE7A-B510A2344854}">
      <formula1>YesNo</formula1>
    </dataValidation>
    <dataValidation type="list" allowBlank="1" showInputMessage="1" showErrorMessage="1" sqref="K21:L21" xr:uid="{78557AFE-4252-4521-AEE6-4EA0505F6F81}">
      <formula1>ADA</formula1>
    </dataValidation>
    <dataValidation type="decimal" allowBlank="1" errorTitle="test" error="test" sqref="M22:N22" xr:uid="{9FC748AB-15E6-453C-9054-08B6D5963C66}">
      <formula1>0</formula1>
      <formula2>1</formula2>
    </dataValidation>
    <dataValidation type="decimal" operator="greaterThanOrEqual" allowBlank="1" showInputMessage="1" showErrorMessage="1" sqref="C37:D56" xr:uid="{21FABFC6-1A53-4BE8-8A25-11813892C596}">
      <formula1>0</formula1>
    </dataValidation>
    <dataValidation type="decimal" allowBlank="1" showInputMessage="1" showErrorMessage="1" error="Absolute tested value cannot be less than zero or greater than value of population." sqref="E20 F20:F21" xr:uid="{C533BCCF-935A-4871-B16E-8D8B6C6068D0}">
      <formula1>0</formula1>
      <formula2>E18</formula2>
    </dataValidation>
    <dataValidation type="decimal" allowBlank="1" showInputMessage="1" showErrorMessage="1" error="Absolute tested value cannot be less than zero or greater than value of population." sqref="E21" xr:uid="{69D094ED-9F4F-488C-A2F2-7CC17E39B2CC}">
      <formula1>0</formula1>
      <formula2>#REF!</formula2>
    </dataValidation>
    <dataValidation type="list" allowBlank="1" showInputMessage="1" showErrorMessage="1" sqref="E11" xr:uid="{038EE76A-0CF5-4C97-B01E-566F903E8D9B}">
      <formula1>InherentRisk</formula1>
    </dataValidation>
    <dataValidation type="list" allowBlank="1" showErrorMessage="1" prompt="Choose the applicable assertion" sqref="E10" xr:uid="{79C9886B-5903-423D-9BD7-142CA1D270B3}">
      <formula1>Assertions</formula1>
    </dataValidation>
  </dataValidations>
  <pageMargins left="0.25" right="0.25" top="0.75" bottom="0.75" header="0.3" footer="0.3"/>
  <pageSetup scale="40" orientation="landscape" r:id="rId1"/>
  <headerFooter>
    <oddFooter>&amp;C&amp;P of &amp;N&amp;R&amp;A</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27" id="{3EC9CD8D-0304-43A5-887E-D262B80E3846}">
            <xm:f>OR(ISBLANK($K$19),$K$19=Drop!$A$52)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30" id="{070056F4-9828-4ABF-B7F8-F039677A0EF7}">
            <xm:f>AND(OR($K$19=Drop!$A$53,$K$19=Drop!$A$54),ISBLANK($M$19))</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M19:Q19</xm:sqref>
        </x14:conditionalFormatting>
        <x14:conditionalFormatting xmlns:xm="http://schemas.microsoft.com/office/excel/2006/main">
          <x14:cfRule type="expression" priority="23" id="{F703D714-5B32-4FE0-B155-99E8F1651D8D}">
            <xm:f>OR(ISBLANK($K$20),$K$20=Drop!$A$52)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24" id="{BA90206E-9827-45FE-8E0C-658DC720E2E5}">
            <xm:f>AND(OR($K$20=Drop!$A$53,$K$20=Drop!$A$54),ISBLANK($M$20))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M20:Q20</xm:sqref>
        </x14:conditionalFormatting>
        <x14:conditionalFormatting xmlns:xm="http://schemas.microsoft.com/office/excel/2006/main">
          <x14:cfRule type="expression" priority="20" id="{FC9E1BB9-0319-40E4-B317-F0AD31706947}">
            <xm:f>OR(ISBLANK($K$21),$K$21=Drop!$A$58)</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21" id="{1CDA5B02-2DC3-4864-9C09-969F0E55949A}">
            <xm:f>AND($K$21=Drop!$A$59,ISBLANK($M$21))</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M21:Q21</xm:sqref>
        </x14:conditionalFormatting>
        <x14:conditionalFormatting xmlns:xm="http://schemas.microsoft.com/office/excel/2006/main">
          <x14:cfRule type="expression" priority="14" id="{A1C41714-29BD-4BAA-B072-6F77C6D0405B}">
            <xm:f>OR(ISBLANK($E$19),$E$19=Drop!$A$14)</xm:f>
            <x14:dxf>
              <font>
                <color theme="0" tint="-4.9989318521683403E-2"/>
              </font>
              <fill>
                <patternFill>
                  <bgColor theme="0" tint="-4.9989318521683403E-2"/>
                </patternFill>
              </fill>
            </x14:dxf>
          </x14:cfRule>
          <x14:cfRule type="expression" priority="15" id="{197E00B8-D833-4DF4-B476-8BA8292F3B01}">
            <xm:f>AND($E$19=Drop!$A$13,ISBLANK($E$20))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16" id="{F443BF42-964B-4F9A-9E44-23459A50A74E}">
            <xm:f>AND($E$20&gt;0,$E$19=Drop!$A$13)</xm:f>
            <x14:dxf>
              <font>
                <color auto="1"/>
              </font>
              <fill>
                <patternFill>
                  <bgColor theme="0"/>
                </patternFill>
              </fill>
              <border>
                <left style="thin">
                  <color auto="1"/>
                </left>
                <right style="thin">
                  <color auto="1"/>
                </right>
                <top style="thin">
                  <color auto="1"/>
                </top>
                <bottom style="thin">
                  <color auto="1"/>
                </bottom>
                <vertical/>
                <horizontal/>
              </border>
            </x14:dxf>
          </x14:cfRule>
          <xm:sqref>E20</xm:sqref>
        </x14:conditionalFormatting>
        <x14:conditionalFormatting xmlns:xm="http://schemas.microsoft.com/office/excel/2006/main">
          <x14:cfRule type="expression" priority="7" id="{392FBEDD-D8FB-4F0C-B7BF-488A0371F30C}">
            <xm:f>$E$12&lt;&gt;Drop!$A$47</xm:f>
            <x14:dxf>
              <font>
                <color theme="0" tint="-4.9989318521683403E-2"/>
              </font>
              <fill>
                <patternFill>
                  <bgColor theme="0" tint="-4.9989318521683403E-2"/>
                </patternFill>
              </fill>
              <border>
                <left/>
                <right/>
                <bottom/>
              </border>
            </x14:dxf>
          </x14:cfRule>
          <x14:cfRule type="expression" priority="8" id="{7EEEED02-05A5-4720-94F1-648447C5A909}">
            <xm:f>AND(ISBLANK($E$13),$E$12=Drop!$A$47)</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10" id="{195E29EC-962B-4C3E-8159-283450EA36D9}">
            <xm:f>$E$12=Drop!$A$47</xm:f>
            <x14:dxf>
              <border>
                <left style="thin">
                  <color auto="1"/>
                </left>
                <bottom style="thin">
                  <color auto="1"/>
                </bottom>
                <vertical/>
                <horizontal/>
              </border>
            </x14:dxf>
          </x14:cfRule>
          <xm:sqref>E13</xm:sqref>
        </x14:conditionalFormatting>
        <x14:conditionalFormatting xmlns:xm="http://schemas.microsoft.com/office/excel/2006/main">
          <x14:cfRule type="expression" priority="2" id="{57DD150F-84D8-4496-8C7B-5D97A187303D}">
            <xm:f>$L$26=Drop!$A$85</xm:f>
            <x14:dxf>
              <font>
                <color auto="1"/>
              </font>
              <fill>
                <patternFill patternType="solid">
                  <bgColor theme="1"/>
                </patternFill>
              </fill>
            </x14:dxf>
          </x14:cfRule>
          <xm:sqref>B36 B33:AB35 B37:AB63 F36:AB36</xm:sqref>
        </x14:conditionalFormatting>
        <x14:conditionalFormatting xmlns:xm="http://schemas.microsoft.com/office/excel/2006/main">
          <x14:cfRule type="expression" priority="85" id="{C3F072DF-B3FA-40C8-A5AC-7815B4FCA351}">
            <xm:f>OR(E19&lt;&gt;Drop!A13,ISBLANK(M22))</xm:f>
            <x14:dxf>
              <fill>
                <patternFill>
                  <bgColor theme="0" tint="-4.9989318521683403E-2"/>
                </patternFill>
              </fill>
              <border>
                <left/>
                <top/>
                <vertical/>
                <horizontal/>
              </border>
            </x14:dxf>
          </x14:cfRule>
          <xm:sqref>O24:Q24</xm:sqref>
        </x14:conditionalFormatting>
        <x14:conditionalFormatting xmlns:xm="http://schemas.microsoft.com/office/excel/2006/main">
          <x14:cfRule type="expression" priority="86" id="{C4B1BB60-D712-4BEF-AA34-9D313953E411}">
            <xm:f>$E$19&lt;&gt;Drop!$A$13</xm:f>
            <x14:dxf>
              <font>
                <color auto="1"/>
              </font>
            </x14:dxf>
          </x14:cfRule>
          <xm:sqref>B20 B21:D21</xm:sqref>
        </x14:conditionalFormatting>
        <x14:conditionalFormatting xmlns:xm="http://schemas.microsoft.com/office/excel/2006/main">
          <x14:cfRule type="expression" priority="95" id="{CC57A171-8623-4082-BC94-845A867E6888}">
            <xm:f>$E$12&lt;&gt;Drop!$A$47</xm:f>
            <x14:dxf>
              <font>
                <color theme="0" tint="-4.9989318521683403E-2"/>
              </font>
              <fill>
                <patternFill>
                  <bgColor theme="0" tint="-4.9989318521683403E-2"/>
                </patternFill>
              </fill>
            </x14:dxf>
          </x14:cfRule>
          <xm:sqref>B13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E6B2E07-A31A-4323-9DF5-EC7B24DCD219}">
          <x14:formula1>
            <xm:f>Drop!$A$62</xm:f>
          </x14:formula1>
          <xm:sqref>Y10:AB10</xm:sqref>
        </x14:dataValidation>
        <x14:dataValidation type="list" allowBlank="1" showInputMessage="1" showErrorMessage="1" xr:uid="{AC64927B-3DED-451D-928C-4ACA8FDE80B8}">
          <x14:formula1>
            <xm:f>Drop!$G$43:$G$44</xm:f>
          </x14:formula1>
          <xm:sqref>E12</xm:sqref>
        </x14:dataValidation>
        <x14:dataValidation type="list" allowBlank="1" showInputMessage="1" showErrorMessage="1" xr:uid="{DC3282B3-40E9-4F93-ABDE-2BAECC10CC0B}">
          <x14:formula1>
            <xm:f>Drop!$A$44:$A$46</xm:f>
          </x14:formula1>
          <xm:sqref>E13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9909D-39A2-4147-B58B-BCE387B55EF1}">
  <sheetPr codeName="sheet0NonStatistical">
    <pageSetUpPr fitToPage="1"/>
  </sheetPr>
  <dimension ref="A1:AL60"/>
  <sheetViews>
    <sheetView showGridLines="0" topLeftCell="F1" zoomScale="80" zoomScaleNormal="80" workbookViewId="0">
      <selection activeCell="S33" sqref="S33:AB33"/>
    </sheetView>
  </sheetViews>
  <sheetFormatPr defaultColWidth="9.125" defaultRowHeight="12.75" outlineLevelCol="1"/>
  <cols>
    <col min="1" max="1" width="2.75" style="2" customWidth="1"/>
    <col min="2" max="2" width="5.75" style="2" customWidth="1"/>
    <col min="3" max="5" width="25.75" style="2" customWidth="1"/>
    <col min="6" max="6" width="1.75" style="2" customWidth="1"/>
    <col min="7" max="7" width="1.125" style="2" customWidth="1"/>
    <col min="8" max="8" width="5.75" style="2" customWidth="1"/>
    <col min="9" max="9" width="17.75" style="2" customWidth="1"/>
    <col min="10" max="11" width="5.75" style="2" customWidth="1"/>
    <col min="12" max="12" width="17.75" style="2" customWidth="1"/>
    <col min="13" max="13" width="5.75" style="2" customWidth="1"/>
    <col min="14" max="14" width="9.75" style="2" customWidth="1"/>
    <col min="15" max="15" width="5.75" style="2" customWidth="1"/>
    <col min="16" max="16" width="15.75" style="2" customWidth="1"/>
    <col min="17" max="17" width="10.75" style="2" customWidth="1"/>
    <col min="18" max="18" width="1.5" style="2" customWidth="1"/>
    <col min="19" max="21" width="5.75" style="2" customWidth="1"/>
    <col min="22" max="22" width="11.75" style="2" customWidth="1"/>
    <col min="23" max="27" width="5.75" style="2" customWidth="1"/>
    <col min="28" max="28" width="21.75" style="2" customWidth="1"/>
    <col min="29" max="30" width="2.75" style="2" hidden="1" customWidth="1" outlineLevel="1"/>
    <col min="31" max="31" width="9.125" style="2" hidden="1" customWidth="1" outlineLevel="1"/>
    <col min="32" max="32" width="21.5" style="2" hidden="1" customWidth="1" outlineLevel="1"/>
    <col min="33" max="33" width="15.25" style="2" hidden="1" customWidth="1" outlineLevel="1"/>
    <col min="34" max="34" width="14.5" style="2" hidden="1" customWidth="1" outlineLevel="1"/>
    <col min="35" max="35" width="14.25" style="2" hidden="1" customWidth="1" outlineLevel="1"/>
    <col min="36" max="36" width="15.5" style="2" hidden="1" customWidth="1" outlineLevel="1"/>
    <col min="37" max="37" width="9.125" style="2" hidden="1" customWidth="1" outlineLevel="1"/>
    <col min="38" max="38" width="9.125" style="2" customWidth="1" collapsed="1"/>
    <col min="39" max="40" width="9.125" style="2" customWidth="1"/>
    <col min="41" max="16384" width="9.125" style="2"/>
  </cols>
  <sheetData>
    <row r="1" spans="1:37" ht="21" thickBot="1">
      <c r="A1" s="1"/>
      <c r="B1" s="308"/>
      <c r="C1" s="309"/>
      <c r="D1" s="309"/>
      <c r="E1" s="309"/>
      <c r="F1" s="1"/>
      <c r="G1" s="1"/>
      <c r="H1" s="1"/>
      <c r="I1" s="1"/>
      <c r="O1" s="1"/>
      <c r="AC1" s="1"/>
      <c r="AF1" s="10" t="s">
        <v>32</v>
      </c>
      <c r="AG1" s="2" t="s">
        <v>1</v>
      </c>
    </row>
    <row r="2" spans="1:37" ht="12.95" customHeight="1">
      <c r="A2" s="7"/>
      <c r="B2" s="38"/>
      <c r="C2" s="39"/>
      <c r="D2" s="39"/>
      <c r="E2" s="39"/>
      <c r="F2" s="39"/>
      <c r="G2" s="39"/>
      <c r="H2" s="39"/>
      <c r="I2" s="39"/>
      <c r="J2" s="40"/>
      <c r="K2" s="40"/>
      <c r="L2" s="40"/>
      <c r="M2" s="41"/>
      <c r="N2" s="41"/>
      <c r="O2" s="41"/>
      <c r="P2" s="41"/>
      <c r="Q2" s="41"/>
      <c r="R2" s="41"/>
      <c r="S2" s="41"/>
      <c r="T2" s="41"/>
      <c r="U2" s="41"/>
      <c r="V2" s="41"/>
      <c r="W2" s="41"/>
      <c r="X2" s="41"/>
      <c r="Y2" s="41"/>
      <c r="Z2" s="41"/>
      <c r="AA2" s="41"/>
      <c r="AB2" s="42"/>
      <c r="AF2" s="27"/>
      <c r="AG2" s="27"/>
    </row>
    <row r="3" spans="1:37" ht="12.95" customHeight="1">
      <c r="A3" s="15"/>
      <c r="B3" s="45"/>
      <c r="C3" s="47" t="str">
        <f>Drop!A102</f>
        <v>总体名称：</v>
      </c>
      <c r="D3" s="310"/>
      <c r="E3" s="311"/>
      <c r="F3" s="46"/>
      <c r="G3" s="46"/>
      <c r="H3" s="46"/>
      <c r="I3" s="46"/>
      <c r="J3" s="48"/>
      <c r="K3" s="49"/>
      <c r="L3" s="49"/>
      <c r="M3" s="49"/>
      <c r="N3" s="49"/>
      <c r="O3" s="49"/>
      <c r="P3" s="49"/>
      <c r="Q3" s="49"/>
      <c r="R3" s="49"/>
      <c r="S3" s="49"/>
      <c r="T3" s="49"/>
      <c r="U3" s="49"/>
      <c r="V3" s="50"/>
      <c r="W3" s="51"/>
      <c r="X3" s="51"/>
      <c r="Y3" s="51"/>
      <c r="Z3" s="51"/>
      <c r="AA3" s="51"/>
      <c r="AB3" s="52"/>
      <c r="AF3" s="27"/>
      <c r="AG3" s="27"/>
      <c r="AH3" s="27"/>
      <c r="AI3" s="27"/>
    </row>
    <row r="4" spans="1:37" ht="12.95" customHeight="1">
      <c r="A4" s="1"/>
      <c r="B4" s="53"/>
      <c r="C4" s="47" t="str">
        <f>Drop!A103</f>
        <v>适用的样本计划：</v>
      </c>
      <c r="D4" s="312" t="str">
        <f>汇总!D3</f>
        <v>致同抽样</v>
      </c>
      <c r="E4" s="313"/>
      <c r="F4" s="46"/>
      <c r="G4" s="46"/>
      <c r="H4" s="46"/>
      <c r="I4" s="46"/>
      <c r="J4" s="46"/>
      <c r="K4" s="49" t="str">
        <f>Drop!A105</f>
        <v>高信赖（其他标准）?：</v>
      </c>
      <c r="L4" s="312" t="str">
        <f>IF(ISBLANK(汇总!D7),Drop!A247,汇总!D7)</f>
        <v>否 - 不适用</v>
      </c>
      <c r="M4" s="314"/>
      <c r="N4" s="314"/>
      <c r="O4" s="313"/>
      <c r="P4" s="49"/>
      <c r="Q4" s="49"/>
      <c r="R4" s="49"/>
      <c r="S4" s="49"/>
      <c r="T4" s="49"/>
      <c r="U4" s="49"/>
      <c r="V4" s="50"/>
      <c r="W4" s="51"/>
      <c r="X4" s="51"/>
      <c r="Y4" s="51"/>
      <c r="Z4" s="51"/>
      <c r="AA4" s="51"/>
      <c r="AB4" s="52"/>
      <c r="AF4" s="27"/>
      <c r="AG4" s="27"/>
      <c r="AH4" s="27"/>
      <c r="AI4" s="27"/>
    </row>
    <row r="5" spans="1:37" ht="12.95" customHeight="1">
      <c r="A5" s="1"/>
      <c r="B5" s="54"/>
      <c r="C5" s="49" t="str">
        <f>Drop!A104</f>
        <v>上市实体/ 高风险?：</v>
      </c>
      <c r="D5" s="315" t="str">
        <f>汇总!D5</f>
        <v>是</v>
      </c>
      <c r="E5" s="316"/>
      <c r="F5" s="46"/>
      <c r="G5" s="46"/>
      <c r="H5" s="46"/>
      <c r="I5" s="46"/>
      <c r="J5" s="46"/>
      <c r="K5" s="49" t="str">
        <f>Drop!A106</f>
        <v>实际执行的重要性</v>
      </c>
      <c r="L5" s="317">
        <f>汇总!D10</f>
        <v>0</v>
      </c>
      <c r="M5" s="318"/>
      <c r="N5" s="318"/>
      <c r="O5" s="319"/>
      <c r="P5" s="49"/>
      <c r="Q5" s="49"/>
      <c r="R5" s="49"/>
      <c r="S5" s="49"/>
      <c r="T5" s="49"/>
      <c r="U5" s="49"/>
      <c r="V5" s="50"/>
      <c r="W5" s="51"/>
      <c r="X5" s="51"/>
      <c r="Y5" s="51"/>
      <c r="Z5" s="51"/>
      <c r="AA5" s="51"/>
      <c r="AB5" s="52"/>
      <c r="AF5" s="27" t="s">
        <v>161</v>
      </c>
      <c r="AG5" s="27" t="b">
        <f>OR(E11=Drop!A37)</f>
        <v>0</v>
      </c>
      <c r="AH5" s="11"/>
    </row>
    <row r="6" spans="1:37" ht="12.95" customHeight="1" thickBot="1">
      <c r="A6" s="1"/>
      <c r="B6" s="56"/>
      <c r="C6" s="57"/>
      <c r="D6" s="57"/>
      <c r="E6" s="57"/>
      <c r="F6" s="57"/>
      <c r="G6" s="57"/>
      <c r="H6" s="57"/>
      <c r="I6" s="57"/>
      <c r="J6" s="57"/>
      <c r="K6" s="57"/>
      <c r="L6" s="57"/>
      <c r="M6" s="57"/>
      <c r="N6" s="57"/>
      <c r="O6" s="57"/>
      <c r="P6" s="57"/>
      <c r="Q6" s="57"/>
      <c r="R6" s="57"/>
      <c r="S6" s="57"/>
      <c r="T6" s="57"/>
      <c r="U6" s="57"/>
      <c r="V6" s="57"/>
      <c r="W6" s="57"/>
      <c r="X6" s="57"/>
      <c r="Y6" s="57"/>
      <c r="Z6" s="57"/>
      <c r="AA6" s="57"/>
      <c r="AB6" s="58"/>
      <c r="AF6" s="27" t="s">
        <v>36</v>
      </c>
      <c r="AG6" s="27" t="b">
        <f>OR(D5=Drop!A13,L4=Drop!A246)</f>
        <v>1</v>
      </c>
      <c r="AH6" s="4"/>
    </row>
    <row r="7" spans="1:37" ht="13.5" thickBot="1">
      <c r="B7" s="60"/>
      <c r="C7" s="60"/>
      <c r="D7" s="60"/>
      <c r="E7" s="60"/>
      <c r="F7" s="35"/>
      <c r="G7" s="35"/>
      <c r="H7" s="35"/>
      <c r="I7" s="35"/>
      <c r="J7" s="35"/>
      <c r="K7" s="35"/>
      <c r="L7" s="35"/>
      <c r="M7" s="35"/>
      <c r="N7" s="35"/>
      <c r="O7" s="35"/>
      <c r="P7" s="35"/>
      <c r="Q7" s="35"/>
      <c r="R7" s="35"/>
      <c r="S7" s="35"/>
      <c r="T7" s="35"/>
      <c r="U7" s="35"/>
      <c r="V7" s="35"/>
      <c r="W7" s="35"/>
      <c r="X7" s="35"/>
      <c r="Y7" s="35"/>
      <c r="Z7" s="35"/>
      <c r="AA7" s="35"/>
      <c r="AB7" s="35"/>
      <c r="AF7" s="27" t="s">
        <v>37</v>
      </c>
      <c r="AG7" s="28">
        <f>IF(AG6=TRUE,5%,10%)</f>
        <v>0.05</v>
      </c>
      <c r="AH7" s="4"/>
    </row>
    <row r="8" spans="1:37" ht="13.5" thickBot="1">
      <c r="B8" s="62" t="str">
        <f>Drop!A93</f>
        <v>步骤 1 - 确定测试的目标</v>
      </c>
      <c r="C8" s="63"/>
      <c r="D8" s="63"/>
      <c r="E8" s="63"/>
      <c r="F8" s="64"/>
      <c r="G8" s="35"/>
      <c r="H8" s="65" t="str">
        <f>Drop!A95</f>
        <v>步骤 3 - 抽样方法</v>
      </c>
      <c r="I8" s="66"/>
      <c r="J8" s="66"/>
      <c r="K8" s="66"/>
      <c r="L8" s="66"/>
      <c r="M8" s="66"/>
      <c r="N8" s="66"/>
      <c r="O8" s="66"/>
      <c r="P8" s="66"/>
      <c r="Q8" s="67"/>
      <c r="R8" s="35"/>
      <c r="S8" s="65" t="str">
        <f>Drop!A97</f>
        <v>步骤 5 - 选取样本</v>
      </c>
      <c r="T8" s="66"/>
      <c r="U8" s="66"/>
      <c r="V8" s="66"/>
      <c r="W8" s="66"/>
      <c r="X8" s="66"/>
      <c r="Y8" s="66"/>
      <c r="Z8" s="66"/>
      <c r="AA8" s="66"/>
      <c r="AB8" s="67"/>
      <c r="AF8" s="27" t="s">
        <v>27</v>
      </c>
      <c r="AG8" s="26" t="str">
        <f>D4</f>
        <v>致同抽样</v>
      </c>
      <c r="AH8" s="12"/>
    </row>
    <row r="9" spans="1:37" ht="15" customHeight="1">
      <c r="B9" s="69"/>
      <c r="C9" s="70"/>
      <c r="D9" s="70"/>
      <c r="E9" s="70"/>
      <c r="F9" s="71"/>
      <c r="G9" s="35"/>
      <c r="H9" s="320" t="str">
        <f>IF(AG2=TRUE,Drop!A88,"")</f>
        <v/>
      </c>
      <c r="I9" s="321"/>
      <c r="J9" s="321"/>
      <c r="K9" s="321"/>
      <c r="L9" s="321"/>
      <c r="M9" s="321"/>
      <c r="N9" s="321"/>
      <c r="O9" s="321"/>
      <c r="P9" s="321"/>
      <c r="Q9" s="322"/>
      <c r="R9" s="35"/>
      <c r="S9" s="72"/>
      <c r="T9" s="32"/>
      <c r="U9" s="32"/>
      <c r="V9" s="32"/>
      <c r="W9" s="32"/>
      <c r="X9" s="32"/>
      <c r="Y9" s="32"/>
      <c r="Z9" s="32"/>
      <c r="AA9" s="32"/>
      <c r="AB9" s="73"/>
      <c r="AF9" s="27" t="s">
        <v>43</v>
      </c>
      <c r="AG9" s="26">
        <f>VLOOKUP(AG8,Drop!A17:B19,2,FALSE)</f>
        <v>2</v>
      </c>
      <c r="AH9" s="12"/>
    </row>
    <row r="10" spans="1:37" ht="20.100000000000001" customHeight="1">
      <c r="B10" s="326" t="str">
        <f>Drop!A108</f>
        <v>认定</v>
      </c>
      <c r="C10" s="327"/>
      <c r="D10" s="328"/>
      <c r="E10" s="212"/>
      <c r="F10" s="199"/>
      <c r="G10" s="35"/>
      <c r="H10" s="323"/>
      <c r="I10" s="324"/>
      <c r="J10" s="324"/>
      <c r="K10" s="324"/>
      <c r="L10" s="324"/>
      <c r="M10" s="324"/>
      <c r="N10" s="324"/>
      <c r="O10" s="324"/>
      <c r="P10" s="324"/>
      <c r="Q10" s="325"/>
      <c r="R10" s="35"/>
      <c r="S10" s="135" t="str">
        <f>Drop!A139</f>
        <v>使用的选取方法</v>
      </c>
      <c r="T10" s="32"/>
      <c r="U10" s="32"/>
      <c r="V10" s="32"/>
      <c r="W10" s="32"/>
      <c r="X10" s="32"/>
      <c r="Y10" s="329"/>
      <c r="Z10" s="330"/>
      <c r="AA10" s="330"/>
      <c r="AB10" s="331"/>
      <c r="AF10" s="27" t="s">
        <v>39</v>
      </c>
      <c r="AG10" s="28" t="e">
        <f>VLOOKUP(E11,Drop!A37:D39,AG9,FALSE)</f>
        <v>#N/A</v>
      </c>
      <c r="AH10" s="11"/>
    </row>
    <row r="11" spans="1:37" ht="26.1" customHeight="1">
      <c r="B11" s="326" t="str">
        <f>Drop!A109</f>
        <v>固有风险</v>
      </c>
      <c r="C11" s="327"/>
      <c r="D11" s="328"/>
      <c r="E11" s="211"/>
      <c r="F11" s="199"/>
      <c r="G11" s="35"/>
      <c r="H11" s="117"/>
      <c r="I11" s="32"/>
      <c r="J11" s="32"/>
      <c r="K11" s="118" t="str">
        <f>Drop!A121</f>
        <v>非统计抽样</v>
      </c>
      <c r="L11" s="32"/>
      <c r="M11" s="118"/>
      <c r="N11" s="118"/>
      <c r="O11" s="32"/>
      <c r="P11" s="32"/>
      <c r="Q11" s="73"/>
      <c r="R11" s="35"/>
      <c r="S11" s="74"/>
      <c r="T11" s="32"/>
      <c r="U11" s="32"/>
      <c r="V11" s="32"/>
      <c r="W11" s="32"/>
      <c r="X11" s="32"/>
      <c r="Y11" s="32"/>
      <c r="Z11" s="32"/>
      <c r="AA11" s="32"/>
      <c r="AB11" s="73"/>
      <c r="AF11" s="27" t="s">
        <v>40</v>
      </c>
      <c r="AG11" s="61" t="str">
        <f>IF(ISBLANK(E12),"",IF(E12=Drop!A43,Drop!B43,VLOOKUP(E13,Drop!A44:D46,AG9,FALSE)))</f>
        <v/>
      </c>
      <c r="AH11" s="29" t="s">
        <v>167</v>
      </c>
      <c r="AI11" s="27" t="b">
        <f>E12=Drop!A45</f>
        <v>0</v>
      </c>
      <c r="AJ11" s="27" t="str">
        <f>IF(AI$11=TRUE,Drop!A13,"")</f>
        <v/>
      </c>
      <c r="AK11" s="27" t="str">
        <f>IF(AI$11=TRUE,Drop!A14,"")</f>
        <v/>
      </c>
    </row>
    <row r="12" spans="1:37" ht="26.1" customHeight="1">
      <c r="B12" s="332" t="str">
        <f>Drop!A110</f>
        <v>对控制的信赖程度</v>
      </c>
      <c r="C12" s="333"/>
      <c r="D12" s="334"/>
      <c r="E12" s="212"/>
      <c r="F12" s="199"/>
      <c r="G12" s="35"/>
      <c r="H12" s="117"/>
      <c r="I12" s="32"/>
      <c r="J12" s="119"/>
      <c r="K12" s="119"/>
      <c r="L12" s="119"/>
      <c r="M12" s="119"/>
      <c r="N12" s="134" t="str">
        <f>Drop!A122</f>
        <v>总体的性质?</v>
      </c>
      <c r="O12" s="335"/>
      <c r="P12" s="336"/>
      <c r="Q12" s="73"/>
      <c r="R12" s="35"/>
      <c r="S12" s="135" t="str">
        <f>Drop!A140</f>
        <v>样本间隔</v>
      </c>
      <c r="T12" s="32"/>
      <c r="U12" s="32"/>
      <c r="V12" s="32"/>
      <c r="W12" s="32"/>
      <c r="X12" s="32"/>
      <c r="Y12" s="337" t="str" cm="1">
        <f t="array" ref="Y12">_xlfn.IFS(ISBLANK(Y10),"",AND(Y10=Drop!A62,O12=Drop!A125),Drop!A228,Y10&lt;&gt;Drop!A62,Drop!A222,ISERROR(AG25),Drop!A219,TRUE,AG25)</f>
        <v/>
      </c>
      <c r="Z12" s="338"/>
      <c r="AA12" s="338"/>
      <c r="AB12" s="339"/>
      <c r="AF12" s="27" t="s">
        <v>41</v>
      </c>
      <c r="AG12" s="28" t="e">
        <f>VLOOKUP(K19,Drop!A52:D54,AG9,FALSE)</f>
        <v>#N/A</v>
      </c>
      <c r="AH12" s="11"/>
      <c r="AJ12" s="2" t="str">
        <f>IF(AI$11=TRUE,Drop!A14,"")</f>
        <v/>
      </c>
    </row>
    <row r="13" spans="1:37" ht="20.100000000000001" customHeight="1">
      <c r="B13" s="332" t="str">
        <f>Drop!A48</f>
        <v>测试范围</v>
      </c>
      <c r="C13" s="333"/>
      <c r="D13" s="333"/>
      <c r="E13" s="212"/>
      <c r="F13" s="199"/>
      <c r="G13" s="35"/>
      <c r="H13" s="117"/>
      <c r="I13" s="32"/>
      <c r="J13" s="119"/>
      <c r="K13" s="119"/>
      <c r="L13" s="119"/>
      <c r="M13" s="119"/>
      <c r="N13" s="179"/>
      <c r="O13" s="119"/>
      <c r="P13" s="179"/>
      <c r="Q13" s="73"/>
      <c r="R13" s="35"/>
      <c r="S13" s="135"/>
      <c r="T13" s="32"/>
      <c r="U13" s="32"/>
      <c r="V13" s="32"/>
      <c r="W13" s="32"/>
      <c r="X13" s="32"/>
      <c r="Y13" s="180"/>
      <c r="Z13" s="180"/>
      <c r="AA13" s="180"/>
      <c r="AB13" s="181"/>
      <c r="AF13" s="27"/>
      <c r="AG13" s="28"/>
      <c r="AH13" s="11"/>
    </row>
    <row r="14" spans="1:37" ht="15.75" customHeight="1" thickBot="1">
      <c r="B14" s="162"/>
      <c r="C14" s="163"/>
      <c r="D14" s="163"/>
      <c r="E14" s="163"/>
      <c r="F14" s="200"/>
      <c r="G14" s="35"/>
      <c r="H14" s="76"/>
      <c r="I14" s="77"/>
      <c r="J14" s="77"/>
      <c r="K14" s="77"/>
      <c r="L14" s="77"/>
      <c r="M14" s="77"/>
      <c r="N14" s="77"/>
      <c r="O14" s="77"/>
      <c r="P14" s="77"/>
      <c r="Q14" s="78"/>
      <c r="R14" s="35"/>
      <c r="S14" s="76"/>
      <c r="T14" s="77"/>
      <c r="U14" s="77"/>
      <c r="V14" s="77"/>
      <c r="W14" s="77"/>
      <c r="X14" s="77"/>
      <c r="Y14" s="77"/>
      <c r="Z14" s="77"/>
      <c r="AA14" s="77"/>
      <c r="AB14" s="78"/>
      <c r="AF14" s="27" t="s">
        <v>38</v>
      </c>
      <c r="AG14" s="28" t="e">
        <f>VLOOKUP(K20,Drop!A52:D54,AG9,FALSE)</f>
        <v>#N/A</v>
      </c>
      <c r="AH14" s="13"/>
    </row>
    <row r="15" spans="1:37" ht="13.5" thickBot="1">
      <c r="B15" s="35"/>
      <c r="C15" s="35"/>
      <c r="D15" s="35"/>
      <c r="E15" s="35"/>
      <c r="F15" s="35"/>
      <c r="G15" s="35"/>
      <c r="H15" s="35"/>
      <c r="I15" s="35"/>
      <c r="J15" s="35"/>
      <c r="K15" s="35"/>
      <c r="L15" s="35"/>
      <c r="M15" s="35"/>
      <c r="N15" s="35"/>
      <c r="O15" s="35"/>
      <c r="P15" s="35"/>
      <c r="Q15" s="35"/>
      <c r="R15" s="35"/>
      <c r="S15" s="80"/>
      <c r="T15" s="81"/>
      <c r="U15" s="81"/>
      <c r="V15" s="81"/>
      <c r="W15" s="81"/>
      <c r="X15" s="81"/>
      <c r="Y15" s="81"/>
      <c r="Z15" s="81"/>
      <c r="AA15" s="81"/>
      <c r="AB15" s="81"/>
      <c r="AF15" s="27" t="s">
        <v>211</v>
      </c>
      <c r="AG15" s="28" t="e">
        <f>VLOOKUP(K21,Drop!A58:D59,AG9,FALSE)</f>
        <v>#N/A</v>
      </c>
      <c r="AH15" s="14"/>
    </row>
    <row r="16" spans="1:37" ht="13.5" thickBot="1">
      <c r="B16" s="65" t="str">
        <f>Drop!A94</f>
        <v>步骤 2 - 定义和分析总体</v>
      </c>
      <c r="C16" s="66"/>
      <c r="D16" s="66"/>
      <c r="E16" s="66"/>
      <c r="F16" s="67"/>
      <c r="G16" s="35"/>
      <c r="H16" s="65" t="str">
        <f>Drop!A96</f>
        <v>步骤 4 - 确定样本量</v>
      </c>
      <c r="I16" s="66"/>
      <c r="J16" s="66"/>
      <c r="K16" s="66"/>
      <c r="L16" s="66"/>
      <c r="M16" s="66"/>
      <c r="N16" s="66"/>
      <c r="O16" s="66"/>
      <c r="P16" s="66"/>
      <c r="Q16" s="67"/>
      <c r="R16" s="35"/>
      <c r="S16" s="65" t="str">
        <f>Drop!A98</f>
        <v>步骤 6 - 测试已选取样本</v>
      </c>
      <c r="T16" s="66"/>
      <c r="U16" s="66"/>
      <c r="V16" s="66"/>
      <c r="W16" s="66"/>
      <c r="X16" s="66"/>
      <c r="Y16" s="66"/>
      <c r="Z16" s="66"/>
      <c r="AA16" s="66"/>
      <c r="AB16" s="67"/>
      <c r="AF16" s="27" t="s">
        <v>45</v>
      </c>
      <c r="AG16" s="28" t="e">
        <f>AG7/(AG10*AG11*AG12*AG14*AG15)</f>
        <v>#N/A</v>
      </c>
    </row>
    <row r="17" spans="2:33">
      <c r="B17" s="85"/>
      <c r="C17" s="86"/>
      <c r="D17" s="86"/>
      <c r="E17" s="86"/>
      <c r="F17" s="87"/>
      <c r="G17" s="35"/>
      <c r="H17" s="85"/>
      <c r="I17" s="86"/>
      <c r="J17" s="86"/>
      <c r="K17" s="86"/>
      <c r="L17" s="86"/>
      <c r="M17" s="86"/>
      <c r="N17" s="86"/>
      <c r="O17" s="86"/>
      <c r="P17" s="86"/>
      <c r="Q17" s="87"/>
      <c r="R17" s="35"/>
      <c r="S17" s="74"/>
      <c r="T17" s="32"/>
      <c r="U17" s="32"/>
      <c r="V17" s="32"/>
      <c r="W17" s="32"/>
      <c r="X17" s="32"/>
      <c r="Y17" s="32"/>
      <c r="Z17" s="32"/>
      <c r="AA17" s="32"/>
      <c r="AB17" s="73"/>
      <c r="AF17" s="27" t="s">
        <v>46</v>
      </c>
      <c r="AG17" s="30" t="e">
        <f>1-AG16</f>
        <v>#N/A</v>
      </c>
    </row>
    <row r="18" spans="2:33" ht="14.25">
      <c r="B18" s="349" t="str">
        <f>Drop!A112</f>
        <v>总体的绝对值</v>
      </c>
      <c r="C18" s="350"/>
      <c r="D18" s="351"/>
      <c r="E18" s="224"/>
      <c r="F18" s="199"/>
      <c r="G18" s="35"/>
      <c r="H18" s="135" t="str">
        <f>Drop!A130</f>
        <v>提供的证据:</v>
      </c>
      <c r="I18" s="32"/>
      <c r="J18" s="32"/>
      <c r="K18" s="32"/>
      <c r="L18" s="32"/>
      <c r="M18" s="358" t="str">
        <f>Drop!A82</f>
        <v>描述程序</v>
      </c>
      <c r="N18" s="359"/>
      <c r="O18" s="359"/>
      <c r="P18" s="359"/>
      <c r="Q18" s="360"/>
      <c r="R18" s="35"/>
      <c r="S18" s="340" t="str">
        <f>Drop!A142</f>
        <v>相关测试记录的工作底稿索引:</v>
      </c>
      <c r="T18" s="341"/>
      <c r="U18" s="341"/>
      <c r="V18" s="341"/>
      <c r="W18" s="341"/>
      <c r="X18" s="341"/>
      <c r="Y18" s="342"/>
      <c r="Z18" s="343"/>
      <c r="AA18" s="344"/>
      <c r="AB18" s="345"/>
      <c r="AF18" s="27" t="s">
        <v>48</v>
      </c>
      <c r="AG18" s="31">
        <f>IF(E19=Drop!A14,(E18-E24-E25),(E20 - E24-E25))</f>
        <v>0</v>
      </c>
    </row>
    <row r="19" spans="2:33" ht="30" customHeight="1">
      <c r="B19" s="349" t="str">
        <f>Drop!A67</f>
        <v>测试少于总体的100%？</v>
      </c>
      <c r="C19" s="350"/>
      <c r="D19" s="351"/>
      <c r="E19" s="211"/>
      <c r="F19" s="199"/>
      <c r="G19" s="136"/>
      <c r="H19" s="135" t="str">
        <f>Drop!A131</f>
        <v>分析程序</v>
      </c>
      <c r="I19" s="93"/>
      <c r="J19" s="130"/>
      <c r="K19" s="329"/>
      <c r="L19" s="352"/>
      <c r="M19" s="329"/>
      <c r="N19" s="330"/>
      <c r="O19" s="330"/>
      <c r="P19" s="330"/>
      <c r="Q19" s="331"/>
      <c r="R19" s="35"/>
      <c r="S19" s="340"/>
      <c r="T19" s="341"/>
      <c r="U19" s="341"/>
      <c r="V19" s="341"/>
      <c r="W19" s="341"/>
      <c r="X19" s="341"/>
      <c r="Y19" s="342"/>
      <c r="Z19" s="346"/>
      <c r="AA19" s="347"/>
      <c r="AB19" s="348"/>
      <c r="AF19" s="27" t="s">
        <v>49</v>
      </c>
      <c r="AG19" s="27" t="b">
        <f>OR(E24&gt;0,E25&gt;0,D24&gt;0,D25&gt;0)</f>
        <v>0</v>
      </c>
    </row>
    <row r="20" spans="2:33" ht="30" customHeight="1" thickBot="1">
      <c r="B20" s="361" t="str">
        <f>IF(OR(ISBLANK(E19),E19=Drop!A14),"",Drop!A68)</f>
        <v/>
      </c>
      <c r="C20" s="362"/>
      <c r="D20" s="362"/>
      <c r="E20" s="198"/>
      <c r="F20" s="199"/>
      <c r="G20" s="136"/>
      <c r="H20" s="137" t="str">
        <f>Drop!A132</f>
        <v>其他细节测试</v>
      </c>
      <c r="I20" s="93"/>
      <c r="J20" s="130"/>
      <c r="K20" s="329"/>
      <c r="L20" s="352"/>
      <c r="M20" s="329"/>
      <c r="N20" s="330"/>
      <c r="O20" s="330"/>
      <c r="P20" s="330"/>
      <c r="Q20" s="331"/>
      <c r="R20" s="35"/>
      <c r="S20" s="76"/>
      <c r="T20" s="77"/>
      <c r="U20" s="77"/>
      <c r="V20" s="77"/>
      <c r="W20" s="77"/>
      <c r="X20" s="77"/>
      <c r="Y20" s="77"/>
      <c r="Z20" s="77"/>
      <c r="AA20" s="77"/>
      <c r="AB20" s="78"/>
      <c r="AF20" s="153" t="s">
        <v>99</v>
      </c>
      <c r="AG20" s="27" t="str">
        <f>IF(ISERROR(OR(AG12&lt;100%,AG14&lt;100%)),"",OR(AG12&lt;100%,AG14&lt;100%))</f>
        <v/>
      </c>
    </row>
    <row r="21" spans="2:33" ht="30" customHeight="1">
      <c r="B21" s="196"/>
      <c r="C21" s="197"/>
      <c r="D21" s="197"/>
      <c r="E21" s="197"/>
      <c r="F21" s="199"/>
      <c r="G21" s="136"/>
      <c r="H21" s="137" t="str">
        <f>Drop!A133</f>
        <v>审计数据分析</v>
      </c>
      <c r="I21" s="93"/>
      <c r="J21" s="130"/>
      <c r="K21" s="329"/>
      <c r="L21" s="352"/>
      <c r="M21" s="329"/>
      <c r="N21" s="330"/>
      <c r="O21" s="330"/>
      <c r="P21" s="330"/>
      <c r="Q21" s="331"/>
      <c r="R21" s="35"/>
      <c r="S21" s="35"/>
      <c r="T21" s="35"/>
      <c r="U21" s="35"/>
      <c r="V21" s="35"/>
      <c r="W21" s="35"/>
      <c r="X21" s="35"/>
      <c r="Y21" s="35"/>
      <c r="Z21" s="35"/>
      <c r="AA21" s="35"/>
      <c r="AB21" s="35"/>
      <c r="AF21" s="176" t="s">
        <v>205</v>
      </c>
      <c r="AG21" s="177" t="b">
        <f>OR(O12=Drop!A125,O12=Drop!A126,Y10=Drop!A62)</f>
        <v>0</v>
      </c>
    </row>
    <row r="22" spans="2:33" s="141" customFormat="1" ht="23.25" customHeight="1">
      <c r="B22" s="158" t="str">
        <f>Drop!A113</f>
        <v>重大金额或关键项目进行单独测试:</v>
      </c>
      <c r="C22" s="159"/>
      <c r="D22" s="159"/>
      <c r="E22" s="159"/>
      <c r="F22" s="157"/>
      <c r="G22" s="136"/>
      <c r="H22" s="137" t="str">
        <f>Drop!A134</f>
        <v>预期总体错报金额</v>
      </c>
      <c r="I22" s="93"/>
      <c r="J22" s="93"/>
      <c r="K22" s="93"/>
      <c r="L22" s="93"/>
      <c r="M22" s="353">
        <v>0.1</v>
      </c>
      <c r="N22" s="354"/>
      <c r="O22" s="355">
        <f>IF(ISBLANK(M22),"",$L$5*M22)</f>
        <v>0</v>
      </c>
      <c r="P22" s="356"/>
      <c r="Q22" s="357"/>
      <c r="R22" s="136"/>
      <c r="S22" s="136"/>
      <c r="T22" s="136"/>
      <c r="U22" s="136"/>
      <c r="V22" s="136"/>
      <c r="W22" s="136"/>
      <c r="X22" s="136"/>
      <c r="Y22" s="136"/>
      <c r="Z22" s="136"/>
      <c r="AA22" s="136"/>
      <c r="AB22" s="136"/>
      <c r="AF22" s="153"/>
      <c r="AG22" s="27"/>
    </row>
    <row r="23" spans="2:33">
      <c r="B23" s="166"/>
      <c r="C23" s="168"/>
      <c r="D23" s="195" t="str">
        <f>Drop!A114</f>
        <v>项目总数</v>
      </c>
      <c r="E23" s="192" t="str">
        <f>Drop!A115</f>
        <v>合计金额</v>
      </c>
      <c r="F23" s="73"/>
      <c r="G23" s="35"/>
      <c r="H23" s="363" t="str" cm="1">
        <f t="array" ref="H23">_xlfn.IFS(ISBLANK(M22),"",ISERROR(O22),Drop!A219,M22&lt;Drop!F62,Drop!A79,M22&gt;=Drop!H62,Drop!A81,M22&gt;Drop!G62,Drop!A80,TRUE,"")</f>
        <v/>
      </c>
      <c r="I23" s="364"/>
      <c r="J23" s="364"/>
      <c r="K23" s="364"/>
      <c r="L23" s="364"/>
      <c r="M23" s="364"/>
      <c r="N23" s="364"/>
      <c r="O23" s="364"/>
      <c r="P23" s="364"/>
      <c r="Q23" s="365"/>
      <c r="R23" s="35"/>
      <c r="S23" s="35"/>
      <c r="T23" s="35"/>
      <c r="U23" s="35"/>
      <c r="V23" s="35"/>
      <c r="W23" s="35"/>
      <c r="X23" s="35"/>
      <c r="Y23" s="35"/>
      <c r="Z23" s="35"/>
      <c r="AA23" s="35"/>
      <c r="AB23" s="161" t="str">
        <f>Drop!A243</f>
        <v>图例</v>
      </c>
      <c r="AF23" s="175" t="s">
        <v>85</v>
      </c>
      <c r="AG23" s="175" t="str">
        <f>IF(OR(ISBLANK(O12),ISBLANK(Y10)),"",IF(AG21,1,1.5))</f>
        <v/>
      </c>
    </row>
    <row r="24" spans="2:33" ht="24.95" customHeight="1">
      <c r="B24" s="166"/>
      <c r="C24" s="215" t="str">
        <f>Drop!A116</f>
        <v>定性</v>
      </c>
      <c r="D24" s="194"/>
      <c r="E24" s="218"/>
      <c r="F24" s="73"/>
      <c r="G24" s="91"/>
      <c r="H24" s="174" t="str">
        <f>IF(E19=Drop!A13,Drop!A137,"")</f>
        <v/>
      </c>
      <c r="I24" s="193"/>
      <c r="J24" s="193"/>
      <c r="K24" s="193"/>
      <c r="L24" s="167"/>
      <c r="M24" s="167"/>
      <c r="N24" s="167"/>
      <c r="O24" s="355" t="str">
        <f>IF(AND(E19=Drop!A13,ISBLANK(M22)=FALSE),O22*E20/E18,"")</f>
        <v/>
      </c>
      <c r="P24" s="356"/>
      <c r="Q24" s="357"/>
      <c r="R24" s="35"/>
      <c r="S24" s="35"/>
      <c r="T24" s="35"/>
      <c r="U24" s="35"/>
      <c r="V24" s="35"/>
      <c r="W24" s="35"/>
      <c r="X24" s="35"/>
      <c r="Y24" s="35"/>
      <c r="Z24" s="35"/>
      <c r="AA24" s="148" t="str">
        <f>Drop!A234</f>
        <v>系统生成或计算值</v>
      </c>
      <c r="AB24" s="150"/>
      <c r="AF24" s="27" t="s">
        <v>12</v>
      </c>
      <c r="AG24" s="140" t="str">
        <f>IF(ISBLANK(E19),Drop!A219,IF(E19=Drop!A13,IF(AG17&gt;0,ROUNDUP(PoissonSample(AG16,((O22*(E20/E18))/AG18),((L5*(E20/E18))/AG18))*AG23,0),0),IF(E19=Drop!A14,IF(AG17&gt;0,ROUNDUP(PoissonSample(AG16,((O22)/AG18),((L5)/AG18))*AG23,0),0))))</f>
        <v>核实所有输入</v>
      </c>
    </row>
    <row r="25" spans="2:33" ht="24.95" customHeight="1">
      <c r="B25" s="166"/>
      <c r="C25" s="215" t="str">
        <f>Drop!A117</f>
        <v>定量</v>
      </c>
      <c r="D25" s="194"/>
      <c r="E25" s="218"/>
      <c r="F25" s="73"/>
      <c r="G25" s="35"/>
      <c r="H25" s="92" t="str">
        <f>Drop!A135</f>
        <v>设计置信水平</v>
      </c>
      <c r="I25" s="121"/>
      <c r="J25" s="93"/>
      <c r="K25" s="93"/>
      <c r="L25" s="366" t="str">
        <f>IF(ISERROR(IF(AG17&lt;=0,Drop!A69,AG17)),Drop!A219,IF(AG17&lt;=0,Drop!A69,AG17))</f>
        <v>核实所有输入</v>
      </c>
      <c r="M25" s="366"/>
      <c r="N25" s="366"/>
      <c r="O25" s="366"/>
      <c r="P25" s="366"/>
      <c r="Q25" s="367"/>
      <c r="R25" s="35"/>
      <c r="S25" s="35"/>
      <c r="T25" s="35"/>
      <c r="U25" s="35"/>
      <c r="V25" s="35"/>
      <c r="W25" s="35"/>
      <c r="X25" s="35"/>
      <c r="Y25" s="35"/>
      <c r="Z25" s="35"/>
      <c r="AA25" s="148" t="str">
        <f>Drop!A235</f>
        <v>要求用户选择如何确定样本</v>
      </c>
      <c r="AB25" s="147"/>
      <c r="AF25" s="27" t="s">
        <v>106</v>
      </c>
      <c r="AG25" s="143" t="e" cm="1">
        <f t="array" ref="AG25">_xlfn.IFS(L26=Drop!A85,Drop!A227,L26=Drop!A84,ROUND(AG18/5,0),TRUE,ROUND(AG18/L26,0))</f>
        <v>#VALUE!</v>
      </c>
    </row>
    <row r="26" spans="2:33" ht="24.95" customHeight="1">
      <c r="B26" s="166"/>
      <c r="C26" s="168"/>
      <c r="D26" s="214" t="str">
        <f>Drop!A118</f>
        <v>抽样总体</v>
      </c>
      <c r="E26" s="219">
        <f>AG18</f>
        <v>0</v>
      </c>
      <c r="F26" s="169"/>
      <c r="G26" s="35"/>
      <c r="H26" s="92" t="str">
        <f>Drop!A136</f>
        <v>样本量</v>
      </c>
      <c r="I26" s="121"/>
      <c r="J26" s="93"/>
      <c r="K26" s="93"/>
      <c r="L26" s="368" t="str" cm="1">
        <f t="array" ref="L26">_xlfn.IFS(AG18&lt;=L5,Drop!A89,AG26=TRUE,Drop!A219,O22="",Drop!A219,ISERROR(AG24&gt;=5),Drop!A219,AG24&gt;=5,AG24,AG17&lt;=0,Drop!A85,TRUE,Drop!A84)</f>
        <v xml:space="preserve">警告 - 样本量小于或等于实际执行的重要性。			</v>
      </c>
      <c r="M26" s="368"/>
      <c r="N26" s="368"/>
      <c r="O26" s="368"/>
      <c r="P26" s="368"/>
      <c r="Q26" s="369"/>
      <c r="R26" s="35"/>
      <c r="S26" s="35"/>
      <c r="T26" s="35"/>
      <c r="U26" s="35"/>
      <c r="V26" s="35"/>
      <c r="W26" s="35"/>
      <c r="X26" s="35"/>
      <c r="Y26" s="35"/>
      <c r="Z26" s="35"/>
      <c r="AA26" s="148" t="str">
        <f>Drop!A236</f>
        <v>其他用户输入栏</v>
      </c>
      <c r="AB26" s="151"/>
      <c r="AF26" s="153" t="s">
        <v>244</v>
      </c>
      <c r="AG26" s="143" t="b">
        <f>M22&gt;=Drop!H62</f>
        <v>0</v>
      </c>
    </row>
    <row r="27" spans="2:33" ht="24.95" customHeight="1">
      <c r="B27" s="166"/>
      <c r="C27" s="168"/>
      <c r="D27" s="168"/>
      <c r="E27" s="168"/>
      <c r="F27" s="169"/>
      <c r="G27" s="35"/>
      <c r="H27" s="370" t="str">
        <f>IF(AG19=TRUE,Drop!A70,"")</f>
        <v/>
      </c>
      <c r="I27" s="371"/>
      <c r="J27" s="371"/>
      <c r="K27" s="371"/>
      <c r="L27" s="372" t="str">
        <f>IF(AG19=TRUE,D24+D25,"")</f>
        <v/>
      </c>
      <c r="M27" s="373"/>
      <c r="N27" s="373" t="str">
        <f>IF(AG19=TRUE,D24+D25,"")</f>
        <v/>
      </c>
      <c r="O27" s="373"/>
      <c r="P27" s="373"/>
      <c r="Q27" s="374"/>
      <c r="R27" s="35"/>
      <c r="S27" s="35"/>
      <c r="T27" s="35"/>
      <c r="U27" s="35"/>
      <c r="V27" s="35"/>
      <c r="W27" s="35"/>
      <c r="X27" s="35"/>
      <c r="Y27" s="35"/>
      <c r="Z27" s="35"/>
      <c r="AA27" s="148"/>
      <c r="AB27" s="35"/>
    </row>
    <row r="28" spans="2:33" ht="34.15" customHeight="1" thickBot="1">
      <c r="B28" s="375" t="str" cm="1">
        <f t="array" ref="B28">_xlfn.IFS(AG28=TRUE,Drop!A220,AG29=TRUE,Drop!A223,AG30=TRUE,Drop!A221,TRUE,"")</f>
        <v/>
      </c>
      <c r="C28" s="376"/>
      <c r="D28" s="376"/>
      <c r="E28" s="376"/>
      <c r="F28" s="377"/>
      <c r="G28" s="35"/>
      <c r="H28" s="76"/>
      <c r="I28" s="77"/>
      <c r="J28" s="77"/>
      <c r="K28" s="77"/>
      <c r="L28" s="77"/>
      <c r="M28" s="77"/>
      <c r="N28" s="77"/>
      <c r="O28" s="94"/>
      <c r="P28" s="77"/>
      <c r="Q28" s="95"/>
      <c r="R28" s="35"/>
      <c r="S28" s="35"/>
      <c r="T28" s="35"/>
      <c r="U28" s="35"/>
      <c r="V28" s="35"/>
      <c r="W28" s="35"/>
      <c r="X28" s="35"/>
      <c r="Y28" s="35"/>
      <c r="Z28" s="35"/>
      <c r="AA28" s="35"/>
      <c r="AB28" s="35"/>
      <c r="AF28" s="154" t="s">
        <v>206</v>
      </c>
      <c r="AG28" s="207" t="str">
        <f>IF(ISBLANK(E18),"",IF(E19=Drop!A13,SUM(E24:E25)&gt;E20,SUM(E24:E25)&gt;E18))</f>
        <v/>
      </c>
    </row>
    <row r="29" spans="2:33" ht="24.95" customHeight="1" thickBot="1">
      <c r="B29" s="96"/>
      <c r="C29" s="35"/>
      <c r="D29" s="35"/>
      <c r="E29" s="35"/>
      <c r="F29" s="35"/>
      <c r="G29" s="35"/>
      <c r="H29" s="35"/>
      <c r="I29" s="35"/>
      <c r="J29" s="35"/>
      <c r="K29" s="35"/>
      <c r="L29" s="35"/>
      <c r="M29" s="35"/>
      <c r="N29" s="35"/>
      <c r="O29" s="35"/>
      <c r="P29" s="35"/>
      <c r="Q29" s="35"/>
      <c r="R29" s="35"/>
      <c r="S29" s="35"/>
      <c r="T29" s="35"/>
      <c r="U29" s="35"/>
      <c r="V29" s="35"/>
      <c r="W29" s="35"/>
      <c r="X29" s="35"/>
      <c r="Y29" s="35"/>
      <c r="Z29" s="35"/>
      <c r="AA29" s="35"/>
      <c r="AB29" s="35"/>
      <c r="AF29" s="154" t="s">
        <v>207</v>
      </c>
      <c r="AG29" s="207" t="str">
        <f>IF(ISBLANK(E18),"",IF(E19=Drop!A13,(SUM(E24:E25)/E20)&gt;Drop!E223,(SUM(E24:E25)/E18)&gt;Drop!E223))</f>
        <v/>
      </c>
    </row>
    <row r="30" spans="2:33" ht="13.5" thickBot="1">
      <c r="B30" s="65" t="str">
        <f>Drop!A99</f>
        <v>步骤 7 - 评价样本结果</v>
      </c>
      <c r="C30" s="66"/>
      <c r="D30" s="66"/>
      <c r="E30" s="66"/>
      <c r="F30" s="66"/>
      <c r="G30" s="66"/>
      <c r="H30" s="66"/>
      <c r="I30" s="66"/>
      <c r="J30" s="66"/>
      <c r="K30" s="66"/>
      <c r="L30" s="66"/>
      <c r="M30" s="66"/>
      <c r="N30" s="66"/>
      <c r="O30" s="66"/>
      <c r="P30" s="66"/>
      <c r="Q30" s="66"/>
      <c r="R30" s="66"/>
      <c r="S30" s="66"/>
      <c r="T30" s="66"/>
      <c r="U30" s="66"/>
      <c r="V30" s="66"/>
      <c r="W30" s="66"/>
      <c r="X30" s="66"/>
      <c r="Y30" s="66"/>
      <c r="Z30" s="66"/>
      <c r="AA30" s="66"/>
      <c r="AB30" s="67"/>
      <c r="AF30" s="27" t="s">
        <v>237</v>
      </c>
      <c r="AG30" s="27" t="b">
        <f>OR(E24&lt;0,E25&lt;0)</f>
        <v>0</v>
      </c>
    </row>
    <row r="31" spans="2:33" ht="15" customHeight="1">
      <c r="B31" s="378" t="str" cm="1">
        <f t="array" ref="B31">_xlfn.IFS(L26=Drop!A85,Drop!A86,L26=Drop!A84,Drop!A87,ISERROR(L26),Drop!A219,TRUE,"")</f>
        <v/>
      </c>
      <c r="C31" s="379"/>
      <c r="D31" s="379"/>
      <c r="E31" s="379"/>
      <c r="F31" s="379"/>
      <c r="G31" s="379"/>
      <c r="H31" s="379"/>
      <c r="I31" s="379"/>
      <c r="J31" s="379"/>
      <c r="K31" s="379"/>
      <c r="L31" s="379"/>
      <c r="M31" s="379"/>
      <c r="N31" s="379"/>
      <c r="O31" s="379"/>
      <c r="P31" s="379"/>
      <c r="Q31" s="379"/>
      <c r="R31" s="379"/>
      <c r="S31" s="379"/>
      <c r="T31" s="379"/>
      <c r="U31" s="379"/>
      <c r="V31" s="379"/>
      <c r="W31" s="379"/>
      <c r="X31" s="379"/>
      <c r="Y31" s="379"/>
      <c r="Z31" s="379"/>
      <c r="AA31" s="379"/>
      <c r="AB31" s="380"/>
    </row>
    <row r="32" spans="2:33" ht="15.75" customHeight="1" thickBot="1">
      <c r="B32" s="381"/>
      <c r="C32" s="382"/>
      <c r="D32" s="382"/>
      <c r="E32" s="382"/>
      <c r="F32" s="382"/>
      <c r="G32" s="382"/>
      <c r="H32" s="382"/>
      <c r="I32" s="382"/>
      <c r="J32" s="382"/>
      <c r="K32" s="382"/>
      <c r="L32" s="382"/>
      <c r="M32" s="382"/>
      <c r="N32" s="382"/>
      <c r="O32" s="382"/>
      <c r="P32" s="382"/>
      <c r="Q32" s="382"/>
      <c r="R32" s="382"/>
      <c r="S32" s="382"/>
      <c r="T32" s="382"/>
      <c r="U32" s="382"/>
      <c r="V32" s="382"/>
      <c r="W32" s="382"/>
      <c r="X32" s="382"/>
      <c r="Y32" s="382"/>
      <c r="Z32" s="382"/>
      <c r="AA32" s="382"/>
      <c r="AB32" s="383"/>
    </row>
    <row r="33" spans="2:35" ht="15.75" customHeight="1" thickBot="1">
      <c r="B33" s="384" t="str">
        <f>Drop!A164</f>
        <v>存在错报</v>
      </c>
      <c r="C33" s="385"/>
      <c r="D33" s="385"/>
      <c r="E33" s="385"/>
      <c r="F33" s="385"/>
      <c r="G33" s="385"/>
      <c r="H33" s="385"/>
      <c r="I33" s="385"/>
      <c r="J33" s="385"/>
      <c r="K33" s="385"/>
      <c r="L33" s="385"/>
      <c r="M33" s="385"/>
      <c r="N33" s="385"/>
      <c r="O33" s="385"/>
      <c r="P33" s="385"/>
      <c r="Q33" s="386"/>
      <c r="R33" s="35"/>
      <c r="S33" s="387" t="s">
        <v>307</v>
      </c>
      <c r="T33" s="385"/>
      <c r="U33" s="385"/>
      <c r="V33" s="385"/>
      <c r="W33" s="385"/>
      <c r="X33" s="385"/>
      <c r="Y33" s="385"/>
      <c r="Z33" s="385"/>
      <c r="AA33" s="385"/>
      <c r="AB33" s="386"/>
    </row>
    <row r="34" spans="2:35">
      <c r="B34" s="202"/>
      <c r="C34" s="97"/>
      <c r="D34" s="97"/>
      <c r="E34" s="97"/>
      <c r="F34" s="97"/>
      <c r="G34" s="97"/>
      <c r="H34" s="97"/>
      <c r="I34" s="97"/>
      <c r="J34" s="97"/>
      <c r="K34" s="97"/>
      <c r="L34" s="97"/>
      <c r="M34" s="97"/>
      <c r="N34" s="97"/>
      <c r="O34" s="97"/>
      <c r="P34" s="97"/>
      <c r="Q34" s="98"/>
      <c r="R34" s="35"/>
      <c r="S34" s="74"/>
      <c r="T34" s="32"/>
      <c r="U34" s="32"/>
      <c r="V34" s="32"/>
      <c r="W34" s="32"/>
      <c r="X34" s="32"/>
      <c r="Y34" s="32"/>
      <c r="Z34" s="32"/>
      <c r="AA34" s="32"/>
      <c r="AB34" s="73"/>
      <c r="AF34" s="27" t="s">
        <v>105</v>
      </c>
      <c r="AG34" s="27">
        <f>COUNT(D37)</f>
        <v>0</v>
      </c>
      <c r="AH34" s="14"/>
    </row>
    <row r="35" spans="2:35">
      <c r="B35" s="72"/>
      <c r="C35" s="32"/>
      <c r="D35" s="388" t="str">
        <f>Drop!A165</f>
        <v>分层 1</v>
      </c>
      <c r="E35" s="388" t="str">
        <f>Drop!A166</f>
        <v>分层 2</v>
      </c>
      <c r="F35" s="32"/>
      <c r="G35" s="32"/>
      <c r="H35" s="390" t="str">
        <f>Drop!A167</f>
        <v>重大金额或关键项目</v>
      </c>
      <c r="I35" s="391"/>
      <c r="J35" s="32"/>
      <c r="K35" s="394" t="str">
        <f>Drop!A168</f>
        <v>合计</v>
      </c>
      <c r="L35" s="395"/>
      <c r="M35" s="32"/>
      <c r="N35" s="32"/>
      <c r="O35" s="32"/>
      <c r="P35" s="32"/>
      <c r="Q35" s="73"/>
      <c r="R35" s="35"/>
      <c r="S35" s="398" t="str">
        <f>Drop!A175</f>
        <v>样本的实际错报金额:</v>
      </c>
      <c r="T35" s="399"/>
      <c r="U35" s="399"/>
      <c r="V35" s="399"/>
      <c r="W35" s="399"/>
      <c r="X35" s="399"/>
      <c r="Y35" s="399"/>
      <c r="Z35" s="400"/>
      <c r="AA35" s="401">
        <f>K37</f>
        <v>0</v>
      </c>
      <c r="AB35" s="402"/>
      <c r="AF35" s="27" t="s">
        <v>183</v>
      </c>
      <c r="AG35" s="27">
        <f>COUNT(E37)</f>
        <v>0</v>
      </c>
    </row>
    <row r="36" spans="2:35">
      <c r="B36" s="74"/>
      <c r="C36" s="32"/>
      <c r="D36" s="389"/>
      <c r="E36" s="389"/>
      <c r="F36" s="32"/>
      <c r="G36" s="32"/>
      <c r="H36" s="392"/>
      <c r="I36" s="393"/>
      <c r="J36" s="32"/>
      <c r="K36" s="396"/>
      <c r="L36" s="397"/>
      <c r="M36" s="100"/>
      <c r="N36" s="100"/>
      <c r="O36" s="100"/>
      <c r="P36" s="100"/>
      <c r="Q36" s="122"/>
      <c r="R36" s="35"/>
      <c r="S36" s="398" t="str">
        <f>Drop!A176</f>
        <v>推断总体错报金额</v>
      </c>
      <c r="T36" s="399"/>
      <c r="U36" s="399"/>
      <c r="V36" s="399"/>
      <c r="W36" s="399"/>
      <c r="X36" s="399"/>
      <c r="Y36" s="399"/>
      <c r="Z36" s="400"/>
      <c r="AA36" s="401" t="str">
        <f>IFERROR(K45,"")</f>
        <v/>
      </c>
      <c r="AB36" s="402"/>
      <c r="AF36" s="27" t="s">
        <v>184</v>
      </c>
      <c r="AG36" s="27">
        <f>COUNT(H37)</f>
        <v>0</v>
      </c>
      <c r="AH36" s="4"/>
    </row>
    <row r="37" spans="2:35" ht="13.5" thickBot="1">
      <c r="B37" s="419" t="str">
        <f>Drop!A169</f>
        <v>合计错报金额</v>
      </c>
      <c r="C37" s="420"/>
      <c r="D37" s="220"/>
      <c r="E37" s="220"/>
      <c r="F37" s="32"/>
      <c r="G37" s="32"/>
      <c r="H37" s="403"/>
      <c r="I37" s="404"/>
      <c r="J37" s="124"/>
      <c r="K37" s="405">
        <f>D37+E37+H37</f>
        <v>0</v>
      </c>
      <c r="L37" s="406"/>
      <c r="M37" s="125"/>
      <c r="N37" s="125"/>
      <c r="O37" s="125"/>
      <c r="P37" s="125"/>
      <c r="Q37" s="120"/>
      <c r="R37" s="35"/>
      <c r="S37" s="74" t="str">
        <f>Drop!A177</f>
        <v>结果:</v>
      </c>
      <c r="T37" s="106"/>
      <c r="U37" s="106"/>
      <c r="V37" s="106"/>
      <c r="W37" s="106"/>
      <c r="X37" s="106"/>
      <c r="Y37" s="106"/>
      <c r="Z37" s="106"/>
      <c r="AA37" s="106"/>
      <c r="AB37" s="107"/>
      <c r="AF37" s="27" t="s">
        <v>86</v>
      </c>
      <c r="AG37" s="26"/>
      <c r="AH37" s="4"/>
      <c r="AI37" s="14"/>
    </row>
    <row r="38" spans="2:35" ht="12.75" customHeight="1">
      <c r="B38" s="74"/>
      <c r="C38" s="32"/>
      <c r="D38" s="125"/>
      <c r="E38" s="126"/>
      <c r="F38" s="32"/>
      <c r="G38" s="32"/>
      <c r="H38" s="126"/>
      <c r="I38" s="126"/>
      <c r="J38" s="124"/>
      <c r="K38" s="124"/>
      <c r="L38" s="125"/>
      <c r="M38" s="125"/>
      <c r="N38" s="125"/>
      <c r="O38" s="125"/>
      <c r="P38" s="125"/>
      <c r="Q38" s="120"/>
      <c r="R38" s="35"/>
      <c r="S38" s="433" t="str">
        <f>IF(O12=Drop!A125,IF(COUNTA(D43:E43)&lt;2,Drop!A219,IF(ISERROR(IF(AG38=FALSE,Drop!A77,Drop!A78)),Drop!A219,IF(AG38=FALSE,Drop!A77,Drop!A78))),IF(ISBLANK(O12),Drop!A219,IF(COUNTA(D43:D43)&lt;1,Drop!A219,IF(ISERROR(IF(AG38=FALSE,Drop!A77,Drop!A78)),Drop!A219,IF(AG38=FALSE,Drop!A77,Drop!A78)))))</f>
        <v>核实所有输入</v>
      </c>
      <c r="T38" s="434"/>
      <c r="U38" s="434"/>
      <c r="V38" s="434"/>
      <c r="W38" s="434"/>
      <c r="X38" s="434"/>
      <c r="Y38" s="434"/>
      <c r="Z38" s="434"/>
      <c r="AA38" s="434"/>
      <c r="AB38" s="435"/>
      <c r="AF38" s="27" t="s">
        <v>88</v>
      </c>
      <c r="AG38" s="26" t="e">
        <f>IF(ABS(U43)&gt;O22,TRUE,FALSE)</f>
        <v>#VALUE!</v>
      </c>
      <c r="AH38" s="4"/>
      <c r="AI38" s="14"/>
    </row>
    <row r="39" spans="2:35">
      <c r="B39" s="419" t="str">
        <f>Drop!A170</f>
        <v>样本项目账面价值</v>
      </c>
      <c r="C39" s="420"/>
      <c r="D39" s="220"/>
      <c r="E39" s="190"/>
      <c r="F39" s="32"/>
      <c r="G39" s="32"/>
      <c r="H39" s="125"/>
      <c r="I39" s="125"/>
      <c r="J39" s="124"/>
      <c r="K39" s="125"/>
      <c r="L39" s="125"/>
      <c r="M39" s="125"/>
      <c r="N39" s="125"/>
      <c r="O39" s="125"/>
      <c r="P39" s="125"/>
      <c r="Q39" s="120"/>
      <c r="R39" s="35"/>
      <c r="S39" s="436"/>
      <c r="T39" s="437"/>
      <c r="U39" s="437"/>
      <c r="V39" s="437"/>
      <c r="W39" s="437"/>
      <c r="X39" s="437"/>
      <c r="Y39" s="437"/>
      <c r="Z39" s="437"/>
      <c r="AA39" s="437"/>
      <c r="AB39" s="438"/>
      <c r="AF39" s="4"/>
      <c r="AG39" s="4"/>
      <c r="AH39" s="4"/>
      <c r="AI39" s="14"/>
    </row>
    <row r="40" spans="2:35">
      <c r="B40" s="74"/>
      <c r="C40" s="32"/>
      <c r="D40" s="125"/>
      <c r="E40" s="126"/>
      <c r="F40" s="32"/>
      <c r="G40" s="32"/>
      <c r="H40" s="126"/>
      <c r="I40" s="126"/>
      <c r="J40" s="124"/>
      <c r="K40" s="124"/>
      <c r="L40" s="125"/>
      <c r="M40" s="125"/>
      <c r="N40" s="125"/>
      <c r="O40" s="125"/>
      <c r="P40" s="125"/>
      <c r="Q40" s="120"/>
      <c r="R40" s="35"/>
      <c r="S40" s="436"/>
      <c r="T40" s="437"/>
      <c r="U40" s="437"/>
      <c r="V40" s="437"/>
      <c r="W40" s="437"/>
      <c r="X40" s="437"/>
      <c r="Y40" s="437"/>
      <c r="Z40" s="437"/>
      <c r="AA40" s="437"/>
      <c r="AB40" s="438"/>
      <c r="AF40" s="4"/>
      <c r="AG40" s="4"/>
      <c r="AH40" s="4"/>
      <c r="AI40" s="14"/>
    </row>
    <row r="41" spans="2:35" ht="32.25" customHeight="1" thickBot="1">
      <c r="B41" s="419" t="str">
        <f>Drop!A171</f>
        <v>错报比率</v>
      </c>
      <c r="C41" s="432"/>
      <c r="D41" s="216" t="str">
        <f>IF(AG34=1,D37/D39,"")</f>
        <v/>
      </c>
      <c r="E41" s="217" t="str">
        <f>IFERROR( IF(AG35=1,E37/E39,""),"")</f>
        <v/>
      </c>
      <c r="F41" s="32"/>
      <c r="G41" s="32"/>
      <c r="H41" s="125"/>
      <c r="I41" s="125"/>
      <c r="J41" s="124"/>
      <c r="K41" s="125"/>
      <c r="L41" s="125"/>
      <c r="M41" s="125"/>
      <c r="N41" s="125"/>
      <c r="O41" s="125"/>
      <c r="P41" s="125"/>
      <c r="Q41" s="120"/>
      <c r="R41" s="35"/>
      <c r="S41" s="439"/>
      <c r="T41" s="440"/>
      <c r="U41" s="440"/>
      <c r="V41" s="440"/>
      <c r="W41" s="440"/>
      <c r="X41" s="440"/>
      <c r="Y41" s="440"/>
      <c r="Z41" s="440"/>
      <c r="AA41" s="440"/>
      <c r="AB41" s="441"/>
      <c r="AF41" s="4"/>
      <c r="AG41" s="4"/>
      <c r="AH41" s="4"/>
      <c r="AI41" s="14"/>
    </row>
    <row r="42" spans="2:35">
      <c r="B42" s="123"/>
      <c r="C42" s="32"/>
      <c r="D42" s="125"/>
      <c r="E42" s="126"/>
      <c r="F42" s="32"/>
      <c r="G42" s="32"/>
      <c r="H42" s="126"/>
      <c r="I42" s="126"/>
      <c r="J42" s="124"/>
      <c r="K42" s="124"/>
      <c r="L42" s="125"/>
      <c r="M42" s="125"/>
      <c r="N42" s="125"/>
      <c r="O42" s="125"/>
      <c r="P42" s="125"/>
      <c r="Q42" s="120"/>
      <c r="R42" s="35"/>
      <c r="S42" s="74"/>
      <c r="T42" s="32"/>
      <c r="U42" s="32"/>
      <c r="V42" s="32"/>
      <c r="W42" s="32"/>
      <c r="X42" s="32"/>
      <c r="Y42" s="32"/>
      <c r="Z42" s="32"/>
      <c r="AA42" s="32"/>
      <c r="AB42" s="73"/>
      <c r="AF42" s="4"/>
      <c r="AG42" s="4"/>
      <c r="AH42" s="4"/>
      <c r="AI42" s="14"/>
    </row>
    <row r="43" spans="2:35" ht="12.75" customHeight="1">
      <c r="B43" s="419" t="str">
        <f>Drop!A172</f>
        <v>合计总体账面价值</v>
      </c>
      <c r="C43" s="420"/>
      <c r="D43" s="190"/>
      <c r="E43" s="190"/>
      <c r="F43" s="32"/>
      <c r="G43" s="32"/>
      <c r="H43" s="125"/>
      <c r="I43" s="125"/>
      <c r="J43" s="124"/>
      <c r="K43" s="125"/>
      <c r="L43" s="125"/>
      <c r="M43" s="125"/>
      <c r="N43" s="125"/>
      <c r="O43" s="125"/>
      <c r="P43" s="125"/>
      <c r="Q43" s="120"/>
      <c r="R43" s="35"/>
      <c r="S43" s="421" t="str">
        <f>Drop!A178</f>
        <v>金额</v>
      </c>
      <c r="T43" s="422"/>
      <c r="U43" s="423" t="e">
        <f>K45</f>
        <v>#VALUE!</v>
      </c>
      <c r="V43" s="424"/>
      <c r="W43" s="429" t="str">
        <f>Drop!A179</f>
        <v>应记录到审计调整分录或未更正错报汇总</v>
      </c>
      <c r="X43" s="430"/>
      <c r="Y43" s="430"/>
      <c r="Z43" s="430"/>
      <c r="AA43" s="430"/>
      <c r="AB43" s="431"/>
      <c r="AF43" s="4"/>
      <c r="AG43" s="4"/>
      <c r="AH43" s="4"/>
      <c r="AI43" s="14"/>
    </row>
    <row r="44" spans="2:35">
      <c r="B44" s="123"/>
      <c r="C44" s="32"/>
      <c r="D44" s="125"/>
      <c r="E44" s="126"/>
      <c r="F44" s="32"/>
      <c r="G44" s="32"/>
      <c r="H44" s="126"/>
      <c r="I44" s="126"/>
      <c r="J44" s="124"/>
      <c r="K44" s="124"/>
      <c r="L44" s="125"/>
      <c r="M44" s="125"/>
      <c r="N44" s="125"/>
      <c r="O44" s="125"/>
      <c r="P44" s="125"/>
      <c r="Q44" s="120"/>
      <c r="R44" s="35"/>
      <c r="S44" s="421"/>
      <c r="T44" s="422"/>
      <c r="U44" s="425"/>
      <c r="V44" s="426"/>
      <c r="W44" s="429"/>
      <c r="X44" s="430"/>
      <c r="Y44" s="430"/>
      <c r="Z44" s="430"/>
      <c r="AA44" s="430"/>
      <c r="AB44" s="431"/>
      <c r="AF44" s="4"/>
      <c r="AG44" s="4"/>
      <c r="AH44" s="4"/>
      <c r="AI44" s="14"/>
    </row>
    <row r="45" spans="2:35">
      <c r="B45" s="419" t="str">
        <f>Drop!A173</f>
        <v>推断总体错报</v>
      </c>
      <c r="C45" s="432"/>
      <c r="D45" s="191" t="str">
        <f>IF(AG34=1,D41*D43,"")</f>
        <v/>
      </c>
      <c r="E45" s="191" t="str">
        <f>IF(AG35=1,E41*E43,"")</f>
        <v/>
      </c>
      <c r="F45" s="127"/>
      <c r="G45" s="127"/>
      <c r="H45" s="405">
        <f>IF(AG36=1,H37,0)</f>
        <v>0</v>
      </c>
      <c r="I45" s="406"/>
      <c r="J45" s="124"/>
      <c r="K45" s="405" t="e">
        <f>IF(O12=Drop!A125,D45+E45+H45,D45+H45)</f>
        <v>#VALUE!</v>
      </c>
      <c r="L45" s="406"/>
      <c r="M45" s="125"/>
      <c r="N45" s="125"/>
      <c r="O45" s="125"/>
      <c r="P45" s="125"/>
      <c r="Q45" s="120"/>
      <c r="R45" s="35"/>
      <c r="S45" s="421"/>
      <c r="T45" s="422"/>
      <c r="U45" s="427"/>
      <c r="V45" s="428"/>
      <c r="W45" s="429"/>
      <c r="X45" s="430"/>
      <c r="Y45" s="430"/>
      <c r="Z45" s="430"/>
      <c r="AA45" s="430"/>
      <c r="AB45" s="431"/>
      <c r="AF45" s="4"/>
      <c r="AG45" s="4"/>
      <c r="AH45" s="4"/>
      <c r="AI45" s="14"/>
    </row>
    <row r="46" spans="2:35" ht="13.5" thickBot="1">
      <c r="B46" s="76"/>
      <c r="C46" s="77"/>
      <c r="D46" s="77"/>
      <c r="E46" s="77"/>
      <c r="F46" s="77"/>
      <c r="G46" s="77"/>
      <c r="H46" s="77"/>
      <c r="I46" s="77"/>
      <c r="J46" s="77"/>
      <c r="K46" s="77"/>
      <c r="L46" s="77"/>
      <c r="M46" s="77"/>
      <c r="N46" s="77"/>
      <c r="O46" s="77"/>
      <c r="P46" s="77"/>
      <c r="Q46" s="78"/>
      <c r="R46" s="110"/>
      <c r="S46" s="407"/>
      <c r="T46" s="408"/>
      <c r="U46" s="408"/>
      <c r="V46" s="408"/>
      <c r="W46" s="408"/>
      <c r="X46" s="408"/>
      <c r="Y46" s="408"/>
      <c r="Z46" s="408"/>
      <c r="AA46" s="408"/>
      <c r="AB46" s="409"/>
      <c r="AF46" s="4"/>
      <c r="AG46" s="4"/>
      <c r="AI46" s="14"/>
    </row>
    <row r="47" spans="2:35" ht="15" thickBot="1">
      <c r="B47" s="35"/>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F47"/>
      <c r="AI47" s="14"/>
    </row>
    <row r="48" spans="2:35" ht="15" thickBot="1">
      <c r="B48" s="65" t="str">
        <f>Drop!A100</f>
        <v>步骤 8 - 记录程序的结果</v>
      </c>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9"/>
      <c r="AF48" s="5"/>
      <c r="AI48" s="14"/>
    </row>
    <row r="49" spans="2:35" ht="15" customHeight="1">
      <c r="B49" s="410"/>
      <c r="C49" s="411"/>
      <c r="D49" s="411"/>
      <c r="E49" s="411"/>
      <c r="F49" s="411"/>
      <c r="G49" s="411"/>
      <c r="H49" s="411"/>
      <c r="I49" s="411"/>
      <c r="J49" s="411"/>
      <c r="K49" s="411"/>
      <c r="L49" s="411"/>
      <c r="M49" s="411"/>
      <c r="N49" s="411"/>
      <c r="O49" s="411"/>
      <c r="P49" s="411"/>
      <c r="Q49" s="411"/>
      <c r="R49" s="411"/>
      <c r="S49" s="411"/>
      <c r="T49" s="411"/>
      <c r="U49" s="411"/>
      <c r="V49" s="411"/>
      <c r="W49" s="411"/>
      <c r="X49" s="411"/>
      <c r="Y49" s="411"/>
      <c r="Z49" s="411"/>
      <c r="AA49" s="411"/>
      <c r="AB49" s="412"/>
    </row>
    <row r="50" spans="2:35" ht="14.25">
      <c r="B50" s="413"/>
      <c r="C50" s="414"/>
      <c r="D50" s="414"/>
      <c r="E50" s="414"/>
      <c r="F50" s="414"/>
      <c r="G50" s="414"/>
      <c r="H50" s="414"/>
      <c r="I50" s="414"/>
      <c r="J50" s="414"/>
      <c r="K50" s="414"/>
      <c r="L50" s="414"/>
      <c r="M50" s="414"/>
      <c r="N50" s="414"/>
      <c r="O50" s="414"/>
      <c r="P50" s="414"/>
      <c r="Q50" s="414"/>
      <c r="R50" s="414"/>
      <c r="S50" s="414"/>
      <c r="T50" s="414"/>
      <c r="U50" s="414"/>
      <c r="V50" s="414"/>
      <c r="W50" s="414"/>
      <c r="X50" s="414"/>
      <c r="Y50" s="414"/>
      <c r="Z50" s="414"/>
      <c r="AA50" s="414"/>
      <c r="AB50" s="415"/>
      <c r="AH50"/>
    </row>
    <row r="51" spans="2:35" ht="14.25">
      <c r="B51" s="413"/>
      <c r="C51" s="414"/>
      <c r="D51" s="414"/>
      <c r="E51" s="414"/>
      <c r="F51" s="414"/>
      <c r="G51" s="414"/>
      <c r="H51" s="414"/>
      <c r="I51" s="414"/>
      <c r="J51" s="414"/>
      <c r="K51" s="414"/>
      <c r="L51" s="414"/>
      <c r="M51" s="414"/>
      <c r="N51" s="414"/>
      <c r="O51" s="414"/>
      <c r="P51" s="414"/>
      <c r="Q51" s="414"/>
      <c r="R51" s="414"/>
      <c r="S51" s="414"/>
      <c r="T51" s="414"/>
      <c r="U51" s="414"/>
      <c r="V51" s="414"/>
      <c r="W51" s="414"/>
      <c r="X51" s="414"/>
      <c r="Y51" s="414"/>
      <c r="Z51" s="414"/>
      <c r="AA51" s="414"/>
      <c r="AB51" s="415"/>
      <c r="AF51" s="6"/>
      <c r="AG51"/>
      <c r="AH51"/>
      <c r="AI51" s="14"/>
    </row>
    <row r="52" spans="2:35" ht="14.25">
      <c r="B52" s="413"/>
      <c r="C52" s="414"/>
      <c r="D52" s="414"/>
      <c r="E52" s="414"/>
      <c r="F52" s="414"/>
      <c r="G52" s="414"/>
      <c r="H52" s="414"/>
      <c r="I52" s="414"/>
      <c r="J52" s="414"/>
      <c r="K52" s="414"/>
      <c r="L52" s="414"/>
      <c r="M52" s="414"/>
      <c r="N52" s="414"/>
      <c r="O52" s="414"/>
      <c r="P52" s="414"/>
      <c r="Q52" s="414"/>
      <c r="R52" s="414"/>
      <c r="S52" s="414"/>
      <c r="T52" s="414"/>
      <c r="U52" s="414"/>
      <c r="V52" s="414"/>
      <c r="W52" s="414"/>
      <c r="X52" s="414"/>
      <c r="Y52" s="414"/>
      <c r="Z52" s="414"/>
      <c r="AA52" s="414"/>
      <c r="AB52" s="415"/>
      <c r="AF52"/>
      <c r="AG52"/>
      <c r="AH52"/>
      <c r="AI52" s="14"/>
    </row>
    <row r="53" spans="2:35" ht="15" thickBot="1">
      <c r="B53" s="416"/>
      <c r="C53" s="417"/>
      <c r="D53" s="417"/>
      <c r="E53" s="417"/>
      <c r="F53" s="417"/>
      <c r="G53" s="417"/>
      <c r="H53" s="417"/>
      <c r="I53" s="417"/>
      <c r="J53" s="417"/>
      <c r="K53" s="417"/>
      <c r="L53" s="417"/>
      <c r="M53" s="417"/>
      <c r="N53" s="417"/>
      <c r="O53" s="417"/>
      <c r="P53" s="417"/>
      <c r="Q53" s="417"/>
      <c r="R53" s="417"/>
      <c r="S53" s="417"/>
      <c r="T53" s="417"/>
      <c r="U53" s="417"/>
      <c r="V53" s="417"/>
      <c r="W53" s="417"/>
      <c r="X53" s="417"/>
      <c r="Y53" s="417"/>
      <c r="Z53" s="417"/>
      <c r="AA53" s="417"/>
      <c r="AB53" s="418"/>
      <c r="AF53" s="5"/>
      <c r="AG53"/>
      <c r="AH53"/>
      <c r="AI53" s="14"/>
    </row>
    <row r="54" spans="2:35" ht="14.25">
      <c r="AF54" s="5"/>
      <c r="AG54"/>
      <c r="AI54" s="14"/>
    </row>
    <row r="60" spans="2:35">
      <c r="AF60" s="3"/>
    </row>
  </sheetData>
  <mergeCells count="61">
    <mergeCell ref="H9:Q10"/>
    <mergeCell ref="Y10:AB10"/>
    <mergeCell ref="B1:E1"/>
    <mergeCell ref="L4:O4"/>
    <mergeCell ref="L5:O5"/>
    <mergeCell ref="S18:Y19"/>
    <mergeCell ref="Z18:AB19"/>
    <mergeCell ref="K19:L19"/>
    <mergeCell ref="M19:Q19"/>
    <mergeCell ref="O12:P12"/>
    <mergeCell ref="Y12:AB12"/>
    <mergeCell ref="K20:L20"/>
    <mergeCell ref="M20:Q20"/>
    <mergeCell ref="K21:L21"/>
    <mergeCell ref="M21:Q21"/>
    <mergeCell ref="M18:Q18"/>
    <mergeCell ref="L25:Q25"/>
    <mergeCell ref="L26:Q26"/>
    <mergeCell ref="M22:N22"/>
    <mergeCell ref="O22:Q22"/>
    <mergeCell ref="H23:Q23"/>
    <mergeCell ref="O24:Q24"/>
    <mergeCell ref="H27:K27"/>
    <mergeCell ref="L27:Q27"/>
    <mergeCell ref="B28:F28"/>
    <mergeCell ref="B31:AB32"/>
    <mergeCell ref="B33:Q33"/>
    <mergeCell ref="S33:AB33"/>
    <mergeCell ref="K37:L37"/>
    <mergeCell ref="S38:AB41"/>
    <mergeCell ref="H35:I36"/>
    <mergeCell ref="K35:L36"/>
    <mergeCell ref="S35:Z35"/>
    <mergeCell ref="AA35:AB35"/>
    <mergeCell ref="S36:Z36"/>
    <mergeCell ref="AA36:AB36"/>
    <mergeCell ref="S46:AB46"/>
    <mergeCell ref="B49:AB53"/>
    <mergeCell ref="D35:D36"/>
    <mergeCell ref="E35:E36"/>
    <mergeCell ref="D3:E3"/>
    <mergeCell ref="D4:E4"/>
    <mergeCell ref="D5:E5"/>
    <mergeCell ref="B18:D18"/>
    <mergeCell ref="B19:D19"/>
    <mergeCell ref="B20:D20"/>
    <mergeCell ref="S43:T45"/>
    <mergeCell ref="U43:V45"/>
    <mergeCell ref="W43:AB45"/>
    <mergeCell ref="H45:I45"/>
    <mergeCell ref="K45:L45"/>
    <mergeCell ref="H37:I37"/>
    <mergeCell ref="B41:C41"/>
    <mergeCell ref="B43:C43"/>
    <mergeCell ref="B45:C45"/>
    <mergeCell ref="B10:D10"/>
    <mergeCell ref="B11:D11"/>
    <mergeCell ref="B12:D12"/>
    <mergeCell ref="B13:D13"/>
    <mergeCell ref="B37:C37"/>
    <mergeCell ref="B39:C39"/>
  </mergeCells>
  <phoneticPr fontId="32" type="noConversion"/>
  <conditionalFormatting sqref="S38">
    <cfRule type="expression" dxfId="224" priority="117">
      <formula>$AG$38=FALSE</formula>
    </cfRule>
  </conditionalFormatting>
  <conditionalFormatting sqref="O12:P12">
    <cfRule type="expression" dxfId="223" priority="50">
      <formula>ISBLANK($O$12)</formula>
    </cfRule>
  </conditionalFormatting>
  <conditionalFormatting sqref="Y10:AB10">
    <cfRule type="expression" dxfId="222" priority="48">
      <formula>ISBLANK($Y$10)</formula>
    </cfRule>
  </conditionalFormatting>
  <conditionalFormatting sqref="E39">
    <cfRule type="expression" dxfId="221" priority="47">
      <formula>$AG$23=1.5</formula>
    </cfRule>
  </conditionalFormatting>
  <conditionalFormatting sqref="E43">
    <cfRule type="expression" dxfId="220" priority="46">
      <formula>$AG$23=1.5</formula>
    </cfRule>
  </conditionalFormatting>
  <conditionalFormatting sqref="K21:L21">
    <cfRule type="expression" dxfId="219" priority="43">
      <formula>ISBLANK($K$21)</formula>
    </cfRule>
  </conditionalFormatting>
  <conditionalFormatting sqref="M20:Q20">
    <cfRule type="expression" dxfId="218" priority="37">
      <formula>ISTEXT($M$20)</formula>
    </cfRule>
  </conditionalFormatting>
  <conditionalFormatting sqref="M21:Q21">
    <cfRule type="expression" dxfId="217" priority="34">
      <formula>ISTEXT($M$21)</formula>
    </cfRule>
  </conditionalFormatting>
  <conditionalFormatting sqref="K19:L19">
    <cfRule type="expression" dxfId="216" priority="31">
      <formula>ISBLANK($K$19)</formula>
    </cfRule>
  </conditionalFormatting>
  <conditionalFormatting sqref="K20:L20">
    <cfRule type="expression" dxfId="215" priority="30">
      <formula>ISBLANK($K$20)</formula>
    </cfRule>
  </conditionalFormatting>
  <conditionalFormatting sqref="M22:N22">
    <cfRule type="expression" dxfId="214" priority="29">
      <formula>ISBLANK($M$22)</formula>
    </cfRule>
  </conditionalFormatting>
  <conditionalFormatting sqref="L27:Q27">
    <cfRule type="expression" dxfId="213" priority="25">
      <formula>$L$27&lt;&gt;""</formula>
    </cfRule>
  </conditionalFormatting>
  <conditionalFormatting sqref="E37">
    <cfRule type="expression" dxfId="212" priority="144">
      <formula>ABS($E$37)&gt;0</formula>
    </cfRule>
  </conditionalFormatting>
  <conditionalFormatting sqref="E39">
    <cfRule type="expression" dxfId="211" priority="146">
      <formula>ABS($E$39)&gt;0</formula>
    </cfRule>
  </conditionalFormatting>
  <conditionalFormatting sqref="E43">
    <cfRule type="expression" dxfId="210" priority="148">
      <formula>ABS($E$43)&gt;0</formula>
    </cfRule>
  </conditionalFormatting>
  <conditionalFormatting sqref="D37">
    <cfRule type="expression" dxfId="209" priority="171">
      <formula>AND($AG$23&gt;=1,ISBLANK($D$37))</formula>
    </cfRule>
  </conditionalFormatting>
  <conditionalFormatting sqref="D39">
    <cfRule type="expression" dxfId="208" priority="173">
      <formula>AND($AG$23&gt;=1,OR(ISBLANK($D$39),$D$39=0))</formula>
    </cfRule>
  </conditionalFormatting>
  <conditionalFormatting sqref="D43">
    <cfRule type="expression" dxfId="207" priority="175">
      <formula>ABS($D$43)&gt;0</formula>
    </cfRule>
    <cfRule type="expression" dxfId="206" priority="176">
      <formula>AND($AG$23&gt;=1,OR(ISBLANK($D$43),$D$43=0))</formula>
    </cfRule>
  </conditionalFormatting>
  <conditionalFormatting sqref="E19">
    <cfRule type="expression" dxfId="205" priority="16">
      <formula>ISBLANK($E$19)</formula>
    </cfRule>
  </conditionalFormatting>
  <conditionalFormatting sqref="E10">
    <cfRule type="expression" dxfId="204" priority="15">
      <formula>ISBLANK($E$10)</formula>
    </cfRule>
  </conditionalFormatting>
  <conditionalFormatting sqref="E11">
    <cfRule type="expression" dxfId="203" priority="14">
      <formula>ISBLANK($E$11)</formula>
    </cfRule>
  </conditionalFormatting>
  <conditionalFormatting sqref="E12">
    <cfRule type="expression" dxfId="202" priority="13">
      <formula>ISBLANK($E$12)</formula>
    </cfRule>
  </conditionalFormatting>
  <conditionalFormatting sqref="E41">
    <cfRule type="expression" dxfId="201" priority="9">
      <formula>$AG$23=1.5</formula>
    </cfRule>
  </conditionalFormatting>
  <dataValidations count="10">
    <dataValidation type="list" allowBlank="1" showInputMessage="1" showErrorMessage="1" sqref="O12:P12" xr:uid="{7A54325A-8C1A-4F51-9121-776BDE3F3B21}">
      <formula1>NatureOfPop</formula1>
    </dataValidation>
    <dataValidation type="list" allowBlank="1" showInputMessage="1" showErrorMessage="1" sqref="E11" xr:uid="{EAAE2AD8-F6ED-4D87-8A6F-0527D90DD9BF}">
      <formula1>InherentRisk</formula1>
    </dataValidation>
    <dataValidation type="list" allowBlank="1" showInputMessage="1" showErrorMessage="1" sqref="Y10" xr:uid="{5C340518-8E04-4F2F-906C-FA6C0CDB0B45}">
      <formula1>SelectionMethods</formula1>
    </dataValidation>
    <dataValidation type="list" allowBlank="1" showInputMessage="1" showErrorMessage="1" sqref="E19" xr:uid="{5D4695CC-EA5B-4060-BEB1-DB42D745D60E}">
      <formula1>YesNo</formula1>
    </dataValidation>
    <dataValidation type="list" allowBlank="1" showInputMessage="1" showErrorMessage="1" sqref="K19:K20" xr:uid="{91ACCA11-B26D-43E1-9A62-E20415E7D91E}">
      <formula1>OtherEvidence</formula1>
    </dataValidation>
    <dataValidation type="list" allowBlank="1" showErrorMessage="1" error="Choose a relevant or applicable assertion" prompt="Choose the applicable assertion" sqref="E10" xr:uid="{520A8E0F-3BE8-40ED-908C-7AE7142BFC01}">
      <formula1>Assertions</formula1>
    </dataValidation>
    <dataValidation type="decimal" allowBlank="1" showInputMessage="1" showErrorMessage="1" error="Absolute tested value cannot be less than zero or greater than value of population." sqref="E20 F21" xr:uid="{8D7EFCD0-4DB2-4447-9679-F3D892BD8A8F}">
      <formula1>0</formula1>
      <formula2>E18</formula2>
    </dataValidation>
    <dataValidation type="list" allowBlank="1" showInputMessage="1" showErrorMessage="1" sqref="K21:L21" xr:uid="{63730155-92DB-4C25-9553-09186E1D08C7}">
      <formula1>ADA</formula1>
    </dataValidation>
    <dataValidation type="decimal" allowBlank="1" errorTitle="test" error="test" sqref="M22:N22" xr:uid="{9C6BEA88-38FF-47C7-898A-A502CA8AE927}">
      <formula1>0</formula1>
      <formula2>1</formula2>
    </dataValidation>
    <dataValidation operator="greaterThanOrEqual" allowBlank="1" errorTitle="test1" error="test2" sqref="E24" xr:uid="{FF4D52FA-5F36-46A3-BF22-3BBCE8E1AE4D}"/>
  </dataValidations>
  <pageMargins left="0.25" right="0.25" top="0.75" bottom="0.75" header="0.3" footer="0.3"/>
  <pageSetup scale="50" orientation="landscape" r:id="rId1"/>
  <headerFooter>
    <oddFooter>&amp;C&amp;P of &amp;N&amp;R&amp;A</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8" id="{00000000-000E-0000-0600-000005000000}">
            <xm:f>O12=Drop!A125</xm:f>
            <x14:dxf>
              <fill>
                <patternFill patternType="solid">
                  <bgColor rgb="FFCCCCFF"/>
                </patternFill>
              </fill>
              <border>
                <left style="thin">
                  <color auto="1"/>
                </left>
                <right style="thin">
                  <color auto="1"/>
                </right>
                <top style="thin">
                  <color auto="1"/>
                </top>
                <bottom style="thin">
                  <color auto="1"/>
                </bottom>
                <vertical/>
                <horizontal/>
              </border>
            </x14:dxf>
          </x14:cfRule>
          <xm:sqref>E41</xm:sqref>
        </x14:conditionalFormatting>
        <x14:conditionalFormatting xmlns:xm="http://schemas.microsoft.com/office/excel/2006/main">
          <x14:cfRule type="expression" priority="44" id="{DC7AC5B5-EF6B-43F3-8071-69FC2774710A}">
            <xm:f>$O$12&lt;&gt;Drop!$A$125</xm:f>
            <x14:dxf>
              <fill>
                <patternFill>
                  <bgColor theme="0" tint="-4.9989318521683403E-2"/>
                </patternFill>
              </fill>
              <border>
                <right/>
                <bottom/>
              </border>
            </x14:dxf>
          </x14:cfRule>
          <xm:sqref>E37</xm:sqref>
        </x14:conditionalFormatting>
        <x14:conditionalFormatting xmlns:xm="http://schemas.microsoft.com/office/excel/2006/main">
          <x14:cfRule type="expression" priority="45" id="{33B05D4F-8F52-4771-B899-DB452E0AE926}">
            <xm:f>OR(ISBLANK($K$19),$K$19=Drop!$A$52)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51" id="{E89D885B-81D6-427F-97F0-E308E3659DB5}">
            <xm:f>AND(OR($K$19=Drop!$A$53,$K$19=Drop!$A$54),ISBLANK($M$19))</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M19:Q19</xm:sqref>
        </x14:conditionalFormatting>
        <x14:conditionalFormatting xmlns:xm="http://schemas.microsoft.com/office/excel/2006/main">
          <x14:cfRule type="expression" priority="35" id="{919F4F94-3283-4A18-BCF3-C52F3770D697}">
            <xm:f>OR(ISBLANK($K$20),$K$20=Drop!$A$52)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36" id="{59480DDC-901A-4025-B8BA-6FA17CA7E0B3}">
            <xm:f>AND(OR($K$20=Drop!$A$53,$K$20=Drop!$A$54),ISBLANK($M$20))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M20:Q20</xm:sqref>
        </x14:conditionalFormatting>
        <x14:conditionalFormatting xmlns:xm="http://schemas.microsoft.com/office/excel/2006/main">
          <x14:cfRule type="expression" priority="32" id="{32FF19F7-E1AC-4130-BA70-75D27C44F23D}">
            <xm:f>OR(ISBLANK($K$21),$K$21=Drop!$A$58)</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33" id="{D3499F9F-EC1D-4C48-81E8-332337D2DEFC}">
            <xm:f>AND($K$21=Drop!$A$59,ISBLANK($M$21))</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M21:Q21</xm:sqref>
        </x14:conditionalFormatting>
        <x14:conditionalFormatting xmlns:xm="http://schemas.microsoft.com/office/excel/2006/main">
          <x14:cfRule type="expression" priority="5" id="{14CCF1E9-B35D-42F7-AC0C-FB236855A6E2}">
            <xm:f>$L$26=Drop!$A$85</xm:f>
            <x14:dxf>
              <font>
                <color auto="1"/>
              </font>
              <fill>
                <patternFill patternType="solid">
                  <bgColor theme="1"/>
                </patternFill>
              </fill>
              <border>
                <left style="thin">
                  <color auto="1"/>
                </left>
                <right style="thin">
                  <color auto="1"/>
                </right>
                <top style="thin">
                  <color auto="1"/>
                </top>
                <bottom style="thin">
                  <color auto="1"/>
                </bottom>
              </border>
            </x14:dxf>
          </x14:cfRule>
          <xm:sqref>B34:AB46</xm:sqref>
        </x14:conditionalFormatting>
        <x14:conditionalFormatting xmlns:xm="http://schemas.microsoft.com/office/excel/2006/main">
          <x14:cfRule type="expression" priority="131" id="{42299E56-9B9F-4B16-8A85-329BB2E5648C}">
            <xm:f>$E$12&lt;&gt;Drop!$A$47</xm:f>
            <x14:dxf>
              <font>
                <color theme="0" tint="-4.9989318521683403E-2"/>
              </font>
              <fill>
                <patternFill>
                  <bgColor theme="0" tint="-4.9989318521683403E-2"/>
                </patternFill>
              </fill>
            </x14:dxf>
          </x14:cfRule>
          <xm:sqref>B13</xm:sqref>
        </x14:conditionalFormatting>
        <x14:conditionalFormatting xmlns:xm="http://schemas.microsoft.com/office/excel/2006/main">
          <x14:cfRule type="expression" priority="152" id="{3613AC93-7DAE-4F51-8CA7-DE1A8A5BCA34}">
            <xm:f>AND(O12=Drop!A125,ISBLANK($E$37))</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E37</xm:sqref>
        </x14:conditionalFormatting>
        <x14:conditionalFormatting xmlns:xm="http://schemas.microsoft.com/office/excel/2006/main">
          <x14:cfRule type="expression" priority="154" id="{EBC25B89-69A4-4240-B7F1-E56743B7B79C}">
            <xm:f>O12=Drop!A125</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E39 E41</xm:sqref>
        </x14:conditionalFormatting>
        <x14:conditionalFormatting xmlns:xm="http://schemas.microsoft.com/office/excel/2006/main">
          <x14:cfRule type="expression" priority="156" id="{B9435514-C704-4F5A-B283-B77A07553E56}">
            <xm:f>O12=Drop!A125</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E43</xm:sqref>
        </x14:conditionalFormatting>
        <x14:conditionalFormatting xmlns:xm="http://schemas.microsoft.com/office/excel/2006/main">
          <x14:cfRule type="expression" priority="162" id="{1CD1994D-D73B-4EE6-A790-BD4826B690DB}">
            <xm:f>$E$19&lt;&gt;Drop!$A$13</xm:f>
            <x14:dxf>
              <font>
                <color auto="1"/>
              </font>
            </x14:dxf>
          </x14:cfRule>
          <xm:sqref>B21:E21 B20</xm:sqref>
        </x14:conditionalFormatting>
        <x14:conditionalFormatting xmlns:xm="http://schemas.microsoft.com/office/excel/2006/main">
          <x14:cfRule type="expression" priority="177" id="{964DB120-371C-4DF4-B5D6-2DA1CA7E933D}">
            <xm:f>OR(E19&lt;&gt;Drop!A13,ISBLANK(M22))</xm:f>
            <x14:dxf>
              <fill>
                <patternFill>
                  <bgColor theme="0" tint="-4.9989318521683403E-2"/>
                </patternFill>
              </fill>
              <border>
                <left/>
                <top/>
                <vertical/>
                <horizontal/>
              </border>
            </x14:dxf>
          </x14:cfRule>
          <xm:sqref>O24:Q24</xm:sqref>
        </x14:conditionalFormatting>
        <x14:conditionalFormatting xmlns:xm="http://schemas.microsoft.com/office/excel/2006/main">
          <x14:cfRule type="expression" priority="17" id="{68304976-481E-4B59-89A0-01FC6D46878E}">
            <xm:f>OR(ISBLANK($E$19),$E$19=Drop!$A$14)</xm:f>
            <x14:dxf>
              <font>
                <color theme="0" tint="-4.9989318521683403E-2"/>
              </font>
              <fill>
                <patternFill>
                  <bgColor theme="0" tint="-4.9989318521683403E-2"/>
                </patternFill>
              </fill>
            </x14:dxf>
          </x14:cfRule>
          <x14:cfRule type="expression" priority="18" id="{9DD2570F-CDF4-4809-9EDA-587F6BCDD3C6}">
            <xm:f>AND($E$19=Drop!$A$13,ISBLANK($E$20))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19" id="{5DA1E3BF-8143-4CC6-9FF7-7DC63C6770B2}">
            <xm:f>AND($E$20&gt;0,$E$19=Drop!$A$13)</xm:f>
            <x14:dxf>
              <font>
                <color auto="1"/>
              </font>
              <fill>
                <patternFill>
                  <bgColor theme="0"/>
                </patternFill>
              </fill>
              <border>
                <left style="thin">
                  <color auto="1"/>
                </left>
                <right style="thin">
                  <color auto="1"/>
                </right>
                <top style="thin">
                  <color auto="1"/>
                </top>
                <bottom style="thin">
                  <color auto="1"/>
                </bottom>
                <vertical/>
                <horizontal/>
              </border>
            </x14:dxf>
          </x14:cfRule>
          <xm:sqref>E20</xm:sqref>
        </x14:conditionalFormatting>
        <x14:conditionalFormatting xmlns:xm="http://schemas.microsoft.com/office/excel/2006/main">
          <x14:cfRule type="expression" priority="10" id="{2DDE6187-1DA4-417B-9C41-4C704DB67217}">
            <xm:f>$E$12&lt;&gt;Drop!$A$47</xm:f>
            <x14:dxf>
              <font>
                <color theme="0" tint="-4.9989318521683403E-2"/>
              </font>
              <fill>
                <patternFill>
                  <bgColor theme="0" tint="-4.9989318521683403E-2"/>
                </patternFill>
              </fill>
              <border>
                <left/>
                <right/>
                <bottom/>
              </border>
            </x14:dxf>
          </x14:cfRule>
          <x14:cfRule type="expression" priority="11" id="{2DD32D3D-C43F-4A7A-A66C-9E9C7237C487}">
            <xm:f>AND(ISBLANK($E$13),$E$12=Drop!$A$47)</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12" id="{608B4991-AD10-4F29-A1C0-3872034F45DA}">
            <xm:f>$E$12=Drop!$A$47</xm:f>
            <x14:dxf>
              <border>
                <left style="thin">
                  <color auto="1"/>
                </left>
                <bottom style="thin">
                  <color auto="1"/>
                </bottom>
                <vertical/>
                <horizontal/>
              </border>
            </x14:dxf>
          </x14:cfRule>
          <xm:sqref>E13</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58CA9631-3F7A-43EF-B717-85CB3EAA587B}">
          <x14:formula1>
            <xm:f>Drop!$G$43:$G$44</xm:f>
          </x14:formula1>
          <xm:sqref>E12</xm:sqref>
        </x14:dataValidation>
        <x14:dataValidation type="list" allowBlank="1" showInputMessage="1" showErrorMessage="1" xr:uid="{7D2A0714-1917-42C1-98FA-D53FF3A27D18}">
          <x14:formula1>
            <xm:f>Drop!$A$44:$A$46</xm:f>
          </x14:formula1>
          <xm:sqref>E13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Translation">
    <pageSetUpPr fitToPage="1"/>
  </sheetPr>
  <dimension ref="A1:J254"/>
  <sheetViews>
    <sheetView showGridLines="0" topLeftCell="A83" workbookViewId="0">
      <selection activeCell="A101" sqref="A101:D101"/>
    </sheetView>
  </sheetViews>
  <sheetFormatPr defaultColWidth="11.5" defaultRowHeight="14.25"/>
  <cols>
    <col min="1" max="2" width="50.75" style="244" customWidth="1"/>
    <col min="3" max="3" width="11.5" style="244"/>
    <col min="4" max="4" width="24.125" style="244" customWidth="1"/>
    <col min="5" max="5" width="30.75" style="244" customWidth="1"/>
    <col min="6" max="6" width="30.25" style="244" customWidth="1"/>
    <col min="7" max="7" width="27.5" style="244" bestFit="1" customWidth="1"/>
    <col min="8" max="8" width="27.5" style="244" customWidth="1"/>
    <col min="9" max="9" width="13.5" style="244" bestFit="1" customWidth="1"/>
    <col min="10" max="16384" width="11.5" style="244"/>
  </cols>
  <sheetData>
    <row r="1" spans="1:3">
      <c r="A1" s="243" t="s">
        <v>281</v>
      </c>
    </row>
    <row r="2" spans="1:3">
      <c r="A2" s="243"/>
    </row>
    <row r="3" spans="1:3">
      <c r="A3" s="245" t="s">
        <v>119</v>
      </c>
      <c r="C3" s="246"/>
    </row>
    <row r="4" spans="1:3">
      <c r="A4" s="245"/>
      <c r="C4" s="247"/>
    </row>
    <row r="5" spans="1:3">
      <c r="A5" s="248" t="s">
        <v>212</v>
      </c>
      <c r="B5" s="249" t="s">
        <v>112</v>
      </c>
    </row>
    <row r="6" spans="1:3" ht="57">
      <c r="A6" s="250" t="s">
        <v>320</v>
      </c>
      <c r="B6" s="251" t="s">
        <v>229</v>
      </c>
    </row>
    <row r="7" spans="1:3" ht="156.75">
      <c r="A7" s="250" t="s">
        <v>321</v>
      </c>
      <c r="B7" s="251" t="s">
        <v>230</v>
      </c>
    </row>
    <row r="8" spans="1:3" ht="156.75">
      <c r="A8" s="250" t="s">
        <v>322</v>
      </c>
      <c r="B8" s="251" t="s">
        <v>215</v>
      </c>
    </row>
    <row r="9" spans="1:3">
      <c r="A9" s="250" t="s">
        <v>323</v>
      </c>
      <c r="B9" s="251" t="s">
        <v>216</v>
      </c>
    </row>
    <row r="10" spans="1:3">
      <c r="A10" s="252"/>
      <c r="B10" s="253"/>
    </row>
    <row r="12" spans="1:3">
      <c r="A12" s="254" t="s">
        <v>28</v>
      </c>
      <c r="B12" s="255" t="s">
        <v>112</v>
      </c>
    </row>
    <row r="13" spans="1:3">
      <c r="A13" s="256" t="s">
        <v>324</v>
      </c>
      <c r="B13" s="257" t="s">
        <v>6</v>
      </c>
    </row>
    <row r="14" spans="1:3">
      <c r="A14" s="256" t="s">
        <v>325</v>
      </c>
      <c r="B14" s="257" t="s">
        <v>7</v>
      </c>
    </row>
    <row r="16" spans="1:3">
      <c r="A16" s="254" t="s">
        <v>27</v>
      </c>
      <c r="B16" s="248" t="s">
        <v>113</v>
      </c>
    </row>
    <row r="17" spans="1:4">
      <c r="A17" s="258" t="s">
        <v>326</v>
      </c>
      <c r="B17" s="258">
        <v>2</v>
      </c>
    </row>
    <row r="18" spans="1:4">
      <c r="A18" s="259"/>
      <c r="B18" s="258">
        <v>3</v>
      </c>
    </row>
    <row r="19" spans="1:4">
      <c r="A19" s="259"/>
      <c r="B19" s="258">
        <v>4</v>
      </c>
    </row>
    <row r="21" spans="1:4">
      <c r="A21" s="254" t="s">
        <v>4</v>
      </c>
      <c r="B21" s="255" t="s">
        <v>112</v>
      </c>
    </row>
    <row r="22" spans="1:4">
      <c r="A22" s="256" t="s">
        <v>327</v>
      </c>
      <c r="B22" s="257" t="s">
        <v>5</v>
      </c>
    </row>
    <row r="23" spans="1:4">
      <c r="A23" s="256" t="s">
        <v>328</v>
      </c>
      <c r="B23" s="257" t="s">
        <v>111</v>
      </c>
    </row>
    <row r="24" spans="1:4">
      <c r="A24" s="256" t="s">
        <v>329</v>
      </c>
      <c r="B24" s="257" t="s">
        <v>95</v>
      </c>
    </row>
    <row r="26" spans="1:4">
      <c r="A26" s="254" t="s">
        <v>114</v>
      </c>
      <c r="B26" s="578" t="s">
        <v>112</v>
      </c>
      <c r="C26" s="580"/>
    </row>
    <row r="27" spans="1:4">
      <c r="A27" s="256" t="s">
        <v>330</v>
      </c>
      <c r="B27" s="589" t="s">
        <v>31</v>
      </c>
      <c r="C27" s="590"/>
      <c r="D27" s="260" t="str">
        <f>A27</f>
        <v>完整性</v>
      </c>
    </row>
    <row r="28" spans="1:4">
      <c r="A28" s="256" t="s">
        <v>331</v>
      </c>
      <c r="B28" s="589" t="s">
        <v>155</v>
      </c>
      <c r="C28" s="590"/>
      <c r="D28" s="260" t="str">
        <f t="shared" ref="D28:D33" si="0">A28</f>
        <v>存在</v>
      </c>
    </row>
    <row r="29" spans="1:4">
      <c r="A29" s="256" t="s">
        <v>332</v>
      </c>
      <c r="B29" s="589" t="s">
        <v>156</v>
      </c>
      <c r="C29" s="590"/>
      <c r="D29" s="260" t="str">
        <f t="shared" si="0"/>
        <v>发生</v>
      </c>
    </row>
    <row r="30" spans="1:4">
      <c r="A30" s="256" t="s">
        <v>333</v>
      </c>
      <c r="B30" s="587" t="s">
        <v>157</v>
      </c>
      <c r="C30" s="588"/>
      <c r="D30" s="260" t="str">
        <f t="shared" si="0"/>
        <v>准确性</v>
      </c>
    </row>
    <row r="31" spans="1:4">
      <c r="A31" s="256" t="s">
        <v>334</v>
      </c>
      <c r="B31" s="589" t="s">
        <v>173</v>
      </c>
      <c r="C31" s="590"/>
      <c r="D31" s="260" t="str">
        <f t="shared" si="0"/>
        <v>计价与分摊</v>
      </c>
    </row>
    <row r="32" spans="1:4">
      <c r="A32" s="256" t="s">
        <v>335</v>
      </c>
      <c r="B32" s="589" t="s">
        <v>154</v>
      </c>
      <c r="C32" s="590"/>
      <c r="D32" s="260" t="str">
        <f t="shared" si="0"/>
        <v>权利和义务</v>
      </c>
    </row>
    <row r="33" spans="1:7">
      <c r="A33" s="256" t="s">
        <v>336</v>
      </c>
      <c r="B33" s="589" t="s">
        <v>158</v>
      </c>
      <c r="C33" s="590"/>
      <c r="D33" s="260" t="str">
        <f t="shared" si="0"/>
        <v>列报</v>
      </c>
    </row>
    <row r="34" spans="1:7">
      <c r="A34" s="261"/>
    </row>
    <row r="35" spans="1:7">
      <c r="B35" s="244" t="s">
        <v>44</v>
      </c>
    </row>
    <row r="36" spans="1:7">
      <c r="A36" s="255" t="s">
        <v>29</v>
      </c>
      <c r="B36" s="262">
        <v>2</v>
      </c>
      <c r="C36" s="262">
        <v>3</v>
      </c>
      <c r="D36" s="262">
        <v>4</v>
      </c>
      <c r="E36" s="255" t="s">
        <v>112</v>
      </c>
    </row>
    <row r="37" spans="1:7">
      <c r="A37" s="256" t="s">
        <v>337</v>
      </c>
      <c r="B37" s="263">
        <v>0.2</v>
      </c>
      <c r="C37" s="263">
        <v>0.2</v>
      </c>
      <c r="D37" s="263">
        <v>0.2</v>
      </c>
      <c r="E37" s="258" t="s">
        <v>159</v>
      </c>
      <c r="F37" s="260" t="str">
        <f>A37</f>
        <v>其他 / 仅金额重大</v>
      </c>
    </row>
    <row r="38" spans="1:7">
      <c r="A38" s="256" t="s">
        <v>338</v>
      </c>
      <c r="B38" s="263">
        <v>0.5</v>
      </c>
      <c r="C38" s="263">
        <v>0.5</v>
      </c>
      <c r="D38" s="263">
        <v>0.5</v>
      </c>
      <c r="E38" s="258" t="s">
        <v>163</v>
      </c>
      <c r="F38" s="260" t="str">
        <f t="shared" ref="F38:F39" si="1">A38</f>
        <v>正常</v>
      </c>
    </row>
    <row r="39" spans="1:7">
      <c r="A39" s="256" t="s">
        <v>339</v>
      </c>
      <c r="B39" s="263">
        <v>1</v>
      </c>
      <c r="C39" s="263">
        <v>1</v>
      </c>
      <c r="D39" s="263">
        <v>1</v>
      </c>
      <c r="E39" s="258" t="s">
        <v>150</v>
      </c>
      <c r="F39" s="260" t="str">
        <f t="shared" si="1"/>
        <v>较高</v>
      </c>
    </row>
    <row r="41" spans="1:7">
      <c r="B41" s="244" t="s">
        <v>44</v>
      </c>
    </row>
    <row r="42" spans="1:7">
      <c r="A42" s="264" t="s">
        <v>30</v>
      </c>
      <c r="B42" s="265">
        <v>2</v>
      </c>
      <c r="C42" s="265">
        <v>3</v>
      </c>
      <c r="D42" s="265">
        <v>4</v>
      </c>
      <c r="E42" s="249" t="s">
        <v>112</v>
      </c>
      <c r="G42" s="249" t="s">
        <v>236</v>
      </c>
    </row>
    <row r="43" spans="1:7">
      <c r="A43" s="256" t="s">
        <v>340</v>
      </c>
      <c r="B43" s="263">
        <v>1</v>
      </c>
      <c r="C43" s="263">
        <v>1</v>
      </c>
      <c r="D43" s="263">
        <v>1</v>
      </c>
      <c r="E43" s="258" t="s">
        <v>11</v>
      </c>
      <c r="F43" s="260" t="str">
        <f>A43</f>
        <v>无</v>
      </c>
      <c r="G43" s="258" t="str">
        <f>A43</f>
        <v>无</v>
      </c>
    </row>
    <row r="44" spans="1:7">
      <c r="A44" s="256" t="s">
        <v>341</v>
      </c>
      <c r="B44" s="263">
        <v>0.5</v>
      </c>
      <c r="C44" s="263">
        <v>0.5</v>
      </c>
      <c r="D44" s="263">
        <v>0.5</v>
      </c>
      <c r="E44" s="258" t="s">
        <v>172</v>
      </c>
      <c r="F44" s="260" t="str">
        <f>A44</f>
        <v>有限</v>
      </c>
      <c r="G44" s="258" t="str">
        <f>A47</f>
        <v>运行有效</v>
      </c>
    </row>
    <row r="45" spans="1:7">
      <c r="A45" s="256" t="s">
        <v>342</v>
      </c>
      <c r="B45" s="263">
        <v>0.15</v>
      </c>
      <c r="C45" s="263">
        <v>0.15</v>
      </c>
      <c r="D45" s="263">
        <v>0.15</v>
      </c>
      <c r="E45" s="258" t="s">
        <v>171</v>
      </c>
      <c r="F45" s="260" t="str">
        <f>A45</f>
        <v>通常</v>
      </c>
    </row>
    <row r="46" spans="1:7">
      <c r="A46" s="256" t="s">
        <v>343</v>
      </c>
      <c r="B46" s="263">
        <v>0.1</v>
      </c>
      <c r="C46" s="263">
        <v>0.1</v>
      </c>
      <c r="D46" s="263">
        <v>0.1</v>
      </c>
      <c r="E46" s="258" t="s">
        <v>160</v>
      </c>
      <c r="F46" s="260" t="str">
        <f>A46</f>
        <v>扩大</v>
      </c>
    </row>
    <row r="47" spans="1:7">
      <c r="A47" s="256" t="s">
        <v>344</v>
      </c>
      <c r="B47" s="601" t="s">
        <v>231</v>
      </c>
      <c r="C47" s="601"/>
      <c r="D47" s="601"/>
      <c r="E47" s="258" t="s">
        <v>310</v>
      </c>
      <c r="F47" s="260"/>
    </row>
    <row r="48" spans="1:7">
      <c r="A48" s="256" t="s">
        <v>345</v>
      </c>
      <c r="B48" s="601"/>
      <c r="C48" s="601"/>
      <c r="D48" s="601"/>
      <c r="E48" s="258" t="s">
        <v>311</v>
      </c>
      <c r="F48" s="260"/>
    </row>
    <row r="50" spans="1:8">
      <c r="B50" s="244" t="s">
        <v>44</v>
      </c>
    </row>
    <row r="51" spans="1:8">
      <c r="A51" s="254" t="s">
        <v>33</v>
      </c>
      <c r="B51" s="262">
        <v>2</v>
      </c>
      <c r="C51" s="262">
        <v>3</v>
      </c>
      <c r="D51" s="262">
        <v>4</v>
      </c>
      <c r="E51" s="255" t="s">
        <v>112</v>
      </c>
    </row>
    <row r="52" spans="1:8">
      <c r="A52" s="256" t="s">
        <v>340</v>
      </c>
      <c r="B52" s="263">
        <v>1</v>
      </c>
      <c r="C52" s="263">
        <v>1</v>
      </c>
      <c r="D52" s="263">
        <v>1</v>
      </c>
      <c r="E52" s="258" t="s">
        <v>11</v>
      </c>
      <c r="F52" s="260" t="str">
        <f t="shared" ref="F52:F54" si="2">A52</f>
        <v>无</v>
      </c>
    </row>
    <row r="53" spans="1:8">
      <c r="A53" s="256" t="s">
        <v>346</v>
      </c>
      <c r="B53" s="263">
        <v>0.7</v>
      </c>
      <c r="C53" s="263">
        <v>0.7</v>
      </c>
      <c r="D53" s="263">
        <v>0.7</v>
      </c>
      <c r="E53" s="258" t="s">
        <v>165</v>
      </c>
      <c r="F53" s="260" t="str">
        <f t="shared" si="2"/>
        <v>较少</v>
      </c>
    </row>
    <row r="54" spans="1:8">
      <c r="A54" s="256" t="s">
        <v>347</v>
      </c>
      <c r="B54" s="263">
        <v>0.4</v>
      </c>
      <c r="C54" s="263">
        <v>0.4</v>
      </c>
      <c r="D54" s="263">
        <v>0.4</v>
      </c>
      <c r="E54" s="258" t="s">
        <v>166</v>
      </c>
      <c r="F54" s="260" t="str">
        <f t="shared" si="2"/>
        <v>较多</v>
      </c>
    </row>
    <row r="56" spans="1:8">
      <c r="B56" s="244" t="s">
        <v>44</v>
      </c>
    </row>
    <row r="57" spans="1:8">
      <c r="A57" s="254" t="s">
        <v>210</v>
      </c>
      <c r="B57" s="262">
        <v>2</v>
      </c>
      <c r="C57" s="262">
        <v>3</v>
      </c>
      <c r="D57" s="262">
        <v>4</v>
      </c>
      <c r="E57" s="255" t="s">
        <v>112</v>
      </c>
    </row>
    <row r="58" spans="1:8">
      <c r="A58" s="256" t="s">
        <v>340</v>
      </c>
      <c r="B58" s="263">
        <v>1</v>
      </c>
      <c r="C58" s="263">
        <v>1</v>
      </c>
      <c r="D58" s="263">
        <v>1</v>
      </c>
      <c r="E58" s="258" t="s">
        <v>11</v>
      </c>
      <c r="F58" s="260" t="str">
        <f t="shared" ref="F58:F59" si="3">A58</f>
        <v>无</v>
      </c>
    </row>
    <row r="59" spans="1:8">
      <c r="A59" s="256" t="s">
        <v>348</v>
      </c>
      <c r="B59" s="263">
        <v>0.2</v>
      </c>
      <c r="C59" s="263">
        <v>0.2</v>
      </c>
      <c r="D59" s="263">
        <v>0.2</v>
      </c>
      <c r="E59" s="258" t="s">
        <v>214</v>
      </c>
      <c r="F59" s="260" t="str">
        <f t="shared" si="3"/>
        <v>审计数据分析</v>
      </c>
    </row>
    <row r="61" spans="1:8" ht="28.5">
      <c r="A61" s="254" t="s">
        <v>47</v>
      </c>
      <c r="B61" s="578" t="s">
        <v>112</v>
      </c>
      <c r="C61" s="580"/>
      <c r="E61" s="266"/>
      <c r="F61" s="267" t="s">
        <v>175</v>
      </c>
      <c r="G61" s="267" t="s">
        <v>242</v>
      </c>
      <c r="H61" s="267" t="s">
        <v>243</v>
      </c>
    </row>
    <row r="62" spans="1:8">
      <c r="A62" s="256" t="s">
        <v>349</v>
      </c>
      <c r="B62" s="587" t="s">
        <v>186</v>
      </c>
      <c r="C62" s="588"/>
      <c r="E62" s="266"/>
      <c r="F62" s="263">
        <v>0.05</v>
      </c>
      <c r="G62" s="263">
        <v>0.5</v>
      </c>
      <c r="H62" s="263">
        <v>0.95</v>
      </c>
    </row>
    <row r="63" spans="1:8">
      <c r="A63" s="256" t="s">
        <v>350</v>
      </c>
      <c r="B63" s="587" t="s">
        <v>14</v>
      </c>
      <c r="C63" s="588"/>
    </row>
    <row r="64" spans="1:8">
      <c r="A64" s="256" t="s">
        <v>351</v>
      </c>
      <c r="B64" s="587" t="s">
        <v>15</v>
      </c>
      <c r="C64" s="588"/>
    </row>
    <row r="66" spans="1:8">
      <c r="A66" s="599" t="s">
        <v>145</v>
      </c>
      <c r="B66" s="599"/>
      <c r="C66" s="599"/>
      <c r="D66" s="600"/>
      <c r="E66" s="591" t="s">
        <v>112</v>
      </c>
      <c r="F66" s="592"/>
      <c r="G66" s="592"/>
      <c r="H66" s="592"/>
    </row>
    <row r="67" spans="1:8" ht="15" customHeight="1">
      <c r="A67" s="566" t="s">
        <v>352</v>
      </c>
      <c r="B67" s="567"/>
      <c r="C67" s="567"/>
      <c r="D67" s="568"/>
      <c r="E67" s="593" t="s">
        <v>202</v>
      </c>
      <c r="F67" s="594"/>
      <c r="G67" s="594"/>
      <c r="H67" s="595"/>
    </row>
    <row r="68" spans="1:8" ht="15" customHeight="1">
      <c r="A68" s="566" t="s">
        <v>353</v>
      </c>
      <c r="B68" s="567"/>
      <c r="C68" s="567"/>
      <c r="D68" s="568"/>
      <c r="E68" s="593" t="s">
        <v>203</v>
      </c>
      <c r="F68" s="594"/>
      <c r="G68" s="594"/>
      <c r="H68" s="595"/>
    </row>
    <row r="69" spans="1:8" ht="15" customHeight="1">
      <c r="A69" s="566" t="s">
        <v>354</v>
      </c>
      <c r="B69" s="567"/>
      <c r="C69" s="567"/>
      <c r="D69" s="568"/>
      <c r="E69" s="593" t="s">
        <v>185</v>
      </c>
      <c r="F69" s="594"/>
      <c r="G69" s="594"/>
      <c r="H69" s="595"/>
    </row>
    <row r="70" spans="1:8">
      <c r="A70" s="566" t="s">
        <v>355</v>
      </c>
      <c r="B70" s="567"/>
      <c r="C70" s="567"/>
      <c r="D70" s="568"/>
      <c r="E70" s="596" t="s">
        <v>199</v>
      </c>
      <c r="F70" s="597"/>
      <c r="G70" s="597"/>
      <c r="H70" s="598"/>
    </row>
    <row r="71" spans="1:8" ht="35.25" customHeight="1">
      <c r="A71" s="566" t="s">
        <v>356</v>
      </c>
      <c r="B71" s="567"/>
      <c r="C71" s="567"/>
      <c r="D71" s="568"/>
      <c r="E71" s="593" t="s">
        <v>177</v>
      </c>
      <c r="F71" s="594"/>
      <c r="G71" s="594"/>
      <c r="H71" s="595"/>
    </row>
    <row r="72" spans="1:8" ht="36" customHeight="1">
      <c r="A72" s="566" t="s">
        <v>357</v>
      </c>
      <c r="B72" s="567"/>
      <c r="C72" s="567"/>
      <c r="D72" s="568"/>
      <c r="E72" s="593" t="s">
        <v>178</v>
      </c>
      <c r="F72" s="594"/>
      <c r="G72" s="594"/>
      <c r="H72" s="595"/>
    </row>
    <row r="73" spans="1:8">
      <c r="A73" s="566" t="s">
        <v>358</v>
      </c>
      <c r="B73" s="567"/>
      <c r="C73" s="567"/>
      <c r="D73" s="568"/>
      <c r="E73" s="593" t="s">
        <v>10</v>
      </c>
      <c r="F73" s="594"/>
      <c r="G73" s="594"/>
      <c r="H73" s="595"/>
    </row>
    <row r="74" spans="1:8" ht="15" customHeight="1">
      <c r="A74" s="566" t="s">
        <v>359</v>
      </c>
      <c r="B74" s="567"/>
      <c r="C74" s="567"/>
      <c r="D74" s="568"/>
      <c r="E74" s="593" t="s">
        <v>218</v>
      </c>
      <c r="F74" s="594"/>
      <c r="G74" s="594"/>
      <c r="H74" s="595"/>
    </row>
    <row r="75" spans="1:8" ht="47.25" customHeight="1">
      <c r="A75" s="566" t="s">
        <v>360</v>
      </c>
      <c r="B75" s="567"/>
      <c r="C75" s="567"/>
      <c r="D75" s="568"/>
      <c r="E75" s="596" t="s">
        <v>179</v>
      </c>
      <c r="F75" s="597"/>
      <c r="G75" s="597"/>
      <c r="H75" s="598"/>
    </row>
    <row r="76" spans="1:8" ht="78" customHeight="1">
      <c r="A76" s="566" t="s">
        <v>361</v>
      </c>
      <c r="B76" s="567"/>
      <c r="C76" s="567"/>
      <c r="D76" s="568"/>
      <c r="E76" s="593" t="s">
        <v>180</v>
      </c>
      <c r="F76" s="594"/>
      <c r="G76" s="594"/>
      <c r="H76" s="595"/>
    </row>
    <row r="77" spans="1:8" ht="15" customHeight="1">
      <c r="A77" s="566" t="s">
        <v>362</v>
      </c>
      <c r="B77" s="567"/>
      <c r="C77" s="567"/>
      <c r="D77" s="568"/>
      <c r="E77" s="593" t="s">
        <v>87</v>
      </c>
      <c r="F77" s="594"/>
      <c r="G77" s="594"/>
      <c r="H77" s="595"/>
    </row>
    <row r="78" spans="1:8" ht="66.75" customHeight="1">
      <c r="A78" s="566" t="s">
        <v>363</v>
      </c>
      <c r="B78" s="567"/>
      <c r="C78" s="567"/>
      <c r="D78" s="568"/>
      <c r="E78" s="593" t="s">
        <v>181</v>
      </c>
      <c r="F78" s="594"/>
      <c r="G78" s="594"/>
      <c r="H78" s="595"/>
    </row>
    <row r="79" spans="1:8" ht="15" customHeight="1">
      <c r="A79" s="566" t="s">
        <v>364</v>
      </c>
      <c r="B79" s="567"/>
      <c r="C79" s="567"/>
      <c r="D79" s="568"/>
      <c r="E79" s="593" t="s">
        <v>182</v>
      </c>
      <c r="F79" s="594"/>
      <c r="G79" s="594"/>
      <c r="H79" s="595"/>
    </row>
    <row r="80" spans="1:8" ht="15" customHeight="1">
      <c r="A80" s="566" t="s">
        <v>364</v>
      </c>
      <c r="B80" s="567"/>
      <c r="C80" s="567"/>
      <c r="D80" s="568"/>
      <c r="E80" s="593" t="s">
        <v>240</v>
      </c>
      <c r="F80" s="594"/>
      <c r="G80" s="594"/>
      <c r="H80" s="595"/>
    </row>
    <row r="81" spans="1:10" ht="15" customHeight="1">
      <c r="A81" s="566" t="s">
        <v>365</v>
      </c>
      <c r="B81" s="567"/>
      <c r="C81" s="567"/>
      <c r="D81" s="568"/>
      <c r="E81" s="593" t="s">
        <v>241</v>
      </c>
      <c r="F81" s="594"/>
      <c r="G81" s="594"/>
      <c r="H81" s="595"/>
    </row>
    <row r="82" spans="1:10">
      <c r="A82" s="566" t="s">
        <v>366</v>
      </c>
      <c r="B82" s="567"/>
      <c r="C82" s="567"/>
      <c r="D82" s="568"/>
      <c r="E82" s="593" t="s">
        <v>98</v>
      </c>
      <c r="F82" s="594"/>
      <c r="G82" s="594"/>
      <c r="H82" s="595"/>
    </row>
    <row r="83" spans="1:10" ht="77.25" customHeight="1">
      <c r="A83" s="566" t="s">
        <v>367</v>
      </c>
      <c r="B83" s="567"/>
      <c r="C83" s="567"/>
      <c r="D83" s="568"/>
      <c r="E83" s="593" t="s">
        <v>169</v>
      </c>
      <c r="F83" s="594"/>
      <c r="G83" s="594"/>
      <c r="H83" s="595"/>
    </row>
    <row r="84" spans="1:10">
      <c r="A84" s="566" t="s">
        <v>368</v>
      </c>
      <c r="B84" s="567"/>
      <c r="C84" s="567"/>
      <c r="D84" s="568"/>
      <c r="E84" s="593" t="s">
        <v>107</v>
      </c>
      <c r="F84" s="594"/>
      <c r="G84" s="594"/>
      <c r="H84" s="595"/>
      <c r="I84" s="602" t="s">
        <v>248</v>
      </c>
      <c r="J84" s="603"/>
    </row>
    <row r="85" spans="1:10">
      <c r="A85" s="566" t="s">
        <v>369</v>
      </c>
      <c r="B85" s="567"/>
      <c r="C85" s="567"/>
      <c r="D85" s="568"/>
      <c r="E85" s="593" t="s">
        <v>251</v>
      </c>
      <c r="F85" s="594"/>
      <c r="G85" s="594"/>
      <c r="H85" s="595"/>
      <c r="I85" s="602"/>
      <c r="J85" s="603"/>
    </row>
    <row r="86" spans="1:10" ht="45" customHeight="1">
      <c r="A86" s="566" t="s">
        <v>370</v>
      </c>
      <c r="B86" s="567"/>
      <c r="C86" s="567"/>
      <c r="D86" s="568"/>
      <c r="E86" s="596" t="s">
        <v>249</v>
      </c>
      <c r="F86" s="597"/>
      <c r="G86" s="597"/>
      <c r="H86" s="598"/>
    </row>
    <row r="87" spans="1:10" ht="45" customHeight="1">
      <c r="A87" s="566" t="s">
        <v>371</v>
      </c>
      <c r="B87" s="567"/>
      <c r="C87" s="567"/>
      <c r="D87" s="568"/>
      <c r="E87" s="596" t="s">
        <v>250</v>
      </c>
      <c r="F87" s="597"/>
      <c r="G87" s="597"/>
      <c r="H87" s="598"/>
    </row>
    <row r="88" spans="1:10" ht="36.75" customHeight="1">
      <c r="A88" s="566" t="s">
        <v>372</v>
      </c>
      <c r="B88" s="567"/>
      <c r="C88" s="567"/>
      <c r="D88" s="568"/>
      <c r="E88" s="596" t="s">
        <v>108</v>
      </c>
      <c r="F88" s="597"/>
      <c r="G88" s="597"/>
      <c r="H88" s="598"/>
    </row>
    <row r="89" spans="1:10" ht="36.75" customHeight="1">
      <c r="A89" s="566" t="s">
        <v>373</v>
      </c>
      <c r="B89" s="567"/>
      <c r="C89" s="567"/>
      <c r="D89" s="568"/>
      <c r="E89" s="569" t="s">
        <v>228</v>
      </c>
      <c r="F89" s="570"/>
      <c r="G89" s="570"/>
      <c r="H89" s="571"/>
    </row>
    <row r="91" spans="1:10">
      <c r="A91" s="274" t="s">
        <v>115</v>
      </c>
    </row>
    <row r="92" spans="1:10">
      <c r="A92" s="575" t="s">
        <v>116</v>
      </c>
      <c r="B92" s="576"/>
      <c r="C92" s="576"/>
      <c r="D92" s="577"/>
      <c r="E92" s="578" t="s">
        <v>112</v>
      </c>
      <c r="F92" s="579"/>
      <c r="G92" s="579"/>
      <c r="H92" s="580"/>
    </row>
    <row r="93" spans="1:10" ht="15" customHeight="1">
      <c r="A93" s="566" t="s">
        <v>374</v>
      </c>
      <c r="B93" s="567"/>
      <c r="C93" s="567"/>
      <c r="D93" s="568"/>
      <c r="E93" s="569" t="s">
        <v>8</v>
      </c>
      <c r="F93" s="570"/>
      <c r="G93" s="570"/>
      <c r="H93" s="571"/>
    </row>
    <row r="94" spans="1:10" ht="15" customHeight="1">
      <c r="A94" s="566" t="s">
        <v>375</v>
      </c>
      <c r="B94" s="567"/>
      <c r="C94" s="567"/>
      <c r="D94" s="568"/>
      <c r="E94" s="563" t="s">
        <v>121</v>
      </c>
      <c r="F94" s="564"/>
      <c r="G94" s="564"/>
      <c r="H94" s="565"/>
    </row>
    <row r="95" spans="1:10">
      <c r="A95" s="566" t="s">
        <v>376</v>
      </c>
      <c r="B95" s="567"/>
      <c r="C95" s="567"/>
      <c r="D95" s="568"/>
      <c r="E95" s="563" t="s">
        <v>34</v>
      </c>
      <c r="F95" s="564"/>
      <c r="G95" s="564"/>
      <c r="H95" s="565"/>
    </row>
    <row r="96" spans="1:10" ht="15" customHeight="1">
      <c r="A96" s="566" t="s">
        <v>377</v>
      </c>
      <c r="B96" s="567"/>
      <c r="C96" s="567"/>
      <c r="D96" s="568"/>
      <c r="E96" s="563" t="s">
        <v>9</v>
      </c>
      <c r="F96" s="564"/>
      <c r="G96" s="564"/>
      <c r="H96" s="565"/>
    </row>
    <row r="97" spans="1:8">
      <c r="A97" s="566" t="s">
        <v>378</v>
      </c>
      <c r="B97" s="567"/>
      <c r="C97" s="567"/>
      <c r="D97" s="568"/>
      <c r="E97" s="563" t="s">
        <v>16</v>
      </c>
      <c r="F97" s="564"/>
      <c r="G97" s="564"/>
      <c r="H97" s="565"/>
    </row>
    <row r="98" spans="1:8" ht="15" customHeight="1">
      <c r="A98" s="566" t="s">
        <v>379</v>
      </c>
      <c r="B98" s="567"/>
      <c r="C98" s="567"/>
      <c r="D98" s="568"/>
      <c r="E98" s="569" t="s">
        <v>144</v>
      </c>
      <c r="F98" s="570"/>
      <c r="G98" s="570"/>
      <c r="H98" s="571"/>
    </row>
    <row r="99" spans="1:8" ht="15" customHeight="1">
      <c r="A99" s="566" t="s">
        <v>380</v>
      </c>
      <c r="B99" s="567"/>
      <c r="C99" s="567"/>
      <c r="D99" s="568"/>
      <c r="E99" s="563" t="s">
        <v>17</v>
      </c>
      <c r="F99" s="564"/>
      <c r="G99" s="564"/>
      <c r="H99" s="565"/>
    </row>
    <row r="100" spans="1:8" ht="15" customHeight="1">
      <c r="A100" s="566" t="s">
        <v>381</v>
      </c>
      <c r="B100" s="567"/>
      <c r="C100" s="567"/>
      <c r="D100" s="568"/>
      <c r="E100" s="563" t="s">
        <v>74</v>
      </c>
      <c r="F100" s="564"/>
      <c r="G100" s="564"/>
      <c r="H100" s="565"/>
    </row>
    <row r="101" spans="1:8">
      <c r="A101" s="575" t="s">
        <v>117</v>
      </c>
      <c r="B101" s="576"/>
      <c r="C101" s="576"/>
      <c r="D101" s="577"/>
      <c r="E101" s="578" t="s">
        <v>112</v>
      </c>
      <c r="F101" s="579"/>
      <c r="G101" s="579"/>
      <c r="H101" s="580"/>
    </row>
    <row r="102" spans="1:8">
      <c r="A102" s="566" t="s">
        <v>382</v>
      </c>
      <c r="B102" s="567"/>
      <c r="C102" s="567"/>
      <c r="D102" s="568"/>
      <c r="E102" s="569" t="s">
        <v>109</v>
      </c>
      <c r="F102" s="570"/>
      <c r="G102" s="570"/>
      <c r="H102" s="571"/>
    </row>
    <row r="103" spans="1:8">
      <c r="A103" s="566" t="s">
        <v>383</v>
      </c>
      <c r="B103" s="567"/>
      <c r="C103" s="567"/>
      <c r="D103" s="568"/>
      <c r="E103" s="569" t="s">
        <v>213</v>
      </c>
      <c r="F103" s="570"/>
      <c r="G103" s="570"/>
      <c r="H103" s="571"/>
    </row>
    <row r="104" spans="1:8">
      <c r="A104" s="566" t="s">
        <v>384</v>
      </c>
      <c r="B104" s="567"/>
      <c r="C104" s="567"/>
      <c r="D104" s="568"/>
      <c r="E104" s="569" t="s">
        <v>80</v>
      </c>
      <c r="F104" s="570"/>
      <c r="G104" s="570"/>
      <c r="H104" s="571"/>
    </row>
    <row r="105" spans="1:8">
      <c r="A105" s="566" t="s">
        <v>385</v>
      </c>
      <c r="B105" s="567"/>
      <c r="C105" s="567"/>
      <c r="D105" s="568"/>
      <c r="E105" s="569" t="s">
        <v>81</v>
      </c>
      <c r="F105" s="570"/>
      <c r="G105" s="570"/>
      <c r="H105" s="571"/>
    </row>
    <row r="106" spans="1:8">
      <c r="A106" s="615" t="s">
        <v>485</v>
      </c>
      <c r="B106" s="567"/>
      <c r="C106" s="567"/>
      <c r="D106" s="568"/>
      <c r="E106" s="569" t="s">
        <v>189</v>
      </c>
      <c r="F106" s="570"/>
      <c r="G106" s="570"/>
      <c r="H106" s="571"/>
    </row>
    <row r="107" spans="1:8">
      <c r="A107" s="575" t="str">
        <f>A93</f>
        <v>步骤 1 - 确定测试的目标</v>
      </c>
      <c r="B107" s="576"/>
      <c r="C107" s="576"/>
      <c r="D107" s="577"/>
      <c r="E107" s="578" t="s">
        <v>112</v>
      </c>
      <c r="F107" s="579"/>
      <c r="G107" s="579"/>
      <c r="H107" s="580"/>
    </row>
    <row r="108" spans="1:8">
      <c r="A108" s="566" t="s">
        <v>386</v>
      </c>
      <c r="B108" s="567"/>
      <c r="C108" s="567"/>
      <c r="D108" s="568"/>
      <c r="E108" s="569" t="s">
        <v>143</v>
      </c>
      <c r="F108" s="570"/>
      <c r="G108" s="570"/>
      <c r="H108" s="571"/>
    </row>
    <row r="109" spans="1:8">
      <c r="A109" s="566" t="s">
        <v>387</v>
      </c>
      <c r="B109" s="567"/>
      <c r="C109" s="567"/>
      <c r="D109" s="568"/>
      <c r="E109" s="569" t="s">
        <v>170</v>
      </c>
      <c r="F109" s="570"/>
      <c r="G109" s="570"/>
      <c r="H109" s="571"/>
    </row>
    <row r="110" spans="1:8">
      <c r="A110" s="566" t="s">
        <v>388</v>
      </c>
      <c r="B110" s="567"/>
      <c r="C110" s="567"/>
      <c r="D110" s="568"/>
      <c r="E110" s="569" t="s">
        <v>120</v>
      </c>
      <c r="F110" s="570"/>
      <c r="G110" s="570"/>
      <c r="H110" s="571"/>
    </row>
    <row r="111" spans="1:8">
      <c r="A111" s="578" t="str">
        <f>A94</f>
        <v>步骤 2 - 定义和分析总体</v>
      </c>
      <c r="B111" s="579"/>
      <c r="C111" s="579"/>
      <c r="D111" s="580"/>
      <c r="E111" s="578" t="s">
        <v>112</v>
      </c>
      <c r="F111" s="579"/>
      <c r="G111" s="579"/>
      <c r="H111" s="580"/>
    </row>
    <row r="112" spans="1:8">
      <c r="A112" s="566" t="s">
        <v>389</v>
      </c>
      <c r="B112" s="567"/>
      <c r="C112" s="567"/>
      <c r="D112" s="568"/>
      <c r="E112" s="569" t="s">
        <v>204</v>
      </c>
      <c r="F112" s="570"/>
      <c r="G112" s="570"/>
      <c r="H112" s="571"/>
    </row>
    <row r="113" spans="1:8" ht="15" customHeight="1">
      <c r="A113" s="566" t="s">
        <v>390</v>
      </c>
      <c r="B113" s="567"/>
      <c r="C113" s="567"/>
      <c r="D113" s="568"/>
      <c r="E113" s="569" t="s">
        <v>198</v>
      </c>
      <c r="F113" s="570"/>
      <c r="G113" s="570"/>
      <c r="H113" s="571"/>
    </row>
    <row r="114" spans="1:8">
      <c r="A114" s="566" t="s">
        <v>391</v>
      </c>
      <c r="B114" s="567"/>
      <c r="C114" s="567"/>
      <c r="D114" s="568"/>
      <c r="E114" s="569" t="s">
        <v>101</v>
      </c>
      <c r="F114" s="570"/>
      <c r="G114" s="570"/>
      <c r="H114" s="571"/>
    </row>
    <row r="115" spans="1:8">
      <c r="A115" s="566" t="s">
        <v>392</v>
      </c>
      <c r="B115" s="567"/>
      <c r="C115" s="567"/>
      <c r="D115" s="568"/>
      <c r="E115" s="569" t="s">
        <v>69</v>
      </c>
      <c r="F115" s="570"/>
      <c r="G115" s="570"/>
      <c r="H115" s="571"/>
    </row>
    <row r="116" spans="1:8">
      <c r="A116" s="566" t="s">
        <v>393</v>
      </c>
      <c r="B116" s="567"/>
      <c r="C116" s="567"/>
      <c r="D116" s="568"/>
      <c r="E116" s="569" t="s">
        <v>18</v>
      </c>
      <c r="F116" s="570"/>
      <c r="G116" s="570"/>
      <c r="H116" s="571"/>
    </row>
    <row r="117" spans="1:8">
      <c r="A117" s="566" t="s">
        <v>394</v>
      </c>
      <c r="B117" s="567"/>
      <c r="C117" s="567"/>
      <c r="D117" s="568"/>
      <c r="E117" s="569" t="s">
        <v>19</v>
      </c>
      <c r="F117" s="570"/>
      <c r="G117" s="570"/>
      <c r="H117" s="571"/>
    </row>
    <row r="118" spans="1:8">
      <c r="A118" s="268" t="s">
        <v>395</v>
      </c>
      <c r="B118" s="269"/>
      <c r="C118" s="269"/>
      <c r="D118" s="270"/>
      <c r="E118" s="271" t="s">
        <v>217</v>
      </c>
      <c r="F118" s="272"/>
      <c r="G118" s="272"/>
      <c r="H118" s="273"/>
    </row>
    <row r="119" spans="1:8">
      <c r="A119" s="572" t="str">
        <f>A95</f>
        <v>步骤 3 - 抽样方法</v>
      </c>
      <c r="B119" s="573"/>
      <c r="C119" s="573"/>
      <c r="D119" s="574"/>
      <c r="E119" s="578" t="s">
        <v>112</v>
      </c>
      <c r="F119" s="579"/>
      <c r="G119" s="579"/>
      <c r="H119" s="580"/>
    </row>
    <row r="120" spans="1:8">
      <c r="A120" s="566" t="s">
        <v>396</v>
      </c>
      <c r="B120" s="567"/>
      <c r="C120" s="567"/>
      <c r="D120" s="568"/>
      <c r="E120" s="569" t="s">
        <v>35</v>
      </c>
      <c r="F120" s="570"/>
      <c r="G120" s="570"/>
      <c r="H120" s="571"/>
    </row>
    <row r="121" spans="1:8">
      <c r="A121" s="566" t="s">
        <v>397</v>
      </c>
      <c r="B121" s="567"/>
      <c r="C121" s="567"/>
      <c r="D121" s="568"/>
      <c r="E121" s="569" t="s">
        <v>79</v>
      </c>
      <c r="F121" s="570"/>
      <c r="G121" s="570"/>
      <c r="H121" s="571"/>
    </row>
    <row r="122" spans="1:8" ht="15" customHeight="1">
      <c r="A122" s="566" t="s">
        <v>398</v>
      </c>
      <c r="B122" s="567"/>
      <c r="C122" s="567"/>
      <c r="D122" s="568"/>
      <c r="E122" s="569" t="s">
        <v>226</v>
      </c>
      <c r="F122" s="570"/>
      <c r="G122" s="570"/>
      <c r="H122" s="571"/>
    </row>
    <row r="123" spans="1:8" ht="15" customHeight="1">
      <c r="A123" s="266"/>
      <c r="B123" s="266"/>
      <c r="C123" s="266"/>
      <c r="D123" s="266"/>
      <c r="E123" s="266"/>
      <c r="F123" s="266"/>
      <c r="G123" s="266"/>
      <c r="H123" s="266"/>
    </row>
    <row r="124" spans="1:8" ht="15" customHeight="1">
      <c r="A124" s="254" t="s">
        <v>245</v>
      </c>
      <c r="B124" s="255" t="s">
        <v>112</v>
      </c>
      <c r="C124" s="266"/>
      <c r="D124" s="266"/>
      <c r="E124" s="266"/>
      <c r="F124" s="266"/>
      <c r="G124" s="266"/>
      <c r="H124" s="266"/>
    </row>
    <row r="125" spans="1:8" ht="15" customHeight="1">
      <c r="A125" s="256" t="s">
        <v>399</v>
      </c>
      <c r="B125" s="257" t="s">
        <v>223</v>
      </c>
      <c r="C125" s="266"/>
      <c r="D125" s="266"/>
      <c r="E125" s="266"/>
      <c r="F125" s="266"/>
      <c r="G125" s="266"/>
      <c r="H125" s="266"/>
    </row>
    <row r="126" spans="1:8" ht="15" customHeight="1">
      <c r="A126" s="256" t="s">
        <v>400</v>
      </c>
      <c r="B126" s="257" t="s">
        <v>224</v>
      </c>
      <c r="C126" s="266"/>
      <c r="D126" s="266"/>
      <c r="E126" s="266"/>
      <c r="F126" s="266"/>
      <c r="G126" s="266"/>
      <c r="H126" s="266"/>
    </row>
    <row r="127" spans="1:8" ht="15" customHeight="1">
      <c r="A127" s="256" t="s">
        <v>401</v>
      </c>
      <c r="B127" s="257" t="s">
        <v>225</v>
      </c>
      <c r="C127" s="266"/>
      <c r="D127" s="266"/>
      <c r="E127" s="266"/>
      <c r="F127" s="266"/>
      <c r="G127" s="266"/>
      <c r="H127" s="266"/>
    </row>
    <row r="128" spans="1:8" ht="15" customHeight="1">
      <c r="A128" s="266"/>
      <c r="B128" s="266"/>
      <c r="C128" s="266"/>
      <c r="D128" s="266"/>
      <c r="E128" s="266"/>
      <c r="F128" s="266"/>
      <c r="G128" s="266"/>
      <c r="H128" s="266"/>
    </row>
    <row r="129" spans="1:8">
      <c r="A129" s="572" t="str">
        <f>A96</f>
        <v>步骤 4 - 确定样本量</v>
      </c>
      <c r="B129" s="573"/>
      <c r="C129" s="573"/>
      <c r="D129" s="574"/>
      <c r="E129" s="578" t="s">
        <v>112</v>
      </c>
      <c r="F129" s="579"/>
      <c r="G129" s="579"/>
      <c r="H129" s="580"/>
    </row>
    <row r="130" spans="1:8">
      <c r="A130" s="566" t="s">
        <v>402</v>
      </c>
      <c r="B130" s="567"/>
      <c r="C130" s="567"/>
      <c r="D130" s="568"/>
      <c r="E130" s="569" t="s">
        <v>97</v>
      </c>
      <c r="F130" s="570"/>
      <c r="G130" s="570"/>
      <c r="H130" s="571"/>
    </row>
    <row r="131" spans="1:8">
      <c r="A131" s="566" t="s">
        <v>403</v>
      </c>
      <c r="B131" s="567"/>
      <c r="C131" s="567"/>
      <c r="D131" s="568"/>
      <c r="E131" s="569" t="s">
        <v>96</v>
      </c>
      <c r="F131" s="570"/>
      <c r="G131" s="570"/>
      <c r="H131" s="571"/>
    </row>
    <row r="132" spans="1:8">
      <c r="A132" s="566" t="s">
        <v>404</v>
      </c>
      <c r="B132" s="567"/>
      <c r="C132" s="567"/>
      <c r="D132" s="568"/>
      <c r="E132" s="569" t="s">
        <v>164</v>
      </c>
      <c r="F132" s="570"/>
      <c r="G132" s="570"/>
      <c r="H132" s="571"/>
    </row>
    <row r="133" spans="1:8">
      <c r="A133" s="566" t="s">
        <v>348</v>
      </c>
      <c r="B133" s="567"/>
      <c r="C133" s="567"/>
      <c r="D133" s="568"/>
      <c r="E133" s="569" t="s">
        <v>214</v>
      </c>
      <c r="F133" s="570"/>
      <c r="G133" s="570"/>
      <c r="H133" s="571"/>
    </row>
    <row r="134" spans="1:8" ht="15" customHeight="1">
      <c r="A134" s="566" t="s">
        <v>405</v>
      </c>
      <c r="B134" s="567"/>
      <c r="C134" s="567"/>
      <c r="D134" s="568"/>
      <c r="E134" s="569" t="s">
        <v>232</v>
      </c>
      <c r="F134" s="570"/>
      <c r="G134" s="570"/>
      <c r="H134" s="571"/>
    </row>
    <row r="135" spans="1:8">
      <c r="A135" s="566" t="s">
        <v>406</v>
      </c>
      <c r="B135" s="567"/>
      <c r="C135" s="567"/>
      <c r="D135" s="568"/>
      <c r="E135" s="569" t="s">
        <v>122</v>
      </c>
      <c r="F135" s="570"/>
      <c r="G135" s="570"/>
      <c r="H135" s="571"/>
    </row>
    <row r="136" spans="1:8">
      <c r="A136" s="566" t="s">
        <v>407</v>
      </c>
      <c r="B136" s="567"/>
      <c r="C136" s="567"/>
      <c r="D136" s="568"/>
      <c r="E136" s="569" t="s">
        <v>12</v>
      </c>
      <c r="F136" s="570"/>
      <c r="G136" s="570"/>
      <c r="H136" s="571"/>
    </row>
    <row r="137" spans="1:8">
      <c r="A137" s="566" t="s">
        <v>408</v>
      </c>
      <c r="B137" s="567"/>
      <c r="C137" s="567"/>
      <c r="D137" s="568"/>
      <c r="E137" s="569" t="s">
        <v>227</v>
      </c>
      <c r="F137" s="570"/>
      <c r="G137" s="570"/>
      <c r="H137" s="571"/>
    </row>
    <row r="138" spans="1:8">
      <c r="A138" s="572" t="str">
        <f>A97</f>
        <v>步骤 5 - 选取样本</v>
      </c>
      <c r="B138" s="573"/>
      <c r="C138" s="573"/>
      <c r="D138" s="574"/>
      <c r="E138" s="578" t="s">
        <v>112</v>
      </c>
      <c r="F138" s="579"/>
      <c r="G138" s="579"/>
      <c r="H138" s="580"/>
    </row>
    <row r="139" spans="1:8">
      <c r="A139" s="566" t="s">
        <v>409</v>
      </c>
      <c r="B139" s="567"/>
      <c r="C139" s="567"/>
      <c r="D139" s="568"/>
      <c r="E139" s="563" t="s">
        <v>13</v>
      </c>
      <c r="F139" s="564"/>
      <c r="G139" s="564"/>
      <c r="H139" s="565"/>
    </row>
    <row r="140" spans="1:8">
      <c r="A140" s="566" t="s">
        <v>410</v>
      </c>
      <c r="B140" s="567"/>
      <c r="C140" s="567"/>
      <c r="D140" s="568"/>
      <c r="E140" s="563" t="s">
        <v>24</v>
      </c>
      <c r="F140" s="564"/>
      <c r="G140" s="564"/>
      <c r="H140" s="565"/>
    </row>
    <row r="141" spans="1:8">
      <c r="A141" s="575" t="str">
        <f>A98</f>
        <v>步骤 6 - 测试已选取样本</v>
      </c>
      <c r="B141" s="576"/>
      <c r="C141" s="576"/>
      <c r="D141" s="577"/>
      <c r="E141" s="578" t="s">
        <v>112</v>
      </c>
      <c r="F141" s="579"/>
      <c r="G141" s="579"/>
      <c r="H141" s="580"/>
    </row>
    <row r="142" spans="1:8" ht="15" customHeight="1">
      <c r="A142" s="566" t="s">
        <v>411</v>
      </c>
      <c r="B142" s="567"/>
      <c r="C142" s="567"/>
      <c r="D142" s="568"/>
      <c r="E142" s="563" t="s">
        <v>73</v>
      </c>
      <c r="F142" s="564"/>
      <c r="G142" s="564"/>
      <c r="H142" s="565"/>
    </row>
    <row r="143" spans="1:8">
      <c r="A143" s="572" t="str">
        <f>A120&amp;" - "&amp;A99</f>
        <v>统计抽样 - 步骤 7 - 评价样本结果</v>
      </c>
      <c r="B143" s="573"/>
      <c r="C143" s="573"/>
      <c r="D143" s="574"/>
      <c r="E143" s="578" t="s">
        <v>112</v>
      </c>
      <c r="F143" s="579"/>
      <c r="G143" s="579"/>
      <c r="H143" s="580"/>
    </row>
    <row r="144" spans="1:8">
      <c r="A144" s="566" t="s">
        <v>412</v>
      </c>
      <c r="B144" s="567"/>
      <c r="C144" s="567"/>
      <c r="D144" s="568"/>
      <c r="E144" s="569" t="s">
        <v>90</v>
      </c>
      <c r="F144" s="570"/>
      <c r="G144" s="570"/>
      <c r="H144" s="571"/>
    </row>
    <row r="145" spans="1:8">
      <c r="A145" s="566" t="s">
        <v>413</v>
      </c>
      <c r="B145" s="567"/>
      <c r="C145" s="567"/>
      <c r="D145" s="568"/>
      <c r="E145" s="569" t="s">
        <v>21</v>
      </c>
      <c r="F145" s="570"/>
      <c r="G145" s="570"/>
      <c r="H145" s="571"/>
    </row>
    <row r="146" spans="1:8">
      <c r="A146" s="566" t="s">
        <v>414</v>
      </c>
      <c r="B146" s="567"/>
      <c r="C146" s="567"/>
      <c r="D146" s="568"/>
      <c r="E146" s="569" t="s">
        <v>22</v>
      </c>
      <c r="F146" s="570"/>
      <c r="G146" s="570"/>
      <c r="H146" s="571"/>
    </row>
    <row r="147" spans="1:8">
      <c r="A147" s="566" t="s">
        <v>415</v>
      </c>
      <c r="B147" s="567"/>
      <c r="C147" s="567"/>
      <c r="D147" s="568"/>
      <c r="E147" s="569" t="s">
        <v>200</v>
      </c>
      <c r="F147" s="570"/>
      <c r="G147" s="570"/>
      <c r="H147" s="571"/>
    </row>
    <row r="148" spans="1:8">
      <c r="A148" s="566" t="s">
        <v>416</v>
      </c>
      <c r="B148" s="567"/>
      <c r="C148" s="567"/>
      <c r="D148" s="568"/>
      <c r="E148" s="569" t="s">
        <v>25</v>
      </c>
      <c r="F148" s="570"/>
      <c r="G148" s="570"/>
      <c r="H148" s="571"/>
    </row>
    <row r="149" spans="1:8">
      <c r="A149" s="566" t="s">
        <v>417</v>
      </c>
      <c r="B149" s="567"/>
      <c r="C149" s="567"/>
      <c r="D149" s="568"/>
      <c r="E149" s="569" t="s">
        <v>23</v>
      </c>
      <c r="F149" s="570"/>
      <c r="G149" s="570"/>
      <c r="H149" s="571"/>
    </row>
    <row r="150" spans="1:8">
      <c r="A150" s="566" t="s">
        <v>418</v>
      </c>
      <c r="B150" s="567"/>
      <c r="C150" s="567"/>
      <c r="D150" s="568"/>
      <c r="E150" s="569" t="s">
        <v>20</v>
      </c>
      <c r="F150" s="570"/>
      <c r="G150" s="570"/>
      <c r="H150" s="571"/>
    </row>
    <row r="151" spans="1:8">
      <c r="A151" s="566" t="s">
        <v>419</v>
      </c>
      <c r="B151" s="567"/>
      <c r="C151" s="567"/>
      <c r="D151" s="568"/>
      <c r="E151" s="569" t="s">
        <v>93</v>
      </c>
      <c r="F151" s="570"/>
      <c r="G151" s="570"/>
      <c r="H151" s="571"/>
    </row>
    <row r="152" spans="1:8">
      <c r="A152" s="566" t="s">
        <v>420</v>
      </c>
      <c r="B152" s="567"/>
      <c r="C152" s="567"/>
      <c r="D152" s="568"/>
      <c r="E152" s="569" t="s">
        <v>94</v>
      </c>
      <c r="F152" s="570"/>
      <c r="G152" s="570"/>
      <c r="H152" s="571"/>
    </row>
    <row r="153" spans="1:8">
      <c r="A153" s="566" t="s">
        <v>421</v>
      </c>
      <c r="B153" s="567"/>
      <c r="C153" s="567"/>
      <c r="D153" s="568"/>
      <c r="E153" s="569" t="s">
        <v>50</v>
      </c>
      <c r="F153" s="570"/>
      <c r="G153" s="570"/>
      <c r="H153" s="571"/>
    </row>
    <row r="154" spans="1:8">
      <c r="A154" s="566" t="s">
        <v>422</v>
      </c>
      <c r="B154" s="567"/>
      <c r="C154" s="567"/>
      <c r="D154" s="568"/>
      <c r="E154" s="569" t="s">
        <v>51</v>
      </c>
      <c r="F154" s="570"/>
      <c r="G154" s="570"/>
      <c r="H154" s="571"/>
    </row>
    <row r="155" spans="1:8">
      <c r="A155" s="566" t="s">
        <v>423</v>
      </c>
      <c r="B155" s="567"/>
      <c r="C155" s="567"/>
      <c r="D155" s="568"/>
      <c r="E155" s="563" t="s">
        <v>52</v>
      </c>
      <c r="F155" s="564"/>
      <c r="G155" s="564"/>
      <c r="H155" s="565"/>
    </row>
    <row r="156" spans="1:8">
      <c r="A156" s="566" t="s">
        <v>424</v>
      </c>
      <c r="B156" s="567"/>
      <c r="C156" s="567"/>
      <c r="D156" s="568"/>
      <c r="E156" s="569" t="s">
        <v>299</v>
      </c>
      <c r="F156" s="570"/>
      <c r="G156" s="570"/>
      <c r="H156" s="571"/>
    </row>
    <row r="157" spans="1:8" ht="15" customHeight="1">
      <c r="A157" s="566" t="s">
        <v>425</v>
      </c>
      <c r="B157" s="567"/>
      <c r="C157" s="567"/>
      <c r="D157" s="568"/>
      <c r="E157" s="569" t="s">
        <v>72</v>
      </c>
      <c r="F157" s="570"/>
      <c r="G157" s="570"/>
      <c r="H157" s="571"/>
    </row>
    <row r="158" spans="1:8" ht="15" customHeight="1">
      <c r="A158" s="566" t="s">
        <v>426</v>
      </c>
      <c r="B158" s="567"/>
      <c r="C158" s="567"/>
      <c r="D158" s="568"/>
      <c r="E158" s="569" t="s">
        <v>118</v>
      </c>
      <c r="F158" s="570"/>
      <c r="G158" s="570"/>
      <c r="H158" s="571"/>
    </row>
    <row r="159" spans="1:8">
      <c r="A159" s="566" t="s">
        <v>427</v>
      </c>
      <c r="B159" s="567"/>
      <c r="C159" s="567"/>
      <c r="D159" s="568"/>
      <c r="E159" s="569" t="s">
        <v>53</v>
      </c>
      <c r="F159" s="570"/>
      <c r="G159" s="570"/>
      <c r="H159" s="571"/>
    </row>
    <row r="160" spans="1:8">
      <c r="A160" s="566" t="s">
        <v>428</v>
      </c>
      <c r="B160" s="567"/>
      <c r="C160" s="567"/>
      <c r="D160" s="568"/>
      <c r="E160" s="569" t="s">
        <v>54</v>
      </c>
      <c r="F160" s="570"/>
      <c r="G160" s="570"/>
      <c r="H160" s="571"/>
    </row>
    <row r="161" spans="1:8" ht="15" customHeight="1">
      <c r="A161" s="566" t="s">
        <v>429</v>
      </c>
      <c r="B161" s="567"/>
      <c r="C161" s="567"/>
      <c r="D161" s="568"/>
      <c r="E161" s="569" t="s">
        <v>55</v>
      </c>
      <c r="F161" s="570"/>
      <c r="G161" s="570"/>
      <c r="H161" s="571"/>
    </row>
    <row r="162" spans="1:8">
      <c r="A162" s="566" t="s">
        <v>430</v>
      </c>
      <c r="B162" s="567"/>
      <c r="C162" s="567"/>
      <c r="D162" s="568"/>
      <c r="E162" s="569" t="s">
        <v>71</v>
      </c>
      <c r="F162" s="570"/>
      <c r="G162" s="570"/>
      <c r="H162" s="571"/>
    </row>
    <row r="163" spans="1:8">
      <c r="A163" s="572" t="str">
        <f>A121&amp;" - "&amp;A99</f>
        <v>非统计抽样 - 步骤 7 - 评价样本结果</v>
      </c>
      <c r="B163" s="573"/>
      <c r="C163" s="573"/>
      <c r="D163" s="574"/>
      <c r="E163" s="578" t="s">
        <v>112</v>
      </c>
      <c r="F163" s="579"/>
      <c r="G163" s="579"/>
      <c r="H163" s="580"/>
    </row>
    <row r="164" spans="1:8">
      <c r="A164" s="566" t="s">
        <v>431</v>
      </c>
      <c r="B164" s="567"/>
      <c r="C164" s="567"/>
      <c r="D164" s="568"/>
      <c r="E164" s="569" t="s">
        <v>90</v>
      </c>
      <c r="F164" s="570"/>
      <c r="G164" s="570"/>
      <c r="H164" s="571"/>
    </row>
    <row r="165" spans="1:8">
      <c r="A165" s="566" t="s">
        <v>432</v>
      </c>
      <c r="B165" s="567"/>
      <c r="C165" s="567"/>
      <c r="D165" s="568"/>
      <c r="E165" s="569" t="s">
        <v>83</v>
      </c>
      <c r="F165" s="570"/>
      <c r="G165" s="570"/>
      <c r="H165" s="571"/>
    </row>
    <row r="166" spans="1:8">
      <c r="A166" s="566" t="s">
        <v>433</v>
      </c>
      <c r="B166" s="567"/>
      <c r="C166" s="567"/>
      <c r="D166" s="568"/>
      <c r="E166" s="569" t="s">
        <v>84</v>
      </c>
      <c r="F166" s="570"/>
      <c r="G166" s="570"/>
      <c r="H166" s="571"/>
    </row>
    <row r="167" spans="1:8">
      <c r="A167" s="566" t="s">
        <v>434</v>
      </c>
      <c r="B167" s="567"/>
      <c r="C167" s="567"/>
      <c r="D167" s="568"/>
      <c r="E167" s="569" t="s">
        <v>201</v>
      </c>
      <c r="F167" s="570"/>
      <c r="G167" s="570"/>
      <c r="H167" s="571"/>
    </row>
    <row r="168" spans="1:8">
      <c r="A168" s="566" t="s">
        <v>435</v>
      </c>
      <c r="B168" s="567"/>
      <c r="C168" s="567"/>
      <c r="D168" s="568"/>
      <c r="E168" s="569" t="s">
        <v>26</v>
      </c>
      <c r="F168" s="570"/>
      <c r="G168" s="570"/>
      <c r="H168" s="571"/>
    </row>
    <row r="169" spans="1:8">
      <c r="A169" s="566" t="s">
        <v>436</v>
      </c>
      <c r="B169" s="567"/>
      <c r="C169" s="567"/>
      <c r="D169" s="568"/>
      <c r="E169" s="569" t="s">
        <v>123</v>
      </c>
      <c r="F169" s="570"/>
      <c r="G169" s="570"/>
      <c r="H169" s="571"/>
    </row>
    <row r="170" spans="1:8">
      <c r="A170" s="566" t="s">
        <v>437</v>
      </c>
      <c r="B170" s="567"/>
      <c r="C170" s="567"/>
      <c r="D170" s="568"/>
      <c r="E170" s="569" t="s">
        <v>82</v>
      </c>
      <c r="F170" s="570"/>
      <c r="G170" s="570"/>
      <c r="H170" s="571"/>
    </row>
    <row r="171" spans="1:8">
      <c r="A171" s="566" t="s">
        <v>438</v>
      </c>
      <c r="B171" s="567"/>
      <c r="C171" s="567"/>
      <c r="D171" s="568"/>
      <c r="E171" s="569" t="s">
        <v>124</v>
      </c>
      <c r="F171" s="570"/>
      <c r="G171" s="570"/>
      <c r="H171" s="571"/>
    </row>
    <row r="172" spans="1:8" ht="15" customHeight="1">
      <c r="A172" s="566" t="s">
        <v>439</v>
      </c>
      <c r="B172" s="567"/>
      <c r="C172" s="567"/>
      <c r="D172" s="568"/>
      <c r="E172" s="569" t="s">
        <v>125</v>
      </c>
      <c r="F172" s="570"/>
      <c r="G172" s="570"/>
      <c r="H172" s="571"/>
    </row>
    <row r="173" spans="1:8">
      <c r="A173" s="566" t="s">
        <v>440</v>
      </c>
      <c r="B173" s="567"/>
      <c r="C173" s="567"/>
      <c r="D173" s="568"/>
      <c r="E173" s="569" t="s">
        <v>50</v>
      </c>
      <c r="F173" s="570"/>
      <c r="G173" s="570"/>
      <c r="H173" s="571"/>
    </row>
    <row r="174" spans="1:8">
      <c r="A174" s="566" t="s">
        <v>424</v>
      </c>
      <c r="B174" s="567"/>
      <c r="C174" s="567"/>
      <c r="D174" s="568"/>
      <c r="E174" s="569" t="s">
        <v>300</v>
      </c>
      <c r="F174" s="570"/>
      <c r="G174" s="570"/>
      <c r="H174" s="571"/>
    </row>
    <row r="175" spans="1:8" ht="15" customHeight="1">
      <c r="A175" s="566" t="s">
        <v>425</v>
      </c>
      <c r="B175" s="567"/>
      <c r="C175" s="567"/>
      <c r="D175" s="568"/>
      <c r="E175" s="569" t="s">
        <v>72</v>
      </c>
      <c r="F175" s="570"/>
      <c r="G175" s="570"/>
      <c r="H175" s="571"/>
    </row>
    <row r="176" spans="1:8">
      <c r="A176" s="566" t="s">
        <v>421</v>
      </c>
      <c r="B176" s="567"/>
      <c r="C176" s="567"/>
      <c r="D176" s="568"/>
      <c r="E176" s="569" t="s">
        <v>50</v>
      </c>
      <c r="F176" s="570"/>
      <c r="G176" s="570"/>
      <c r="H176" s="571"/>
    </row>
    <row r="177" spans="1:8">
      <c r="A177" s="566" t="s">
        <v>430</v>
      </c>
      <c r="B177" s="567"/>
      <c r="C177" s="567"/>
      <c r="D177" s="568"/>
      <c r="E177" s="569" t="s">
        <v>71</v>
      </c>
      <c r="F177" s="570"/>
      <c r="G177" s="570"/>
      <c r="H177" s="571"/>
    </row>
    <row r="178" spans="1:8">
      <c r="A178" s="566" t="s">
        <v>441</v>
      </c>
      <c r="B178" s="567"/>
      <c r="C178" s="567"/>
      <c r="D178" s="568"/>
      <c r="E178" s="569" t="s">
        <v>89</v>
      </c>
      <c r="F178" s="570"/>
      <c r="G178" s="570"/>
      <c r="H178" s="571"/>
    </row>
    <row r="179" spans="1:8" ht="15" customHeight="1">
      <c r="A179" s="566" t="s">
        <v>442</v>
      </c>
      <c r="B179" s="567"/>
      <c r="C179" s="567"/>
      <c r="D179" s="568"/>
      <c r="E179" s="569" t="s">
        <v>126</v>
      </c>
      <c r="F179" s="570"/>
      <c r="G179" s="570"/>
      <c r="H179" s="571"/>
    </row>
    <row r="181" spans="1:8">
      <c r="A181" s="575" t="s">
        <v>100</v>
      </c>
      <c r="B181" s="576"/>
      <c r="C181" s="576"/>
      <c r="D181" s="577"/>
      <c r="E181" s="578" t="s">
        <v>112</v>
      </c>
      <c r="F181" s="579"/>
      <c r="G181" s="579"/>
      <c r="H181" s="580"/>
    </row>
    <row r="182" spans="1:8">
      <c r="A182" s="566" t="s">
        <v>443</v>
      </c>
      <c r="B182" s="567"/>
      <c r="C182" s="567"/>
      <c r="D182" s="568"/>
      <c r="E182" s="569" t="s">
        <v>100</v>
      </c>
      <c r="F182" s="570"/>
      <c r="G182" s="570"/>
      <c r="H182" s="571"/>
    </row>
    <row r="183" spans="1:8">
      <c r="A183" s="566" t="s">
        <v>444</v>
      </c>
      <c r="B183" s="567"/>
      <c r="C183" s="567"/>
      <c r="D183" s="568"/>
      <c r="E183" s="563" t="s">
        <v>152</v>
      </c>
      <c r="F183" s="564"/>
      <c r="G183" s="564"/>
      <c r="H183" s="565"/>
    </row>
    <row r="184" spans="1:8">
      <c r="A184" s="566" t="s">
        <v>445</v>
      </c>
      <c r="B184" s="567"/>
      <c r="C184" s="567"/>
      <c r="D184" s="568"/>
      <c r="E184" s="563" t="s">
        <v>110</v>
      </c>
      <c r="F184" s="564"/>
      <c r="G184" s="564"/>
      <c r="H184" s="565"/>
    </row>
    <row r="185" spans="1:8">
      <c r="A185" s="566" t="s">
        <v>484</v>
      </c>
      <c r="B185" s="567"/>
      <c r="C185" s="567"/>
      <c r="D185" s="568"/>
      <c r="E185" s="569" t="s">
        <v>234</v>
      </c>
      <c r="F185" s="570"/>
      <c r="G185" s="570"/>
      <c r="H185" s="571"/>
    </row>
    <row r="186" spans="1:8" ht="15" customHeight="1">
      <c r="A186" s="566" t="s">
        <v>446</v>
      </c>
      <c r="B186" s="567"/>
      <c r="C186" s="567"/>
      <c r="D186" s="568"/>
      <c r="E186" s="569" t="s">
        <v>233</v>
      </c>
      <c r="F186" s="570"/>
      <c r="G186" s="570"/>
      <c r="H186" s="571"/>
    </row>
    <row r="187" spans="1:8">
      <c r="A187" s="566" t="s">
        <v>447</v>
      </c>
      <c r="B187" s="567"/>
      <c r="C187" s="567"/>
      <c r="D187" s="568"/>
      <c r="E187" s="569" t="s">
        <v>151</v>
      </c>
      <c r="F187" s="570"/>
      <c r="G187" s="570"/>
      <c r="H187" s="571"/>
    </row>
    <row r="188" spans="1:8">
      <c r="A188" s="566" t="s">
        <v>448</v>
      </c>
      <c r="B188" s="567"/>
      <c r="C188" s="567"/>
      <c r="D188" s="568"/>
      <c r="E188" s="569" t="s">
        <v>0</v>
      </c>
      <c r="F188" s="570"/>
      <c r="G188" s="570"/>
      <c r="H188" s="571"/>
    </row>
    <row r="189" spans="1:8">
      <c r="A189" s="566" t="s">
        <v>449</v>
      </c>
      <c r="B189" s="567"/>
      <c r="C189" s="567"/>
      <c r="D189" s="568"/>
      <c r="E189" s="569" t="s">
        <v>2</v>
      </c>
      <c r="F189" s="570"/>
      <c r="G189" s="570"/>
      <c r="H189" s="571"/>
    </row>
    <row r="190" spans="1:8">
      <c r="A190" s="566" t="s">
        <v>450</v>
      </c>
      <c r="B190" s="567"/>
      <c r="C190" s="567"/>
      <c r="D190" s="568"/>
      <c r="E190" s="569" t="s">
        <v>3</v>
      </c>
      <c r="F190" s="570"/>
      <c r="G190" s="570"/>
      <c r="H190" s="571"/>
    </row>
    <row r="191" spans="1:8">
      <c r="A191" s="566" t="s">
        <v>451</v>
      </c>
      <c r="B191" s="567"/>
      <c r="C191" s="567"/>
      <c r="D191" s="568"/>
      <c r="E191" s="569" t="s">
        <v>196</v>
      </c>
      <c r="F191" s="570"/>
      <c r="G191" s="570"/>
      <c r="H191" s="571"/>
    </row>
    <row r="192" spans="1:8">
      <c r="A192" s="566" t="s">
        <v>452</v>
      </c>
      <c r="B192" s="567"/>
      <c r="C192" s="567"/>
      <c r="D192" s="568"/>
      <c r="E192" s="569" t="s">
        <v>4</v>
      </c>
      <c r="F192" s="570"/>
      <c r="G192" s="570"/>
      <c r="H192" s="571"/>
    </row>
    <row r="193" spans="1:8">
      <c r="A193" s="566" t="s">
        <v>453</v>
      </c>
      <c r="B193" s="567"/>
      <c r="C193" s="567"/>
      <c r="D193" s="568"/>
      <c r="E193" s="569" t="s">
        <v>162</v>
      </c>
      <c r="F193" s="570"/>
      <c r="G193" s="570"/>
      <c r="H193" s="571"/>
    </row>
    <row r="194" spans="1:8">
      <c r="A194" s="566" t="s">
        <v>435</v>
      </c>
      <c r="B194" s="567"/>
      <c r="C194" s="567"/>
      <c r="D194" s="568"/>
      <c r="E194" s="569" t="s">
        <v>26</v>
      </c>
      <c r="F194" s="570"/>
      <c r="G194" s="570"/>
      <c r="H194" s="571"/>
    </row>
    <row r="195" spans="1:8" s="266" customFormat="1" ht="14.45" customHeight="1"/>
    <row r="196" spans="1:8" s="266" customFormat="1" ht="14.45" customHeight="1"/>
    <row r="197" spans="1:8">
      <c r="A197" s="254" t="s">
        <v>148</v>
      </c>
      <c r="B197" s="255" t="s">
        <v>112</v>
      </c>
    </row>
    <row r="198" spans="1:8">
      <c r="A198" s="268" t="s">
        <v>443</v>
      </c>
      <c r="B198" s="257" t="s">
        <v>100</v>
      </c>
    </row>
    <row r="199" spans="1:8">
      <c r="A199" s="268" t="s">
        <v>454</v>
      </c>
      <c r="B199" s="257" t="s">
        <v>146</v>
      </c>
    </row>
    <row r="200" spans="1:8">
      <c r="A200" s="268" t="s">
        <v>455</v>
      </c>
      <c r="B200" s="257" t="s">
        <v>147</v>
      </c>
    </row>
    <row r="202" spans="1:8">
      <c r="A202" s="254" t="s">
        <v>149</v>
      </c>
      <c r="B202" s="255" t="s">
        <v>112</v>
      </c>
    </row>
    <row r="203" spans="1:8">
      <c r="A203" s="268">
        <v>1</v>
      </c>
      <c r="B203" s="257">
        <v>1</v>
      </c>
    </row>
    <row r="204" spans="1:8">
      <c r="A204" s="268">
        <v>2</v>
      </c>
      <c r="B204" s="257">
        <v>2</v>
      </c>
    </row>
    <row r="205" spans="1:8">
      <c r="A205" s="268">
        <v>3</v>
      </c>
      <c r="B205" s="257">
        <v>3</v>
      </c>
    </row>
    <row r="206" spans="1:8">
      <c r="A206" s="268">
        <v>4</v>
      </c>
      <c r="B206" s="257">
        <v>4</v>
      </c>
    </row>
    <row r="207" spans="1:8">
      <c r="A207" s="268">
        <v>5</v>
      </c>
      <c r="B207" s="257">
        <v>5</v>
      </c>
    </row>
    <row r="208" spans="1:8">
      <c r="A208" s="268">
        <v>6</v>
      </c>
      <c r="B208" s="257">
        <v>6</v>
      </c>
    </row>
    <row r="209" spans="1:5">
      <c r="A209" s="268">
        <v>7</v>
      </c>
      <c r="B209" s="257">
        <v>7</v>
      </c>
    </row>
    <row r="210" spans="1:5">
      <c r="A210" s="268">
        <v>8</v>
      </c>
      <c r="B210" s="257">
        <v>8</v>
      </c>
    </row>
    <row r="211" spans="1:5">
      <c r="A211" s="268">
        <v>9</v>
      </c>
      <c r="B211" s="257">
        <v>9</v>
      </c>
    </row>
    <row r="212" spans="1:5">
      <c r="A212" s="268">
        <v>10</v>
      </c>
      <c r="B212" s="257">
        <v>10</v>
      </c>
    </row>
    <row r="214" spans="1:5" s="266" customFormat="1">
      <c r="A214" s="581" t="s">
        <v>153</v>
      </c>
      <c r="B214" s="582"/>
    </row>
    <row r="215" spans="1:5" s="266" customFormat="1" ht="36.75" customHeight="1">
      <c r="A215" s="278" t="s">
        <v>456</v>
      </c>
      <c r="B215" s="581" t="s">
        <v>153</v>
      </c>
      <c r="C215" s="582"/>
      <c r="D215" s="583"/>
    </row>
    <row r="216" spans="1:5">
      <c r="A216" s="278" t="s">
        <v>457</v>
      </c>
      <c r="B216" s="581" t="s">
        <v>235</v>
      </c>
      <c r="C216" s="582"/>
      <c r="D216" s="583"/>
    </row>
    <row r="217" spans="1:5">
      <c r="A217" s="266"/>
      <c r="B217" s="266"/>
      <c r="C217" s="266"/>
      <c r="D217" s="266"/>
    </row>
    <row r="218" spans="1:5">
      <c r="A218" s="275" t="s">
        <v>168</v>
      </c>
      <c r="B218" s="255" t="s">
        <v>112</v>
      </c>
      <c r="C218" s="276"/>
      <c r="D218" s="277"/>
    </row>
    <row r="219" spans="1:5">
      <c r="A219" s="278" t="s">
        <v>458</v>
      </c>
      <c r="B219" s="584" t="s">
        <v>174</v>
      </c>
      <c r="C219" s="585"/>
      <c r="D219" s="586"/>
    </row>
    <row r="220" spans="1:5">
      <c r="A220" s="278" t="s">
        <v>459</v>
      </c>
      <c r="B220" s="581" t="s">
        <v>208</v>
      </c>
      <c r="C220" s="582"/>
      <c r="D220" s="583"/>
    </row>
    <row r="221" spans="1:5">
      <c r="A221" s="278" t="s">
        <v>460</v>
      </c>
      <c r="B221" s="581" t="s">
        <v>238</v>
      </c>
      <c r="C221" s="582"/>
      <c r="D221" s="583"/>
    </row>
    <row r="222" spans="1:5">
      <c r="A222" s="278" t="s">
        <v>461</v>
      </c>
      <c r="B222" s="581" t="s">
        <v>176</v>
      </c>
      <c r="C222" s="582"/>
      <c r="D222" s="583"/>
    </row>
    <row r="223" spans="1:5" s="280" customFormat="1" ht="27.75">
      <c r="A223" s="278" t="s">
        <v>462</v>
      </c>
      <c r="B223" s="581" t="s">
        <v>197</v>
      </c>
      <c r="C223" s="582"/>
      <c r="D223" s="583"/>
      <c r="E223" s="279">
        <v>0.75</v>
      </c>
    </row>
    <row r="224" spans="1:5">
      <c r="A224" s="278" t="s">
        <v>463</v>
      </c>
      <c r="B224" s="581" t="s">
        <v>187</v>
      </c>
      <c r="C224" s="582"/>
      <c r="D224" s="583"/>
    </row>
    <row r="225" spans="1:4">
      <c r="A225" s="278" t="s">
        <v>464</v>
      </c>
      <c r="B225" s="581" t="s">
        <v>188</v>
      </c>
      <c r="C225" s="582"/>
      <c r="D225" s="583"/>
    </row>
    <row r="226" spans="1:4">
      <c r="A226" s="278" t="s">
        <v>465</v>
      </c>
      <c r="B226" s="581" t="s">
        <v>190</v>
      </c>
      <c r="C226" s="582"/>
      <c r="D226" s="583"/>
    </row>
    <row r="227" spans="1:4">
      <c r="A227" s="278" t="s">
        <v>466</v>
      </c>
      <c r="B227" s="581" t="s">
        <v>195</v>
      </c>
      <c r="C227" s="582"/>
      <c r="D227" s="583"/>
    </row>
    <row r="228" spans="1:4">
      <c r="A228" s="278" t="s">
        <v>467</v>
      </c>
      <c r="B228" s="581" t="s">
        <v>246</v>
      </c>
      <c r="C228" s="582"/>
      <c r="D228" s="583"/>
    </row>
    <row r="229" spans="1:4">
      <c r="A229" s="278" t="s">
        <v>468</v>
      </c>
      <c r="B229" s="581" t="s">
        <v>247</v>
      </c>
      <c r="C229" s="582"/>
      <c r="D229" s="583"/>
    </row>
    <row r="230" spans="1:4" ht="95.25" customHeight="1">
      <c r="A230" s="278" t="s">
        <v>469</v>
      </c>
      <c r="B230" s="581" t="s">
        <v>294</v>
      </c>
      <c r="C230" s="582"/>
      <c r="D230" s="583"/>
    </row>
    <row r="231" spans="1:4">
      <c r="A231" s="278" t="s">
        <v>470</v>
      </c>
      <c r="B231" s="581" t="s">
        <v>253</v>
      </c>
      <c r="C231" s="582"/>
      <c r="D231" s="583"/>
    </row>
    <row r="233" spans="1:4">
      <c r="A233" s="575" t="s">
        <v>191</v>
      </c>
      <c r="B233" s="576"/>
      <c r="C233" s="576"/>
      <c r="D233" s="577"/>
    </row>
    <row r="234" spans="1:4">
      <c r="A234" s="278" t="s">
        <v>471</v>
      </c>
      <c r="B234" s="584" t="s">
        <v>192</v>
      </c>
      <c r="C234" s="585"/>
      <c r="D234" s="586"/>
    </row>
    <row r="235" spans="1:4">
      <c r="A235" s="278" t="s">
        <v>472</v>
      </c>
      <c r="B235" s="584" t="s">
        <v>193</v>
      </c>
      <c r="C235" s="585"/>
      <c r="D235" s="586"/>
    </row>
    <row r="236" spans="1:4">
      <c r="A236" s="278" t="s">
        <v>473</v>
      </c>
      <c r="B236" s="584" t="s">
        <v>194</v>
      </c>
      <c r="C236" s="585"/>
      <c r="D236" s="586"/>
    </row>
    <row r="239" spans="1:4">
      <c r="A239" s="275" t="s">
        <v>219</v>
      </c>
      <c r="B239" s="255" t="s">
        <v>112</v>
      </c>
      <c r="C239" s="266"/>
      <c r="D239" s="266"/>
    </row>
    <row r="240" spans="1:4">
      <c r="A240" s="281">
        <v>-0.5</v>
      </c>
      <c r="B240" s="257">
        <v>-0.5</v>
      </c>
      <c r="C240" s="266"/>
      <c r="D240" s="266"/>
    </row>
    <row r="241" spans="1:4">
      <c r="C241" s="266"/>
      <c r="D241" s="266"/>
    </row>
    <row r="242" spans="1:4">
      <c r="A242" s="275" t="s">
        <v>220</v>
      </c>
      <c r="B242" s="255" t="s">
        <v>112</v>
      </c>
      <c r="C242" s="266"/>
      <c r="D242" s="266"/>
    </row>
    <row r="243" spans="1:4">
      <c r="A243" s="281" t="s">
        <v>474</v>
      </c>
      <c r="B243" s="257" t="s">
        <v>221</v>
      </c>
      <c r="C243" s="266"/>
      <c r="D243" s="266"/>
    </row>
    <row r="244" spans="1:4">
      <c r="C244" s="266"/>
      <c r="D244" s="266"/>
    </row>
    <row r="245" spans="1:4">
      <c r="A245" s="254" t="s">
        <v>222</v>
      </c>
      <c r="B245" s="255" t="s">
        <v>112</v>
      </c>
      <c r="C245" s="266"/>
      <c r="D245" s="266"/>
    </row>
    <row r="246" spans="1:4">
      <c r="A246" s="256" t="s">
        <v>475</v>
      </c>
      <c r="B246" s="257" t="s">
        <v>6</v>
      </c>
    </row>
    <row r="247" spans="1:4">
      <c r="A247" s="256" t="s">
        <v>476</v>
      </c>
      <c r="B247" s="257" t="s">
        <v>7</v>
      </c>
    </row>
    <row r="251" spans="1:4">
      <c r="A251" s="282" t="s">
        <v>239</v>
      </c>
      <c r="B251" s="255" t="s">
        <v>112</v>
      </c>
    </row>
    <row r="252" spans="1:4">
      <c r="A252" s="256" t="s">
        <v>477</v>
      </c>
      <c r="B252" s="257" t="s">
        <v>209</v>
      </c>
    </row>
    <row r="253" spans="1:4" ht="171">
      <c r="A253" s="278" t="s">
        <v>478</v>
      </c>
      <c r="B253" s="283" t="s">
        <v>479</v>
      </c>
    </row>
    <row r="254" spans="1:4">
      <c r="A254" s="244" t="s">
        <v>480</v>
      </c>
    </row>
  </sheetData>
  <sheetProtection selectLockedCells="1"/>
  <mergeCells count="272">
    <mergeCell ref="E85:H85"/>
    <mergeCell ref="A85:D85"/>
    <mergeCell ref="I84:J85"/>
    <mergeCell ref="A87:D87"/>
    <mergeCell ref="E87:H87"/>
    <mergeCell ref="E89:H89"/>
    <mergeCell ref="A137:D137"/>
    <mergeCell ref="E137:H137"/>
    <mergeCell ref="B228:D228"/>
    <mergeCell ref="A183:D183"/>
    <mergeCell ref="A181:D181"/>
    <mergeCell ref="A184:D184"/>
    <mergeCell ref="E183:H183"/>
    <mergeCell ref="E179:H179"/>
    <mergeCell ref="E178:H178"/>
    <mergeCell ref="E177:H177"/>
    <mergeCell ref="A188:D188"/>
    <mergeCell ref="A190:D190"/>
    <mergeCell ref="A194:D194"/>
    <mergeCell ref="A193:D193"/>
    <mergeCell ref="A192:D192"/>
    <mergeCell ref="A214:B214"/>
    <mergeCell ref="B219:D219"/>
    <mergeCell ref="B220:D220"/>
    <mergeCell ref="B221:D221"/>
    <mergeCell ref="B222:D222"/>
    <mergeCell ref="B215:D215"/>
    <mergeCell ref="A189:D189"/>
    <mergeCell ref="E189:H189"/>
    <mergeCell ref="B216:D216"/>
    <mergeCell ref="A191:D191"/>
    <mergeCell ref="E182:H182"/>
    <mergeCell ref="E181:H181"/>
    <mergeCell ref="A187:D187"/>
    <mergeCell ref="A186:D186"/>
    <mergeCell ref="A182:D182"/>
    <mergeCell ref="A185:D185"/>
    <mergeCell ref="E188:H188"/>
    <mergeCell ref="E187:H187"/>
    <mergeCell ref="E186:H186"/>
    <mergeCell ref="E185:H185"/>
    <mergeCell ref="E184:H184"/>
    <mergeCell ref="E194:H194"/>
    <mergeCell ref="E193:H193"/>
    <mergeCell ref="E192:H192"/>
    <mergeCell ref="E191:H191"/>
    <mergeCell ref="E190:H190"/>
    <mergeCell ref="A176:D176"/>
    <mergeCell ref="A175:D175"/>
    <mergeCell ref="A179:D179"/>
    <mergeCell ref="A178:D178"/>
    <mergeCell ref="A174:D174"/>
    <mergeCell ref="A173:D173"/>
    <mergeCell ref="A171:D171"/>
    <mergeCell ref="E156:H156"/>
    <mergeCell ref="A157:D157"/>
    <mergeCell ref="A156:D156"/>
    <mergeCell ref="A170:D170"/>
    <mergeCell ref="A169:D169"/>
    <mergeCell ref="E176:H176"/>
    <mergeCell ref="E175:H175"/>
    <mergeCell ref="E174:H174"/>
    <mergeCell ref="E173:H173"/>
    <mergeCell ref="E172:H172"/>
    <mergeCell ref="E171:H171"/>
    <mergeCell ref="A172:D172"/>
    <mergeCell ref="E161:H161"/>
    <mergeCell ref="E162:H162"/>
    <mergeCell ref="A177:D177"/>
    <mergeCell ref="E150:H150"/>
    <mergeCell ref="E160:H160"/>
    <mergeCell ref="E159:H159"/>
    <mergeCell ref="E158:H158"/>
    <mergeCell ref="E157:H157"/>
    <mergeCell ref="E134:H134"/>
    <mergeCell ref="E151:H151"/>
    <mergeCell ref="E133:H133"/>
    <mergeCell ref="E153:H153"/>
    <mergeCell ref="E154:H154"/>
    <mergeCell ref="E155:H155"/>
    <mergeCell ref="E131:H131"/>
    <mergeCell ref="E141:H141"/>
    <mergeCell ref="E170:H170"/>
    <mergeCell ref="E169:H169"/>
    <mergeCell ref="A167:D167"/>
    <mergeCell ref="A168:D168"/>
    <mergeCell ref="A166:D166"/>
    <mergeCell ref="A165:D165"/>
    <mergeCell ref="A164:D164"/>
    <mergeCell ref="A163:D163"/>
    <mergeCell ref="E168:H168"/>
    <mergeCell ref="E167:H167"/>
    <mergeCell ref="E166:H166"/>
    <mergeCell ref="E165:H165"/>
    <mergeCell ref="E164:H164"/>
    <mergeCell ref="E163:H163"/>
    <mergeCell ref="A138:D138"/>
    <mergeCell ref="E142:H142"/>
    <mergeCell ref="E143:H143"/>
    <mergeCell ref="E144:H144"/>
    <mergeCell ref="E132:H132"/>
    <mergeCell ref="E147:H147"/>
    <mergeCell ref="E148:H148"/>
    <mergeCell ref="E149:H149"/>
    <mergeCell ref="E98:H98"/>
    <mergeCell ref="E135:H135"/>
    <mergeCell ref="E136:H136"/>
    <mergeCell ref="E97:H97"/>
    <mergeCell ref="E96:H96"/>
    <mergeCell ref="E138:H138"/>
    <mergeCell ref="E139:H139"/>
    <mergeCell ref="A160:D160"/>
    <mergeCell ref="A159:D159"/>
    <mergeCell ref="A158:D158"/>
    <mergeCell ref="A145:D145"/>
    <mergeCell ref="A146:D146"/>
    <mergeCell ref="A139:D139"/>
    <mergeCell ref="E100:H100"/>
    <mergeCell ref="E101:H101"/>
    <mergeCell ref="E102:H102"/>
    <mergeCell ref="E103:H103"/>
    <mergeCell ref="E152:H152"/>
    <mergeCell ref="E99:H99"/>
    <mergeCell ref="A140:D140"/>
    <mergeCell ref="A132:D132"/>
    <mergeCell ref="A134:D134"/>
    <mergeCell ref="A135:D135"/>
    <mergeCell ref="A136:D136"/>
    <mergeCell ref="A129:D129"/>
    <mergeCell ref="A143:D143"/>
    <mergeCell ref="A144:D144"/>
    <mergeCell ref="A150:D150"/>
    <mergeCell ref="A162:D162"/>
    <mergeCell ref="A161:D161"/>
    <mergeCell ref="A152:D152"/>
    <mergeCell ref="A151:D151"/>
    <mergeCell ref="A155:D155"/>
    <mergeCell ref="A154:D154"/>
    <mergeCell ref="A153:D153"/>
    <mergeCell ref="A147:D147"/>
    <mergeCell ref="A149:D149"/>
    <mergeCell ref="A148:D148"/>
    <mergeCell ref="E120:H120"/>
    <mergeCell ref="A131:D131"/>
    <mergeCell ref="A106:D106"/>
    <mergeCell ref="A133:D133"/>
    <mergeCell ref="A141:D141"/>
    <mergeCell ref="E109:H109"/>
    <mergeCell ref="E111:H111"/>
    <mergeCell ref="E112:H112"/>
    <mergeCell ref="E115:H115"/>
    <mergeCell ref="E116:H116"/>
    <mergeCell ref="E117:H117"/>
    <mergeCell ref="A122:D122"/>
    <mergeCell ref="E106:H106"/>
    <mergeCell ref="E119:H119"/>
    <mergeCell ref="E113:H113"/>
    <mergeCell ref="E114:H114"/>
    <mergeCell ref="E121:H121"/>
    <mergeCell ref="E122:H122"/>
    <mergeCell ref="E129:H129"/>
    <mergeCell ref="E130:H130"/>
    <mergeCell ref="E108:H108"/>
    <mergeCell ref="A107:D107"/>
    <mergeCell ref="E140:H140"/>
    <mergeCell ref="A116:D116"/>
    <mergeCell ref="B31:C31"/>
    <mergeCell ref="B33:C33"/>
    <mergeCell ref="A66:D66"/>
    <mergeCell ref="A94:D94"/>
    <mergeCell ref="A95:D95"/>
    <mergeCell ref="A96:D96"/>
    <mergeCell ref="A76:D76"/>
    <mergeCell ref="A77:D77"/>
    <mergeCell ref="A78:D78"/>
    <mergeCell ref="A79:D79"/>
    <mergeCell ref="A70:D70"/>
    <mergeCell ref="A71:D71"/>
    <mergeCell ref="A72:D72"/>
    <mergeCell ref="A86:D86"/>
    <mergeCell ref="A88:D88"/>
    <mergeCell ref="A82:D82"/>
    <mergeCell ref="A83:D83"/>
    <mergeCell ref="A84:D84"/>
    <mergeCell ref="A92:D92"/>
    <mergeCell ref="B47:D48"/>
    <mergeCell ref="A89:D89"/>
    <mergeCell ref="A69:D69"/>
    <mergeCell ref="E66:H66"/>
    <mergeCell ref="A93:D93"/>
    <mergeCell ref="E92:H92"/>
    <mergeCell ref="E93:H93"/>
    <mergeCell ref="E78:H78"/>
    <mergeCell ref="E79:H79"/>
    <mergeCell ref="E82:H82"/>
    <mergeCell ref="E83:H83"/>
    <mergeCell ref="E72:H72"/>
    <mergeCell ref="E67:H67"/>
    <mergeCell ref="E68:H68"/>
    <mergeCell ref="E69:H69"/>
    <mergeCell ref="E70:H70"/>
    <mergeCell ref="E71:H71"/>
    <mergeCell ref="E73:H73"/>
    <mergeCell ref="E74:H74"/>
    <mergeCell ref="E75:H75"/>
    <mergeCell ref="E76:H76"/>
    <mergeCell ref="E86:H86"/>
    <mergeCell ref="E80:H80"/>
    <mergeCell ref="E88:H88"/>
    <mergeCell ref="E77:H77"/>
    <mergeCell ref="E84:H84"/>
    <mergeCell ref="E81:H81"/>
    <mergeCell ref="B26:C26"/>
    <mergeCell ref="B62:C62"/>
    <mergeCell ref="A99:D99"/>
    <mergeCell ref="A109:D109"/>
    <mergeCell ref="A111:D111"/>
    <mergeCell ref="A112:D112"/>
    <mergeCell ref="A110:D110"/>
    <mergeCell ref="A73:D73"/>
    <mergeCell ref="A74:D74"/>
    <mergeCell ref="A75:D75"/>
    <mergeCell ref="A97:D97"/>
    <mergeCell ref="A98:D98"/>
    <mergeCell ref="B27:C27"/>
    <mergeCell ref="B28:C28"/>
    <mergeCell ref="B63:C63"/>
    <mergeCell ref="B64:C64"/>
    <mergeCell ref="B61:C61"/>
    <mergeCell ref="A67:D67"/>
    <mergeCell ref="A68:D68"/>
    <mergeCell ref="A80:D80"/>
    <mergeCell ref="A81:D81"/>
    <mergeCell ref="B29:C29"/>
    <mergeCell ref="B30:C30"/>
    <mergeCell ref="B32:C32"/>
    <mergeCell ref="B227:D227"/>
    <mergeCell ref="A233:D233"/>
    <mergeCell ref="B234:D234"/>
    <mergeCell ref="B235:D235"/>
    <mergeCell ref="B236:D236"/>
    <mergeCell ref="B223:D223"/>
    <mergeCell ref="B224:D224"/>
    <mergeCell ref="B226:D226"/>
    <mergeCell ref="B225:D225"/>
    <mergeCell ref="B229:D229"/>
    <mergeCell ref="B230:D230"/>
    <mergeCell ref="B231:D231"/>
    <mergeCell ref="E94:H94"/>
    <mergeCell ref="A142:D142"/>
    <mergeCell ref="E145:H145"/>
    <mergeCell ref="E146:H146"/>
    <mergeCell ref="A120:D120"/>
    <mergeCell ref="A121:D121"/>
    <mergeCell ref="A113:D113"/>
    <mergeCell ref="A114:D114"/>
    <mergeCell ref="E95:H95"/>
    <mergeCell ref="A130:D130"/>
    <mergeCell ref="E110:H110"/>
    <mergeCell ref="A117:D117"/>
    <mergeCell ref="A119:D119"/>
    <mergeCell ref="A115:D115"/>
    <mergeCell ref="A108:D108"/>
    <mergeCell ref="A100:D100"/>
    <mergeCell ref="E104:H104"/>
    <mergeCell ref="E105:H105"/>
    <mergeCell ref="A105:D105"/>
    <mergeCell ref="A101:D101"/>
    <mergeCell ref="A102:D102"/>
    <mergeCell ref="A103:D103"/>
    <mergeCell ref="A104:D104"/>
    <mergeCell ref="E107:H107"/>
  </mergeCells>
  <phoneticPr fontId="32" type="noConversion"/>
  <dataValidations count="1">
    <dataValidation type="decimal" allowBlank="1" showInputMessage="1" showErrorMessage="1" error="Must be between 0 and -100%" sqref="A240" xr:uid="{00000000-0002-0000-0400-000000000000}">
      <formula1>-1</formula1>
      <formula2>0</formula2>
    </dataValidation>
  </dataValidations>
  <pageMargins left="0.25" right="0.25" top="0.75" bottom="0.75" header="0.3" footer="0.3"/>
  <pageSetup scale="39" fitToHeight="0"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DB86-F036-4525-AB7D-9B40BF1860C7}">
  <sheetPr codeName="sheet0NonStatistical1">
    <pageSetUpPr fitToPage="1"/>
  </sheetPr>
  <dimension ref="A1:AK60"/>
  <sheetViews>
    <sheetView showGridLines="0" zoomScale="80" zoomScaleNormal="80" workbookViewId="0">
      <selection activeCell="D43" sqref="D43"/>
    </sheetView>
  </sheetViews>
  <sheetFormatPr defaultColWidth="9.125" defaultRowHeight="12.75" outlineLevelCol="1"/>
  <cols>
    <col min="1" max="1" width="2.75" style="2" customWidth="1"/>
    <col min="2" max="2" width="5.75" style="2" customWidth="1"/>
    <col min="3" max="5" width="25.75" style="2" customWidth="1"/>
    <col min="6" max="6" width="1.75" style="2" customWidth="1"/>
    <col min="7" max="7" width="1.125" style="2" customWidth="1"/>
    <col min="8" max="8" width="5.75" style="2" customWidth="1"/>
    <col min="9" max="9" width="17.75" style="2" customWidth="1"/>
    <col min="10" max="11" width="5.75" style="2" customWidth="1"/>
    <col min="12" max="12" width="17.75" style="2" customWidth="1"/>
    <col min="13" max="13" width="5.75" style="2" customWidth="1"/>
    <col min="14" max="14" width="9.75" style="2" customWidth="1"/>
    <col min="15" max="15" width="5.75" style="2" customWidth="1"/>
    <col min="16" max="16" width="15.75" style="2" customWidth="1"/>
    <col min="17" max="17" width="10.75" style="2" customWidth="1"/>
    <col min="18" max="18" width="1.5" style="2" customWidth="1"/>
    <col min="19" max="21" width="5.75" style="2" customWidth="1"/>
    <col min="22" max="22" width="11.75" style="2" customWidth="1"/>
    <col min="23" max="27" width="5.75" style="2" customWidth="1"/>
    <col min="28" max="28" width="21.75" style="2" customWidth="1"/>
    <col min="29" max="30" width="2.75" style="2" customWidth="1" outlineLevel="1"/>
    <col min="31" max="31" width="9.125" style="2" customWidth="1" outlineLevel="1"/>
    <col min="32" max="32" width="20.25" style="2" customWidth="1" outlineLevel="1"/>
    <col min="33" max="33" width="15.25" style="2" customWidth="1" outlineLevel="1"/>
    <col min="34" max="34" width="14.5" style="2" customWidth="1" outlineLevel="1"/>
    <col min="35" max="35" width="14.25" style="2" customWidth="1" outlineLevel="1"/>
    <col min="36" max="36" width="15.5" style="2" customWidth="1" outlineLevel="1"/>
    <col min="37" max="37" width="9.125" style="2" customWidth="1" outlineLevel="1"/>
    <col min="38" max="40" width="9.125" style="2" customWidth="1"/>
    <col min="41" max="16384" width="9.125" style="2"/>
  </cols>
  <sheetData>
    <row r="1" spans="1:37" ht="21" thickBot="1">
      <c r="A1" s="1"/>
      <c r="B1" s="308"/>
      <c r="C1" s="309"/>
      <c r="D1" s="309"/>
      <c r="E1" s="309"/>
      <c r="F1" s="1"/>
      <c r="G1" s="1"/>
      <c r="H1" s="1"/>
      <c r="I1" s="1"/>
      <c r="O1" s="1"/>
      <c r="AC1" s="1"/>
      <c r="AF1" s="10" t="s">
        <v>32</v>
      </c>
      <c r="AG1" s="2" t="s">
        <v>1</v>
      </c>
    </row>
    <row r="2" spans="1:37" ht="12.95" customHeight="1">
      <c r="A2" s="7"/>
      <c r="B2" s="38"/>
      <c r="C2" s="39"/>
      <c r="D2" s="39"/>
      <c r="E2" s="39"/>
      <c r="F2" s="39"/>
      <c r="G2" s="39"/>
      <c r="H2" s="39"/>
      <c r="I2" s="39"/>
      <c r="J2" s="40"/>
      <c r="K2" s="40"/>
      <c r="L2" s="40"/>
      <c r="M2" s="41"/>
      <c r="N2" s="41"/>
      <c r="O2" s="41"/>
      <c r="P2" s="41"/>
      <c r="Q2" s="41"/>
      <c r="R2" s="41"/>
      <c r="S2" s="41"/>
      <c r="T2" s="41"/>
      <c r="U2" s="41"/>
      <c r="V2" s="41"/>
      <c r="W2" s="41"/>
      <c r="X2" s="41"/>
      <c r="Y2" s="41"/>
      <c r="Z2" s="41"/>
      <c r="AA2" s="41"/>
      <c r="AB2" s="42"/>
      <c r="AF2" s="27"/>
      <c r="AG2" s="27"/>
    </row>
    <row r="3" spans="1:37" ht="12.95" customHeight="1">
      <c r="A3" s="15"/>
      <c r="B3" s="45"/>
      <c r="C3" s="47" t="str">
        <f>Drop!A102</f>
        <v>总体名称：</v>
      </c>
      <c r="D3" s="310"/>
      <c r="E3" s="311"/>
      <c r="F3" s="46"/>
      <c r="G3" s="46"/>
      <c r="H3" s="46"/>
      <c r="I3" s="46"/>
      <c r="J3" s="48"/>
      <c r="K3" s="49"/>
      <c r="L3" s="49"/>
      <c r="M3" s="49"/>
      <c r="N3" s="49"/>
      <c r="O3" s="49"/>
      <c r="P3" s="49"/>
      <c r="Q3" s="49"/>
      <c r="R3" s="49"/>
      <c r="S3" s="49"/>
      <c r="T3" s="49"/>
      <c r="U3" s="49"/>
      <c r="V3" s="50"/>
      <c r="W3" s="51"/>
      <c r="X3" s="51"/>
      <c r="Y3" s="51"/>
      <c r="Z3" s="51"/>
      <c r="AA3" s="51"/>
      <c r="AB3" s="52"/>
      <c r="AF3" s="27"/>
      <c r="AG3" s="27"/>
      <c r="AH3" s="27"/>
      <c r="AI3" s="27"/>
    </row>
    <row r="4" spans="1:37" ht="12.95" customHeight="1">
      <c r="A4" s="1"/>
      <c r="B4" s="53"/>
      <c r="C4" s="47" t="str">
        <f>Drop!A103</f>
        <v>适用的样本计划：</v>
      </c>
      <c r="D4" s="312" t="str">
        <f>汇总!D3</f>
        <v>致同抽样</v>
      </c>
      <c r="E4" s="313"/>
      <c r="F4" s="46"/>
      <c r="G4" s="46"/>
      <c r="H4" s="46"/>
      <c r="I4" s="46"/>
      <c r="J4" s="46"/>
      <c r="K4" s="49" t="str">
        <f>Drop!A105</f>
        <v>高信赖（其他标准）?：</v>
      </c>
      <c r="L4" s="312" t="str">
        <f>IF(ISBLANK(汇总!D7),Drop!A247,汇总!D7)</f>
        <v>否 - 不适用</v>
      </c>
      <c r="M4" s="314"/>
      <c r="N4" s="314"/>
      <c r="O4" s="313"/>
      <c r="P4" s="49"/>
      <c r="Q4" s="49"/>
      <c r="R4" s="49"/>
      <c r="S4" s="49"/>
      <c r="T4" s="49"/>
      <c r="U4" s="49"/>
      <c r="V4" s="50"/>
      <c r="W4" s="51"/>
      <c r="X4" s="51"/>
      <c r="Y4" s="51"/>
      <c r="Z4" s="51"/>
      <c r="AA4" s="51"/>
      <c r="AB4" s="52"/>
      <c r="AF4" s="27"/>
      <c r="AG4" s="27"/>
      <c r="AH4" s="27"/>
      <c r="AI4" s="27"/>
    </row>
    <row r="5" spans="1:37" ht="12.95" customHeight="1">
      <c r="A5" s="1"/>
      <c r="B5" s="54"/>
      <c r="C5" s="49" t="str">
        <f>Drop!A104</f>
        <v>上市实体/ 高风险?：</v>
      </c>
      <c r="D5" s="315" t="str">
        <f>汇总!D5</f>
        <v>是</v>
      </c>
      <c r="E5" s="316"/>
      <c r="F5" s="46"/>
      <c r="G5" s="46"/>
      <c r="H5" s="46"/>
      <c r="I5" s="46"/>
      <c r="J5" s="46"/>
      <c r="K5" s="49" t="str">
        <f>Drop!A106</f>
        <v>实际执行的重要性</v>
      </c>
      <c r="L5" s="317">
        <f>汇总!D10</f>
        <v>0</v>
      </c>
      <c r="M5" s="318"/>
      <c r="N5" s="318"/>
      <c r="O5" s="319"/>
      <c r="P5" s="49"/>
      <c r="Q5" s="49"/>
      <c r="R5" s="49"/>
      <c r="S5" s="49"/>
      <c r="T5" s="49"/>
      <c r="U5" s="49"/>
      <c r="V5" s="50"/>
      <c r="W5" s="51"/>
      <c r="X5" s="51"/>
      <c r="Y5" s="51"/>
      <c r="Z5" s="51"/>
      <c r="AA5" s="51"/>
      <c r="AB5" s="52"/>
      <c r="AF5" s="27" t="s">
        <v>161</v>
      </c>
      <c r="AG5" s="27" t="b">
        <f>OR(E11=Drop!A37)</f>
        <v>0</v>
      </c>
      <c r="AH5" s="11"/>
    </row>
    <row r="6" spans="1:37" ht="12.95" customHeight="1" thickBot="1">
      <c r="A6" s="1"/>
      <c r="B6" s="56"/>
      <c r="C6" s="57"/>
      <c r="D6" s="57"/>
      <c r="E6" s="57"/>
      <c r="F6" s="57"/>
      <c r="G6" s="57"/>
      <c r="H6" s="57"/>
      <c r="I6" s="57"/>
      <c r="J6" s="57"/>
      <c r="K6" s="57"/>
      <c r="L6" s="57"/>
      <c r="M6" s="57"/>
      <c r="N6" s="57"/>
      <c r="O6" s="57"/>
      <c r="P6" s="57"/>
      <c r="Q6" s="57"/>
      <c r="R6" s="57"/>
      <c r="S6" s="57"/>
      <c r="T6" s="57"/>
      <c r="U6" s="57"/>
      <c r="V6" s="57"/>
      <c r="W6" s="57"/>
      <c r="X6" s="57"/>
      <c r="Y6" s="57"/>
      <c r="Z6" s="57"/>
      <c r="AA6" s="57"/>
      <c r="AB6" s="58"/>
      <c r="AF6" s="27" t="s">
        <v>36</v>
      </c>
      <c r="AG6" s="27" t="b">
        <f>OR(D5=Drop!A13,L4=Drop!A246)</f>
        <v>1</v>
      </c>
      <c r="AH6" s="4"/>
    </row>
    <row r="7" spans="1:37" ht="13.5" thickBot="1">
      <c r="B7" s="60"/>
      <c r="C7" s="60"/>
      <c r="D7" s="60"/>
      <c r="E7" s="60"/>
      <c r="F7" s="35"/>
      <c r="G7" s="35"/>
      <c r="H7" s="35"/>
      <c r="I7" s="35"/>
      <c r="J7" s="35"/>
      <c r="K7" s="35"/>
      <c r="L7" s="35"/>
      <c r="M7" s="35"/>
      <c r="N7" s="35"/>
      <c r="O7" s="35"/>
      <c r="P7" s="35"/>
      <c r="Q7" s="35"/>
      <c r="R7" s="35"/>
      <c r="S7" s="35"/>
      <c r="T7" s="35"/>
      <c r="U7" s="35"/>
      <c r="V7" s="35"/>
      <c r="W7" s="35"/>
      <c r="X7" s="35"/>
      <c r="Y7" s="35"/>
      <c r="Z7" s="35"/>
      <c r="AA7" s="35"/>
      <c r="AB7" s="35"/>
      <c r="AF7" s="27" t="s">
        <v>37</v>
      </c>
      <c r="AG7" s="28">
        <f>IF(AG6=TRUE,5%,10%)</f>
        <v>0.05</v>
      </c>
      <c r="AH7" s="4"/>
    </row>
    <row r="8" spans="1:37" ht="13.5" thickBot="1">
      <c r="B8" s="62" t="str">
        <f>Drop!A93</f>
        <v>步骤 1 - 确定测试的目标</v>
      </c>
      <c r="C8" s="63"/>
      <c r="D8" s="63"/>
      <c r="E8" s="63"/>
      <c r="F8" s="64"/>
      <c r="G8" s="35"/>
      <c r="H8" s="65" t="str">
        <f>Drop!A95</f>
        <v>步骤 3 - 抽样方法</v>
      </c>
      <c r="I8" s="66"/>
      <c r="J8" s="66"/>
      <c r="K8" s="66"/>
      <c r="L8" s="66"/>
      <c r="M8" s="66"/>
      <c r="N8" s="66"/>
      <c r="O8" s="66"/>
      <c r="P8" s="66"/>
      <c r="Q8" s="67"/>
      <c r="R8" s="35"/>
      <c r="S8" s="65" t="str">
        <f>Drop!A97</f>
        <v>步骤 5 - 选取样本</v>
      </c>
      <c r="T8" s="66"/>
      <c r="U8" s="66"/>
      <c r="V8" s="66"/>
      <c r="W8" s="66"/>
      <c r="X8" s="66"/>
      <c r="Y8" s="66"/>
      <c r="Z8" s="66"/>
      <c r="AA8" s="66"/>
      <c r="AB8" s="67"/>
      <c r="AF8" s="27" t="s">
        <v>27</v>
      </c>
      <c r="AG8" s="26" t="str">
        <f>D4</f>
        <v>致同抽样</v>
      </c>
      <c r="AH8" s="12"/>
    </row>
    <row r="9" spans="1:37" ht="15" customHeight="1">
      <c r="B9" s="69"/>
      <c r="C9" s="70"/>
      <c r="D9" s="70"/>
      <c r="E9" s="70"/>
      <c r="F9" s="71"/>
      <c r="G9" s="35"/>
      <c r="H9" s="320" t="str">
        <f>IF(AG2=TRUE,Drop!A88,"")</f>
        <v/>
      </c>
      <c r="I9" s="321"/>
      <c r="J9" s="321"/>
      <c r="K9" s="321"/>
      <c r="L9" s="321"/>
      <c r="M9" s="321"/>
      <c r="N9" s="321"/>
      <c r="O9" s="321"/>
      <c r="P9" s="321"/>
      <c r="Q9" s="322"/>
      <c r="R9" s="35"/>
      <c r="S9" s="72"/>
      <c r="T9" s="32"/>
      <c r="U9" s="32"/>
      <c r="V9" s="32"/>
      <c r="W9" s="32"/>
      <c r="X9" s="32"/>
      <c r="Y9" s="32"/>
      <c r="Z9" s="32"/>
      <c r="AA9" s="32"/>
      <c r="AB9" s="73"/>
      <c r="AF9" s="27" t="s">
        <v>43</v>
      </c>
      <c r="AG9" s="26">
        <f>VLOOKUP(AG8,Drop!A17:B19,2,FALSE)</f>
        <v>2</v>
      </c>
      <c r="AH9" s="12"/>
    </row>
    <row r="10" spans="1:37" ht="20.100000000000001" customHeight="1">
      <c r="B10" s="326" t="str">
        <f>Drop!A108</f>
        <v>认定</v>
      </c>
      <c r="C10" s="327"/>
      <c r="D10" s="328"/>
      <c r="E10" s="237"/>
      <c r="F10" s="199"/>
      <c r="G10" s="35"/>
      <c r="H10" s="323"/>
      <c r="I10" s="324"/>
      <c r="J10" s="324"/>
      <c r="K10" s="324"/>
      <c r="L10" s="324"/>
      <c r="M10" s="324"/>
      <c r="N10" s="324"/>
      <c r="O10" s="324"/>
      <c r="P10" s="324"/>
      <c r="Q10" s="325"/>
      <c r="R10" s="35"/>
      <c r="S10" s="135" t="str">
        <f>Drop!A139</f>
        <v>使用的选取方法</v>
      </c>
      <c r="T10" s="32"/>
      <c r="U10" s="32"/>
      <c r="V10" s="32"/>
      <c r="W10" s="32"/>
      <c r="X10" s="32"/>
      <c r="Y10" s="329" t="s">
        <v>291</v>
      </c>
      <c r="Z10" s="330"/>
      <c r="AA10" s="330"/>
      <c r="AB10" s="331"/>
      <c r="AF10" s="27" t="s">
        <v>39</v>
      </c>
      <c r="AG10" s="28" t="e">
        <f>VLOOKUP(E11,Drop!A37:D39,AG9,FALSE)</f>
        <v>#N/A</v>
      </c>
      <c r="AH10" s="11"/>
    </row>
    <row r="11" spans="1:37" ht="26.1" customHeight="1">
      <c r="B11" s="326" t="str">
        <f>Drop!A109</f>
        <v>固有风险</v>
      </c>
      <c r="C11" s="327"/>
      <c r="D11" s="328"/>
      <c r="E11" s="211"/>
      <c r="F11" s="199"/>
      <c r="G11" s="35"/>
      <c r="H11" s="117"/>
      <c r="I11" s="32"/>
      <c r="J11" s="32"/>
      <c r="K11" s="118" t="str">
        <f>Drop!A121</f>
        <v>非统计抽样</v>
      </c>
      <c r="L11" s="32"/>
      <c r="M11" s="118"/>
      <c r="N11" s="118"/>
      <c r="O11" s="32"/>
      <c r="P11" s="32"/>
      <c r="Q11" s="73"/>
      <c r="R11" s="35"/>
      <c r="S11" s="74"/>
      <c r="T11" s="32"/>
      <c r="U11" s="32"/>
      <c r="V11" s="32"/>
      <c r="W11" s="32"/>
      <c r="X11" s="32"/>
      <c r="Y11" s="32"/>
      <c r="Z11" s="32"/>
      <c r="AA11" s="32"/>
      <c r="AB11" s="73"/>
      <c r="AF11" s="27" t="s">
        <v>40</v>
      </c>
      <c r="AG11" s="61" t="str">
        <f>IF(ISBLANK(E12),"",IF(E12=Drop!A43,Drop!B43,VLOOKUP(E13,Drop!A44:D46,AG9,FALSE)))</f>
        <v/>
      </c>
      <c r="AH11" s="29" t="s">
        <v>167</v>
      </c>
      <c r="AI11" s="27" t="b">
        <f>E12=Drop!A45</f>
        <v>0</v>
      </c>
      <c r="AJ11" s="27" t="str">
        <f>IF(AI$11=TRUE,Drop!A13,"")</f>
        <v/>
      </c>
      <c r="AK11" s="27" t="str">
        <f>IF(AI$11=TRUE,Drop!A14,"")</f>
        <v/>
      </c>
    </row>
    <row r="12" spans="1:37" ht="26.1" customHeight="1">
      <c r="B12" s="332" t="str">
        <f>Drop!A110</f>
        <v>对控制的信赖程度</v>
      </c>
      <c r="C12" s="333"/>
      <c r="D12" s="334"/>
      <c r="E12" s="212"/>
      <c r="F12" s="199"/>
      <c r="G12" s="35"/>
      <c r="H12" s="117"/>
      <c r="I12" s="32"/>
      <c r="J12" s="119"/>
      <c r="K12" s="119"/>
      <c r="L12" s="119"/>
      <c r="M12" s="119"/>
      <c r="N12" s="134" t="str">
        <f>Drop!A122</f>
        <v>总体的性质?</v>
      </c>
      <c r="O12" s="335" t="s">
        <v>292</v>
      </c>
      <c r="P12" s="336"/>
      <c r="Q12" s="73"/>
      <c r="R12" s="35"/>
      <c r="S12" s="135" t="str">
        <f>Drop!A140</f>
        <v>样本间隔</v>
      </c>
      <c r="T12" s="32"/>
      <c r="U12" s="32"/>
      <c r="V12" s="32"/>
      <c r="W12" s="32"/>
      <c r="X12" s="32"/>
      <c r="Y12" s="337" t="str" cm="1">
        <f t="array" ref="Y12">_xlfn.IFS(ISBLANK(Y10),"",AND(Y10=Drop!A62,O12=Drop!A125),Drop!A228,Y10&lt;&gt;Drop!A62,Drop!A222,ISERROR(AG25),Drop!A219,TRUE,AG25)</f>
        <v>系统抽样未被选取，间隔不适用</v>
      </c>
      <c r="Z12" s="338"/>
      <c r="AA12" s="338"/>
      <c r="AB12" s="339"/>
      <c r="AF12" s="27" t="s">
        <v>41</v>
      </c>
      <c r="AG12" s="28">
        <f>VLOOKUP(K19,Drop!A52:D54,AG9,FALSE)</f>
        <v>1</v>
      </c>
      <c r="AH12" s="11"/>
      <c r="AJ12" s="2" t="str">
        <f>IF(AI$11=TRUE,Drop!A14,"")</f>
        <v/>
      </c>
    </row>
    <row r="13" spans="1:37" ht="20.100000000000001" customHeight="1">
      <c r="B13" s="332" t="str">
        <f>Drop!A48</f>
        <v>测试范围</v>
      </c>
      <c r="C13" s="333"/>
      <c r="D13" s="333"/>
      <c r="E13" s="212" t="s">
        <v>312</v>
      </c>
      <c r="F13" s="199"/>
      <c r="G13" s="35"/>
      <c r="H13" s="117"/>
      <c r="I13" s="32"/>
      <c r="J13" s="119"/>
      <c r="K13" s="119"/>
      <c r="L13" s="119"/>
      <c r="M13" s="119"/>
      <c r="N13" s="179"/>
      <c r="O13" s="119"/>
      <c r="P13" s="179"/>
      <c r="Q13" s="73"/>
      <c r="R13" s="35"/>
      <c r="S13" s="135"/>
      <c r="T13" s="32"/>
      <c r="U13" s="32"/>
      <c r="V13" s="32"/>
      <c r="W13" s="32"/>
      <c r="X13" s="32"/>
      <c r="Y13" s="180"/>
      <c r="Z13" s="180"/>
      <c r="AA13" s="180"/>
      <c r="AB13" s="181"/>
      <c r="AF13" s="27"/>
      <c r="AG13" s="28"/>
      <c r="AH13" s="11"/>
    </row>
    <row r="14" spans="1:37" ht="15.75" customHeight="1" thickBot="1">
      <c r="B14" s="162"/>
      <c r="C14" s="163"/>
      <c r="D14" s="163"/>
      <c r="E14" s="163"/>
      <c r="F14" s="200"/>
      <c r="G14" s="35"/>
      <c r="H14" s="76"/>
      <c r="I14" s="77"/>
      <c r="J14" s="77"/>
      <c r="K14" s="77"/>
      <c r="L14" s="77"/>
      <c r="M14" s="77"/>
      <c r="N14" s="77"/>
      <c r="O14" s="77"/>
      <c r="P14" s="77"/>
      <c r="Q14" s="78"/>
      <c r="R14" s="35"/>
      <c r="S14" s="76"/>
      <c r="T14" s="77"/>
      <c r="U14" s="77"/>
      <c r="V14" s="77"/>
      <c r="W14" s="77"/>
      <c r="X14" s="77"/>
      <c r="Y14" s="77"/>
      <c r="Z14" s="77"/>
      <c r="AA14" s="77"/>
      <c r="AB14" s="78"/>
      <c r="AF14" s="27" t="s">
        <v>38</v>
      </c>
      <c r="AG14" s="28">
        <f>VLOOKUP(K20,Drop!A52:D54,AG9,FALSE)</f>
        <v>1</v>
      </c>
      <c r="AH14" s="13"/>
    </row>
    <row r="15" spans="1:37" ht="13.5" thickBot="1">
      <c r="B15" s="35"/>
      <c r="C15" s="35"/>
      <c r="D15" s="35"/>
      <c r="E15" s="35"/>
      <c r="F15" s="35"/>
      <c r="G15" s="35"/>
      <c r="H15" s="35"/>
      <c r="I15" s="35"/>
      <c r="J15" s="35"/>
      <c r="K15" s="35"/>
      <c r="L15" s="35"/>
      <c r="M15" s="35"/>
      <c r="N15" s="35"/>
      <c r="O15" s="35"/>
      <c r="P15" s="35"/>
      <c r="Q15" s="35"/>
      <c r="R15" s="35"/>
      <c r="S15" s="80"/>
      <c r="T15" s="81"/>
      <c r="U15" s="81"/>
      <c r="V15" s="81"/>
      <c r="W15" s="81"/>
      <c r="X15" s="81"/>
      <c r="Y15" s="81"/>
      <c r="Z15" s="81"/>
      <c r="AA15" s="81"/>
      <c r="AB15" s="81"/>
      <c r="AF15" s="27" t="s">
        <v>211</v>
      </c>
      <c r="AG15" s="28">
        <f>VLOOKUP(K21,Drop!A58:D59,AG9,FALSE)</f>
        <v>1</v>
      </c>
      <c r="AH15" s="14"/>
    </row>
    <row r="16" spans="1:37" ht="13.5" thickBot="1">
      <c r="B16" s="65" t="str">
        <f>Drop!A94</f>
        <v>步骤 2 - 定义和分析总体</v>
      </c>
      <c r="C16" s="66"/>
      <c r="D16" s="66"/>
      <c r="E16" s="66"/>
      <c r="F16" s="67"/>
      <c r="G16" s="35"/>
      <c r="H16" s="65" t="str">
        <f>Drop!A96</f>
        <v>步骤 4 - 确定样本量</v>
      </c>
      <c r="I16" s="66"/>
      <c r="J16" s="66"/>
      <c r="K16" s="66"/>
      <c r="L16" s="66"/>
      <c r="M16" s="66"/>
      <c r="N16" s="66"/>
      <c r="O16" s="66"/>
      <c r="P16" s="66"/>
      <c r="Q16" s="67"/>
      <c r="R16" s="35"/>
      <c r="S16" s="65" t="str">
        <f>Drop!A98</f>
        <v>步骤 6 - 测试已选取样本</v>
      </c>
      <c r="T16" s="66"/>
      <c r="U16" s="66"/>
      <c r="V16" s="66"/>
      <c r="W16" s="66"/>
      <c r="X16" s="66"/>
      <c r="Y16" s="66"/>
      <c r="Z16" s="66"/>
      <c r="AA16" s="66"/>
      <c r="AB16" s="67"/>
      <c r="AF16" s="27" t="s">
        <v>45</v>
      </c>
      <c r="AG16" s="28" t="e">
        <f>AG7/(AG10*AG11*AG12*AG14*AG15)</f>
        <v>#N/A</v>
      </c>
    </row>
    <row r="17" spans="2:33">
      <c r="B17" s="85"/>
      <c r="C17" s="86"/>
      <c r="D17" s="86"/>
      <c r="E17" s="86"/>
      <c r="F17" s="87"/>
      <c r="G17" s="35"/>
      <c r="H17" s="85"/>
      <c r="I17" s="86"/>
      <c r="J17" s="86"/>
      <c r="K17" s="86"/>
      <c r="L17" s="86"/>
      <c r="M17" s="86"/>
      <c r="N17" s="86"/>
      <c r="O17" s="86"/>
      <c r="P17" s="86"/>
      <c r="Q17" s="87"/>
      <c r="R17" s="35"/>
      <c r="S17" s="74"/>
      <c r="T17" s="32"/>
      <c r="U17" s="32"/>
      <c r="V17" s="32"/>
      <c r="W17" s="32"/>
      <c r="X17" s="32"/>
      <c r="Y17" s="32"/>
      <c r="Z17" s="32"/>
      <c r="AA17" s="32"/>
      <c r="AB17" s="73"/>
      <c r="AF17" s="27" t="s">
        <v>46</v>
      </c>
      <c r="AG17" s="30" t="e">
        <f>1-AG16</f>
        <v>#N/A</v>
      </c>
    </row>
    <row r="18" spans="2:33" ht="14.25">
      <c r="B18" s="349" t="str">
        <f>Drop!A112</f>
        <v>总体的绝对值</v>
      </c>
      <c r="C18" s="350"/>
      <c r="D18" s="351"/>
      <c r="E18" s="224"/>
      <c r="F18" s="199"/>
      <c r="G18" s="35"/>
      <c r="H18" s="135" t="str">
        <f>Drop!A130</f>
        <v>提供的证据:</v>
      </c>
      <c r="I18" s="32"/>
      <c r="J18" s="32"/>
      <c r="K18" s="32"/>
      <c r="L18" s="32"/>
      <c r="M18" s="358" t="str">
        <f>Drop!A82</f>
        <v>描述程序</v>
      </c>
      <c r="N18" s="359"/>
      <c r="O18" s="359"/>
      <c r="P18" s="359"/>
      <c r="Q18" s="360"/>
      <c r="R18" s="35"/>
      <c r="S18" s="340" t="str">
        <f>Drop!A142</f>
        <v>相关测试记录的工作底稿索引:</v>
      </c>
      <c r="T18" s="341"/>
      <c r="U18" s="341"/>
      <c r="V18" s="341"/>
      <c r="W18" s="341"/>
      <c r="X18" s="341"/>
      <c r="Y18" s="342"/>
      <c r="Z18" s="343" t="s">
        <v>315</v>
      </c>
      <c r="AA18" s="344"/>
      <c r="AB18" s="345"/>
      <c r="AF18" s="27" t="s">
        <v>48</v>
      </c>
      <c r="AG18" s="31">
        <f>IF(E19=Drop!A14,(E18-E24-E25),(E20 - E24-E25))</f>
        <v>90000</v>
      </c>
    </row>
    <row r="19" spans="2:33" ht="30" customHeight="1">
      <c r="B19" s="349" t="str">
        <f>Drop!A67</f>
        <v>测试少于总体的100%？</v>
      </c>
      <c r="C19" s="350"/>
      <c r="D19" s="351"/>
      <c r="E19" s="211"/>
      <c r="F19" s="199"/>
      <c r="G19" s="136"/>
      <c r="H19" s="135" t="str">
        <f>Drop!A131</f>
        <v>分析程序</v>
      </c>
      <c r="I19" s="93"/>
      <c r="J19" s="130"/>
      <c r="K19" s="329" t="s">
        <v>486</v>
      </c>
      <c r="L19" s="352"/>
      <c r="M19" s="329"/>
      <c r="N19" s="330"/>
      <c r="O19" s="330"/>
      <c r="P19" s="330"/>
      <c r="Q19" s="331"/>
      <c r="R19" s="35"/>
      <c r="S19" s="340"/>
      <c r="T19" s="341"/>
      <c r="U19" s="341"/>
      <c r="V19" s="341"/>
      <c r="W19" s="341"/>
      <c r="X19" s="341"/>
      <c r="Y19" s="342"/>
      <c r="Z19" s="346"/>
      <c r="AA19" s="347"/>
      <c r="AB19" s="348"/>
      <c r="AF19" s="27" t="s">
        <v>49</v>
      </c>
      <c r="AG19" s="27" t="b">
        <f>OR(E24&gt;0,E25&gt;0,D24&gt;0,D25&gt;0)</f>
        <v>0</v>
      </c>
    </row>
    <row r="20" spans="2:33" ht="30" customHeight="1" thickBot="1">
      <c r="B20" s="361" t="str">
        <f>IF(OR(ISBLANK(E19),E19=Drop!A14),"",Drop!A68)</f>
        <v/>
      </c>
      <c r="C20" s="362"/>
      <c r="D20" s="362"/>
      <c r="E20" s="198">
        <v>90000</v>
      </c>
      <c r="F20" s="199"/>
      <c r="G20" s="136"/>
      <c r="H20" s="137" t="str">
        <f>Drop!A132</f>
        <v>其他细节测试</v>
      </c>
      <c r="I20" s="93"/>
      <c r="J20" s="130"/>
      <c r="K20" s="329" t="s">
        <v>486</v>
      </c>
      <c r="L20" s="352"/>
      <c r="M20" s="329" t="s">
        <v>314</v>
      </c>
      <c r="N20" s="330"/>
      <c r="O20" s="330"/>
      <c r="P20" s="330"/>
      <c r="Q20" s="331"/>
      <c r="R20" s="35"/>
      <c r="S20" s="76"/>
      <c r="T20" s="77"/>
      <c r="U20" s="77"/>
      <c r="V20" s="77"/>
      <c r="W20" s="77"/>
      <c r="X20" s="77"/>
      <c r="Y20" s="77"/>
      <c r="Z20" s="77"/>
      <c r="AA20" s="77"/>
      <c r="AB20" s="78"/>
      <c r="AF20" s="153" t="s">
        <v>99</v>
      </c>
      <c r="AG20" s="27" t="b">
        <f>IF(ISERROR(OR(AG12&lt;100%,AG14&lt;100%)),"",OR(AG12&lt;100%,AG14&lt;100%))</f>
        <v>0</v>
      </c>
    </row>
    <row r="21" spans="2:33" ht="30" customHeight="1">
      <c r="B21" s="196"/>
      <c r="C21" s="197"/>
      <c r="D21" s="197"/>
      <c r="E21" s="197"/>
      <c r="F21" s="199"/>
      <c r="G21" s="136"/>
      <c r="H21" s="137" t="str">
        <f>Drop!A133</f>
        <v>审计数据分析</v>
      </c>
      <c r="I21" s="93"/>
      <c r="J21" s="130"/>
      <c r="K21" s="329" t="s">
        <v>287</v>
      </c>
      <c r="L21" s="352"/>
      <c r="M21" s="329"/>
      <c r="N21" s="330"/>
      <c r="O21" s="330"/>
      <c r="P21" s="330"/>
      <c r="Q21" s="331"/>
      <c r="R21" s="35"/>
      <c r="S21" s="35"/>
      <c r="T21" s="35"/>
      <c r="U21" s="35"/>
      <c r="V21" s="35"/>
      <c r="W21" s="35"/>
      <c r="X21" s="35"/>
      <c r="Y21" s="35"/>
      <c r="Z21" s="35"/>
      <c r="AA21" s="35"/>
      <c r="AB21" s="35"/>
      <c r="AF21" s="176" t="s">
        <v>205</v>
      </c>
      <c r="AG21" s="177" t="b">
        <f>OR(O12=Drop!A125,O12=Drop!A126,Y10=Drop!A62)</f>
        <v>1</v>
      </c>
    </row>
    <row r="22" spans="2:33" s="141" customFormat="1" ht="23.25" customHeight="1">
      <c r="B22" s="158" t="str">
        <f>Drop!A113</f>
        <v>重大金额或关键项目进行单独测试:</v>
      </c>
      <c r="C22" s="159"/>
      <c r="D22" s="159"/>
      <c r="E22" s="159"/>
      <c r="F22" s="157"/>
      <c r="G22" s="136"/>
      <c r="H22" s="137" t="str">
        <f>Drop!A134</f>
        <v>预期总体错报金额</v>
      </c>
      <c r="I22" s="93"/>
      <c r="J22" s="93"/>
      <c r="K22" s="93"/>
      <c r="L22" s="93"/>
      <c r="M22" s="353">
        <v>0.1</v>
      </c>
      <c r="N22" s="354"/>
      <c r="O22" s="355">
        <f>IF(ISBLANK(M22),"",$L$5*M22)</f>
        <v>0</v>
      </c>
      <c r="P22" s="356"/>
      <c r="Q22" s="357"/>
      <c r="R22" s="136"/>
      <c r="S22" s="136"/>
      <c r="T22" s="136"/>
      <c r="U22" s="136"/>
      <c r="V22" s="136"/>
      <c r="W22" s="136"/>
      <c r="X22" s="136"/>
      <c r="Y22" s="136"/>
      <c r="Z22" s="136"/>
      <c r="AA22" s="136"/>
      <c r="AB22" s="136"/>
      <c r="AF22" s="153"/>
      <c r="AG22" s="27"/>
    </row>
    <row r="23" spans="2:33">
      <c r="B23" s="166"/>
      <c r="C23" s="168"/>
      <c r="D23" s="195" t="str">
        <f>Drop!A114</f>
        <v>项目总数</v>
      </c>
      <c r="E23" s="192" t="str">
        <f>Drop!A115</f>
        <v>合计金额</v>
      </c>
      <c r="F23" s="73"/>
      <c r="G23" s="35"/>
      <c r="H23" s="363" t="str" cm="1">
        <f t="array" ref="H23">_xlfn.IFS(ISBLANK(M22),"",ISERROR(O22),Drop!A219,M22&lt;Drop!F62,Drop!A79,M22&gt;=Drop!H62,Drop!A81,M22&gt;Drop!G62,Drop!A80,TRUE,"")</f>
        <v/>
      </c>
      <c r="I23" s="364"/>
      <c r="J23" s="364"/>
      <c r="K23" s="364"/>
      <c r="L23" s="364"/>
      <c r="M23" s="364"/>
      <c r="N23" s="364"/>
      <c r="O23" s="364"/>
      <c r="P23" s="364"/>
      <c r="Q23" s="365"/>
      <c r="R23" s="35"/>
      <c r="S23" s="35"/>
      <c r="T23" s="35"/>
      <c r="U23" s="35"/>
      <c r="V23" s="35"/>
      <c r="W23" s="35"/>
      <c r="X23" s="35"/>
      <c r="Y23" s="35"/>
      <c r="Z23" s="35"/>
      <c r="AA23" s="35"/>
      <c r="AB23" s="161" t="str">
        <f>Drop!A243</f>
        <v>图例</v>
      </c>
      <c r="AF23" s="175" t="s">
        <v>85</v>
      </c>
      <c r="AG23" s="175">
        <f>IF(OR(ISBLANK(O12),ISBLANK(Y10)),"",IF(AG21,1,1.5))</f>
        <v>1</v>
      </c>
    </row>
    <row r="24" spans="2:33" ht="24.95" customHeight="1">
      <c r="B24" s="166"/>
      <c r="C24" s="215" t="str">
        <f>Drop!A116</f>
        <v>定性</v>
      </c>
      <c r="D24" s="194"/>
      <c r="E24" s="218"/>
      <c r="F24" s="73"/>
      <c r="G24" s="91"/>
      <c r="H24" s="174" t="str">
        <f>IF(E19=Drop!A13,Drop!A137,"")</f>
        <v/>
      </c>
      <c r="I24" s="193"/>
      <c r="J24" s="193"/>
      <c r="K24" s="193"/>
      <c r="L24" s="167"/>
      <c r="M24" s="167"/>
      <c r="N24" s="167"/>
      <c r="O24" s="355" t="str">
        <f>IF(AND(E19=Drop!A13,ISBLANK(M22)=FALSE),O22*E20/E18,"")</f>
        <v/>
      </c>
      <c r="P24" s="356"/>
      <c r="Q24" s="357"/>
      <c r="R24" s="35"/>
      <c r="S24" s="35"/>
      <c r="T24" s="35"/>
      <c r="U24" s="35"/>
      <c r="V24" s="35"/>
      <c r="W24" s="35"/>
      <c r="X24" s="35"/>
      <c r="Y24" s="35"/>
      <c r="Z24" s="35"/>
      <c r="AA24" s="148" t="str">
        <f>Drop!A234</f>
        <v>系统生成或计算值</v>
      </c>
      <c r="AB24" s="150"/>
      <c r="AF24" s="27" t="s">
        <v>12</v>
      </c>
      <c r="AG24" s="140" t="str">
        <f>IF(ISBLANK(E19),Drop!A219,IF(E19=Drop!A13,IF(AG17&gt;0,ROUNDUP(PoissonSample(AG16,((O22*(E20/E18))/AG18),((L5*(E20/E18))/AG18))*AG23,0),0),IF(E19=Drop!A14,IF(AG17&gt;0,ROUNDUP(PoissonSample(AG16,((O22)/AG18),((L5)/AG18))*AG23,0),0))))</f>
        <v>核实所有输入</v>
      </c>
    </row>
    <row r="25" spans="2:33" ht="24.95" customHeight="1">
      <c r="B25" s="166"/>
      <c r="C25" s="215" t="str">
        <f>Drop!A117</f>
        <v>定量</v>
      </c>
      <c r="D25" s="194"/>
      <c r="E25" s="218"/>
      <c r="F25" s="73"/>
      <c r="G25" s="35"/>
      <c r="H25" s="92" t="str">
        <f>Drop!A135</f>
        <v>设计置信水平</v>
      </c>
      <c r="I25" s="121"/>
      <c r="J25" s="93"/>
      <c r="K25" s="93"/>
      <c r="L25" s="366" t="str">
        <f>IF(ISERROR(IF(AG17&lt;=0,Drop!A69,AG17)),Drop!A219,IF(AG17&lt;=0,Drop!A69,AG17))</f>
        <v>核实所有输入</v>
      </c>
      <c r="M25" s="366"/>
      <c r="N25" s="366"/>
      <c r="O25" s="366"/>
      <c r="P25" s="366"/>
      <c r="Q25" s="367"/>
      <c r="R25" s="35"/>
      <c r="S25" s="35"/>
      <c r="T25" s="35"/>
      <c r="U25" s="35"/>
      <c r="V25" s="35"/>
      <c r="W25" s="35"/>
      <c r="X25" s="35"/>
      <c r="Y25" s="35"/>
      <c r="Z25" s="35"/>
      <c r="AA25" s="148" t="str">
        <f>Drop!A235</f>
        <v>要求用户选择如何确定样本</v>
      </c>
      <c r="AB25" s="147"/>
      <c r="AF25" s="27" t="s">
        <v>106</v>
      </c>
      <c r="AG25" s="143" t="e" cm="1">
        <f t="array" ref="AG25">_xlfn.IFS(L26=Drop!A85,Drop!A227,L26=Drop!A84,ROUND(AG18/5,0),TRUE,ROUND(AG18/L26,0))</f>
        <v>#VALUE!</v>
      </c>
    </row>
    <row r="26" spans="2:33" ht="24.95" customHeight="1">
      <c r="B26" s="166"/>
      <c r="C26" s="168"/>
      <c r="D26" s="214" t="str">
        <f>Drop!A118</f>
        <v>抽样总体</v>
      </c>
      <c r="E26" s="219">
        <f>AG18</f>
        <v>90000</v>
      </c>
      <c r="F26" s="169"/>
      <c r="G26" s="35"/>
      <c r="H26" s="92" t="str">
        <f>Drop!A136</f>
        <v>样本量</v>
      </c>
      <c r="I26" s="121"/>
      <c r="J26" s="93"/>
      <c r="K26" s="93"/>
      <c r="L26" s="368" t="str" cm="1">
        <f t="array" ref="L26">_xlfn.IFS(AG18&lt;=L5,Drop!A89,AG26=TRUE,Drop!A219,O22="",Drop!A219,ISERROR(AG24&gt;=5),Drop!A219,AG24&gt;=5,AG24,AG17&lt;=0,Drop!A85,TRUE,Drop!A84)</f>
        <v>核实所有输入</v>
      </c>
      <c r="M26" s="368"/>
      <c r="N26" s="368"/>
      <c r="O26" s="368"/>
      <c r="P26" s="368"/>
      <c r="Q26" s="369"/>
      <c r="R26" s="35"/>
      <c r="S26" s="35"/>
      <c r="T26" s="35"/>
      <c r="U26" s="35"/>
      <c r="V26" s="35"/>
      <c r="W26" s="35"/>
      <c r="X26" s="35"/>
      <c r="Y26" s="35"/>
      <c r="Z26" s="35"/>
      <c r="AA26" s="148" t="str">
        <f>Drop!A236</f>
        <v>其他用户输入栏</v>
      </c>
      <c r="AB26" s="151"/>
      <c r="AF26" s="153" t="s">
        <v>244</v>
      </c>
      <c r="AG26" s="143" t="b">
        <f>M22&gt;=Drop!H62</f>
        <v>0</v>
      </c>
    </row>
    <row r="27" spans="2:33" ht="24.95" customHeight="1">
      <c r="B27" s="166"/>
      <c r="C27" s="168"/>
      <c r="D27" s="168"/>
      <c r="E27" s="168"/>
      <c r="F27" s="169"/>
      <c r="G27" s="35"/>
      <c r="H27" s="370" t="str">
        <f>IF(AG19=TRUE,Drop!A70,"")</f>
        <v/>
      </c>
      <c r="I27" s="371"/>
      <c r="J27" s="371"/>
      <c r="K27" s="371"/>
      <c r="L27" s="372" t="str">
        <f>IF(AG19=TRUE,D24+D25,"")</f>
        <v/>
      </c>
      <c r="M27" s="373"/>
      <c r="N27" s="373" t="str">
        <f>IF(AG19=TRUE,D24+D25,"")</f>
        <v/>
      </c>
      <c r="O27" s="373"/>
      <c r="P27" s="373"/>
      <c r="Q27" s="374"/>
      <c r="R27" s="35"/>
      <c r="S27" s="35"/>
      <c r="T27" s="35"/>
      <c r="U27" s="35"/>
      <c r="V27" s="35"/>
      <c r="W27" s="35"/>
      <c r="X27" s="35"/>
      <c r="Y27" s="35"/>
      <c r="Z27" s="35"/>
      <c r="AA27" s="148"/>
      <c r="AB27" s="35"/>
    </row>
    <row r="28" spans="2:33" ht="34.15" customHeight="1" thickBot="1">
      <c r="B28" s="375" t="str" cm="1">
        <f t="array" ref="B28">_xlfn.IFS(AG28=TRUE,Drop!A220,AG29=TRUE,Drop!A223,AG30=TRUE,Drop!A221,TRUE,"")</f>
        <v/>
      </c>
      <c r="C28" s="376"/>
      <c r="D28" s="376"/>
      <c r="E28" s="376"/>
      <c r="F28" s="377"/>
      <c r="G28" s="35"/>
      <c r="H28" s="76"/>
      <c r="I28" s="77"/>
      <c r="J28" s="77"/>
      <c r="K28" s="77"/>
      <c r="L28" s="77"/>
      <c r="M28" s="77"/>
      <c r="N28" s="77"/>
      <c r="O28" s="94"/>
      <c r="P28" s="77"/>
      <c r="Q28" s="95"/>
      <c r="R28" s="35"/>
      <c r="S28" s="35"/>
      <c r="T28" s="35"/>
      <c r="U28" s="35"/>
      <c r="V28" s="35"/>
      <c r="W28" s="35"/>
      <c r="X28" s="35"/>
      <c r="Y28" s="35"/>
      <c r="Z28" s="35"/>
      <c r="AA28" s="35"/>
      <c r="AB28" s="35"/>
      <c r="AF28" s="154" t="s">
        <v>206</v>
      </c>
      <c r="AG28" s="207" t="str">
        <f>IF(ISBLANK(E18),"",IF(E19=Drop!A13,SUM(E24:E25)&gt;E20,SUM(E24:E25)&gt;E18))</f>
        <v/>
      </c>
    </row>
    <row r="29" spans="2:33" ht="24.95" customHeight="1" thickBot="1">
      <c r="B29" s="96"/>
      <c r="C29" s="35"/>
      <c r="D29" s="35"/>
      <c r="E29" s="35"/>
      <c r="F29" s="35"/>
      <c r="G29" s="35"/>
      <c r="H29" s="35"/>
      <c r="I29" s="35"/>
      <c r="J29" s="35"/>
      <c r="K29" s="35"/>
      <c r="L29" s="35"/>
      <c r="M29" s="35"/>
      <c r="N29" s="35"/>
      <c r="O29" s="35"/>
      <c r="P29" s="35"/>
      <c r="Q29" s="35"/>
      <c r="R29" s="35"/>
      <c r="S29" s="35"/>
      <c r="T29" s="35"/>
      <c r="U29" s="35"/>
      <c r="V29" s="35"/>
      <c r="W29" s="35"/>
      <c r="X29" s="35"/>
      <c r="Y29" s="35"/>
      <c r="Z29" s="35"/>
      <c r="AA29" s="35"/>
      <c r="AB29" s="35"/>
      <c r="AF29" s="154" t="s">
        <v>207</v>
      </c>
      <c r="AG29" s="207" t="str">
        <f>IF(ISBLANK(E18),"",IF(E19=Drop!A13,(SUM(E24:E25)/E20)&gt;Drop!E223,(SUM(E24:E25)/E18)&gt;Drop!E223))</f>
        <v/>
      </c>
    </row>
    <row r="30" spans="2:33" ht="13.5" thickBot="1">
      <c r="B30" s="65" t="str">
        <f>Drop!A99</f>
        <v>步骤 7 - 评价样本结果</v>
      </c>
      <c r="C30" s="66"/>
      <c r="D30" s="66"/>
      <c r="E30" s="66"/>
      <c r="F30" s="66"/>
      <c r="G30" s="66"/>
      <c r="H30" s="66"/>
      <c r="I30" s="66"/>
      <c r="J30" s="66"/>
      <c r="K30" s="66"/>
      <c r="L30" s="66"/>
      <c r="M30" s="66"/>
      <c r="N30" s="66"/>
      <c r="O30" s="66"/>
      <c r="P30" s="66"/>
      <c r="Q30" s="66"/>
      <c r="R30" s="66"/>
      <c r="S30" s="66"/>
      <c r="T30" s="66"/>
      <c r="U30" s="66"/>
      <c r="V30" s="66"/>
      <c r="W30" s="66"/>
      <c r="X30" s="66"/>
      <c r="Y30" s="66"/>
      <c r="Z30" s="66"/>
      <c r="AA30" s="66"/>
      <c r="AB30" s="67"/>
      <c r="AF30" s="27" t="s">
        <v>237</v>
      </c>
      <c r="AG30" s="27" t="b">
        <f>OR(E24&lt;0,E25&lt;0)</f>
        <v>0</v>
      </c>
    </row>
    <row r="31" spans="2:33" ht="15" customHeight="1">
      <c r="B31" s="378" t="str" cm="1">
        <f t="array" ref="B31">_xlfn.IFS(L26=Drop!A85,Drop!A86,L26=Drop!A84,Drop!A87,ISERROR(L26),Drop!A219,TRUE,"")</f>
        <v/>
      </c>
      <c r="C31" s="379"/>
      <c r="D31" s="379"/>
      <c r="E31" s="379"/>
      <c r="F31" s="379"/>
      <c r="G31" s="379"/>
      <c r="H31" s="379"/>
      <c r="I31" s="379"/>
      <c r="J31" s="379"/>
      <c r="K31" s="379"/>
      <c r="L31" s="379"/>
      <c r="M31" s="379"/>
      <c r="N31" s="379"/>
      <c r="O31" s="379"/>
      <c r="P31" s="379"/>
      <c r="Q31" s="379"/>
      <c r="R31" s="379"/>
      <c r="S31" s="379"/>
      <c r="T31" s="379"/>
      <c r="U31" s="379"/>
      <c r="V31" s="379"/>
      <c r="W31" s="379"/>
      <c r="X31" s="379"/>
      <c r="Y31" s="379"/>
      <c r="Z31" s="379"/>
      <c r="AA31" s="379"/>
      <c r="AB31" s="380"/>
    </row>
    <row r="32" spans="2:33" ht="15.75" customHeight="1" thickBot="1">
      <c r="B32" s="381"/>
      <c r="C32" s="382"/>
      <c r="D32" s="382"/>
      <c r="E32" s="382"/>
      <c r="F32" s="382"/>
      <c r="G32" s="382"/>
      <c r="H32" s="382"/>
      <c r="I32" s="382"/>
      <c r="J32" s="382"/>
      <c r="K32" s="382"/>
      <c r="L32" s="382"/>
      <c r="M32" s="382"/>
      <c r="N32" s="382"/>
      <c r="O32" s="382"/>
      <c r="P32" s="382"/>
      <c r="Q32" s="382"/>
      <c r="R32" s="382"/>
      <c r="S32" s="382"/>
      <c r="T32" s="382"/>
      <c r="U32" s="382"/>
      <c r="V32" s="382"/>
      <c r="W32" s="382"/>
      <c r="X32" s="382"/>
      <c r="Y32" s="382"/>
      <c r="Z32" s="382"/>
      <c r="AA32" s="382"/>
      <c r="AB32" s="383"/>
    </row>
    <row r="33" spans="2:35" ht="15.75" customHeight="1" thickBot="1">
      <c r="B33" s="384" t="str">
        <f>Drop!A164</f>
        <v>存在错报</v>
      </c>
      <c r="C33" s="385"/>
      <c r="D33" s="385"/>
      <c r="E33" s="385"/>
      <c r="F33" s="385"/>
      <c r="G33" s="385"/>
      <c r="H33" s="385"/>
      <c r="I33" s="385"/>
      <c r="J33" s="385"/>
      <c r="K33" s="385"/>
      <c r="L33" s="385"/>
      <c r="M33" s="385"/>
      <c r="N33" s="385"/>
      <c r="O33" s="385"/>
      <c r="P33" s="385"/>
      <c r="Q33" s="386"/>
      <c r="R33" s="35"/>
      <c r="S33" s="384" t="s">
        <v>68</v>
      </c>
      <c r="T33" s="385"/>
      <c r="U33" s="385"/>
      <c r="V33" s="385"/>
      <c r="W33" s="385"/>
      <c r="X33" s="385"/>
      <c r="Y33" s="385"/>
      <c r="Z33" s="385"/>
      <c r="AA33" s="385"/>
      <c r="AB33" s="386"/>
    </row>
    <row r="34" spans="2:35">
      <c r="B34" s="202"/>
      <c r="C34" s="97"/>
      <c r="D34" s="97"/>
      <c r="E34" s="97"/>
      <c r="F34" s="97"/>
      <c r="G34" s="97"/>
      <c r="H34" s="97"/>
      <c r="I34" s="97"/>
      <c r="J34" s="97"/>
      <c r="K34" s="97"/>
      <c r="L34" s="97"/>
      <c r="M34" s="97"/>
      <c r="N34" s="97"/>
      <c r="O34" s="97"/>
      <c r="P34" s="97"/>
      <c r="Q34" s="98"/>
      <c r="R34" s="35"/>
      <c r="S34" s="74"/>
      <c r="T34" s="32"/>
      <c r="U34" s="32"/>
      <c r="V34" s="32"/>
      <c r="W34" s="32"/>
      <c r="X34" s="32"/>
      <c r="Y34" s="32"/>
      <c r="Z34" s="32"/>
      <c r="AA34" s="32"/>
      <c r="AB34" s="73"/>
      <c r="AF34" s="27" t="s">
        <v>105</v>
      </c>
      <c r="AG34" s="27">
        <f>COUNT(D37)</f>
        <v>0</v>
      </c>
      <c r="AH34" s="14"/>
    </row>
    <row r="35" spans="2:35">
      <c r="B35" s="72"/>
      <c r="C35" s="32"/>
      <c r="D35" s="388" t="str">
        <f>Drop!A165</f>
        <v>分层 1</v>
      </c>
      <c r="E35" s="388" t="str">
        <f>Drop!A166</f>
        <v>分层 2</v>
      </c>
      <c r="F35" s="32"/>
      <c r="G35" s="32"/>
      <c r="H35" s="390" t="str">
        <f>Drop!A167</f>
        <v>重大金额或关键项目</v>
      </c>
      <c r="I35" s="391"/>
      <c r="J35" s="32"/>
      <c r="K35" s="394" t="str">
        <f>Drop!A168</f>
        <v>合计</v>
      </c>
      <c r="L35" s="395"/>
      <c r="M35" s="32"/>
      <c r="N35" s="32"/>
      <c r="O35" s="32"/>
      <c r="P35" s="32"/>
      <c r="Q35" s="73"/>
      <c r="R35" s="35"/>
      <c r="S35" s="398" t="str">
        <f>Drop!A175</f>
        <v>样本的实际错报金额:</v>
      </c>
      <c r="T35" s="399"/>
      <c r="U35" s="399"/>
      <c r="V35" s="399"/>
      <c r="W35" s="399"/>
      <c r="X35" s="399"/>
      <c r="Y35" s="399"/>
      <c r="Z35" s="400"/>
      <c r="AA35" s="401">
        <f>K37</f>
        <v>0</v>
      </c>
      <c r="AB35" s="402"/>
      <c r="AF35" s="27" t="s">
        <v>183</v>
      </c>
      <c r="AG35" s="27">
        <f>COUNT(E37)</f>
        <v>0</v>
      </c>
    </row>
    <row r="36" spans="2:35">
      <c r="B36" s="74"/>
      <c r="C36" s="32"/>
      <c r="D36" s="389"/>
      <c r="E36" s="389"/>
      <c r="F36" s="32"/>
      <c r="G36" s="32"/>
      <c r="H36" s="392"/>
      <c r="I36" s="393"/>
      <c r="J36" s="32"/>
      <c r="K36" s="396"/>
      <c r="L36" s="397"/>
      <c r="M36" s="100"/>
      <c r="N36" s="100"/>
      <c r="O36" s="100"/>
      <c r="P36" s="100"/>
      <c r="Q36" s="122"/>
      <c r="R36" s="35"/>
      <c r="S36" s="398" t="str">
        <f>Drop!A176</f>
        <v>推断总体错报金额</v>
      </c>
      <c r="T36" s="399"/>
      <c r="U36" s="399"/>
      <c r="V36" s="399"/>
      <c r="W36" s="399"/>
      <c r="X36" s="399"/>
      <c r="Y36" s="399"/>
      <c r="Z36" s="400"/>
      <c r="AA36" s="401" t="str">
        <f>IFERROR(K45,"")</f>
        <v/>
      </c>
      <c r="AB36" s="402"/>
      <c r="AF36" s="27" t="s">
        <v>184</v>
      </c>
      <c r="AG36" s="27">
        <f>COUNT(H37)</f>
        <v>0</v>
      </c>
      <c r="AH36" s="4"/>
    </row>
    <row r="37" spans="2:35" ht="13.5" thickBot="1">
      <c r="B37" s="419" t="str">
        <f>Drop!A169</f>
        <v>合计错报金额</v>
      </c>
      <c r="C37" s="420"/>
      <c r="D37" s="220"/>
      <c r="E37" s="220"/>
      <c r="F37" s="32"/>
      <c r="G37" s="32"/>
      <c r="H37" s="403"/>
      <c r="I37" s="404"/>
      <c r="J37" s="124"/>
      <c r="K37" s="405">
        <f>D37+E37+H37</f>
        <v>0</v>
      </c>
      <c r="L37" s="406"/>
      <c r="M37" s="125"/>
      <c r="N37" s="125"/>
      <c r="O37" s="125"/>
      <c r="P37" s="125"/>
      <c r="Q37" s="120"/>
      <c r="R37" s="35"/>
      <c r="S37" s="74" t="str">
        <f>Drop!A177</f>
        <v>结果:</v>
      </c>
      <c r="T37" s="106"/>
      <c r="U37" s="106"/>
      <c r="V37" s="106"/>
      <c r="W37" s="106"/>
      <c r="X37" s="106"/>
      <c r="Y37" s="106"/>
      <c r="Z37" s="106"/>
      <c r="AA37" s="106"/>
      <c r="AB37" s="107"/>
      <c r="AF37" s="27" t="s">
        <v>86</v>
      </c>
      <c r="AG37" s="26"/>
      <c r="AH37" s="4"/>
      <c r="AI37" s="14"/>
    </row>
    <row r="38" spans="2:35" ht="12.75" customHeight="1">
      <c r="B38" s="74"/>
      <c r="C38" s="32"/>
      <c r="D38" s="125"/>
      <c r="E38" s="126"/>
      <c r="F38" s="32"/>
      <c r="G38" s="32"/>
      <c r="H38" s="126"/>
      <c r="I38" s="126"/>
      <c r="J38" s="124"/>
      <c r="K38" s="124"/>
      <c r="L38" s="125"/>
      <c r="M38" s="125"/>
      <c r="N38" s="125"/>
      <c r="O38" s="125"/>
      <c r="P38" s="125"/>
      <c r="Q38" s="120"/>
      <c r="R38" s="35"/>
      <c r="S38" s="433" t="str">
        <f>IF(O12=Drop!A125,IF(COUNTA(D43:E43)&lt;2,Drop!A219,IF(ISERROR(IF(AG38=FALSE,Drop!A77,Drop!A78)),Drop!A219,IF(AG38=FALSE,Drop!A77,Drop!A78))),IF(ISBLANK(O12),Drop!A219,IF(COUNTA(D43:D43)&lt;1,Drop!A219,IF(ISERROR(IF(AG38=FALSE,Drop!A77,Drop!A78)),Drop!A219,IF(AG38=FALSE,Drop!A77,Drop!A78)))))</f>
        <v>核实所有输入</v>
      </c>
      <c r="T38" s="434"/>
      <c r="U38" s="434"/>
      <c r="V38" s="434"/>
      <c r="W38" s="434"/>
      <c r="X38" s="434"/>
      <c r="Y38" s="434"/>
      <c r="Z38" s="434"/>
      <c r="AA38" s="434"/>
      <c r="AB38" s="435"/>
      <c r="AF38" s="27" t="s">
        <v>88</v>
      </c>
      <c r="AG38" s="26" t="e">
        <f>IF(ABS(U43)&gt;O22,TRUE,FALSE)</f>
        <v>#VALUE!</v>
      </c>
      <c r="AH38" s="4"/>
      <c r="AI38" s="14"/>
    </row>
    <row r="39" spans="2:35">
      <c r="B39" s="419" t="str">
        <f>Drop!A170</f>
        <v>样本项目账面价值</v>
      </c>
      <c r="C39" s="420"/>
      <c r="D39" s="220"/>
      <c r="E39" s="190"/>
      <c r="F39" s="32"/>
      <c r="G39" s="32"/>
      <c r="H39" s="125"/>
      <c r="I39" s="125"/>
      <c r="J39" s="124"/>
      <c r="K39" s="125"/>
      <c r="L39" s="125"/>
      <c r="M39" s="125"/>
      <c r="N39" s="125"/>
      <c r="O39" s="125"/>
      <c r="P39" s="125"/>
      <c r="Q39" s="120"/>
      <c r="R39" s="35"/>
      <c r="S39" s="436"/>
      <c r="T39" s="437"/>
      <c r="U39" s="437"/>
      <c r="V39" s="437"/>
      <c r="W39" s="437"/>
      <c r="X39" s="437"/>
      <c r="Y39" s="437"/>
      <c r="Z39" s="437"/>
      <c r="AA39" s="437"/>
      <c r="AB39" s="438"/>
      <c r="AF39" s="4"/>
      <c r="AG39" s="4"/>
      <c r="AH39" s="4"/>
      <c r="AI39" s="14"/>
    </row>
    <row r="40" spans="2:35">
      <c r="B40" s="74"/>
      <c r="C40" s="32"/>
      <c r="D40" s="125"/>
      <c r="E40" s="126"/>
      <c r="F40" s="32"/>
      <c r="G40" s="32"/>
      <c r="H40" s="126"/>
      <c r="I40" s="126"/>
      <c r="J40" s="124"/>
      <c r="K40" s="124"/>
      <c r="L40" s="125"/>
      <c r="M40" s="125"/>
      <c r="N40" s="125"/>
      <c r="O40" s="125"/>
      <c r="P40" s="125"/>
      <c r="Q40" s="120"/>
      <c r="R40" s="35"/>
      <c r="S40" s="436"/>
      <c r="T40" s="437"/>
      <c r="U40" s="437"/>
      <c r="V40" s="437"/>
      <c r="W40" s="437"/>
      <c r="X40" s="437"/>
      <c r="Y40" s="437"/>
      <c r="Z40" s="437"/>
      <c r="AA40" s="437"/>
      <c r="AB40" s="438"/>
      <c r="AF40" s="4"/>
      <c r="AG40" s="4"/>
      <c r="AH40" s="4"/>
      <c r="AI40" s="14"/>
    </row>
    <row r="41" spans="2:35" ht="32.25" customHeight="1" thickBot="1">
      <c r="B41" s="419" t="str">
        <f>Drop!A171</f>
        <v>错报比率</v>
      </c>
      <c r="C41" s="432"/>
      <c r="D41" s="216" t="str">
        <f>IF(AG34=1,D37/D39,"")</f>
        <v/>
      </c>
      <c r="E41" s="217" t="str">
        <f>IFERROR( IF(AG35=1,E37/E39,""),"")</f>
        <v/>
      </c>
      <c r="F41" s="32"/>
      <c r="G41" s="32"/>
      <c r="H41" s="125"/>
      <c r="I41" s="125"/>
      <c r="J41" s="124"/>
      <c r="K41" s="125"/>
      <c r="L41" s="125"/>
      <c r="M41" s="125"/>
      <c r="N41" s="125"/>
      <c r="O41" s="125"/>
      <c r="P41" s="125"/>
      <c r="Q41" s="120"/>
      <c r="R41" s="35"/>
      <c r="S41" s="439"/>
      <c r="T41" s="440"/>
      <c r="U41" s="440"/>
      <c r="V41" s="440"/>
      <c r="W41" s="440"/>
      <c r="X41" s="440"/>
      <c r="Y41" s="440"/>
      <c r="Z41" s="440"/>
      <c r="AA41" s="440"/>
      <c r="AB41" s="441"/>
      <c r="AF41" s="4"/>
      <c r="AG41" s="4"/>
      <c r="AH41" s="4"/>
      <c r="AI41" s="14"/>
    </row>
    <row r="42" spans="2:35">
      <c r="B42" s="123"/>
      <c r="C42" s="32"/>
      <c r="D42" s="125"/>
      <c r="E42" s="126"/>
      <c r="F42" s="32"/>
      <c r="G42" s="32"/>
      <c r="H42" s="126"/>
      <c r="I42" s="126"/>
      <c r="J42" s="124"/>
      <c r="K42" s="124"/>
      <c r="L42" s="125"/>
      <c r="M42" s="125"/>
      <c r="N42" s="125"/>
      <c r="O42" s="125"/>
      <c r="P42" s="125"/>
      <c r="Q42" s="120"/>
      <c r="R42" s="35"/>
      <c r="S42" s="74"/>
      <c r="T42" s="32"/>
      <c r="U42" s="32"/>
      <c r="V42" s="32"/>
      <c r="W42" s="32"/>
      <c r="X42" s="32"/>
      <c r="Y42" s="32"/>
      <c r="Z42" s="32"/>
      <c r="AA42" s="32"/>
      <c r="AB42" s="73"/>
      <c r="AF42" s="4"/>
      <c r="AG42" s="4"/>
      <c r="AH42" s="4"/>
      <c r="AI42" s="14"/>
    </row>
    <row r="43" spans="2:35" ht="12.75" customHeight="1">
      <c r="B43" s="419" t="str">
        <f>Drop!A172</f>
        <v>合计总体账面价值</v>
      </c>
      <c r="C43" s="420"/>
      <c r="D43" s="190"/>
      <c r="E43" s="190"/>
      <c r="F43" s="32"/>
      <c r="G43" s="32"/>
      <c r="H43" s="125"/>
      <c r="I43" s="125"/>
      <c r="J43" s="124"/>
      <c r="K43" s="125"/>
      <c r="L43" s="125"/>
      <c r="M43" s="125"/>
      <c r="N43" s="125"/>
      <c r="O43" s="125"/>
      <c r="P43" s="125"/>
      <c r="Q43" s="120"/>
      <c r="R43" s="35"/>
      <c r="S43" s="421" t="str">
        <f>Drop!A178</f>
        <v>金额</v>
      </c>
      <c r="T43" s="422"/>
      <c r="U43" s="423" t="e">
        <f>K45</f>
        <v>#VALUE!</v>
      </c>
      <c r="V43" s="424"/>
      <c r="W43" s="429" t="str">
        <f>Drop!A179</f>
        <v>应记录到审计调整分录或未更正错报汇总</v>
      </c>
      <c r="X43" s="430"/>
      <c r="Y43" s="430"/>
      <c r="Z43" s="430"/>
      <c r="AA43" s="430"/>
      <c r="AB43" s="431"/>
      <c r="AF43" s="4"/>
      <c r="AG43" s="4"/>
      <c r="AH43" s="4"/>
      <c r="AI43" s="14"/>
    </row>
    <row r="44" spans="2:35">
      <c r="B44" s="123"/>
      <c r="C44" s="32"/>
      <c r="D44" s="125"/>
      <c r="E44" s="126"/>
      <c r="F44" s="32"/>
      <c r="G44" s="32"/>
      <c r="H44" s="126"/>
      <c r="I44" s="126"/>
      <c r="J44" s="124"/>
      <c r="K44" s="124"/>
      <c r="L44" s="125"/>
      <c r="M44" s="125"/>
      <c r="N44" s="125"/>
      <c r="O44" s="125"/>
      <c r="P44" s="125"/>
      <c r="Q44" s="120"/>
      <c r="R44" s="35"/>
      <c r="S44" s="421"/>
      <c r="T44" s="422"/>
      <c r="U44" s="425"/>
      <c r="V44" s="426"/>
      <c r="W44" s="429"/>
      <c r="X44" s="430"/>
      <c r="Y44" s="430"/>
      <c r="Z44" s="430"/>
      <c r="AA44" s="430"/>
      <c r="AB44" s="431"/>
      <c r="AF44" s="4"/>
      <c r="AG44" s="4"/>
      <c r="AH44" s="4"/>
      <c r="AI44" s="14"/>
    </row>
    <row r="45" spans="2:35">
      <c r="B45" s="419" t="str">
        <f>Drop!A173</f>
        <v>推断总体错报</v>
      </c>
      <c r="C45" s="432"/>
      <c r="D45" s="191" t="str">
        <f>IF(AG34=1,D41*D43,"")</f>
        <v/>
      </c>
      <c r="E45" s="191" t="str">
        <f>IF(AG35=1,E41*E43,"")</f>
        <v/>
      </c>
      <c r="F45" s="127"/>
      <c r="G45" s="127"/>
      <c r="H45" s="405">
        <f>IF(AG36=1,H37,0)</f>
        <v>0</v>
      </c>
      <c r="I45" s="406"/>
      <c r="J45" s="124"/>
      <c r="K45" s="405" t="e">
        <f>IF(O12=Drop!A125,D45+E45+H45,D45+H45)</f>
        <v>#VALUE!</v>
      </c>
      <c r="L45" s="406"/>
      <c r="M45" s="125"/>
      <c r="N45" s="125"/>
      <c r="O45" s="125"/>
      <c r="P45" s="125"/>
      <c r="Q45" s="120"/>
      <c r="R45" s="35"/>
      <c r="S45" s="421"/>
      <c r="T45" s="422"/>
      <c r="U45" s="427"/>
      <c r="V45" s="428"/>
      <c r="W45" s="429"/>
      <c r="X45" s="430"/>
      <c r="Y45" s="430"/>
      <c r="Z45" s="430"/>
      <c r="AA45" s="430"/>
      <c r="AB45" s="431"/>
      <c r="AF45" s="4"/>
      <c r="AG45" s="4"/>
      <c r="AH45" s="4"/>
      <c r="AI45" s="14"/>
    </row>
    <row r="46" spans="2:35" ht="13.5" thickBot="1">
      <c r="B46" s="76"/>
      <c r="C46" s="77"/>
      <c r="D46" s="77"/>
      <c r="E46" s="77"/>
      <c r="F46" s="77"/>
      <c r="G46" s="77"/>
      <c r="H46" s="77"/>
      <c r="I46" s="77"/>
      <c r="J46" s="77"/>
      <c r="K46" s="77"/>
      <c r="L46" s="77"/>
      <c r="M46" s="77"/>
      <c r="N46" s="77"/>
      <c r="O46" s="77"/>
      <c r="P46" s="77"/>
      <c r="Q46" s="78"/>
      <c r="R46" s="110"/>
      <c r="S46" s="407"/>
      <c r="T46" s="408"/>
      <c r="U46" s="408"/>
      <c r="V46" s="408"/>
      <c r="W46" s="408"/>
      <c r="X46" s="408"/>
      <c r="Y46" s="408"/>
      <c r="Z46" s="408"/>
      <c r="AA46" s="408"/>
      <c r="AB46" s="409"/>
      <c r="AF46" s="4"/>
      <c r="AG46" s="4"/>
      <c r="AI46" s="14"/>
    </row>
    <row r="47" spans="2:35" ht="15" thickBot="1">
      <c r="B47" s="35"/>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F47"/>
      <c r="AI47" s="14"/>
    </row>
    <row r="48" spans="2:35" ht="15" thickBot="1">
      <c r="B48" s="65" t="str">
        <f>Drop!A100</f>
        <v>步骤 8 - 记录程序的结果</v>
      </c>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9"/>
      <c r="AF48" s="5"/>
      <c r="AI48" s="14"/>
    </row>
    <row r="49" spans="2:35" ht="15" customHeight="1">
      <c r="B49" s="410"/>
      <c r="C49" s="411"/>
      <c r="D49" s="411"/>
      <c r="E49" s="411"/>
      <c r="F49" s="411"/>
      <c r="G49" s="411"/>
      <c r="H49" s="411"/>
      <c r="I49" s="411"/>
      <c r="J49" s="411"/>
      <c r="K49" s="411"/>
      <c r="L49" s="411"/>
      <c r="M49" s="411"/>
      <c r="N49" s="411"/>
      <c r="O49" s="411"/>
      <c r="P49" s="411"/>
      <c r="Q49" s="411"/>
      <c r="R49" s="411"/>
      <c r="S49" s="411"/>
      <c r="T49" s="411"/>
      <c r="U49" s="411"/>
      <c r="V49" s="411"/>
      <c r="W49" s="411"/>
      <c r="X49" s="411"/>
      <c r="Y49" s="411"/>
      <c r="Z49" s="411"/>
      <c r="AA49" s="411"/>
      <c r="AB49" s="412"/>
    </row>
    <row r="50" spans="2:35" ht="14.25">
      <c r="B50" s="413"/>
      <c r="C50" s="414"/>
      <c r="D50" s="414"/>
      <c r="E50" s="414"/>
      <c r="F50" s="414"/>
      <c r="G50" s="414"/>
      <c r="H50" s="414"/>
      <c r="I50" s="414"/>
      <c r="J50" s="414"/>
      <c r="K50" s="414"/>
      <c r="L50" s="414"/>
      <c r="M50" s="414"/>
      <c r="N50" s="414"/>
      <c r="O50" s="414"/>
      <c r="P50" s="414"/>
      <c r="Q50" s="414"/>
      <c r="R50" s="414"/>
      <c r="S50" s="414"/>
      <c r="T50" s="414"/>
      <c r="U50" s="414"/>
      <c r="V50" s="414"/>
      <c r="W50" s="414"/>
      <c r="X50" s="414"/>
      <c r="Y50" s="414"/>
      <c r="Z50" s="414"/>
      <c r="AA50" s="414"/>
      <c r="AB50" s="415"/>
      <c r="AH50"/>
    </row>
    <row r="51" spans="2:35" ht="14.25">
      <c r="B51" s="413"/>
      <c r="C51" s="414"/>
      <c r="D51" s="414"/>
      <c r="E51" s="414"/>
      <c r="F51" s="414"/>
      <c r="G51" s="414"/>
      <c r="H51" s="414"/>
      <c r="I51" s="414"/>
      <c r="J51" s="414"/>
      <c r="K51" s="414"/>
      <c r="L51" s="414"/>
      <c r="M51" s="414"/>
      <c r="N51" s="414"/>
      <c r="O51" s="414"/>
      <c r="P51" s="414"/>
      <c r="Q51" s="414"/>
      <c r="R51" s="414"/>
      <c r="S51" s="414"/>
      <c r="T51" s="414"/>
      <c r="U51" s="414"/>
      <c r="V51" s="414"/>
      <c r="W51" s="414"/>
      <c r="X51" s="414"/>
      <c r="Y51" s="414"/>
      <c r="Z51" s="414"/>
      <c r="AA51" s="414"/>
      <c r="AB51" s="415"/>
      <c r="AF51" s="6"/>
      <c r="AG51"/>
      <c r="AH51"/>
      <c r="AI51" s="14"/>
    </row>
    <row r="52" spans="2:35" ht="14.25">
      <c r="B52" s="413"/>
      <c r="C52" s="414"/>
      <c r="D52" s="414"/>
      <c r="E52" s="414"/>
      <c r="F52" s="414"/>
      <c r="G52" s="414"/>
      <c r="H52" s="414"/>
      <c r="I52" s="414"/>
      <c r="J52" s="414"/>
      <c r="K52" s="414"/>
      <c r="L52" s="414"/>
      <c r="M52" s="414"/>
      <c r="N52" s="414"/>
      <c r="O52" s="414"/>
      <c r="P52" s="414"/>
      <c r="Q52" s="414"/>
      <c r="R52" s="414"/>
      <c r="S52" s="414"/>
      <c r="T52" s="414"/>
      <c r="U52" s="414"/>
      <c r="V52" s="414"/>
      <c r="W52" s="414"/>
      <c r="X52" s="414"/>
      <c r="Y52" s="414"/>
      <c r="Z52" s="414"/>
      <c r="AA52" s="414"/>
      <c r="AB52" s="415"/>
      <c r="AF52"/>
      <c r="AG52"/>
      <c r="AH52"/>
      <c r="AI52" s="14"/>
    </row>
    <row r="53" spans="2:35" ht="15" thickBot="1">
      <c r="B53" s="416"/>
      <c r="C53" s="417"/>
      <c r="D53" s="417"/>
      <c r="E53" s="417"/>
      <c r="F53" s="417"/>
      <c r="G53" s="417"/>
      <c r="H53" s="417"/>
      <c r="I53" s="417"/>
      <c r="J53" s="417"/>
      <c r="K53" s="417"/>
      <c r="L53" s="417"/>
      <c r="M53" s="417"/>
      <c r="N53" s="417"/>
      <c r="O53" s="417"/>
      <c r="P53" s="417"/>
      <c r="Q53" s="417"/>
      <c r="R53" s="417"/>
      <c r="S53" s="417"/>
      <c r="T53" s="417"/>
      <c r="U53" s="417"/>
      <c r="V53" s="417"/>
      <c r="W53" s="417"/>
      <c r="X53" s="417"/>
      <c r="Y53" s="417"/>
      <c r="Z53" s="417"/>
      <c r="AA53" s="417"/>
      <c r="AB53" s="418"/>
      <c r="AF53" s="5"/>
      <c r="AG53"/>
      <c r="AH53"/>
      <c r="AI53" s="14"/>
    </row>
    <row r="54" spans="2:35" ht="14.25">
      <c r="AF54" s="5"/>
      <c r="AG54"/>
      <c r="AI54" s="14"/>
    </row>
    <row r="60" spans="2:35">
      <c r="AF60" s="3"/>
    </row>
  </sheetData>
  <sheetProtection algorithmName="SHA-512" hashValue="bNDRkr4kYf3tI5bbWhFqnqzv+02XFZEwXSImt7GtrjDsIVIOcjuHP66lKbXXM/4CX4g0m3Kc5CG8YCgM6yucUA==" saltValue="MWQb79JEEXcDVUDhWnYhRQ==" spinCount="100000" sheet="1" objects="1" scenarios="1"/>
  <mergeCells count="61">
    <mergeCell ref="B1:E1"/>
    <mergeCell ref="D3:E3"/>
    <mergeCell ref="D4:E4"/>
    <mergeCell ref="L4:O4"/>
    <mergeCell ref="D5:E5"/>
    <mergeCell ref="L5:O5"/>
    <mergeCell ref="H9:Q10"/>
    <mergeCell ref="B10:D10"/>
    <mergeCell ref="Y10:AB10"/>
    <mergeCell ref="B11:D11"/>
    <mergeCell ref="B12:D12"/>
    <mergeCell ref="O12:P12"/>
    <mergeCell ref="Y12:AB12"/>
    <mergeCell ref="S18:Y19"/>
    <mergeCell ref="Z18:AB19"/>
    <mergeCell ref="B19:D19"/>
    <mergeCell ref="K19:L19"/>
    <mergeCell ref="M19:Q19"/>
    <mergeCell ref="M22:N22"/>
    <mergeCell ref="O22:Q22"/>
    <mergeCell ref="B13:D13"/>
    <mergeCell ref="B18:D18"/>
    <mergeCell ref="M18:Q18"/>
    <mergeCell ref="B20:D20"/>
    <mergeCell ref="K20:L20"/>
    <mergeCell ref="M20:Q20"/>
    <mergeCell ref="K21:L21"/>
    <mergeCell ref="M21:Q21"/>
    <mergeCell ref="H23:Q23"/>
    <mergeCell ref="O24:Q24"/>
    <mergeCell ref="L25:Q25"/>
    <mergeCell ref="L26:Q26"/>
    <mergeCell ref="H27:K27"/>
    <mergeCell ref="L27:Q27"/>
    <mergeCell ref="B28:F28"/>
    <mergeCell ref="B31:AB32"/>
    <mergeCell ref="B33:Q33"/>
    <mergeCell ref="S33:AB33"/>
    <mergeCell ref="D35:D36"/>
    <mergeCell ref="E35:E36"/>
    <mergeCell ref="H35:I36"/>
    <mergeCell ref="K35:L36"/>
    <mergeCell ref="S35:Z35"/>
    <mergeCell ref="AA35:AB35"/>
    <mergeCell ref="S36:Z36"/>
    <mergeCell ref="AA36:AB36"/>
    <mergeCell ref="H37:I37"/>
    <mergeCell ref="K37:L37"/>
    <mergeCell ref="S46:AB46"/>
    <mergeCell ref="B49:AB53"/>
    <mergeCell ref="B43:C43"/>
    <mergeCell ref="S43:T45"/>
    <mergeCell ref="U43:V45"/>
    <mergeCell ref="W43:AB45"/>
    <mergeCell ref="B45:C45"/>
    <mergeCell ref="H45:I45"/>
    <mergeCell ref="K45:L45"/>
    <mergeCell ref="S38:AB41"/>
    <mergeCell ref="B39:C39"/>
    <mergeCell ref="B41:C41"/>
    <mergeCell ref="B37:C37"/>
  </mergeCells>
  <phoneticPr fontId="32" type="noConversion"/>
  <conditionalFormatting sqref="S38">
    <cfRule type="expression" dxfId="149" priority="32">
      <formula>$AG$38=FALSE</formula>
    </cfRule>
  </conditionalFormatting>
  <conditionalFormatting sqref="O12:P12">
    <cfRule type="expression" dxfId="148" priority="30">
      <formula>ISBLANK($O$12)</formula>
    </cfRule>
  </conditionalFormatting>
  <conditionalFormatting sqref="Y10:AB10">
    <cfRule type="expression" dxfId="147" priority="29">
      <formula>ISBLANK($Y$10)</formula>
    </cfRule>
  </conditionalFormatting>
  <conditionalFormatting sqref="E39">
    <cfRule type="expression" dxfId="146" priority="28">
      <formula>$AG$23=1.5</formula>
    </cfRule>
  </conditionalFormatting>
  <conditionalFormatting sqref="E43">
    <cfRule type="expression" dxfId="145" priority="27">
      <formula>$AG$23=1.5</formula>
    </cfRule>
  </conditionalFormatting>
  <conditionalFormatting sqref="K21:L21">
    <cfRule type="expression" dxfId="144" priority="24">
      <formula>ISBLANK($K$21)</formula>
    </cfRule>
  </conditionalFormatting>
  <conditionalFormatting sqref="M20:Q20">
    <cfRule type="expression" dxfId="143" priority="23">
      <formula>ISTEXT($M$20)</formula>
    </cfRule>
  </conditionalFormatting>
  <conditionalFormatting sqref="M21:Q21">
    <cfRule type="expression" dxfId="142" priority="20">
      <formula>ISTEXT($M$21)</formula>
    </cfRule>
  </conditionalFormatting>
  <conditionalFormatting sqref="K19:L19">
    <cfRule type="expression" dxfId="141" priority="17">
      <formula>ISBLANK($K$19)</formula>
    </cfRule>
  </conditionalFormatting>
  <conditionalFormatting sqref="K20:L20">
    <cfRule type="expression" dxfId="140" priority="16">
      <formula>ISBLANK($K$20)</formula>
    </cfRule>
  </conditionalFormatting>
  <conditionalFormatting sqref="M22:N22">
    <cfRule type="expression" dxfId="139" priority="15">
      <formula>ISBLANK($M$22)</formula>
    </cfRule>
  </conditionalFormatting>
  <conditionalFormatting sqref="L27:Q27">
    <cfRule type="expression" dxfId="138" priority="14">
      <formula>$L$27&lt;&gt;""</formula>
    </cfRule>
  </conditionalFormatting>
  <conditionalFormatting sqref="E37">
    <cfRule type="expression" dxfId="137" priority="34">
      <formula>ABS($E$37)&gt;0</formula>
    </cfRule>
  </conditionalFormatting>
  <conditionalFormatting sqref="E39">
    <cfRule type="expression" dxfId="136" priority="35">
      <formula>ABS($E$39)&gt;0</formula>
    </cfRule>
  </conditionalFormatting>
  <conditionalFormatting sqref="E43">
    <cfRule type="expression" dxfId="135" priority="36">
      <formula>ABS($E$43)&gt;0</formula>
    </cfRule>
  </conditionalFormatting>
  <conditionalFormatting sqref="D37">
    <cfRule type="expression" dxfId="134" priority="41">
      <formula>AND($AG$23&gt;=1,ISBLANK($D$37))</formula>
    </cfRule>
  </conditionalFormatting>
  <conditionalFormatting sqref="D39">
    <cfRule type="expression" dxfId="133" priority="42">
      <formula>AND($AG$23&gt;=1,OR(ISBLANK($D$39),$D$39=0))</formula>
    </cfRule>
  </conditionalFormatting>
  <conditionalFormatting sqref="D43">
    <cfRule type="expression" dxfId="132" priority="43">
      <formula>ABS($D$43)&gt;0</formula>
    </cfRule>
    <cfRule type="expression" dxfId="131" priority="44">
      <formula>AND($AG$23&gt;=1,OR(ISBLANK($D$43),$D$43=0))</formula>
    </cfRule>
  </conditionalFormatting>
  <conditionalFormatting sqref="E19">
    <cfRule type="expression" dxfId="130" priority="10">
      <formula>ISBLANK($E$19)</formula>
    </cfRule>
  </conditionalFormatting>
  <conditionalFormatting sqref="E10">
    <cfRule type="expression" dxfId="129" priority="9">
      <formula>ISBLANK($E$10)</formula>
    </cfRule>
  </conditionalFormatting>
  <conditionalFormatting sqref="E11">
    <cfRule type="expression" dxfId="128" priority="8">
      <formula>ISBLANK($E$11)</formula>
    </cfRule>
  </conditionalFormatting>
  <conditionalFormatting sqref="E12">
    <cfRule type="expression" dxfId="127" priority="7">
      <formula>ISBLANK($E$12)</formula>
    </cfRule>
  </conditionalFormatting>
  <conditionalFormatting sqref="E41">
    <cfRule type="expression" dxfId="126" priority="3">
      <formula>$AG$23=1.5</formula>
    </cfRule>
  </conditionalFormatting>
  <dataValidations count="11">
    <dataValidation operator="greaterThanOrEqual" allowBlank="1" errorTitle="test1" error="test2" sqref="E24" xr:uid="{F89FE66C-C46A-49C4-B7FC-DA362EE1123C}"/>
    <dataValidation type="decimal" allowBlank="1" errorTitle="test" error="test" sqref="M22:N22" xr:uid="{30981830-FB0B-41BE-B83D-FC42419F24E4}">
      <formula1>0</formula1>
      <formula2>1</formula2>
    </dataValidation>
    <dataValidation type="list" allowBlank="1" showInputMessage="1" showErrorMessage="1" sqref="K21:L21" xr:uid="{8463D195-C0D4-4172-8581-EF557C42AB62}">
      <formula1>ADA</formula1>
    </dataValidation>
    <dataValidation type="decimal" allowBlank="1" showInputMessage="1" showErrorMessage="1" error="Absolute tested value cannot be less than zero or greater than value of population." sqref="F21" xr:uid="{A590C1D9-44C5-4130-BFFC-C923110ED44B}">
      <formula1>0</formula1>
      <formula2>F19</formula2>
    </dataValidation>
    <dataValidation type="list" allowBlank="1" showErrorMessage="1" error="Choose a relevant or applicable assertion" prompt="Choose the applicable assertion" sqref="E10" xr:uid="{7017CE07-7C02-4E93-91F0-71DE5E1E15DB}">
      <formula1>Assertions</formula1>
    </dataValidation>
    <dataValidation type="list" allowBlank="1" showInputMessage="1" showErrorMessage="1" sqref="K19:K20" xr:uid="{5DC30726-48E1-4401-8C2B-CB3EA7C5CD43}">
      <formula1>OtherEvidence</formula1>
    </dataValidation>
    <dataValidation type="list" allowBlank="1" showInputMessage="1" showErrorMessage="1" sqref="E19" xr:uid="{D63A1360-95E4-45CA-80AA-7B4164A2239B}">
      <formula1>YesNo</formula1>
    </dataValidation>
    <dataValidation type="list" allowBlank="1" showInputMessage="1" showErrorMessage="1" sqref="Y10" xr:uid="{C0C55220-0AED-4EA8-9AC2-B3004E71F74C}">
      <formula1>SelectionMethods</formula1>
    </dataValidation>
    <dataValidation type="list" allowBlank="1" showInputMessage="1" showErrorMessage="1" sqref="E11" xr:uid="{BBE70841-C57D-4CC0-8798-DE9DCA0EA09E}">
      <formula1>InherentRisk</formula1>
    </dataValidation>
    <dataValidation type="list" allowBlank="1" showInputMessage="1" showErrorMessage="1" sqref="O12:P12" xr:uid="{F4738371-5945-4EA0-AC5A-E5E5E551DDD7}">
      <formula1>NatureOfPop</formula1>
    </dataValidation>
    <dataValidation type="whole" allowBlank="1" showInputMessage="1" showErrorMessage="1" error="测试项目的绝对值不能小于零或大于总体值。" sqref="E20" xr:uid="{1D452549-02AF-42B1-A766-EFB38EE51A0F}">
      <formula1>0</formula1>
      <formula2>E18</formula2>
    </dataValidation>
  </dataValidations>
  <pageMargins left="0.25" right="0.25" top="0.75" bottom="0.75" header="0.3" footer="0.3"/>
  <pageSetup scale="50" orientation="landscape" r:id="rId1"/>
  <headerFooter>
    <oddFooter>&amp;C&amp;P of &amp;N&amp;R&amp;A</oddFooter>
  </headerFooter>
  <customProperties>
    <customPr name="CodeName" r:id="rId2"/>
  </customProperties>
  <legacyDrawing r:id="rId3"/>
  <extLst>
    <ext xmlns:x14="http://schemas.microsoft.com/office/spreadsheetml/2009/9/main" uri="{78C0D931-6437-407d-A8EE-F0AAD7539E65}">
      <x14:conditionalFormattings>
        <x14:conditionalFormatting xmlns:xm="http://schemas.microsoft.com/office/excel/2006/main">
          <x14:cfRule type="expression" priority="2" id="{D290788A-9414-419A-8C6C-09818B94D34E}">
            <xm:f>O12=Drop!A125</xm:f>
            <x14:dxf>
              <fill>
                <patternFill patternType="solid">
                  <bgColor rgb="FFCCCCFF"/>
                </patternFill>
              </fill>
              <border>
                <left style="thin">
                  <color auto="1"/>
                </left>
                <right style="thin">
                  <color auto="1"/>
                </right>
                <top style="thin">
                  <color auto="1"/>
                </top>
                <bottom style="thin">
                  <color auto="1"/>
                </bottom>
                <vertical/>
                <horizontal/>
              </border>
            </x14:dxf>
          </x14:cfRule>
          <xm:sqref>E41</xm:sqref>
        </x14:conditionalFormatting>
        <x14:conditionalFormatting xmlns:xm="http://schemas.microsoft.com/office/excel/2006/main">
          <x14:cfRule type="expression" priority="25" id="{F1FE0617-5CF7-4CEC-8530-B8ED63CBBC4A}">
            <xm:f>$O$12&lt;&gt;Drop!$A$125</xm:f>
            <x14:dxf>
              <fill>
                <patternFill>
                  <bgColor theme="0" tint="-4.9989318521683403E-2"/>
                </patternFill>
              </fill>
              <border>
                <right/>
                <bottom/>
              </border>
            </x14:dxf>
          </x14:cfRule>
          <xm:sqref>E37</xm:sqref>
        </x14:conditionalFormatting>
        <x14:conditionalFormatting xmlns:xm="http://schemas.microsoft.com/office/excel/2006/main">
          <x14:cfRule type="expression" priority="26" id="{18C19CD7-DA09-46C7-BF1D-09DBBEE51997}">
            <xm:f>OR(ISBLANK($K$19),$K$19=Drop!$A$52)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31" id="{F52BED4E-F58F-4415-8A8B-169C32048B4F}">
            <xm:f>AND(OR($K$19=Drop!$A$53,$K$19=Drop!$A$54),ISBLANK($M$19))</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M19:Q19</xm:sqref>
        </x14:conditionalFormatting>
        <x14:conditionalFormatting xmlns:xm="http://schemas.microsoft.com/office/excel/2006/main">
          <x14:cfRule type="expression" priority="21" id="{E75594BF-A599-4836-A85B-377698E66773}">
            <xm:f>OR(ISBLANK($K$20),$K$20=Drop!$A$52)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22" id="{BA9D9520-11F2-4749-BAF6-5866AC6C217C}">
            <xm:f>AND(OR($K$20=Drop!$A$53,$K$20=Drop!$A$54),ISBLANK($M$20))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M20:Q20</xm:sqref>
        </x14:conditionalFormatting>
        <x14:conditionalFormatting xmlns:xm="http://schemas.microsoft.com/office/excel/2006/main">
          <x14:cfRule type="expression" priority="18" id="{A9A5932E-93B1-4298-8263-77A80A57F948}">
            <xm:f>OR(ISBLANK($K$21),$K$21=Drop!$A$58)</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19" id="{8225482C-47A2-4940-80DA-DEE9543B0949}">
            <xm:f>AND($K$21=Drop!$A$59,ISBLANK($M$21))</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M21:Q21</xm:sqref>
        </x14:conditionalFormatting>
        <x14:conditionalFormatting xmlns:xm="http://schemas.microsoft.com/office/excel/2006/main">
          <x14:cfRule type="expression" priority="1" id="{1968DF85-7D48-4659-847C-567D0ED5C920}">
            <xm:f>$L$26=Drop!$A$85</xm:f>
            <x14:dxf>
              <font>
                <color auto="1"/>
              </font>
              <fill>
                <patternFill patternType="solid">
                  <bgColor theme="1"/>
                </patternFill>
              </fill>
              <border>
                <left style="thin">
                  <color auto="1"/>
                </left>
                <right style="thin">
                  <color auto="1"/>
                </right>
                <top style="thin">
                  <color auto="1"/>
                </top>
                <bottom style="thin">
                  <color auto="1"/>
                </bottom>
              </border>
            </x14:dxf>
          </x14:cfRule>
          <xm:sqref>B34:AB46</xm:sqref>
        </x14:conditionalFormatting>
        <x14:conditionalFormatting xmlns:xm="http://schemas.microsoft.com/office/excel/2006/main">
          <x14:cfRule type="expression" priority="33" id="{50BF9C43-DAD3-4854-BCA6-6987F8DB8F43}">
            <xm:f>$E$12&lt;&gt;Drop!$A$47</xm:f>
            <x14:dxf>
              <font>
                <color theme="0" tint="-4.9989318521683403E-2"/>
              </font>
              <fill>
                <patternFill>
                  <bgColor theme="0" tint="-4.9989318521683403E-2"/>
                </patternFill>
              </fill>
            </x14:dxf>
          </x14:cfRule>
          <xm:sqref>B13</xm:sqref>
        </x14:conditionalFormatting>
        <x14:conditionalFormatting xmlns:xm="http://schemas.microsoft.com/office/excel/2006/main">
          <x14:cfRule type="expression" priority="37" id="{5F665B27-1CC2-419B-9524-7C3EAC1E1E2A}">
            <xm:f>AND(O12=Drop!A125,ISBLANK($E$37))</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E37</xm:sqref>
        </x14:conditionalFormatting>
        <x14:conditionalFormatting xmlns:xm="http://schemas.microsoft.com/office/excel/2006/main">
          <x14:cfRule type="expression" priority="38" id="{40E46168-C3A9-47D7-81C9-FE731A6BBA35}">
            <xm:f>O12=Drop!A125</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E39 E41</xm:sqref>
        </x14:conditionalFormatting>
        <x14:conditionalFormatting xmlns:xm="http://schemas.microsoft.com/office/excel/2006/main">
          <x14:cfRule type="expression" priority="39" id="{3879FF21-3954-48D6-967B-0345CD82F189}">
            <xm:f>O12=Drop!A125</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E43</xm:sqref>
        </x14:conditionalFormatting>
        <x14:conditionalFormatting xmlns:xm="http://schemas.microsoft.com/office/excel/2006/main">
          <x14:cfRule type="expression" priority="40" id="{6089B009-E462-4AC2-897E-68B09737FC9F}">
            <xm:f>$E$19&lt;&gt;Drop!$A$13</xm:f>
            <x14:dxf>
              <font>
                <color auto="1"/>
              </font>
            </x14:dxf>
          </x14:cfRule>
          <xm:sqref>B21:E21 B20</xm:sqref>
        </x14:conditionalFormatting>
        <x14:conditionalFormatting xmlns:xm="http://schemas.microsoft.com/office/excel/2006/main">
          <x14:cfRule type="expression" priority="45" id="{1E0D9DAB-F620-415B-B7A7-1035C7731E2F}">
            <xm:f>OR(E19&lt;&gt;Drop!A13,ISBLANK(M22))</xm:f>
            <x14:dxf>
              <fill>
                <patternFill>
                  <bgColor theme="0" tint="-4.9989318521683403E-2"/>
                </patternFill>
              </fill>
              <border>
                <left/>
                <top/>
                <vertical/>
                <horizontal/>
              </border>
            </x14:dxf>
          </x14:cfRule>
          <xm:sqref>O24:Q24</xm:sqref>
        </x14:conditionalFormatting>
        <x14:conditionalFormatting xmlns:xm="http://schemas.microsoft.com/office/excel/2006/main">
          <x14:cfRule type="expression" priority="11" id="{182F16D5-DB7F-44BB-8FA8-1BB597B46DB6}">
            <xm:f>OR(ISBLANK($E$19),$E$19=Drop!$A$14)</xm:f>
            <x14:dxf>
              <font>
                <color theme="0" tint="-4.9989318521683403E-2"/>
              </font>
              <fill>
                <patternFill>
                  <bgColor theme="0" tint="-4.9989318521683403E-2"/>
                </patternFill>
              </fill>
            </x14:dxf>
          </x14:cfRule>
          <x14:cfRule type="expression" priority="12" id="{01666A23-7E48-43C0-8E18-4747778CCA57}">
            <xm:f>AND($E$19=Drop!$A$13,ISBLANK($E$20))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13" id="{5220BC5C-4E05-4963-8F4D-488EA5157CDE}">
            <xm:f>AND($E$20&gt;0,$E$19=Drop!$A$13)</xm:f>
            <x14:dxf>
              <font>
                <color auto="1"/>
              </font>
              <fill>
                <patternFill>
                  <bgColor theme="0"/>
                </patternFill>
              </fill>
              <border>
                <left style="thin">
                  <color auto="1"/>
                </left>
                <right style="thin">
                  <color auto="1"/>
                </right>
                <top style="thin">
                  <color auto="1"/>
                </top>
                <bottom style="thin">
                  <color auto="1"/>
                </bottom>
                <vertical/>
                <horizontal/>
              </border>
            </x14:dxf>
          </x14:cfRule>
          <xm:sqref>E20</xm:sqref>
        </x14:conditionalFormatting>
        <x14:conditionalFormatting xmlns:xm="http://schemas.microsoft.com/office/excel/2006/main">
          <x14:cfRule type="expression" priority="4" id="{DAC1B5A9-3504-4FB8-9A53-62C5EC8639AD}">
            <xm:f>$E$12&lt;&gt;Drop!$A$47</xm:f>
            <x14:dxf>
              <font>
                <color theme="0" tint="-4.9989318521683403E-2"/>
              </font>
              <fill>
                <patternFill>
                  <bgColor theme="0" tint="-4.9989318521683403E-2"/>
                </patternFill>
              </fill>
              <border>
                <left/>
                <right/>
                <bottom/>
              </border>
            </x14:dxf>
          </x14:cfRule>
          <x14:cfRule type="expression" priority="5" id="{C12AF3F5-7B1A-4819-B944-DA0B3B1A3774}">
            <xm:f>AND(ISBLANK($E$13),$E$12=Drop!$A$47)</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6" id="{CBF9BE92-F40E-49AE-8A3A-6F42A9852288}">
            <xm:f>$E$12=Drop!$A$47</xm:f>
            <x14:dxf>
              <border>
                <left style="thin">
                  <color auto="1"/>
                </left>
                <bottom style="thin">
                  <color auto="1"/>
                </bottom>
                <vertical/>
                <horizontal/>
              </border>
            </x14:dxf>
          </x14:cfRule>
          <xm:sqref>E13</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EA27C6D-9684-4BDD-9D69-09782CD23B28}">
          <x14:formula1>
            <xm:f>Drop!$A$44:$A$46</xm:f>
          </x14:formula1>
          <xm:sqref>E13</xm:sqref>
        </x14:dataValidation>
        <x14:dataValidation type="list" allowBlank="1" showInputMessage="1" showErrorMessage="1" xr:uid="{7B10797E-4695-4BEB-9B99-292F4E3ADD67}">
          <x14:formula1>
            <xm:f>Drop!$G$43:$G$44</xm:f>
          </x14:formula1>
          <xm:sqref>E12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501F5-5DC1-41BA-8980-E272CE97A624}">
  <sheetPr codeName="sheet0Statistical1">
    <pageSetUpPr fitToPage="1"/>
  </sheetPr>
  <dimension ref="A1:AM78"/>
  <sheetViews>
    <sheetView showGridLines="0" zoomScale="85" zoomScaleNormal="85" workbookViewId="0">
      <selection activeCell="AG18" sqref="AG18"/>
    </sheetView>
  </sheetViews>
  <sheetFormatPr defaultColWidth="9.125" defaultRowHeight="12.75" outlineLevelCol="1"/>
  <cols>
    <col min="1" max="1" width="2.75" style="35" customWidth="1"/>
    <col min="2" max="2" width="5.75" style="35" customWidth="1"/>
    <col min="3" max="5" width="25.75" style="35" customWidth="1"/>
    <col min="6" max="6" width="1.75" style="35" customWidth="1"/>
    <col min="7" max="7" width="1.125" style="35" customWidth="1"/>
    <col min="8" max="8" width="5.75" style="35" customWidth="1"/>
    <col min="9" max="9" width="17.75" style="35" customWidth="1"/>
    <col min="10" max="11" width="5.75" style="35" customWidth="1"/>
    <col min="12" max="12" width="17.75" style="35" customWidth="1"/>
    <col min="13" max="13" width="5.75" style="35" customWidth="1"/>
    <col min="14" max="14" width="9.75" style="35" customWidth="1"/>
    <col min="15" max="15" width="5.75" style="35" customWidth="1"/>
    <col min="16" max="16" width="15.75" style="35" customWidth="1"/>
    <col min="17" max="17" width="10.75" style="35" customWidth="1"/>
    <col min="18" max="18" width="1.5" style="35" customWidth="1"/>
    <col min="19" max="21" width="5.75" style="35" customWidth="1"/>
    <col min="22" max="22" width="11.75" style="35" customWidth="1"/>
    <col min="23" max="27" width="5.75" style="35" customWidth="1"/>
    <col min="28" max="28" width="21.75" style="35" customWidth="1"/>
    <col min="29" max="29" width="4.25" style="35" customWidth="1" outlineLevel="1"/>
    <col min="30" max="30" width="2.75" style="35" customWidth="1" outlineLevel="1"/>
    <col min="31" max="31" width="9.125" style="35" customWidth="1" outlineLevel="1"/>
    <col min="32" max="32" width="15.75" style="35" customWidth="1" outlineLevel="1"/>
    <col min="33" max="33" width="13.875" style="35" customWidth="1" outlineLevel="1"/>
    <col min="34" max="34" width="7.875" style="35" customWidth="1" outlineLevel="1"/>
    <col min="35" max="35" width="8.875" style="35" customWidth="1" outlineLevel="1"/>
    <col min="36" max="36" width="11.375" style="35" customWidth="1" outlineLevel="1"/>
    <col min="37" max="37" width="7.375" style="35" customWidth="1" outlineLevel="1"/>
    <col min="38" max="38" width="6.625" style="35" customWidth="1" outlineLevel="1"/>
    <col min="39" max="42" width="9.125" style="35" customWidth="1"/>
    <col min="43" max="16384" width="9.125" style="35"/>
  </cols>
  <sheetData>
    <row r="1" spans="1:37" s="2" customFormat="1" ht="21" thickBot="1">
      <c r="A1" s="1"/>
      <c r="B1" s="308"/>
      <c r="C1" s="309"/>
      <c r="D1" s="309"/>
      <c r="F1" s="1"/>
      <c r="G1" s="1"/>
      <c r="H1" s="1"/>
      <c r="I1" s="1"/>
      <c r="J1" s="1"/>
      <c r="K1" s="1"/>
      <c r="L1" s="1"/>
      <c r="M1" s="1"/>
      <c r="AC1" s="1"/>
      <c r="AF1" s="10" t="s">
        <v>32</v>
      </c>
      <c r="AG1" s="2" t="s">
        <v>1</v>
      </c>
    </row>
    <row r="2" spans="1:37" ht="12.95" customHeight="1">
      <c r="A2" s="37"/>
      <c r="B2" s="38"/>
      <c r="C2" s="39"/>
      <c r="D2" s="39"/>
      <c r="E2" s="39"/>
      <c r="F2" s="39"/>
      <c r="G2" s="39"/>
      <c r="H2" s="39"/>
      <c r="I2" s="39"/>
      <c r="J2" s="40"/>
      <c r="K2" s="40"/>
      <c r="L2" s="40"/>
      <c r="M2" s="41"/>
      <c r="N2" s="41"/>
      <c r="O2" s="41"/>
      <c r="P2" s="41"/>
      <c r="Q2" s="41"/>
      <c r="R2" s="41"/>
      <c r="S2" s="41"/>
      <c r="T2" s="41"/>
      <c r="U2" s="41"/>
      <c r="V2" s="41"/>
      <c r="W2" s="41"/>
      <c r="X2" s="41"/>
      <c r="Y2" s="41"/>
      <c r="Z2" s="41"/>
      <c r="AA2" s="41"/>
      <c r="AB2" s="42"/>
      <c r="AF2" s="43"/>
      <c r="AG2" s="43"/>
    </row>
    <row r="3" spans="1:37" ht="12.95" customHeight="1">
      <c r="A3" s="44"/>
      <c r="B3" s="45"/>
      <c r="C3" s="47" t="str">
        <f>Drop!A102</f>
        <v>总体名称：</v>
      </c>
      <c r="D3" s="559"/>
      <c r="E3" s="560"/>
      <c r="F3" s="46"/>
      <c r="G3" s="46"/>
      <c r="H3" s="46"/>
      <c r="I3" s="46"/>
      <c r="J3" s="48"/>
      <c r="K3" s="49"/>
      <c r="L3" s="49"/>
      <c r="M3" s="49"/>
      <c r="N3" s="49"/>
      <c r="O3" s="49"/>
      <c r="P3" s="49"/>
      <c r="Q3" s="49"/>
      <c r="R3" s="49"/>
      <c r="S3" s="49"/>
      <c r="T3" s="49"/>
      <c r="U3" s="49"/>
      <c r="V3" s="50"/>
      <c r="W3" s="51"/>
      <c r="X3" s="51"/>
      <c r="Y3" s="51"/>
      <c r="Z3" s="51"/>
      <c r="AA3" s="51"/>
      <c r="AB3" s="52"/>
      <c r="AF3" s="43"/>
      <c r="AG3" s="43"/>
      <c r="AH3" s="43"/>
      <c r="AI3" s="43"/>
    </row>
    <row r="4" spans="1:37" ht="12.95" customHeight="1">
      <c r="A4" s="34"/>
      <c r="B4" s="53"/>
      <c r="C4" s="47" t="str">
        <f>Drop!A103</f>
        <v>适用的样本计划：</v>
      </c>
      <c r="D4" s="561" t="str">
        <f>汇总!D3</f>
        <v>致同抽样</v>
      </c>
      <c r="E4" s="562"/>
      <c r="F4" s="46"/>
      <c r="G4" s="46"/>
      <c r="H4" s="46"/>
      <c r="I4" s="46"/>
      <c r="J4" s="46"/>
      <c r="K4" s="49" t="str">
        <f>Drop!A105</f>
        <v>高信赖（其他标准）?：</v>
      </c>
      <c r="L4" s="553" t="str">
        <f>IF(ISBLANK(汇总!D7),Drop!A247,汇总!D7)</f>
        <v>否 - 不适用</v>
      </c>
      <c r="M4" s="554"/>
      <c r="N4" s="554"/>
      <c r="O4" s="555"/>
      <c r="P4" s="144"/>
      <c r="Q4" s="49"/>
      <c r="R4" s="49"/>
      <c r="S4" s="49"/>
      <c r="T4" s="49"/>
      <c r="U4" s="49"/>
      <c r="V4" s="50"/>
      <c r="W4" s="51"/>
      <c r="X4" s="51"/>
      <c r="Y4" s="51"/>
      <c r="Z4" s="51"/>
      <c r="AA4" s="51"/>
      <c r="AB4" s="52"/>
      <c r="AF4" s="43"/>
      <c r="AG4" s="43"/>
      <c r="AH4" s="43"/>
      <c r="AI4" s="43"/>
    </row>
    <row r="5" spans="1:37" ht="12.95" customHeight="1">
      <c r="A5" s="34"/>
      <c r="B5" s="54"/>
      <c r="C5" s="49" t="str">
        <f>Drop!A104</f>
        <v>上市实体/ 高风险?：</v>
      </c>
      <c r="D5" s="315" t="str">
        <f>汇总!D5</f>
        <v>是</v>
      </c>
      <c r="E5" s="316"/>
      <c r="F5" s="46"/>
      <c r="G5" s="46"/>
      <c r="H5" s="46"/>
      <c r="I5" s="46"/>
      <c r="J5" s="46"/>
      <c r="K5" s="49" t="str">
        <f>Drop!A106</f>
        <v>实际执行的重要性</v>
      </c>
      <c r="L5" s="556">
        <f>汇总!D10</f>
        <v>0</v>
      </c>
      <c r="M5" s="557"/>
      <c r="N5" s="557"/>
      <c r="O5" s="558"/>
      <c r="P5" s="49"/>
      <c r="Q5" s="49"/>
      <c r="R5" s="49"/>
      <c r="S5" s="49"/>
      <c r="T5" s="49"/>
      <c r="U5" s="49"/>
      <c r="V5" s="50"/>
      <c r="W5" s="51"/>
      <c r="X5" s="51"/>
      <c r="Y5" s="51"/>
      <c r="Z5" s="51"/>
      <c r="AA5" s="51"/>
      <c r="AB5" s="52"/>
      <c r="AF5" s="43" t="s">
        <v>161</v>
      </c>
      <c r="AG5" s="43" t="b">
        <f>OR(E11=Drop!A37)</f>
        <v>0</v>
      </c>
      <c r="AH5" s="55"/>
      <c r="AI5" s="55"/>
      <c r="AJ5" s="55"/>
      <c r="AK5" s="55"/>
    </row>
    <row r="6" spans="1:37" ht="12.95" customHeight="1" thickBot="1">
      <c r="A6" s="34"/>
      <c r="B6" s="56"/>
      <c r="C6" s="57"/>
      <c r="D6" s="57"/>
      <c r="E6" s="57"/>
      <c r="F6" s="57"/>
      <c r="G6" s="57"/>
      <c r="H6" s="57"/>
      <c r="I6" s="57"/>
      <c r="J6" s="57"/>
      <c r="K6" s="57"/>
      <c r="L6" s="57"/>
      <c r="M6" s="57"/>
      <c r="N6" s="57"/>
      <c r="O6" s="57"/>
      <c r="P6" s="57"/>
      <c r="Q6" s="57"/>
      <c r="R6" s="57"/>
      <c r="S6" s="57"/>
      <c r="T6" s="57"/>
      <c r="U6" s="57"/>
      <c r="V6" s="57"/>
      <c r="W6" s="57"/>
      <c r="X6" s="57"/>
      <c r="Y6" s="57"/>
      <c r="Z6" s="57"/>
      <c r="AA6" s="57"/>
      <c r="AB6" s="58"/>
      <c r="AF6" s="43" t="s">
        <v>36</v>
      </c>
      <c r="AG6" s="43" t="b">
        <f>OR(D5=Drop!A13,L4=Drop!A246)</f>
        <v>1</v>
      </c>
      <c r="AH6" s="59"/>
      <c r="AI6" s="59"/>
      <c r="AJ6" s="59"/>
      <c r="AK6" s="59"/>
    </row>
    <row r="7" spans="1:37" ht="13.5" thickBot="1">
      <c r="B7" s="60"/>
      <c r="C7" s="60"/>
      <c r="AF7" s="43" t="s">
        <v>37</v>
      </c>
      <c r="AG7" s="61">
        <f>IF(AG6=TRUE,5%,10%)</f>
        <v>0.05</v>
      </c>
      <c r="AH7" s="59"/>
      <c r="AI7" s="59"/>
      <c r="AJ7" s="59"/>
      <c r="AK7" s="59"/>
    </row>
    <row r="8" spans="1:37" ht="13.5" thickBot="1">
      <c r="B8" s="62" t="str">
        <f>Drop!A93</f>
        <v>步骤 1 - 确定测试的目标</v>
      </c>
      <c r="C8" s="63"/>
      <c r="D8" s="63"/>
      <c r="E8" s="63"/>
      <c r="F8" s="64"/>
      <c r="H8" s="65" t="str">
        <f>Drop!A95</f>
        <v>步骤 3 - 抽样方法</v>
      </c>
      <c r="I8" s="66"/>
      <c r="J8" s="66"/>
      <c r="K8" s="66"/>
      <c r="L8" s="66"/>
      <c r="M8" s="66"/>
      <c r="N8" s="66"/>
      <c r="O8" s="66"/>
      <c r="P8" s="66"/>
      <c r="Q8" s="67"/>
      <c r="S8" s="65" t="str">
        <f>Drop!A97</f>
        <v>步骤 5 - 选取样本</v>
      </c>
      <c r="T8" s="66"/>
      <c r="U8" s="66"/>
      <c r="V8" s="66"/>
      <c r="W8" s="66"/>
      <c r="X8" s="66"/>
      <c r="Y8" s="66"/>
      <c r="Z8" s="66"/>
      <c r="AA8" s="66"/>
      <c r="AB8" s="67"/>
      <c r="AF8" s="43" t="s">
        <v>27</v>
      </c>
      <c r="AG8" s="138" t="str">
        <f>D4</f>
        <v>致同抽样</v>
      </c>
      <c r="AH8" s="68"/>
      <c r="AI8" s="68"/>
      <c r="AJ8" s="68"/>
      <c r="AK8" s="68"/>
    </row>
    <row r="9" spans="1:37" ht="15" customHeight="1">
      <c r="B9" s="69"/>
      <c r="C9" s="70"/>
      <c r="D9" s="70"/>
      <c r="E9" s="70"/>
      <c r="F9" s="71"/>
      <c r="H9" s="546" t="str">
        <f>IF(AG2=TRUE,Drop!A88,"")</f>
        <v/>
      </c>
      <c r="I9" s="547"/>
      <c r="J9" s="547"/>
      <c r="K9" s="547"/>
      <c r="L9" s="547"/>
      <c r="M9" s="547"/>
      <c r="N9" s="547"/>
      <c r="O9" s="547"/>
      <c r="P9" s="547"/>
      <c r="Q9" s="548"/>
      <c r="S9" s="72"/>
      <c r="T9" s="32"/>
      <c r="U9" s="32"/>
      <c r="V9" s="32"/>
      <c r="W9" s="32"/>
      <c r="X9" s="32"/>
      <c r="Y9" s="32"/>
      <c r="Z9" s="32"/>
      <c r="AA9" s="32"/>
      <c r="AB9" s="73"/>
      <c r="AF9" s="43" t="s">
        <v>43</v>
      </c>
      <c r="AG9" s="138">
        <f>VLOOKUP(AG8,Drop!A17:B19,2,FALSE)</f>
        <v>2</v>
      </c>
      <c r="AH9" s="68"/>
      <c r="AI9" s="68"/>
      <c r="AJ9" s="68"/>
      <c r="AK9" s="68"/>
    </row>
    <row r="10" spans="1:37" ht="20.100000000000001" customHeight="1">
      <c r="B10" s="326" t="str">
        <f>Drop!A108</f>
        <v>认定</v>
      </c>
      <c r="C10" s="327"/>
      <c r="D10" s="328"/>
      <c r="E10" s="212"/>
      <c r="F10" s="208"/>
      <c r="H10" s="549"/>
      <c r="I10" s="550"/>
      <c r="J10" s="550"/>
      <c r="K10" s="550"/>
      <c r="L10" s="550"/>
      <c r="M10" s="550"/>
      <c r="N10" s="550"/>
      <c r="O10" s="550"/>
      <c r="P10" s="550"/>
      <c r="Q10" s="551"/>
      <c r="S10" s="135" t="str">
        <f>Drop!A139</f>
        <v>使用的选取方法</v>
      </c>
      <c r="T10" s="32"/>
      <c r="U10" s="32"/>
      <c r="V10" s="32"/>
      <c r="W10" s="32"/>
      <c r="X10" s="32"/>
      <c r="Y10" s="329" t="s">
        <v>290</v>
      </c>
      <c r="Z10" s="330"/>
      <c r="AA10" s="330"/>
      <c r="AB10" s="331"/>
      <c r="AF10" s="43" t="s">
        <v>39</v>
      </c>
      <c r="AG10" s="61" t="e">
        <f>VLOOKUP(E11,Drop!A$37:D$39,AG9,FALSE)</f>
        <v>#N/A</v>
      </c>
      <c r="AH10" s="55"/>
      <c r="AI10" s="55"/>
      <c r="AJ10" s="55"/>
      <c r="AK10" s="55"/>
    </row>
    <row r="11" spans="1:37" ht="26.1" customHeight="1">
      <c r="B11" s="326" t="str">
        <f>Drop!A109</f>
        <v>固有风险</v>
      </c>
      <c r="C11" s="327"/>
      <c r="D11" s="328"/>
      <c r="E11" s="211"/>
      <c r="F11" s="208"/>
      <c r="H11" s="74"/>
      <c r="I11" s="32"/>
      <c r="J11" s="32"/>
      <c r="K11" s="552" t="str">
        <f>Drop!A120</f>
        <v>统计抽样</v>
      </c>
      <c r="L11" s="552"/>
      <c r="M11" s="552"/>
      <c r="N11" s="552"/>
      <c r="O11" s="32"/>
      <c r="P11" s="32"/>
      <c r="Q11" s="73"/>
      <c r="S11" s="74"/>
      <c r="T11" s="32"/>
      <c r="U11" s="32"/>
      <c r="V11" s="32"/>
      <c r="W11" s="32"/>
      <c r="X11" s="32"/>
      <c r="Y11" s="32"/>
      <c r="Z11" s="32"/>
      <c r="AA11" s="32"/>
      <c r="AB11" s="73"/>
      <c r="AF11" s="43" t="s">
        <v>40</v>
      </c>
      <c r="AG11" s="61" t="str">
        <f>IF(ISBLANK(E12),"",IF(E12=Drop!A43,Drop!B43,VLOOKUP(E13,Drop!A44:D46,AG9,FALSE)))</f>
        <v/>
      </c>
      <c r="AH11" s="75" t="s">
        <v>167</v>
      </c>
      <c r="AI11" s="43" t="b">
        <f>E12=Drop!A45</f>
        <v>0</v>
      </c>
      <c r="AJ11" s="43" t="str">
        <f>IF(AI$11=TRUE,Drop!A13,"")</f>
        <v/>
      </c>
      <c r="AK11" s="35" t="str">
        <f>IF(AI$11=TRUE,Drop!A14,"")</f>
        <v/>
      </c>
    </row>
    <row r="12" spans="1:37" ht="26.1" customHeight="1">
      <c r="B12" s="332" t="str">
        <f>Drop!A110</f>
        <v>对控制的信赖程度</v>
      </c>
      <c r="C12" s="333"/>
      <c r="D12" s="334"/>
      <c r="E12" s="212"/>
      <c r="F12" s="208"/>
      <c r="H12" s="74"/>
      <c r="I12" s="32"/>
      <c r="J12" s="32"/>
      <c r="K12" s="32"/>
      <c r="L12" s="32"/>
      <c r="M12" s="32"/>
      <c r="N12" s="32"/>
      <c r="O12" s="32"/>
      <c r="P12" s="32"/>
      <c r="Q12" s="73"/>
      <c r="S12" s="135" t="str">
        <f>Drop!A140</f>
        <v>样本间隔</v>
      </c>
      <c r="T12" s="32"/>
      <c r="U12" s="32"/>
      <c r="V12" s="32"/>
      <c r="W12" s="32"/>
      <c r="X12" s="32"/>
      <c r="Y12" s="337" t="str" cm="1">
        <f t="array" ref="Y12">_xlfn.IFS(ISBLANK(Y10),"",AND(Y10=Drop!A62,O12=Drop!A125),Drop!A228,Y10&lt;&gt;Drop!A62,Drop!A222,ISERROR(AG25),Drop!A219,TRUE,AG25)</f>
        <v>核实所有输入</v>
      </c>
      <c r="Z12" s="338"/>
      <c r="AA12" s="338"/>
      <c r="AB12" s="339"/>
      <c r="AF12" s="43" t="s">
        <v>41</v>
      </c>
      <c r="AG12" s="61">
        <f>VLOOKUP(K19,Drop!A52:D54,AG9,FALSE)</f>
        <v>1</v>
      </c>
      <c r="AH12" s="55"/>
      <c r="AK12" s="55"/>
    </row>
    <row r="13" spans="1:37" ht="20.100000000000001" customHeight="1">
      <c r="B13" s="332" t="str">
        <f>Drop!A48</f>
        <v>测试范围</v>
      </c>
      <c r="C13" s="333"/>
      <c r="D13" s="334"/>
      <c r="E13" s="212" t="s">
        <v>318</v>
      </c>
      <c r="F13" s="208"/>
      <c r="H13" s="74"/>
      <c r="I13" s="32"/>
      <c r="J13" s="32"/>
      <c r="K13" s="32"/>
      <c r="L13" s="32"/>
      <c r="M13" s="32"/>
      <c r="N13" s="32"/>
      <c r="O13" s="32"/>
      <c r="P13" s="32"/>
      <c r="Q13" s="73"/>
      <c r="S13" s="135"/>
      <c r="T13" s="32"/>
      <c r="U13" s="32"/>
      <c r="V13" s="32"/>
      <c r="W13" s="32"/>
      <c r="X13" s="32"/>
      <c r="Y13" s="180"/>
      <c r="Z13" s="180"/>
      <c r="AA13" s="180"/>
      <c r="AB13" s="181"/>
      <c r="AF13" s="43"/>
      <c r="AG13" s="61"/>
      <c r="AH13" s="55"/>
      <c r="AK13" s="55"/>
    </row>
    <row r="14" spans="1:37" ht="15.75" customHeight="1" thickBot="1">
      <c r="B14" s="162"/>
      <c r="C14" s="163"/>
      <c r="D14" s="541"/>
      <c r="E14" s="541"/>
      <c r="F14" s="542"/>
      <c r="H14" s="76"/>
      <c r="I14" s="77"/>
      <c r="J14" s="77"/>
      <c r="K14" s="77"/>
      <c r="L14" s="77"/>
      <c r="M14" s="77"/>
      <c r="N14" s="77"/>
      <c r="O14" s="77"/>
      <c r="P14" s="77"/>
      <c r="Q14" s="78"/>
      <c r="S14" s="76"/>
      <c r="T14" s="77"/>
      <c r="U14" s="77"/>
      <c r="V14" s="77"/>
      <c r="W14" s="77"/>
      <c r="X14" s="77"/>
      <c r="Y14" s="77"/>
      <c r="Z14" s="77"/>
      <c r="AA14" s="77"/>
      <c r="AB14" s="78"/>
      <c r="AF14" s="43" t="s">
        <v>38</v>
      </c>
      <c r="AG14" s="61">
        <f>VLOOKUP(K20,Drop!A52:D54,AG9,FALSE)</f>
        <v>1</v>
      </c>
      <c r="AH14" s="79"/>
      <c r="AI14" s="79"/>
      <c r="AJ14" s="79"/>
      <c r="AK14" s="79"/>
    </row>
    <row r="15" spans="1:37" ht="13.5" thickBot="1">
      <c r="S15" s="80"/>
      <c r="T15" s="81"/>
      <c r="U15" s="81"/>
      <c r="V15" s="81"/>
      <c r="W15" s="81"/>
      <c r="X15" s="81"/>
      <c r="Y15" s="81"/>
      <c r="Z15" s="81"/>
      <c r="AA15" s="81"/>
      <c r="AB15" s="81"/>
      <c r="AF15" s="43" t="s">
        <v>211</v>
      </c>
      <c r="AG15" s="61">
        <f>VLOOKUP(K21,Drop!A58:D59,AG9,FALSE)</f>
        <v>1</v>
      </c>
      <c r="AH15" s="82"/>
      <c r="AI15" s="82"/>
      <c r="AJ15" s="82"/>
      <c r="AK15" s="82"/>
    </row>
    <row r="16" spans="1:37" ht="13.5" thickBot="1">
      <c r="B16" s="65" t="str">
        <f>Drop!A94</f>
        <v>步骤 2 - 定义和分析总体</v>
      </c>
      <c r="C16" s="66"/>
      <c r="D16" s="66"/>
      <c r="E16" s="66"/>
      <c r="F16" s="67"/>
      <c r="H16" s="65" t="str">
        <f>Drop!A96</f>
        <v>步骤 4 - 确定样本量</v>
      </c>
      <c r="I16" s="66"/>
      <c r="J16" s="66"/>
      <c r="K16" s="66"/>
      <c r="L16" s="66"/>
      <c r="M16" s="66"/>
      <c r="N16" s="66"/>
      <c r="O16" s="66"/>
      <c r="P16" s="66"/>
      <c r="Q16" s="67"/>
      <c r="S16" s="83" t="str">
        <f>Drop!A98</f>
        <v>步骤 6 - 测试已选取样本</v>
      </c>
      <c r="T16" s="66"/>
      <c r="U16" s="66"/>
      <c r="V16" s="66"/>
      <c r="W16" s="66"/>
      <c r="X16" s="66"/>
      <c r="Y16" s="66"/>
      <c r="Z16" s="66"/>
      <c r="AA16" s="66"/>
      <c r="AB16" s="67"/>
      <c r="AF16" s="43" t="s">
        <v>45</v>
      </c>
      <c r="AG16" s="61" t="e">
        <f>AG7/(AG10*AG11*AG12*AG14*AG15)</f>
        <v>#N/A</v>
      </c>
    </row>
    <row r="17" spans="2:33">
      <c r="B17" s="85"/>
      <c r="C17" s="86"/>
      <c r="D17" s="86"/>
      <c r="E17" s="86"/>
      <c r="F17" s="87"/>
      <c r="H17" s="152"/>
      <c r="I17" s="88"/>
      <c r="J17" s="88"/>
      <c r="K17" s="88"/>
      <c r="L17" s="88"/>
      <c r="M17" s="88"/>
      <c r="N17" s="88"/>
      <c r="O17" s="88"/>
      <c r="P17" s="88"/>
      <c r="Q17" s="89"/>
      <c r="S17" s="74"/>
      <c r="T17" s="32"/>
      <c r="U17" s="32"/>
      <c r="V17" s="32"/>
      <c r="W17" s="32"/>
      <c r="X17" s="32"/>
      <c r="Y17" s="32"/>
      <c r="Z17" s="32"/>
      <c r="AA17" s="32"/>
      <c r="AB17" s="73"/>
      <c r="AF17" s="43" t="s">
        <v>46</v>
      </c>
      <c r="AG17" s="84" t="e">
        <f>1-AG16</f>
        <v>#N/A</v>
      </c>
    </row>
    <row r="18" spans="2:33" ht="14.25">
      <c r="B18" s="543" t="str">
        <f>Drop!A112</f>
        <v>总体的绝对值</v>
      </c>
      <c r="C18" s="544"/>
      <c r="D18" s="545"/>
      <c r="E18" s="224"/>
      <c r="F18" s="199"/>
      <c r="H18" s="135" t="str">
        <f>Drop!A130</f>
        <v>提供的证据:</v>
      </c>
      <c r="I18" s="32"/>
      <c r="J18" s="32"/>
      <c r="K18" s="32"/>
      <c r="L18" s="32"/>
      <c r="M18" s="358" t="str">
        <f>Drop!A82</f>
        <v>描述程序</v>
      </c>
      <c r="N18" s="359"/>
      <c r="O18" s="359"/>
      <c r="P18" s="359"/>
      <c r="Q18" s="360"/>
      <c r="S18" s="340" t="str">
        <f>Drop!A142</f>
        <v>相关测试记录的工作底稿索引:</v>
      </c>
      <c r="T18" s="341"/>
      <c r="U18" s="341"/>
      <c r="V18" s="341"/>
      <c r="W18" s="341"/>
      <c r="X18" s="341"/>
      <c r="Y18" s="342"/>
      <c r="Z18" s="535" t="s">
        <v>316</v>
      </c>
      <c r="AA18" s="536"/>
      <c r="AB18" s="537"/>
      <c r="AF18" s="43" t="s">
        <v>48</v>
      </c>
      <c r="AG18" s="90">
        <f>IF(E19=Drop!A14,(E18-E24-E25),(E20 - E24-E25))</f>
        <v>90000</v>
      </c>
    </row>
    <row r="19" spans="2:33" ht="30" customHeight="1">
      <c r="B19" s="543" t="str">
        <f>Drop!A67</f>
        <v>测试少于总体的100%？</v>
      </c>
      <c r="C19" s="544"/>
      <c r="D19" s="545"/>
      <c r="E19" s="211"/>
      <c r="F19" s="199"/>
      <c r="H19" s="135" t="str">
        <f>Drop!A131</f>
        <v>分析程序</v>
      </c>
      <c r="I19" s="93"/>
      <c r="J19" s="93"/>
      <c r="K19" s="329" t="s">
        <v>287</v>
      </c>
      <c r="L19" s="352"/>
      <c r="M19" s="612"/>
      <c r="N19" s="330"/>
      <c r="O19" s="330"/>
      <c r="P19" s="330"/>
      <c r="Q19" s="331"/>
      <c r="S19" s="340"/>
      <c r="T19" s="341"/>
      <c r="U19" s="341"/>
      <c r="V19" s="341"/>
      <c r="W19" s="341"/>
      <c r="X19" s="341"/>
      <c r="Y19" s="342"/>
      <c r="Z19" s="538"/>
      <c r="AA19" s="539"/>
      <c r="AB19" s="540"/>
      <c r="AF19" s="43"/>
      <c r="AG19" s="90"/>
    </row>
    <row r="20" spans="2:33" ht="30" customHeight="1" thickBot="1">
      <c r="B20" s="442" t="str">
        <f>IF(OR(ISBLANK(E19),E19=Drop!A14),"",Drop!A68)</f>
        <v/>
      </c>
      <c r="C20" s="443"/>
      <c r="D20" s="443"/>
      <c r="E20" s="198">
        <v>90000</v>
      </c>
      <c r="F20" s="199"/>
      <c r="H20" s="137" t="str">
        <f>Drop!A132</f>
        <v>其他细节测试</v>
      </c>
      <c r="I20" s="93"/>
      <c r="J20" s="93"/>
      <c r="K20" s="329" t="s">
        <v>287</v>
      </c>
      <c r="L20" s="352"/>
      <c r="M20" s="612"/>
      <c r="N20" s="330"/>
      <c r="O20" s="330"/>
      <c r="P20" s="330"/>
      <c r="Q20" s="331"/>
      <c r="S20" s="76"/>
      <c r="T20" s="77"/>
      <c r="U20" s="77"/>
      <c r="V20" s="77"/>
      <c r="W20" s="77"/>
      <c r="X20" s="77"/>
      <c r="Y20" s="77"/>
      <c r="Z20" s="77"/>
      <c r="AA20" s="77"/>
      <c r="AB20" s="78"/>
      <c r="AF20" s="43" t="s">
        <v>49</v>
      </c>
      <c r="AG20" s="43" t="b">
        <f>OR(E24&gt;0,E25&gt;0,D24&gt;0,D25&gt;0)</f>
        <v>0</v>
      </c>
    </row>
    <row r="21" spans="2:33" ht="30" customHeight="1">
      <c r="B21" s="196"/>
      <c r="C21" s="197"/>
      <c r="D21" s="213"/>
      <c r="E21" s="198"/>
      <c r="F21" s="199"/>
      <c r="H21" s="137" t="str">
        <f>Drop!A133</f>
        <v>审计数据分析</v>
      </c>
      <c r="I21" s="93"/>
      <c r="J21" s="93"/>
      <c r="K21" s="329" t="s">
        <v>287</v>
      </c>
      <c r="L21" s="352"/>
      <c r="M21" s="329"/>
      <c r="N21" s="330"/>
      <c r="O21" s="330"/>
      <c r="P21" s="330"/>
      <c r="Q21" s="331"/>
      <c r="AF21" s="43" t="s">
        <v>99</v>
      </c>
      <c r="AG21" s="43" t="b">
        <f>OR(AG12&lt;100%,AG14&lt;100%)</f>
        <v>0</v>
      </c>
    </row>
    <row r="22" spans="2:33" s="136" customFormat="1" ht="23.25" customHeight="1">
      <c r="B22" s="158" t="str">
        <f>Drop!A113</f>
        <v>重大金额或关键项目进行单独测试:</v>
      </c>
      <c r="C22" s="159"/>
      <c r="D22" s="159"/>
      <c r="E22" s="159"/>
      <c r="F22" s="157"/>
      <c r="H22" s="137" t="str">
        <f>Drop!A134</f>
        <v>预期总体错报金额</v>
      </c>
      <c r="I22" s="93"/>
      <c r="J22" s="93"/>
      <c r="K22" s="93"/>
      <c r="L22" s="93"/>
      <c r="M22" s="353">
        <v>0.1</v>
      </c>
      <c r="N22" s="354"/>
      <c r="O22" s="355">
        <f>IF(ISBLANK(M22),"",$L$5*M22)</f>
        <v>0</v>
      </c>
      <c r="P22" s="356"/>
      <c r="Q22" s="357"/>
      <c r="AB22" s="160"/>
      <c r="AF22" s="43"/>
      <c r="AG22" s="43"/>
    </row>
    <row r="23" spans="2:33">
      <c r="B23" s="166"/>
      <c r="C23" s="32"/>
      <c r="D23" s="195" t="str">
        <f>Drop!A114</f>
        <v>项目总数</v>
      </c>
      <c r="E23" s="192" t="str">
        <f>Drop!A115</f>
        <v>合计金额</v>
      </c>
      <c r="F23" s="73"/>
      <c r="H23" s="363" t="str" cm="1">
        <f t="array" ref="H23">_xlfn.IFS(ISBLANK(M22),"",ISERROR(O22),Drop!A219,M22&lt;Drop!F62,Drop!A79,M22&gt;=Drop!H62,Drop!A81,M22&gt;Drop!G62,Drop!A80,TRUE,"")</f>
        <v/>
      </c>
      <c r="I23" s="364"/>
      <c r="J23" s="364"/>
      <c r="K23" s="364"/>
      <c r="L23" s="364"/>
      <c r="M23" s="364"/>
      <c r="N23" s="364"/>
      <c r="O23" s="364"/>
      <c r="P23" s="364"/>
      <c r="Q23" s="365"/>
      <c r="V23" s="149"/>
      <c r="AB23" s="161" t="str">
        <f>Drop!A243</f>
        <v>图例</v>
      </c>
      <c r="AF23" s="142"/>
      <c r="AG23" s="142"/>
    </row>
    <row r="24" spans="2:33" ht="24.95" customHeight="1">
      <c r="B24" s="166"/>
      <c r="C24" s="215" t="str">
        <f>Drop!A116</f>
        <v>定性</v>
      </c>
      <c r="D24" s="194"/>
      <c r="E24" s="218"/>
      <c r="F24" s="73"/>
      <c r="G24" s="91"/>
      <c r="H24" s="174" t="str">
        <f>IF(E19=Drop!A13,Drop!A137,"")</f>
        <v/>
      </c>
      <c r="I24" s="178"/>
      <c r="J24" s="178"/>
      <c r="K24" s="178"/>
      <c r="L24" s="170"/>
      <c r="M24" s="170"/>
      <c r="N24" s="170"/>
      <c r="O24" s="355" t="str">
        <f>IF(AND(E19=Drop!A13,ISBLANK(M22)=FALSE),O22*E20/E18,"")</f>
        <v/>
      </c>
      <c r="P24" s="356"/>
      <c r="Q24" s="357"/>
      <c r="V24" s="136"/>
      <c r="W24" s="136"/>
      <c r="X24" s="136"/>
      <c r="Y24" s="136"/>
      <c r="Z24" s="136"/>
      <c r="AA24" s="148" t="str">
        <f>Drop!A234</f>
        <v>系统生成或计算值</v>
      </c>
      <c r="AB24" s="150"/>
      <c r="AF24" s="43" t="s">
        <v>12</v>
      </c>
      <c r="AG24" s="138" t="str">
        <f>IF(ISBLANK(E19),Drop!A219,IF(E19=Drop!A13,IF(AG17&gt;0,ROUNDUP(PoissonSample(AG16,((O22*(E20/E18))/AG18),((L5*(E20/E18))/AG18)),0),0),IF(E19=Drop!A14,IF(AG17&gt;0,ROUNDUP(PoissonSample(AG16,((O22)/AG18),((L5)/AG18)),0),0))))</f>
        <v>核实所有输入</v>
      </c>
    </row>
    <row r="25" spans="2:33" ht="24.95" customHeight="1">
      <c r="B25" s="166"/>
      <c r="C25" s="215" t="str">
        <f>Drop!A117</f>
        <v>定量</v>
      </c>
      <c r="D25" s="194"/>
      <c r="E25" s="218"/>
      <c r="F25" s="73"/>
      <c r="H25" s="92" t="str">
        <f>Drop!A135</f>
        <v>设计置信水平</v>
      </c>
      <c r="I25" s="93"/>
      <c r="J25" s="93"/>
      <c r="K25" s="164"/>
      <c r="L25" s="366" t="str">
        <f>IF(ISERROR(IF(AG17&lt;=0,Drop!A69,AG17)),Drop!A219,IF(AG17&lt;=0,Drop!A69,AG17))</f>
        <v>核实所有输入</v>
      </c>
      <c r="M25" s="366"/>
      <c r="N25" s="366"/>
      <c r="O25" s="366"/>
      <c r="P25" s="366"/>
      <c r="Q25" s="367"/>
      <c r="V25" s="136"/>
      <c r="W25" s="136"/>
      <c r="X25" s="136"/>
      <c r="Y25" s="136"/>
      <c r="Z25" s="136"/>
      <c r="AA25" s="148" t="str">
        <f>Drop!A235</f>
        <v>要求用户选择如何确定样本</v>
      </c>
      <c r="AB25" s="147"/>
      <c r="AF25" s="43" t="s">
        <v>106</v>
      </c>
      <c r="AG25" s="143" t="e" cm="1">
        <f t="array" ref="AG25">_xlfn.IFS(L26=Drop!A85,Drop!A227,L26=Drop!A84,ROUND(AG18/5,0),TRUE,ROUND(AG18/L26,0))</f>
        <v>#VALUE!</v>
      </c>
    </row>
    <row r="26" spans="2:33" ht="24.95" customHeight="1">
      <c r="B26" s="166"/>
      <c r="C26" s="32"/>
      <c r="D26" s="214" t="str">
        <f>Drop!A118</f>
        <v>抽样总体</v>
      </c>
      <c r="E26" s="219">
        <f>AG18</f>
        <v>90000</v>
      </c>
      <c r="F26" s="73"/>
      <c r="H26" s="92" t="str">
        <f>Drop!A136</f>
        <v>样本量</v>
      </c>
      <c r="I26" s="93"/>
      <c r="J26" s="93"/>
      <c r="K26" s="93"/>
      <c r="L26" s="532" t="str" cm="1">
        <f t="array" ref="L26">_xlfn.IFS(AG18&lt;=L5,Drop!A89,AG26=TRUE,Drop!A219,O22="",Drop!A219,ISERROR(AG24&gt;=5),Drop!A219,AG24&gt;=5,AG24,AG17&lt;=0,Drop!A85,TRUE,Drop!A84)</f>
        <v>核实所有输入</v>
      </c>
      <c r="M26" s="533"/>
      <c r="N26" s="533" t="str">
        <f>IF(ISERROR(IF(AG24&gt;5,AG24,Drop!A84)),Drop!A219,IF(AG24&gt;5,AG24,Drop!A84))</f>
        <v>核实所有输入</v>
      </c>
      <c r="O26" s="533"/>
      <c r="P26" s="533"/>
      <c r="Q26" s="534"/>
      <c r="R26" s="165"/>
      <c r="AA26" s="148" t="str">
        <f>Drop!A236</f>
        <v>其他用户输入栏</v>
      </c>
      <c r="AB26" s="151"/>
      <c r="AF26" s="153" t="s">
        <v>244</v>
      </c>
      <c r="AG26" s="143" t="b">
        <f>M22&gt;=Drop!H62</f>
        <v>0</v>
      </c>
    </row>
    <row r="27" spans="2:33" ht="24.95" customHeight="1">
      <c r="B27" s="166"/>
      <c r="C27" s="171"/>
      <c r="D27" s="168"/>
      <c r="E27" s="172"/>
      <c r="F27" s="173"/>
      <c r="H27" s="370" t="str">
        <f>IF(AG20=TRUE,Drop!A70,"")</f>
        <v/>
      </c>
      <c r="I27" s="371"/>
      <c r="J27" s="371"/>
      <c r="K27" s="371"/>
      <c r="L27" s="372" t="str">
        <f>IF(AG20=TRUE,D24+D25,"")</f>
        <v/>
      </c>
      <c r="M27" s="373"/>
      <c r="N27" s="373"/>
      <c r="O27" s="373"/>
      <c r="P27" s="373"/>
      <c r="Q27" s="374"/>
      <c r="AA27" s="148"/>
    </row>
    <row r="28" spans="2:33" ht="33.75" customHeight="1" thickBot="1">
      <c r="B28" s="375" t="str" cm="1">
        <f t="array" ref="B28">_xlfn.IFS(AG28=TRUE,Drop!A220,AG29=TRUE,Drop!A223,AG30=TRUE,Drop!A221,TRUE,"")</f>
        <v/>
      </c>
      <c r="C28" s="376"/>
      <c r="D28" s="376"/>
      <c r="E28" s="376"/>
      <c r="F28" s="377"/>
      <c r="H28" s="76"/>
      <c r="I28" s="77"/>
      <c r="J28" s="77"/>
      <c r="K28" s="77"/>
      <c r="L28" s="77"/>
      <c r="M28" s="77"/>
      <c r="N28" s="77"/>
      <c r="O28" s="94"/>
      <c r="P28" s="77"/>
      <c r="Q28" s="95"/>
      <c r="AF28" s="43" t="s">
        <v>206</v>
      </c>
      <c r="AG28" s="43" t="str">
        <f>IF(ISBLANK(E18),"",IF(E19=Drop!A13,SUM(E24:E25)&gt;E20,SUM(E24:E25)&gt;E18))</f>
        <v/>
      </c>
    </row>
    <row r="29" spans="2:33" ht="24.95" customHeight="1" thickBot="1">
      <c r="B29" s="96"/>
      <c r="AF29" s="43" t="s">
        <v>207</v>
      </c>
      <c r="AG29" s="43" t="str">
        <f>IF(ISBLANK(E18),"",IF(E19=Drop!A13,(SUM(E24:E25)/E20)&gt;Drop!E223,(SUM(E24:E25)/E18)&gt;Drop!E223))</f>
        <v/>
      </c>
    </row>
    <row r="30" spans="2:33" ht="13.5" thickBot="1">
      <c r="B30" s="65" t="str">
        <f>Drop!A99</f>
        <v>步骤 7 - 评价样本结果</v>
      </c>
      <c r="C30" s="66"/>
      <c r="D30" s="66"/>
      <c r="E30" s="66"/>
      <c r="F30" s="66"/>
      <c r="G30" s="66"/>
      <c r="H30" s="66"/>
      <c r="I30" s="66"/>
      <c r="J30" s="66"/>
      <c r="K30" s="66"/>
      <c r="L30" s="66"/>
      <c r="M30" s="66"/>
      <c r="N30" s="66"/>
      <c r="O30" s="66"/>
      <c r="P30" s="66"/>
      <c r="Q30" s="66"/>
      <c r="R30" s="66"/>
      <c r="S30" s="66"/>
      <c r="T30" s="66"/>
      <c r="U30" s="66"/>
      <c r="V30" s="66"/>
      <c r="W30" s="66"/>
      <c r="X30" s="66"/>
      <c r="Y30" s="66"/>
      <c r="Z30" s="66"/>
      <c r="AA30" s="66"/>
      <c r="AB30" s="67"/>
      <c r="AF30" s="27" t="s">
        <v>237</v>
      </c>
      <c r="AG30" s="27" t="b">
        <f>OR(E24&lt;0,E25&lt;0)</f>
        <v>0</v>
      </c>
    </row>
    <row r="31" spans="2:33" ht="15" customHeight="1">
      <c r="B31" s="378" t="str" cm="1">
        <f t="array" ref="B31">_xlfn.IFS(L26=Drop!A85,Drop!A86,L26=Drop!A84,Drop!A87,ISERROR(L26),Drop!A219,TRUE,"")</f>
        <v/>
      </c>
      <c r="C31" s="379"/>
      <c r="D31" s="379"/>
      <c r="E31" s="379"/>
      <c r="F31" s="379"/>
      <c r="G31" s="379"/>
      <c r="H31" s="379"/>
      <c r="I31" s="379"/>
      <c r="J31" s="379"/>
      <c r="K31" s="379"/>
      <c r="L31" s="379"/>
      <c r="M31" s="379"/>
      <c r="N31" s="379"/>
      <c r="O31" s="379"/>
      <c r="P31" s="379"/>
      <c r="Q31" s="379"/>
      <c r="R31" s="379"/>
      <c r="S31" s="379"/>
      <c r="T31" s="379"/>
      <c r="U31" s="379"/>
      <c r="V31" s="379"/>
      <c r="W31" s="379"/>
      <c r="X31" s="379"/>
      <c r="Y31" s="379"/>
      <c r="Z31" s="379"/>
      <c r="AA31" s="379"/>
      <c r="AB31" s="380"/>
    </row>
    <row r="32" spans="2:33" ht="15.75" customHeight="1" thickBot="1">
      <c r="B32" s="381"/>
      <c r="C32" s="382"/>
      <c r="D32" s="382"/>
      <c r="E32" s="382"/>
      <c r="F32" s="382"/>
      <c r="G32" s="382"/>
      <c r="H32" s="382"/>
      <c r="I32" s="382"/>
      <c r="J32" s="382"/>
      <c r="K32" s="382"/>
      <c r="L32" s="382"/>
      <c r="M32" s="382"/>
      <c r="N32" s="382"/>
      <c r="O32" s="382"/>
      <c r="P32" s="382"/>
      <c r="Q32" s="382"/>
      <c r="R32" s="382"/>
      <c r="S32" s="382"/>
      <c r="T32" s="382"/>
      <c r="U32" s="382"/>
      <c r="V32" s="382"/>
      <c r="W32" s="382"/>
      <c r="X32" s="382"/>
      <c r="Y32" s="382"/>
      <c r="Z32" s="382"/>
      <c r="AA32" s="382"/>
      <c r="AB32" s="383"/>
    </row>
    <row r="33" spans="2:39" ht="15.75" customHeight="1" thickBot="1">
      <c r="B33" s="384" t="str">
        <f>Drop!A144</f>
        <v>识别出的错报</v>
      </c>
      <c r="C33" s="385"/>
      <c r="D33" s="385"/>
      <c r="E33" s="385"/>
      <c r="F33" s="385"/>
      <c r="G33" s="385"/>
      <c r="H33" s="385"/>
      <c r="I33" s="385"/>
      <c r="J33" s="385"/>
      <c r="K33" s="385"/>
      <c r="L33" s="385"/>
      <c r="M33" s="385"/>
      <c r="N33" s="385"/>
      <c r="O33" s="385"/>
      <c r="P33" s="385"/>
      <c r="Q33" s="386"/>
      <c r="S33" s="384" t="str">
        <f>Drop!A156</f>
        <v>汇总结果</v>
      </c>
      <c r="T33" s="385"/>
      <c r="U33" s="385"/>
      <c r="V33" s="385"/>
      <c r="W33" s="385"/>
      <c r="X33" s="385"/>
      <c r="Y33" s="385"/>
      <c r="Z33" s="385"/>
      <c r="AA33" s="385"/>
      <c r="AB33" s="386"/>
      <c r="AF33" s="35" t="s">
        <v>104</v>
      </c>
      <c r="AG33" s="35" t="b">
        <f>MIN(AJ38:AJ57)&lt;Drop!A240</f>
        <v>0</v>
      </c>
    </row>
    <row r="34" spans="2:39">
      <c r="B34" s="202"/>
      <c r="C34" s="520"/>
      <c r="D34" s="520"/>
      <c r="E34" s="520"/>
      <c r="F34" s="521"/>
      <c r="G34" s="97"/>
      <c r="H34" s="97"/>
      <c r="I34" s="97"/>
      <c r="J34" s="97"/>
      <c r="K34" s="97"/>
      <c r="L34" s="97"/>
      <c r="M34" s="97"/>
      <c r="N34" s="97"/>
      <c r="O34" s="97"/>
      <c r="P34" s="97"/>
      <c r="Q34" s="98"/>
      <c r="S34" s="74"/>
      <c r="T34" s="32"/>
      <c r="U34" s="32"/>
      <c r="V34" s="32"/>
      <c r="W34" s="32"/>
      <c r="X34" s="32"/>
      <c r="Y34" s="32"/>
      <c r="Z34" s="32"/>
      <c r="AA34" s="32"/>
      <c r="AB34" s="73"/>
      <c r="AK34" s="82"/>
    </row>
    <row r="35" spans="2:39">
      <c r="B35" s="72"/>
      <c r="C35" s="530" t="str">
        <f>Drop!A145</f>
        <v>账面金额</v>
      </c>
      <c r="D35" s="530" t="str">
        <f>Drop!A146</f>
        <v>审计金额</v>
      </c>
      <c r="E35" s="530" t="str">
        <f>Drop!A147</f>
        <v>与重大金额或关键项目相关?</v>
      </c>
      <c r="F35" s="210"/>
      <c r="G35" s="210"/>
      <c r="H35" s="604" t="str">
        <f>Drop!A148</f>
        <v>错报金额合计</v>
      </c>
      <c r="I35" s="605"/>
      <c r="J35" s="608" t="str">
        <f>Drop!A149</f>
        <v>渲染</v>
      </c>
      <c r="K35" s="609"/>
      <c r="L35" s="305" t="str">
        <f>Drop!A150</f>
        <v>推断总体</v>
      </c>
      <c r="M35" s="306"/>
      <c r="N35" s="306"/>
      <c r="O35" s="306"/>
      <c r="P35" s="306"/>
      <c r="Q35" s="513"/>
      <c r="S35" s="74" t="str">
        <f>Drop!A157</f>
        <v>样本的实际错报金额:</v>
      </c>
      <c r="T35" s="32"/>
      <c r="U35" s="32"/>
      <c r="V35" s="32"/>
      <c r="W35" s="32"/>
      <c r="X35" s="32"/>
      <c r="Y35" s="32"/>
      <c r="Z35" s="32"/>
      <c r="AA35" s="401">
        <f>H57</f>
        <v>0</v>
      </c>
      <c r="AB35" s="402"/>
      <c r="AF35" s="35" t="s">
        <v>57</v>
      </c>
      <c r="AG35" s="82" t="e">
        <f>Y12*AG37</f>
        <v>#VALUE!</v>
      </c>
      <c r="AH35" s="82"/>
      <c r="AI35" s="82"/>
      <c r="AJ35" s="82"/>
      <c r="AK35" s="82"/>
    </row>
    <row r="36" spans="2:39">
      <c r="B36" s="202"/>
      <c r="C36" s="531"/>
      <c r="D36" s="531"/>
      <c r="E36" s="531"/>
      <c r="F36" s="210"/>
      <c r="G36" s="210"/>
      <c r="H36" s="606"/>
      <c r="I36" s="607"/>
      <c r="J36" s="610"/>
      <c r="K36" s="611"/>
      <c r="L36" s="514" t="str">
        <f>Drop!A151</f>
        <v>包括渲染</v>
      </c>
      <c r="M36" s="515"/>
      <c r="N36" s="516"/>
      <c r="O36" s="514" t="str">
        <f>Drop!A152</f>
        <v>没有渲染</v>
      </c>
      <c r="P36" s="515"/>
      <c r="Q36" s="517"/>
      <c r="S36" s="74"/>
      <c r="T36" s="100"/>
      <c r="U36" s="100"/>
      <c r="V36" s="100"/>
      <c r="W36" s="100"/>
      <c r="X36" s="100"/>
      <c r="Y36" s="100"/>
      <c r="Z36" s="32"/>
      <c r="AA36" s="32"/>
      <c r="AB36" s="73"/>
      <c r="AF36" s="59" t="s">
        <v>56</v>
      </c>
      <c r="AG36" s="35" t="s">
        <v>42</v>
      </c>
      <c r="AH36" s="35" t="s">
        <v>70</v>
      </c>
      <c r="AI36" s="35" t="s">
        <v>102</v>
      </c>
      <c r="AJ36" s="99" t="s">
        <v>91</v>
      </c>
      <c r="AK36" s="99" t="s">
        <v>92</v>
      </c>
      <c r="AL36" s="518" t="s">
        <v>58</v>
      </c>
    </row>
    <row r="37" spans="2:39" ht="15.75" customHeight="1">
      <c r="B37" s="201"/>
      <c r="C37" s="189"/>
      <c r="D37" s="189"/>
      <c r="E37" s="209"/>
      <c r="F37" s="32"/>
      <c r="G37" s="32"/>
      <c r="H37" s="465">
        <f t="shared" ref="H37:H56" si="0">C37-D37</f>
        <v>0</v>
      </c>
      <c r="I37" s="466"/>
      <c r="J37" s="467" t="str">
        <f t="shared" ref="J37:J56" si="1">IF(C37&gt;0,H37/C37,"")</f>
        <v/>
      </c>
      <c r="K37" s="468"/>
      <c r="L37" s="460">
        <f>IF(ISERROR(IF(C37&gt;0,IF(OR(C37&gt;$Y$12,E37=Drop!A$13),0,J37*$Y$12),0)),Drop!A$219,IF(C37&gt;0,IF(OR(C37&gt;$Y$12,E37=Drop!A$13),0,J37*$Y$12),0))</f>
        <v>0</v>
      </c>
      <c r="M37" s="461"/>
      <c r="N37" s="462"/>
      <c r="O37" s="405">
        <f>IF(ISERROR(IF(OR(C37&gt;$Y$12,E37=Drop!A$13),H37,0)),Drop!A$219,IF(OR(C37&gt;$Y$12,E37=Drop!A$13),H37,0))</f>
        <v>0</v>
      </c>
      <c r="P37" s="463"/>
      <c r="Q37" s="464"/>
      <c r="S37" s="504" t="str">
        <f>Drop!A158</f>
        <v>推断总体错报金额 (记录到审计调整分录或未更正错报汇总):</v>
      </c>
      <c r="T37" s="505"/>
      <c r="U37" s="505"/>
      <c r="V37" s="505"/>
      <c r="W37" s="505"/>
      <c r="X37" s="505"/>
      <c r="Y37" s="505"/>
      <c r="Z37" s="506"/>
      <c r="AA37" s="507">
        <f>L58</f>
        <v>0</v>
      </c>
      <c r="AB37" s="508"/>
      <c r="AF37" s="192">
        <v>0</v>
      </c>
      <c r="AG37" s="192" t="e">
        <f t="shared" ref="AG37:AG57" si="2">_xlfn.GAMMA.INV($AG$17,AF37+1,1)</f>
        <v>#N/A</v>
      </c>
      <c r="AH37" s="192"/>
      <c r="AI37" s="192"/>
      <c r="AJ37" s="101"/>
      <c r="AK37" s="101"/>
      <c r="AL37" s="519"/>
      <c r="AM37" s="104"/>
    </row>
    <row r="38" spans="2:39" ht="15.75" customHeight="1">
      <c r="B38" s="201"/>
      <c r="C38" s="189"/>
      <c r="D38" s="189"/>
      <c r="E38" s="209"/>
      <c r="F38" s="32"/>
      <c r="G38" s="32"/>
      <c r="H38" s="465">
        <f t="shared" si="0"/>
        <v>0</v>
      </c>
      <c r="I38" s="466"/>
      <c r="J38" s="467" t="str">
        <f t="shared" si="1"/>
        <v/>
      </c>
      <c r="K38" s="468"/>
      <c r="L38" s="460">
        <f>IF(ISERROR(IF(C38&gt;0,IF(OR(C38&gt;$Y$12,E38=Drop!A$13),0,J38*$Y$12),0)),Drop!A$219,IF(C38&gt;0,IF(OR(C38&gt;$Y$12,E38=Drop!A$13),0,J38*$Y$12),0))</f>
        <v>0</v>
      </c>
      <c r="M38" s="461"/>
      <c r="N38" s="462"/>
      <c r="O38" s="405">
        <f>IF(ISERROR(IF(OR(C38&gt;$Y$12,E38=Drop!A$13),H38,0)),Drop!A$219,IF(OR(C38&gt;$Y$12,E38=Drop!A$13),H38,0))</f>
        <v>0</v>
      </c>
      <c r="P38" s="463"/>
      <c r="Q38" s="464"/>
      <c r="S38" s="504"/>
      <c r="T38" s="505"/>
      <c r="U38" s="505"/>
      <c r="V38" s="505"/>
      <c r="W38" s="505"/>
      <c r="X38" s="505"/>
      <c r="Y38" s="505"/>
      <c r="Z38" s="506"/>
      <c r="AA38" s="509"/>
      <c r="AB38" s="510"/>
      <c r="AF38" s="192">
        <f>AF37+1</f>
        <v>1</v>
      </c>
      <c r="AG38" s="192" t="e">
        <f t="shared" si="2"/>
        <v>#N/A</v>
      </c>
      <c r="AH38" s="192" t="e">
        <f t="shared" ref="AH38:AH56" si="3">AG38-AG37</f>
        <v>#N/A</v>
      </c>
      <c r="AI38" s="192">
        <f>ABS(L37)</f>
        <v>0</v>
      </c>
      <c r="AJ38" s="101">
        <f t="shared" ref="AJ38:AJ57" si="4">RANK(AI38,AI$38:AI$57)</f>
        <v>1</v>
      </c>
      <c r="AK38" s="102">
        <f>L37</f>
        <v>0</v>
      </c>
      <c r="AL38" s="103" t="e">
        <f>VLOOKUP(AJ38,AF$37:AH$57,3,FALSE)*AK38</f>
        <v>#N/A</v>
      </c>
      <c r="AM38" s="104"/>
    </row>
    <row r="39" spans="2:39" ht="15.75" customHeight="1">
      <c r="B39" s="201"/>
      <c r="C39" s="189"/>
      <c r="D39" s="189"/>
      <c r="E39" s="209"/>
      <c r="F39" s="32"/>
      <c r="G39" s="32"/>
      <c r="H39" s="465">
        <f t="shared" si="0"/>
        <v>0</v>
      </c>
      <c r="I39" s="466"/>
      <c r="J39" s="467" t="str">
        <f t="shared" si="1"/>
        <v/>
      </c>
      <c r="K39" s="468"/>
      <c r="L39" s="460">
        <f>IF(ISERROR(IF(C39&gt;0,IF(OR(C39&gt;$Y$12,E39=Drop!A$13),0,J39*$Y$12),0)),Drop!A$219,IF(C39&gt;0,IF(OR(C39&gt;$Y$12,E39=Drop!A$13),0,J39*$Y$12),0))</f>
        <v>0</v>
      </c>
      <c r="M39" s="461"/>
      <c r="N39" s="462"/>
      <c r="O39" s="405">
        <f>IF(ISERROR(IF(OR(C39&gt;$Y$12,E39=Drop!A$13),H39,0)),Drop!A$219,IF(OR(C39&gt;$Y$12,E39=Drop!A$13),H39,0))</f>
        <v>0</v>
      </c>
      <c r="P39" s="463"/>
      <c r="Q39" s="464"/>
      <c r="S39" s="504"/>
      <c r="T39" s="505"/>
      <c r="U39" s="505"/>
      <c r="V39" s="505"/>
      <c r="W39" s="505"/>
      <c r="X39" s="505"/>
      <c r="Y39" s="505"/>
      <c r="Z39" s="506"/>
      <c r="AA39" s="511"/>
      <c r="AB39" s="512"/>
      <c r="AF39" s="192">
        <f t="shared" ref="AF39:AF57" si="5">AF38+1</f>
        <v>2</v>
      </c>
      <c r="AG39" s="192" t="e">
        <f t="shared" si="2"/>
        <v>#N/A</v>
      </c>
      <c r="AH39" s="192" t="e">
        <f t="shared" si="3"/>
        <v>#N/A</v>
      </c>
      <c r="AI39" s="192">
        <f t="shared" ref="AI39:AI57" si="6">ABS(L38)</f>
        <v>0</v>
      </c>
      <c r="AJ39" s="101">
        <f t="shared" si="4"/>
        <v>1</v>
      </c>
      <c r="AK39" s="102">
        <f t="shared" ref="AK39:AK57" si="7">L38</f>
        <v>0</v>
      </c>
      <c r="AL39" s="103" t="e">
        <f>VLOOKUP(AJ39,AF$37:AH$57,3,FALSE)*AK39</f>
        <v>#N/A</v>
      </c>
      <c r="AM39" s="104"/>
    </row>
    <row r="40" spans="2:39" ht="15.75" customHeight="1">
      <c r="B40" s="201"/>
      <c r="C40" s="189"/>
      <c r="D40" s="189"/>
      <c r="E40" s="209"/>
      <c r="F40" s="32"/>
      <c r="G40" s="32"/>
      <c r="H40" s="465">
        <f t="shared" si="0"/>
        <v>0</v>
      </c>
      <c r="I40" s="466"/>
      <c r="J40" s="467" t="str">
        <f t="shared" si="1"/>
        <v/>
      </c>
      <c r="K40" s="468"/>
      <c r="L40" s="460">
        <f>IF(ISERROR(IF(C40&gt;0,IF(OR(C40&gt;$Y$12,E40=Drop!A$13),0,J40*$Y$12),0)),Drop!A$219,IF(C40&gt;0,IF(OR(C40&gt;$Y$12,E40=Drop!A$13),0,J40*$Y$12),0))</f>
        <v>0</v>
      </c>
      <c r="M40" s="461"/>
      <c r="N40" s="462"/>
      <c r="O40" s="405">
        <f>IF(ISERROR(IF(OR(C40&gt;$Y$12,E40=Drop!A$13),H40,0)),Drop!A$219,IF(OR(C40&gt;$Y$12,E40=Drop!A$13),H40,0))</f>
        <v>0</v>
      </c>
      <c r="P40" s="463"/>
      <c r="Q40" s="464"/>
      <c r="S40" s="105"/>
      <c r="T40" s="32"/>
      <c r="U40" s="32"/>
      <c r="V40" s="32"/>
      <c r="W40" s="32"/>
      <c r="X40" s="32"/>
      <c r="Y40" s="32"/>
      <c r="Z40" s="32"/>
      <c r="AA40" s="32"/>
      <c r="AB40" s="73"/>
      <c r="AF40" s="192">
        <f t="shared" si="5"/>
        <v>3</v>
      </c>
      <c r="AG40" s="192" t="e">
        <f t="shared" si="2"/>
        <v>#N/A</v>
      </c>
      <c r="AH40" s="192" t="e">
        <f t="shared" si="3"/>
        <v>#N/A</v>
      </c>
      <c r="AI40" s="192">
        <f t="shared" si="6"/>
        <v>0</v>
      </c>
      <c r="AJ40" s="101">
        <f t="shared" si="4"/>
        <v>1</v>
      </c>
      <c r="AK40" s="102">
        <f t="shared" si="7"/>
        <v>0</v>
      </c>
      <c r="AL40" s="103" t="e">
        <f t="shared" ref="AL40:AL57" si="8">VLOOKUP(AJ40,AF$37:AH$57,3,FALSE)*AK40</f>
        <v>#N/A</v>
      </c>
      <c r="AM40" s="104"/>
    </row>
    <row r="41" spans="2:39" ht="15.75" customHeight="1">
      <c r="B41" s="201"/>
      <c r="C41" s="189"/>
      <c r="D41" s="189"/>
      <c r="E41" s="209"/>
      <c r="F41" s="32"/>
      <c r="G41" s="32"/>
      <c r="H41" s="465">
        <f t="shared" si="0"/>
        <v>0</v>
      </c>
      <c r="I41" s="466"/>
      <c r="J41" s="467" t="str">
        <f t="shared" si="1"/>
        <v/>
      </c>
      <c r="K41" s="468"/>
      <c r="L41" s="460">
        <f>IF(ISERROR(IF(C41&gt;0,IF(OR(C41&gt;$Y$12,E41=Drop!A$13),0,J41*$Y$12),0)),Drop!A$219,IF(C41&gt;0,IF(OR(C41&gt;$Y$12,E41=Drop!A$13),0,J41*$Y$12),0))</f>
        <v>0</v>
      </c>
      <c r="M41" s="461"/>
      <c r="N41" s="462"/>
      <c r="O41" s="405">
        <f>IF(ISERROR(IF(OR(C41&gt;$Y$12,E41=Drop!A$13),H41,0)),Drop!A$219,IF(OR(C41&gt;$Y$12,E41=Drop!A$13),H41,0))</f>
        <v>0</v>
      </c>
      <c r="P41" s="463"/>
      <c r="Q41" s="464"/>
      <c r="S41" s="74" t="str">
        <f>Drop!A159</f>
        <v>整体精准度:</v>
      </c>
      <c r="T41" s="32"/>
      <c r="U41" s="32"/>
      <c r="V41" s="32"/>
      <c r="W41" s="32"/>
      <c r="X41" s="32"/>
      <c r="Y41" s="32"/>
      <c r="Z41" s="32"/>
      <c r="AA41" s="493" t="str">
        <f>IF(ISERROR(AL66),Drop!A219,AL66)</f>
        <v>核实所有输入</v>
      </c>
      <c r="AB41" s="494"/>
      <c r="AF41" s="192">
        <f t="shared" si="5"/>
        <v>4</v>
      </c>
      <c r="AG41" s="192" t="e">
        <f t="shared" si="2"/>
        <v>#N/A</v>
      </c>
      <c r="AH41" s="192" t="e">
        <f t="shared" si="3"/>
        <v>#N/A</v>
      </c>
      <c r="AI41" s="192">
        <f t="shared" si="6"/>
        <v>0</v>
      </c>
      <c r="AJ41" s="101">
        <f t="shared" si="4"/>
        <v>1</v>
      </c>
      <c r="AK41" s="102">
        <f t="shared" si="7"/>
        <v>0</v>
      </c>
      <c r="AL41" s="103" t="e">
        <f t="shared" si="8"/>
        <v>#N/A</v>
      </c>
      <c r="AM41" s="104"/>
    </row>
    <row r="42" spans="2:39" ht="15.75" customHeight="1">
      <c r="B42" s="201"/>
      <c r="C42" s="189"/>
      <c r="D42" s="189"/>
      <c r="E42" s="209"/>
      <c r="F42" s="32"/>
      <c r="G42" s="32"/>
      <c r="H42" s="465">
        <f t="shared" si="0"/>
        <v>0</v>
      </c>
      <c r="I42" s="466"/>
      <c r="J42" s="467" t="str">
        <f t="shared" si="1"/>
        <v/>
      </c>
      <c r="K42" s="468"/>
      <c r="L42" s="460">
        <f>IF(ISERROR(IF(C42&gt;0,IF(OR(C42&gt;$Y$12,E42=Drop!A$13),0,J42*$Y$12),0)),Drop!A$219,IF(C42&gt;0,IF(OR(C42&gt;$Y$12,E42=Drop!A$13),0,J42*$Y$12),0))</f>
        <v>0</v>
      </c>
      <c r="M42" s="461"/>
      <c r="N42" s="462"/>
      <c r="O42" s="405">
        <f>IF(ISERROR(IF(OR(C42&gt;$Y$12,E42=Drop!A$13),H42,0)),Drop!A$219,IF(OR(C42&gt;$Y$12,E42=Drop!A$13),H42,0))</f>
        <v>0</v>
      </c>
      <c r="P42" s="463"/>
      <c r="Q42" s="464"/>
      <c r="S42" s="74"/>
      <c r="T42" s="32"/>
      <c r="U42" s="32"/>
      <c r="V42" s="32"/>
      <c r="W42" s="32"/>
      <c r="X42" s="32"/>
      <c r="Y42" s="32"/>
      <c r="Z42" s="32"/>
      <c r="AA42" s="32"/>
      <c r="AB42" s="73"/>
      <c r="AF42" s="192">
        <f t="shared" si="5"/>
        <v>5</v>
      </c>
      <c r="AG42" s="192" t="e">
        <f t="shared" si="2"/>
        <v>#N/A</v>
      </c>
      <c r="AH42" s="192" t="e">
        <f t="shared" si="3"/>
        <v>#N/A</v>
      </c>
      <c r="AI42" s="192">
        <f t="shared" si="6"/>
        <v>0</v>
      </c>
      <c r="AJ42" s="101">
        <f t="shared" si="4"/>
        <v>1</v>
      </c>
      <c r="AK42" s="102">
        <f t="shared" si="7"/>
        <v>0</v>
      </c>
      <c r="AL42" s="103" t="e">
        <f t="shared" si="8"/>
        <v>#N/A</v>
      </c>
      <c r="AM42" s="104"/>
    </row>
    <row r="43" spans="2:39" ht="15.75" customHeight="1">
      <c r="B43" s="201"/>
      <c r="C43" s="189"/>
      <c r="D43" s="189"/>
      <c r="E43" s="209"/>
      <c r="F43" s="32"/>
      <c r="G43" s="32"/>
      <c r="H43" s="465">
        <f t="shared" si="0"/>
        <v>0</v>
      </c>
      <c r="I43" s="466"/>
      <c r="J43" s="467" t="str">
        <f t="shared" si="1"/>
        <v/>
      </c>
      <c r="K43" s="468"/>
      <c r="L43" s="460">
        <f>IF(ISERROR(IF(C43&gt;0,IF(OR(C43&gt;$Y$12,E43=Drop!A$13),0,J43*$Y$12),0)),Drop!A$219,IF(C43&gt;0,IF(OR(C43&gt;$Y$12,E43=Drop!A$13),0,J43*$Y$12),0))</f>
        <v>0</v>
      </c>
      <c r="M43" s="461"/>
      <c r="N43" s="462"/>
      <c r="O43" s="405">
        <f>IF(ISERROR(IF(OR(C43&gt;$Y$12,E43=Drop!A$13),H43,0)),Drop!A$219,IF(OR(C43&gt;$Y$12,E43=Drop!A$13),H43,0))</f>
        <v>0</v>
      </c>
      <c r="P43" s="463"/>
      <c r="Q43" s="464"/>
      <c r="S43" s="421" t="str">
        <f>Drop!A160</f>
        <v>这里有</v>
      </c>
      <c r="T43" s="422"/>
      <c r="U43" s="495" t="str">
        <f>IF(ISERROR(AG16),Drop!A219,AG16)</f>
        <v>核实所有输入</v>
      </c>
      <c r="V43" s="496"/>
      <c r="W43" s="501" t="str">
        <f>Drop!A161</f>
        <v>机会已记账金额被多计超过</v>
      </c>
      <c r="X43" s="502"/>
      <c r="Y43" s="502"/>
      <c r="Z43" s="503"/>
      <c r="AA43" s="487" t="str">
        <f>IF(ISERROR(AL72),Drop!A219,AL72)</f>
        <v>核实所有输入</v>
      </c>
      <c r="AB43" s="488"/>
      <c r="AF43" s="192">
        <f t="shared" si="5"/>
        <v>6</v>
      </c>
      <c r="AG43" s="192" t="e">
        <f t="shared" si="2"/>
        <v>#N/A</v>
      </c>
      <c r="AH43" s="192" t="e">
        <f t="shared" si="3"/>
        <v>#N/A</v>
      </c>
      <c r="AI43" s="192">
        <f t="shared" si="6"/>
        <v>0</v>
      </c>
      <c r="AJ43" s="101">
        <f t="shared" si="4"/>
        <v>1</v>
      </c>
      <c r="AK43" s="102">
        <f t="shared" si="7"/>
        <v>0</v>
      </c>
      <c r="AL43" s="103" t="e">
        <f t="shared" si="8"/>
        <v>#N/A</v>
      </c>
      <c r="AM43" s="104"/>
    </row>
    <row r="44" spans="2:39" ht="15.75" customHeight="1">
      <c r="B44" s="201"/>
      <c r="C44" s="189"/>
      <c r="D44" s="189"/>
      <c r="E44" s="209"/>
      <c r="F44" s="32"/>
      <c r="G44" s="32"/>
      <c r="H44" s="465">
        <f t="shared" si="0"/>
        <v>0</v>
      </c>
      <c r="I44" s="466"/>
      <c r="J44" s="467" t="str">
        <f t="shared" si="1"/>
        <v/>
      </c>
      <c r="K44" s="468"/>
      <c r="L44" s="460">
        <f>IF(ISERROR(IF(C44&gt;0,IF(OR(C44&gt;$Y$12,E44=Drop!A$13),0,J44*$Y$12),0)),Drop!A$219,IF(C44&gt;0,IF(OR(C44&gt;$Y$12,E44=Drop!A$13),0,J44*$Y$12),0))</f>
        <v>0</v>
      </c>
      <c r="M44" s="461"/>
      <c r="N44" s="462"/>
      <c r="O44" s="405">
        <f>IF(ISERROR(IF(OR(C44&gt;$Y$12,E44=Drop!A$13),H44,0)),Drop!A$219,IF(OR(C44&gt;$Y$12,E44=Drop!A$13),H44,0))</f>
        <v>0</v>
      </c>
      <c r="P44" s="463"/>
      <c r="Q44" s="464"/>
      <c r="S44" s="421"/>
      <c r="T44" s="422"/>
      <c r="U44" s="497"/>
      <c r="V44" s="498"/>
      <c r="W44" s="501"/>
      <c r="X44" s="502"/>
      <c r="Y44" s="502"/>
      <c r="Z44" s="503"/>
      <c r="AA44" s="489"/>
      <c r="AB44" s="490"/>
      <c r="AF44" s="192">
        <f t="shared" si="5"/>
        <v>7</v>
      </c>
      <c r="AG44" s="192" t="e">
        <f t="shared" si="2"/>
        <v>#N/A</v>
      </c>
      <c r="AH44" s="192" t="e">
        <f t="shared" si="3"/>
        <v>#N/A</v>
      </c>
      <c r="AI44" s="192">
        <f t="shared" si="6"/>
        <v>0</v>
      </c>
      <c r="AJ44" s="101">
        <f t="shared" si="4"/>
        <v>1</v>
      </c>
      <c r="AK44" s="102">
        <f t="shared" si="7"/>
        <v>0</v>
      </c>
      <c r="AL44" s="103" t="e">
        <f t="shared" si="8"/>
        <v>#N/A</v>
      </c>
      <c r="AM44" s="104"/>
    </row>
    <row r="45" spans="2:39" ht="15.75" customHeight="1">
      <c r="B45" s="201"/>
      <c r="C45" s="189"/>
      <c r="D45" s="189"/>
      <c r="E45" s="209"/>
      <c r="F45" s="32"/>
      <c r="G45" s="32"/>
      <c r="H45" s="465">
        <f t="shared" si="0"/>
        <v>0</v>
      </c>
      <c r="I45" s="466"/>
      <c r="J45" s="467" t="str">
        <f t="shared" si="1"/>
        <v/>
      </c>
      <c r="K45" s="468"/>
      <c r="L45" s="460">
        <f>IF(ISERROR(IF(C45&gt;0,IF(OR(C45&gt;$Y$12,E45=Drop!A$13),0,J45*$Y$12),0)),Drop!A$219,IF(C45&gt;0,IF(OR(C45&gt;$Y$12,E45=Drop!A$13),0,J45*$Y$12),0))</f>
        <v>0</v>
      </c>
      <c r="M45" s="461"/>
      <c r="N45" s="462"/>
      <c r="O45" s="405">
        <f>IF(ISERROR(IF(OR(C45&gt;$Y$12,E45=Drop!A$13),H45,0)),Drop!A$219,IF(OR(C45&gt;$Y$12,E45=Drop!A$13),H45,0))</f>
        <v>0</v>
      </c>
      <c r="P45" s="463"/>
      <c r="Q45" s="464"/>
      <c r="S45" s="421"/>
      <c r="T45" s="422"/>
      <c r="U45" s="499"/>
      <c r="V45" s="500"/>
      <c r="W45" s="501"/>
      <c r="X45" s="502"/>
      <c r="Y45" s="502"/>
      <c r="Z45" s="503"/>
      <c r="AA45" s="491"/>
      <c r="AB45" s="492"/>
      <c r="AF45" s="192">
        <f t="shared" si="5"/>
        <v>8</v>
      </c>
      <c r="AG45" s="192" t="e">
        <f t="shared" si="2"/>
        <v>#N/A</v>
      </c>
      <c r="AH45" s="192" t="e">
        <f t="shared" si="3"/>
        <v>#N/A</v>
      </c>
      <c r="AI45" s="192">
        <f t="shared" si="6"/>
        <v>0</v>
      </c>
      <c r="AJ45" s="101">
        <f t="shared" si="4"/>
        <v>1</v>
      </c>
      <c r="AK45" s="102">
        <f t="shared" si="7"/>
        <v>0</v>
      </c>
      <c r="AL45" s="103" t="e">
        <f t="shared" si="8"/>
        <v>#N/A</v>
      </c>
      <c r="AM45" s="104"/>
    </row>
    <row r="46" spans="2:39" ht="15.75" customHeight="1">
      <c r="B46" s="201"/>
      <c r="C46" s="189"/>
      <c r="D46" s="189"/>
      <c r="E46" s="209"/>
      <c r="F46" s="32"/>
      <c r="G46" s="32"/>
      <c r="H46" s="483">
        <f t="shared" si="0"/>
        <v>0</v>
      </c>
      <c r="I46" s="484"/>
      <c r="J46" s="485" t="str">
        <f t="shared" si="1"/>
        <v/>
      </c>
      <c r="K46" s="486"/>
      <c r="L46" s="460">
        <f>IF(ISERROR(IF(C46&gt;0,IF(OR(C46&gt;$Y$12,E46=Drop!A$13),0,J46*$Y$12),0)),Drop!A$219,IF(C46&gt;0,IF(OR(C46&gt;$Y$12,E46=Drop!A$13),0,J46*$Y$12),0))</f>
        <v>0</v>
      </c>
      <c r="M46" s="461"/>
      <c r="N46" s="462"/>
      <c r="O46" s="405">
        <f>IF(ISERROR(IF(OR(C46&gt;$Y$12,E46=Drop!A$13),H46,0)),Drop!A$219,IF(OR(C46&gt;$Y$12,E46=Drop!A$13),H46,0))</f>
        <v>0</v>
      </c>
      <c r="P46" s="463"/>
      <c r="Q46" s="464"/>
      <c r="S46" s="74"/>
      <c r="T46" s="32"/>
      <c r="U46" s="32"/>
      <c r="V46" s="32"/>
      <c r="W46" s="32"/>
      <c r="X46" s="32"/>
      <c r="Y46" s="32"/>
      <c r="Z46" s="32"/>
      <c r="AA46" s="32"/>
      <c r="AB46" s="73"/>
      <c r="AF46" s="192">
        <f t="shared" si="5"/>
        <v>9</v>
      </c>
      <c r="AG46" s="192" t="e">
        <f t="shared" si="2"/>
        <v>#N/A</v>
      </c>
      <c r="AH46" s="192" t="e">
        <f t="shared" si="3"/>
        <v>#N/A</v>
      </c>
      <c r="AI46" s="192">
        <f t="shared" si="6"/>
        <v>0</v>
      </c>
      <c r="AJ46" s="101">
        <f t="shared" si="4"/>
        <v>1</v>
      </c>
      <c r="AK46" s="102">
        <f t="shared" si="7"/>
        <v>0</v>
      </c>
      <c r="AL46" s="103" t="e">
        <f t="shared" si="8"/>
        <v>#N/A</v>
      </c>
      <c r="AM46" s="104"/>
    </row>
    <row r="47" spans="2:39" ht="15.75" customHeight="1">
      <c r="B47" s="201"/>
      <c r="C47" s="189"/>
      <c r="D47" s="189"/>
      <c r="E47" s="209"/>
      <c r="F47" s="32"/>
      <c r="G47" s="32"/>
      <c r="H47" s="483">
        <f t="shared" si="0"/>
        <v>0</v>
      </c>
      <c r="I47" s="484"/>
      <c r="J47" s="485" t="str">
        <f t="shared" si="1"/>
        <v/>
      </c>
      <c r="K47" s="486"/>
      <c r="L47" s="461">
        <f>IF(ISERROR(IF(C47&gt;0,IF(OR(C47&gt;$Y$12,E47=Drop!A$13),0,J47*$Y$12),0)),Drop!A$219,IF(C47&gt;0,IF(OR(C47&gt;$Y$12,E47=Drop!A$13),0,J47*$Y$12),0))</f>
        <v>0</v>
      </c>
      <c r="M47" s="461"/>
      <c r="N47" s="462"/>
      <c r="O47" s="405">
        <f>IF(ISERROR(IF(OR(C47&gt;$Y$12,E47=Drop!A$13),H47,0)),Drop!A$219,IF(OR(C47&gt;$Y$12,E47=Drop!A$13),H47,0))</f>
        <v>0</v>
      </c>
      <c r="P47" s="463"/>
      <c r="Q47" s="464"/>
      <c r="S47" s="74"/>
      <c r="T47" s="32"/>
      <c r="U47" s="32"/>
      <c r="V47" s="32"/>
      <c r="W47" s="32"/>
      <c r="X47" s="32"/>
      <c r="Y47" s="32"/>
      <c r="Z47" s="32"/>
      <c r="AA47" s="32"/>
      <c r="AB47" s="73"/>
      <c r="AF47" s="192">
        <f t="shared" si="5"/>
        <v>10</v>
      </c>
      <c r="AG47" s="192" t="e">
        <f t="shared" si="2"/>
        <v>#N/A</v>
      </c>
      <c r="AH47" s="192" t="e">
        <f t="shared" si="3"/>
        <v>#N/A</v>
      </c>
      <c r="AI47" s="192">
        <f t="shared" si="6"/>
        <v>0</v>
      </c>
      <c r="AJ47" s="101">
        <f t="shared" si="4"/>
        <v>1</v>
      </c>
      <c r="AK47" s="102">
        <f t="shared" si="7"/>
        <v>0</v>
      </c>
      <c r="AL47" s="103" t="e">
        <f t="shared" si="8"/>
        <v>#N/A</v>
      </c>
      <c r="AM47" s="104"/>
    </row>
    <row r="48" spans="2:39" ht="15.75" customHeight="1">
      <c r="B48" s="201"/>
      <c r="C48" s="189"/>
      <c r="D48" s="189"/>
      <c r="E48" s="209"/>
      <c r="F48" s="32"/>
      <c r="G48" s="32"/>
      <c r="H48" s="465">
        <f t="shared" si="0"/>
        <v>0</v>
      </c>
      <c r="I48" s="482"/>
      <c r="J48" s="467" t="str">
        <f t="shared" si="1"/>
        <v/>
      </c>
      <c r="K48" s="468"/>
      <c r="L48" s="461">
        <f>IF(ISERROR(IF(C48&gt;0,IF(OR(C48&gt;$Y$12,E48=Drop!A$13),0,J48*$Y$12),0)),Drop!A$219,IF(C48&gt;0,IF(OR(C48&gt;$Y$12,E48=Drop!A$13),0,J48*$Y$12),0))</f>
        <v>0</v>
      </c>
      <c r="M48" s="461"/>
      <c r="N48" s="462"/>
      <c r="O48" s="405">
        <f>IF(ISERROR(IF(OR(C48&gt;$Y$12,E48=Drop!A$13),H48,0)),Drop!A$219,IF(OR(C48&gt;$Y$12,E48=Drop!A$13),H48,0))</f>
        <v>0</v>
      </c>
      <c r="P48" s="463"/>
      <c r="Q48" s="464"/>
      <c r="S48" s="74"/>
      <c r="T48" s="32"/>
      <c r="U48" s="32"/>
      <c r="V48" s="32"/>
      <c r="W48" s="32"/>
      <c r="X48" s="32"/>
      <c r="Y48" s="32"/>
      <c r="Z48" s="32"/>
      <c r="AA48" s="32"/>
      <c r="AB48" s="73"/>
      <c r="AF48" s="192">
        <f t="shared" si="5"/>
        <v>11</v>
      </c>
      <c r="AG48" s="192" t="e">
        <f t="shared" si="2"/>
        <v>#N/A</v>
      </c>
      <c r="AH48" s="192" t="e">
        <f t="shared" si="3"/>
        <v>#N/A</v>
      </c>
      <c r="AI48" s="192">
        <f t="shared" si="6"/>
        <v>0</v>
      </c>
      <c r="AJ48" s="101">
        <f t="shared" si="4"/>
        <v>1</v>
      </c>
      <c r="AK48" s="102">
        <f t="shared" si="7"/>
        <v>0</v>
      </c>
      <c r="AL48" s="103" t="e">
        <f t="shared" si="8"/>
        <v>#N/A</v>
      </c>
      <c r="AM48" s="104"/>
    </row>
    <row r="49" spans="2:39" ht="15.75" customHeight="1">
      <c r="B49" s="201"/>
      <c r="C49" s="189"/>
      <c r="D49" s="189"/>
      <c r="E49" s="209"/>
      <c r="F49" s="32"/>
      <c r="G49" s="32"/>
      <c r="H49" s="469">
        <f t="shared" si="0"/>
        <v>0</v>
      </c>
      <c r="I49" s="470"/>
      <c r="J49" s="471" t="str">
        <f t="shared" si="1"/>
        <v/>
      </c>
      <c r="K49" s="472"/>
      <c r="L49" s="461">
        <f>IF(ISERROR(IF(C49&gt;0,IF(OR(C49&gt;$Y$12,E49=Drop!A$13),0,J49*$Y$12),0)),Drop!A$219,IF(C49&gt;0,IF(OR(C49&gt;$Y$12,E49=Drop!A$13),0,J49*$Y$12),0))</f>
        <v>0</v>
      </c>
      <c r="M49" s="461"/>
      <c r="N49" s="462"/>
      <c r="O49" s="405">
        <f>IF(ISERROR(IF(OR(C49&gt;$Y$12,E49=Drop!A$13),H49,0)),Drop!A$219,IF(OR(C49&gt;$Y$12,E49=Drop!A$13),H49,0))</f>
        <v>0</v>
      </c>
      <c r="P49" s="463"/>
      <c r="Q49" s="464"/>
      <c r="S49" s="74"/>
      <c r="T49" s="32"/>
      <c r="U49" s="32"/>
      <c r="V49" s="32"/>
      <c r="W49" s="32"/>
      <c r="X49" s="32"/>
      <c r="Y49" s="32"/>
      <c r="Z49" s="32"/>
      <c r="AA49" s="32"/>
      <c r="AB49" s="73"/>
      <c r="AF49" s="192">
        <f t="shared" si="5"/>
        <v>12</v>
      </c>
      <c r="AG49" s="192" t="e">
        <f t="shared" si="2"/>
        <v>#N/A</v>
      </c>
      <c r="AH49" s="192" t="e">
        <f t="shared" si="3"/>
        <v>#N/A</v>
      </c>
      <c r="AI49" s="192">
        <f t="shared" si="6"/>
        <v>0</v>
      </c>
      <c r="AJ49" s="101">
        <f t="shared" si="4"/>
        <v>1</v>
      </c>
      <c r="AK49" s="102">
        <f t="shared" si="7"/>
        <v>0</v>
      </c>
      <c r="AL49" s="103" t="e">
        <f t="shared" si="8"/>
        <v>#N/A</v>
      </c>
      <c r="AM49" s="104"/>
    </row>
    <row r="50" spans="2:39" ht="15.75" customHeight="1">
      <c r="B50" s="201"/>
      <c r="C50" s="189"/>
      <c r="D50" s="189"/>
      <c r="E50" s="209"/>
      <c r="F50" s="32"/>
      <c r="G50" s="32"/>
      <c r="H50" s="465">
        <f t="shared" si="0"/>
        <v>0</v>
      </c>
      <c r="I50" s="482"/>
      <c r="J50" s="467" t="str">
        <f t="shared" si="1"/>
        <v/>
      </c>
      <c r="K50" s="468"/>
      <c r="L50" s="461">
        <f>IF(ISERROR(IF(C50&gt;0,IF(OR(C50&gt;$Y$12,E50=Drop!A$13),0,J50*$Y$12),0)),Drop!A$219,IF(C50&gt;0,IF(OR(C50&gt;$Y$12,E50=Drop!A$13),0,J50*$Y$12),0))</f>
        <v>0</v>
      </c>
      <c r="M50" s="461"/>
      <c r="N50" s="462"/>
      <c r="O50" s="405">
        <f>IF(ISERROR(IF(OR(C50&gt;$Y$12,E50=Drop!A$13),H50,0)),Drop!A$219,IF(OR(C50&gt;$Y$12,E50=Drop!A$13),H50,0))</f>
        <v>0</v>
      </c>
      <c r="P50" s="463"/>
      <c r="Q50" s="464"/>
      <c r="S50" s="74"/>
      <c r="T50" s="32"/>
      <c r="U50" s="32"/>
      <c r="V50" s="32"/>
      <c r="W50" s="32"/>
      <c r="X50" s="32"/>
      <c r="Y50" s="32"/>
      <c r="Z50" s="32"/>
      <c r="AA50" s="32"/>
      <c r="AB50" s="73"/>
      <c r="AF50" s="192">
        <f t="shared" si="5"/>
        <v>13</v>
      </c>
      <c r="AG50" s="192" t="e">
        <f t="shared" si="2"/>
        <v>#N/A</v>
      </c>
      <c r="AH50" s="192" t="e">
        <f t="shared" si="3"/>
        <v>#N/A</v>
      </c>
      <c r="AI50" s="192">
        <f t="shared" si="6"/>
        <v>0</v>
      </c>
      <c r="AJ50" s="101">
        <f t="shared" si="4"/>
        <v>1</v>
      </c>
      <c r="AK50" s="102">
        <f t="shared" si="7"/>
        <v>0</v>
      </c>
      <c r="AL50" s="103" t="e">
        <f t="shared" si="8"/>
        <v>#N/A</v>
      </c>
      <c r="AM50" s="104"/>
    </row>
    <row r="51" spans="2:39" ht="15.75" customHeight="1">
      <c r="B51" s="201"/>
      <c r="C51" s="189"/>
      <c r="D51" s="189"/>
      <c r="E51" s="209"/>
      <c r="F51" s="32"/>
      <c r="G51" s="32"/>
      <c r="H51" s="478">
        <f t="shared" si="0"/>
        <v>0</v>
      </c>
      <c r="I51" s="479"/>
      <c r="J51" s="480" t="str">
        <f t="shared" si="1"/>
        <v/>
      </c>
      <c r="K51" s="481"/>
      <c r="L51" s="461">
        <f>IF(ISERROR(IF(C51&gt;0,IF(OR(C51&gt;$Y$12,E51=Drop!A$13),0,J51*$Y$12),0)),Drop!A$219,IF(C51&gt;0,IF(OR(C51&gt;$Y$12,E51=Drop!A$13),0,J51*$Y$12),0))</f>
        <v>0</v>
      </c>
      <c r="M51" s="461"/>
      <c r="N51" s="462"/>
      <c r="O51" s="405">
        <f>IF(ISERROR(IF(OR(C51&gt;$Y$12,E51=Drop!A$13),H51,0)),Drop!A$219,IF(OR(C51&gt;$Y$12,E51=Drop!A$13),H51,0))</f>
        <v>0</v>
      </c>
      <c r="P51" s="463"/>
      <c r="Q51" s="464"/>
      <c r="S51" s="74"/>
      <c r="T51" s="32"/>
      <c r="U51" s="32"/>
      <c r="V51" s="32"/>
      <c r="W51" s="32"/>
      <c r="X51" s="32"/>
      <c r="Y51" s="32"/>
      <c r="Z51" s="32"/>
      <c r="AA51" s="32"/>
      <c r="AB51" s="73"/>
      <c r="AF51" s="192">
        <f t="shared" si="5"/>
        <v>14</v>
      </c>
      <c r="AG51" s="192" t="e">
        <f t="shared" si="2"/>
        <v>#N/A</v>
      </c>
      <c r="AH51" s="192" t="e">
        <f t="shared" si="3"/>
        <v>#N/A</v>
      </c>
      <c r="AI51" s="192">
        <f t="shared" si="6"/>
        <v>0</v>
      </c>
      <c r="AJ51" s="101">
        <f t="shared" si="4"/>
        <v>1</v>
      </c>
      <c r="AK51" s="102">
        <f t="shared" si="7"/>
        <v>0</v>
      </c>
      <c r="AL51" s="103" t="e">
        <f t="shared" si="8"/>
        <v>#N/A</v>
      </c>
      <c r="AM51" s="104"/>
    </row>
    <row r="52" spans="2:39" ht="15.75" customHeight="1">
      <c r="B52" s="201"/>
      <c r="C52" s="189"/>
      <c r="D52" s="189"/>
      <c r="E52" s="209"/>
      <c r="F52" s="32"/>
      <c r="G52" s="32"/>
      <c r="H52" s="469">
        <f t="shared" si="0"/>
        <v>0</v>
      </c>
      <c r="I52" s="470"/>
      <c r="J52" s="471" t="str">
        <f t="shared" si="1"/>
        <v/>
      </c>
      <c r="K52" s="472"/>
      <c r="L52" s="460">
        <f>IF(ISERROR(IF(C52&gt;0,IF(OR(C52&gt;$Y$12,E52=Drop!A$13),0,J52*$Y$12),0)),Drop!A$219,IF(C52&gt;0,IF(OR(C52&gt;$Y$12,E52=Drop!A$13),0,J52*$Y$12),0))</f>
        <v>0</v>
      </c>
      <c r="M52" s="461"/>
      <c r="N52" s="462"/>
      <c r="O52" s="405">
        <f>IF(ISERROR(IF(OR(C52&gt;$Y$12,E52=Drop!A$13),H52,0)),Drop!A$219,IF(OR(C52&gt;$Y$12,E52=Drop!A$13),H52,0))</f>
        <v>0</v>
      </c>
      <c r="P52" s="463"/>
      <c r="Q52" s="464"/>
      <c r="S52" s="74"/>
      <c r="T52" s="32"/>
      <c r="U52" s="32"/>
      <c r="V52" s="32"/>
      <c r="W52" s="32"/>
      <c r="X52" s="32"/>
      <c r="Y52" s="32"/>
      <c r="Z52" s="32"/>
      <c r="AA52" s="32"/>
      <c r="AB52" s="73"/>
      <c r="AF52" s="192">
        <f t="shared" si="5"/>
        <v>15</v>
      </c>
      <c r="AG52" s="192" t="e">
        <f t="shared" si="2"/>
        <v>#N/A</v>
      </c>
      <c r="AH52" s="192" t="e">
        <f t="shared" si="3"/>
        <v>#N/A</v>
      </c>
      <c r="AI52" s="192">
        <f t="shared" si="6"/>
        <v>0</v>
      </c>
      <c r="AJ52" s="101">
        <f t="shared" si="4"/>
        <v>1</v>
      </c>
      <c r="AK52" s="102">
        <f t="shared" si="7"/>
        <v>0</v>
      </c>
      <c r="AL52" s="103" t="e">
        <f t="shared" si="8"/>
        <v>#N/A</v>
      </c>
      <c r="AM52" s="104"/>
    </row>
    <row r="53" spans="2:39" ht="15.75" customHeight="1">
      <c r="B53" s="201"/>
      <c r="C53" s="189"/>
      <c r="D53" s="189"/>
      <c r="E53" s="209"/>
      <c r="F53" s="32"/>
      <c r="G53" s="32"/>
      <c r="H53" s="465">
        <f t="shared" si="0"/>
        <v>0</v>
      </c>
      <c r="I53" s="466"/>
      <c r="J53" s="467" t="str">
        <f t="shared" si="1"/>
        <v/>
      </c>
      <c r="K53" s="468"/>
      <c r="L53" s="460">
        <f>IF(ISERROR(IF(C53&gt;0,IF(OR(C53&gt;$Y$12,E53=Drop!A$13),0,J53*$Y$12),0)),Drop!A$219,IF(C53&gt;0,IF(OR(C53&gt;$Y$12,E53=Drop!A$13),0,J53*$Y$12),0))</f>
        <v>0</v>
      </c>
      <c r="M53" s="461"/>
      <c r="N53" s="462"/>
      <c r="O53" s="405">
        <f>IF(ISERROR(IF(OR(C53&gt;$Y$12,E53=Drop!A$13),H53,0)),Drop!A$219,IF(OR(C53&gt;$Y$12,E53=Drop!A$13),H53,0))</f>
        <v>0</v>
      </c>
      <c r="P53" s="463"/>
      <c r="Q53" s="464"/>
      <c r="S53" s="74"/>
      <c r="T53" s="32"/>
      <c r="U53" s="32"/>
      <c r="V53" s="32"/>
      <c r="W53" s="32"/>
      <c r="X53" s="32"/>
      <c r="Y53" s="32"/>
      <c r="Z53" s="32"/>
      <c r="AA53" s="32"/>
      <c r="AB53" s="73"/>
      <c r="AF53" s="192">
        <f t="shared" si="5"/>
        <v>16</v>
      </c>
      <c r="AG53" s="192" t="e">
        <f t="shared" si="2"/>
        <v>#N/A</v>
      </c>
      <c r="AH53" s="192" t="e">
        <f t="shared" si="3"/>
        <v>#N/A</v>
      </c>
      <c r="AI53" s="192">
        <f t="shared" si="6"/>
        <v>0</v>
      </c>
      <c r="AJ53" s="101">
        <f t="shared" si="4"/>
        <v>1</v>
      </c>
      <c r="AK53" s="102">
        <f t="shared" si="7"/>
        <v>0</v>
      </c>
      <c r="AL53" s="103" t="e">
        <f t="shared" si="8"/>
        <v>#N/A</v>
      </c>
      <c r="AM53" s="104"/>
    </row>
    <row r="54" spans="2:39" ht="15.75" customHeight="1">
      <c r="B54" s="201"/>
      <c r="C54" s="189"/>
      <c r="D54" s="189"/>
      <c r="E54" s="209"/>
      <c r="F54" s="32"/>
      <c r="G54" s="32"/>
      <c r="H54" s="469">
        <f t="shared" si="0"/>
        <v>0</v>
      </c>
      <c r="I54" s="470"/>
      <c r="J54" s="471" t="str">
        <f t="shared" si="1"/>
        <v/>
      </c>
      <c r="K54" s="472"/>
      <c r="L54" s="460">
        <f>IF(ISERROR(IF(C54&gt;0,IF(OR(C54&gt;$Y$12,E54=Drop!A$13),0,J54*$Y$12),0)),Drop!A$219,IF(C54&gt;0,IF(OR(C54&gt;$Y$12,E54=Drop!A$13),0,J54*$Y$12),0))</f>
        <v>0</v>
      </c>
      <c r="M54" s="461"/>
      <c r="N54" s="462"/>
      <c r="O54" s="405">
        <f>IF(ISERROR(IF(OR(C54&gt;$Y$12,E54=Drop!A$13),H54,0)),Drop!A$219,IF(OR(C54&gt;$Y$12,E54=Drop!A$13),H54,0))</f>
        <v>0</v>
      </c>
      <c r="P54" s="463"/>
      <c r="Q54" s="464"/>
      <c r="S54" s="74"/>
      <c r="T54" s="32"/>
      <c r="U54" s="32"/>
      <c r="V54" s="32"/>
      <c r="W54" s="32"/>
      <c r="X54" s="32"/>
      <c r="Y54" s="32"/>
      <c r="Z54" s="32"/>
      <c r="AA54" s="32"/>
      <c r="AB54" s="73"/>
      <c r="AF54" s="192">
        <f t="shared" si="5"/>
        <v>17</v>
      </c>
      <c r="AG54" s="192" t="e">
        <f t="shared" si="2"/>
        <v>#N/A</v>
      </c>
      <c r="AH54" s="192" t="e">
        <f t="shared" si="3"/>
        <v>#N/A</v>
      </c>
      <c r="AI54" s="192">
        <f t="shared" si="6"/>
        <v>0</v>
      </c>
      <c r="AJ54" s="101">
        <f t="shared" si="4"/>
        <v>1</v>
      </c>
      <c r="AK54" s="102">
        <f t="shared" si="7"/>
        <v>0</v>
      </c>
      <c r="AL54" s="103" t="e">
        <f t="shared" si="8"/>
        <v>#N/A</v>
      </c>
      <c r="AM54" s="104"/>
    </row>
    <row r="55" spans="2:39" ht="15.75" customHeight="1">
      <c r="B55" s="201"/>
      <c r="C55" s="189"/>
      <c r="D55" s="189"/>
      <c r="E55" s="209"/>
      <c r="F55" s="32"/>
      <c r="G55" s="32"/>
      <c r="H55" s="465">
        <f t="shared" si="0"/>
        <v>0</v>
      </c>
      <c r="I55" s="466"/>
      <c r="J55" s="467" t="str">
        <f t="shared" si="1"/>
        <v/>
      </c>
      <c r="K55" s="468"/>
      <c r="L55" s="460">
        <f>IF(ISERROR(IF(C55&gt;0,IF(OR(C55&gt;$Y$12,E55=Drop!A$13),0,J55*$Y$12),0)),Drop!A$219,IF(C55&gt;0,IF(OR(C55&gt;$Y$12,E55=Drop!A$13),0,J55*$Y$12),0))</f>
        <v>0</v>
      </c>
      <c r="M55" s="461"/>
      <c r="N55" s="462"/>
      <c r="O55" s="405">
        <f>IF(ISERROR(IF(OR(C55&gt;$Y$12,E55=Drop!A$13),H55,0)),Drop!A$219,IF(OR(C55&gt;$Y$12,E55=Drop!A$13),H55,0))</f>
        <v>0</v>
      </c>
      <c r="P55" s="463"/>
      <c r="Q55" s="464"/>
      <c r="S55" s="74"/>
      <c r="T55" s="32"/>
      <c r="U55" s="32"/>
      <c r="V55" s="32"/>
      <c r="W55" s="32"/>
      <c r="X55" s="32"/>
      <c r="Y55" s="32"/>
      <c r="Z55" s="32"/>
      <c r="AA55" s="32"/>
      <c r="AB55" s="73"/>
      <c r="AF55" s="192">
        <f t="shared" si="5"/>
        <v>18</v>
      </c>
      <c r="AG55" s="192" t="e">
        <f t="shared" si="2"/>
        <v>#N/A</v>
      </c>
      <c r="AH55" s="192" t="e">
        <f t="shared" si="3"/>
        <v>#N/A</v>
      </c>
      <c r="AI55" s="192">
        <f t="shared" si="6"/>
        <v>0</v>
      </c>
      <c r="AJ55" s="101">
        <f t="shared" si="4"/>
        <v>1</v>
      </c>
      <c r="AK55" s="102">
        <f t="shared" si="7"/>
        <v>0</v>
      </c>
      <c r="AL55" s="103" t="e">
        <f t="shared" si="8"/>
        <v>#N/A</v>
      </c>
      <c r="AM55" s="104"/>
    </row>
    <row r="56" spans="2:39" ht="15.75" customHeight="1">
      <c r="B56" s="201"/>
      <c r="C56" s="189"/>
      <c r="D56" s="189"/>
      <c r="E56" s="209"/>
      <c r="F56" s="32"/>
      <c r="G56" s="32"/>
      <c r="H56" s="478">
        <f t="shared" si="0"/>
        <v>0</v>
      </c>
      <c r="I56" s="479"/>
      <c r="J56" s="480" t="str">
        <f t="shared" si="1"/>
        <v/>
      </c>
      <c r="K56" s="481"/>
      <c r="L56" s="460">
        <f>IF(ISERROR(IF(C56&gt;0,IF(OR(C56&gt;$Y$12,E56=Drop!A$13),0,J56*$Y$12),0)),Drop!A$219,IF(C56&gt;0,IF(OR(C56&gt;$Y$12,E56=Drop!A$13),0,J56*$Y$12),0))</f>
        <v>0</v>
      </c>
      <c r="M56" s="461"/>
      <c r="N56" s="462"/>
      <c r="O56" s="405">
        <f>IF(ISERROR(IF(OR(C56&gt;$Y$12,E56=Drop!A$13),H56,0)),Drop!A$219,IF(OR(C56&gt;$Y$12,E56=Drop!A$13),H56,0))</f>
        <v>0</v>
      </c>
      <c r="P56" s="463"/>
      <c r="Q56" s="464"/>
      <c r="S56" s="74"/>
      <c r="T56" s="32"/>
      <c r="U56" s="32"/>
      <c r="V56" s="32"/>
      <c r="W56" s="32"/>
      <c r="X56" s="32"/>
      <c r="Y56" s="32"/>
      <c r="Z56" s="32"/>
      <c r="AA56" s="32"/>
      <c r="AB56" s="73"/>
      <c r="AF56" s="192">
        <f t="shared" si="5"/>
        <v>19</v>
      </c>
      <c r="AG56" s="192" t="e">
        <f t="shared" si="2"/>
        <v>#N/A</v>
      </c>
      <c r="AH56" s="192" t="e">
        <f t="shared" si="3"/>
        <v>#N/A</v>
      </c>
      <c r="AI56" s="192">
        <f t="shared" si="6"/>
        <v>0</v>
      </c>
      <c r="AJ56" s="101">
        <f t="shared" si="4"/>
        <v>1</v>
      </c>
      <c r="AK56" s="102">
        <f t="shared" si="7"/>
        <v>0</v>
      </c>
      <c r="AL56" s="103" t="e">
        <f t="shared" si="8"/>
        <v>#N/A</v>
      </c>
      <c r="AM56" s="104"/>
    </row>
    <row r="57" spans="2:39" ht="15.75" customHeight="1" thickBot="1">
      <c r="B57" s="74"/>
      <c r="C57" s="473" t="str">
        <f>Drop!A153</f>
        <v>推断总体错报金额</v>
      </c>
      <c r="D57" s="473"/>
      <c r="E57" s="473"/>
      <c r="F57" s="474"/>
      <c r="G57" s="32"/>
      <c r="H57" s="475">
        <f>SUM(H37:I56)</f>
        <v>0</v>
      </c>
      <c r="I57" s="476"/>
      <c r="J57" s="32"/>
      <c r="K57" s="32"/>
      <c r="L57" s="460">
        <f>SUM(L37:N56)</f>
        <v>0</v>
      </c>
      <c r="M57" s="461"/>
      <c r="N57" s="462"/>
      <c r="O57" s="401">
        <f>SUM(O37:Q56)</f>
        <v>0</v>
      </c>
      <c r="P57" s="477"/>
      <c r="Q57" s="402"/>
      <c r="S57" s="74" t="str">
        <f>Drop!A162</f>
        <v>结果:</v>
      </c>
      <c r="T57" s="106"/>
      <c r="U57" s="106"/>
      <c r="V57" s="106"/>
      <c r="W57" s="106"/>
      <c r="X57" s="106"/>
      <c r="Y57" s="106"/>
      <c r="Z57" s="106"/>
      <c r="AA57" s="106"/>
      <c r="AB57" s="107"/>
      <c r="AF57" s="192">
        <f t="shared" si="5"/>
        <v>20</v>
      </c>
      <c r="AG57" s="192" t="e">
        <f t="shared" si="2"/>
        <v>#N/A</v>
      </c>
      <c r="AH57" s="192" t="e">
        <f>AG57-AG56</f>
        <v>#N/A</v>
      </c>
      <c r="AI57" s="192">
        <f t="shared" si="6"/>
        <v>0</v>
      </c>
      <c r="AJ57" s="101">
        <f t="shared" si="4"/>
        <v>1</v>
      </c>
      <c r="AK57" s="102">
        <f t="shared" si="7"/>
        <v>0</v>
      </c>
      <c r="AL57" s="103" t="e">
        <f t="shared" si="8"/>
        <v>#N/A</v>
      </c>
      <c r="AM57" s="104"/>
    </row>
    <row r="58" spans="2:39" ht="15.75" customHeight="1">
      <c r="B58" s="74"/>
      <c r="C58" s="32"/>
      <c r="D58" s="32"/>
      <c r="E58" s="32"/>
      <c r="F58" s="32"/>
      <c r="G58" s="32"/>
      <c r="H58" s="32"/>
      <c r="I58" s="33" t="str">
        <f>Drop!A154</f>
        <v>(实际)</v>
      </c>
      <c r="J58" s="32"/>
      <c r="K58" s="32"/>
      <c r="L58" s="444">
        <f>IF(ISERROR(SUM(L57:Q57)),Drop!A219,SUM(L57:Q57))</f>
        <v>0</v>
      </c>
      <c r="M58" s="445"/>
      <c r="N58" s="445"/>
      <c r="O58" s="445"/>
      <c r="P58" s="445"/>
      <c r="Q58" s="446"/>
      <c r="S58" s="447" t="str">
        <f>IF(ISERROR(IF(AG74=TRUE,Drop!A71,Drop!A72)),Drop!A219,IF(AG74=TRUE,Drop!A71,Drop!A72))</f>
        <v>核实所有输入</v>
      </c>
      <c r="T58" s="448"/>
      <c r="U58" s="448"/>
      <c r="V58" s="448"/>
      <c r="W58" s="448"/>
      <c r="X58" s="448"/>
      <c r="Y58" s="448"/>
      <c r="Z58" s="448"/>
      <c r="AA58" s="448"/>
      <c r="AB58" s="449"/>
    </row>
    <row r="59" spans="2:39" ht="27.6" customHeight="1">
      <c r="B59" s="74"/>
      <c r="C59" s="32"/>
      <c r="D59" s="32"/>
      <c r="E59" s="32"/>
      <c r="F59" s="32"/>
      <c r="G59" s="32"/>
      <c r="H59" s="32"/>
      <c r="I59" s="32"/>
      <c r="J59" s="32"/>
      <c r="K59" s="32"/>
      <c r="L59" s="32"/>
      <c r="M59" s="32"/>
      <c r="N59" s="32"/>
      <c r="O59" s="32"/>
      <c r="P59" s="32"/>
      <c r="Q59" s="108" t="str">
        <f>Drop!A155</f>
        <v>(合计推断金额)</v>
      </c>
      <c r="S59" s="450"/>
      <c r="T59" s="451"/>
      <c r="U59" s="451"/>
      <c r="V59" s="451"/>
      <c r="W59" s="451"/>
      <c r="X59" s="451"/>
      <c r="Y59" s="451"/>
      <c r="Z59" s="451"/>
      <c r="AA59" s="451"/>
      <c r="AB59" s="452"/>
      <c r="AF59" s="96" t="s">
        <v>59</v>
      </c>
      <c r="AL59" s="90" t="e">
        <f>SUM(AL38:AL57)</f>
        <v>#N/A</v>
      </c>
    </row>
    <row r="60" spans="2:39" ht="26.25" customHeight="1">
      <c r="B60" s="74"/>
      <c r="C60" s="109"/>
      <c r="D60" s="109"/>
      <c r="E60" s="109"/>
      <c r="F60" s="109"/>
      <c r="G60" s="109"/>
      <c r="H60" s="109"/>
      <c r="I60" s="109"/>
      <c r="J60" s="32"/>
      <c r="K60" s="32"/>
      <c r="L60" s="32"/>
      <c r="M60" s="32"/>
      <c r="N60" s="32"/>
      <c r="O60" s="32"/>
      <c r="P60" s="32"/>
      <c r="Q60" s="73"/>
      <c r="S60" s="450" t="str">
        <f>IF(ISERROR(IF(AG76=TRUE,Drop!A75,"")),Drop!A219,IF(AG76=TRUE,Drop!A75,""))</f>
        <v>核实所有输入</v>
      </c>
      <c r="T60" s="451"/>
      <c r="U60" s="451"/>
      <c r="V60" s="451"/>
      <c r="W60" s="451"/>
      <c r="X60" s="451"/>
      <c r="Y60" s="451"/>
      <c r="Z60" s="451"/>
      <c r="AA60" s="451"/>
      <c r="AB60" s="452"/>
      <c r="AF60" s="35" t="s">
        <v>60</v>
      </c>
      <c r="AL60" s="90">
        <f>L57</f>
        <v>0</v>
      </c>
    </row>
    <row r="61" spans="2:39" ht="45" customHeight="1">
      <c r="B61" s="74"/>
      <c r="C61" s="32"/>
      <c r="D61" s="32"/>
      <c r="E61" s="32"/>
      <c r="F61" s="32"/>
      <c r="G61" s="32"/>
      <c r="H61" s="453" t="str">
        <f>IF(AG33=TRUE,Drop!A83,"")</f>
        <v/>
      </c>
      <c r="I61" s="453"/>
      <c r="J61" s="453"/>
      <c r="K61" s="453"/>
      <c r="L61" s="453"/>
      <c r="M61" s="453"/>
      <c r="N61" s="453"/>
      <c r="O61" s="453"/>
      <c r="P61" s="453"/>
      <c r="Q61" s="454"/>
      <c r="S61" s="450"/>
      <c r="T61" s="451"/>
      <c r="U61" s="451"/>
      <c r="V61" s="451"/>
      <c r="W61" s="451"/>
      <c r="X61" s="451"/>
      <c r="Y61" s="451"/>
      <c r="Z61" s="451"/>
      <c r="AA61" s="451"/>
      <c r="AB61" s="452"/>
      <c r="AF61" s="35" t="s">
        <v>61</v>
      </c>
      <c r="AL61" s="90" t="e">
        <f>AL59-AL60</f>
        <v>#N/A</v>
      </c>
    </row>
    <row r="62" spans="2:39" ht="26.25" customHeight="1">
      <c r="B62" s="74"/>
      <c r="C62" s="32"/>
      <c r="D62" s="32"/>
      <c r="E62" s="32"/>
      <c r="F62" s="32"/>
      <c r="G62" s="32"/>
      <c r="H62" s="453"/>
      <c r="I62" s="453"/>
      <c r="J62" s="453"/>
      <c r="K62" s="453"/>
      <c r="L62" s="453"/>
      <c r="M62" s="453"/>
      <c r="N62" s="453"/>
      <c r="O62" s="453"/>
      <c r="P62" s="453"/>
      <c r="Q62" s="454"/>
      <c r="S62" s="450" t="str">
        <f>IF(ISERROR(IF(AG78=TRUE,Drop!A76,"")),Drop!A219,IF(AG78=TRUE,Drop!A76,""))</f>
        <v>核实所有输入</v>
      </c>
      <c r="T62" s="451"/>
      <c r="U62" s="451"/>
      <c r="V62" s="451"/>
      <c r="W62" s="451"/>
      <c r="X62" s="451"/>
      <c r="Y62" s="451"/>
      <c r="Z62" s="451"/>
      <c r="AA62" s="451"/>
      <c r="AB62" s="452"/>
    </row>
    <row r="63" spans="2:39" ht="80.25" customHeight="1" thickBot="1">
      <c r="B63" s="76"/>
      <c r="C63" s="77"/>
      <c r="D63" s="77"/>
      <c r="E63" s="77"/>
      <c r="F63" s="77"/>
      <c r="G63" s="77"/>
      <c r="H63" s="455"/>
      <c r="I63" s="455"/>
      <c r="J63" s="455"/>
      <c r="K63" s="455"/>
      <c r="L63" s="455"/>
      <c r="M63" s="455"/>
      <c r="N63" s="455"/>
      <c r="O63" s="455"/>
      <c r="P63" s="455"/>
      <c r="Q63" s="456"/>
      <c r="R63" s="110"/>
      <c r="S63" s="457"/>
      <c r="T63" s="458"/>
      <c r="U63" s="458"/>
      <c r="V63" s="458"/>
      <c r="W63" s="458"/>
      <c r="X63" s="458"/>
      <c r="Y63" s="458"/>
      <c r="Z63" s="458"/>
      <c r="AA63" s="458"/>
      <c r="AB63" s="459"/>
      <c r="AF63" s="36" t="s">
        <v>62</v>
      </c>
    </row>
    <row r="64" spans="2:39" ht="15" thickBot="1">
      <c r="AF64" s="111" t="s">
        <v>63</v>
      </c>
      <c r="AL64" s="90" t="e">
        <f>AG35</f>
        <v>#VALUE!</v>
      </c>
    </row>
    <row r="65" spans="2:38" ht="15" thickBot="1">
      <c r="B65" s="139" t="str">
        <f>Drop!A100</f>
        <v>步骤 8 - 记录程序的结果</v>
      </c>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c r="AA65" s="113"/>
      <c r="AB65" s="114"/>
      <c r="AF65" s="112" t="s">
        <v>64</v>
      </c>
      <c r="AL65" s="90" t="e">
        <f>AL61</f>
        <v>#N/A</v>
      </c>
    </row>
    <row r="66" spans="2:38" ht="15" customHeight="1">
      <c r="B66" s="410"/>
      <c r="C66" s="411"/>
      <c r="D66" s="411"/>
      <c r="E66" s="411"/>
      <c r="F66" s="411"/>
      <c r="G66" s="411"/>
      <c r="H66" s="411"/>
      <c r="I66" s="411"/>
      <c r="J66" s="411"/>
      <c r="K66" s="411"/>
      <c r="L66" s="411"/>
      <c r="M66" s="411"/>
      <c r="N66" s="411"/>
      <c r="O66" s="411"/>
      <c r="P66" s="411"/>
      <c r="Q66" s="411"/>
      <c r="R66" s="411"/>
      <c r="S66" s="411"/>
      <c r="T66" s="411"/>
      <c r="U66" s="411"/>
      <c r="V66" s="411"/>
      <c r="W66" s="411"/>
      <c r="X66" s="411"/>
      <c r="Y66" s="411"/>
      <c r="Z66" s="411"/>
      <c r="AA66" s="411"/>
      <c r="AB66" s="412"/>
      <c r="AF66" s="35" t="s">
        <v>62</v>
      </c>
      <c r="AL66" s="90" t="e">
        <f>AL64+AL65</f>
        <v>#VALUE!</v>
      </c>
    </row>
    <row r="67" spans="2:38">
      <c r="B67" s="413"/>
      <c r="C67" s="414"/>
      <c r="D67" s="414"/>
      <c r="E67" s="414"/>
      <c r="F67" s="414"/>
      <c r="G67" s="414"/>
      <c r="H67" s="414"/>
      <c r="I67" s="414"/>
      <c r="J67" s="414"/>
      <c r="K67" s="414"/>
      <c r="L67" s="414"/>
      <c r="M67" s="414"/>
      <c r="N67" s="414"/>
      <c r="O67" s="414"/>
      <c r="P67" s="414"/>
      <c r="Q67" s="414"/>
      <c r="R67" s="414"/>
      <c r="S67" s="414"/>
      <c r="T67" s="414"/>
      <c r="U67" s="414"/>
      <c r="V67" s="414"/>
      <c r="W67" s="414"/>
      <c r="X67" s="414"/>
      <c r="Y67" s="414"/>
      <c r="Z67" s="414"/>
      <c r="AA67" s="414"/>
      <c r="AB67" s="415"/>
      <c r="AL67" s="43"/>
    </row>
    <row r="68" spans="2:38" ht="14.25">
      <c r="B68" s="413"/>
      <c r="C68" s="414"/>
      <c r="D68" s="414"/>
      <c r="E68" s="414"/>
      <c r="F68" s="414"/>
      <c r="G68" s="414"/>
      <c r="H68" s="414"/>
      <c r="I68" s="414"/>
      <c r="J68" s="414"/>
      <c r="K68" s="414"/>
      <c r="L68" s="414"/>
      <c r="M68" s="414"/>
      <c r="N68" s="414"/>
      <c r="O68" s="414"/>
      <c r="P68" s="414"/>
      <c r="Q68" s="414"/>
      <c r="R68" s="414"/>
      <c r="S68" s="414"/>
      <c r="T68" s="414"/>
      <c r="U68" s="414"/>
      <c r="V68" s="414"/>
      <c r="W68" s="414"/>
      <c r="X68" s="414"/>
      <c r="Y68" s="414"/>
      <c r="Z68" s="414"/>
      <c r="AA68" s="414"/>
      <c r="AB68" s="415"/>
      <c r="AF68" s="115" t="s">
        <v>65</v>
      </c>
      <c r="AG68" s="111"/>
      <c r="AH68" s="111"/>
      <c r="AI68" s="111"/>
      <c r="AJ68" s="111"/>
      <c r="AK68" s="111"/>
      <c r="AL68" s="43"/>
    </row>
    <row r="69" spans="2:38" ht="14.25">
      <c r="B69" s="413"/>
      <c r="C69" s="414"/>
      <c r="D69" s="414"/>
      <c r="E69" s="414"/>
      <c r="F69" s="414"/>
      <c r="G69" s="414"/>
      <c r="H69" s="414"/>
      <c r="I69" s="414"/>
      <c r="J69" s="414"/>
      <c r="K69" s="414"/>
      <c r="L69" s="414"/>
      <c r="M69" s="414"/>
      <c r="N69" s="414"/>
      <c r="O69" s="414"/>
      <c r="P69" s="414"/>
      <c r="Q69" s="414"/>
      <c r="R69" s="414"/>
      <c r="S69" s="414"/>
      <c r="T69" s="414"/>
      <c r="U69" s="414"/>
      <c r="V69" s="414"/>
      <c r="W69" s="414"/>
      <c r="X69" s="414"/>
      <c r="Y69" s="414"/>
      <c r="Z69" s="414"/>
      <c r="AA69" s="414"/>
      <c r="AB69" s="415"/>
      <c r="AF69" s="111" t="s">
        <v>63</v>
      </c>
      <c r="AG69" s="111"/>
      <c r="AH69" s="111"/>
      <c r="AI69" s="111"/>
      <c r="AJ69" s="111"/>
      <c r="AK69" s="111"/>
      <c r="AL69" s="90" t="e">
        <f>AG35</f>
        <v>#VALUE!</v>
      </c>
    </row>
    <row r="70" spans="2:38" ht="15" thickBot="1">
      <c r="B70" s="416"/>
      <c r="C70" s="417"/>
      <c r="D70" s="417"/>
      <c r="E70" s="417"/>
      <c r="F70" s="417"/>
      <c r="G70" s="417"/>
      <c r="H70" s="417"/>
      <c r="I70" s="417"/>
      <c r="J70" s="417"/>
      <c r="K70" s="417"/>
      <c r="L70" s="417"/>
      <c r="M70" s="417"/>
      <c r="N70" s="417"/>
      <c r="O70" s="417"/>
      <c r="P70" s="417"/>
      <c r="Q70" s="417"/>
      <c r="R70" s="417"/>
      <c r="S70" s="417"/>
      <c r="T70" s="417"/>
      <c r="U70" s="417"/>
      <c r="V70" s="417"/>
      <c r="W70" s="417"/>
      <c r="X70" s="417"/>
      <c r="Y70" s="417"/>
      <c r="Z70" s="417"/>
      <c r="AA70" s="417"/>
      <c r="AB70" s="418"/>
      <c r="AF70" s="112" t="s">
        <v>66</v>
      </c>
      <c r="AG70" s="111"/>
      <c r="AH70" s="111"/>
      <c r="AI70" s="111"/>
      <c r="AJ70" s="111"/>
      <c r="AK70" s="111"/>
      <c r="AL70" s="90" t="e">
        <f>AL59</f>
        <v>#N/A</v>
      </c>
    </row>
    <row r="71" spans="2:38" ht="14.25">
      <c r="AF71" s="112" t="s">
        <v>67</v>
      </c>
      <c r="AG71" s="111"/>
      <c r="AH71" s="111"/>
      <c r="AI71" s="111"/>
      <c r="AJ71" s="111"/>
      <c r="AK71" s="111"/>
      <c r="AL71" s="90">
        <f>O57</f>
        <v>0</v>
      </c>
    </row>
    <row r="72" spans="2:38">
      <c r="AF72" s="35" t="s">
        <v>65</v>
      </c>
      <c r="AL72" s="90" t="e">
        <f>SUM(AL69:AL71)</f>
        <v>#VALUE!</v>
      </c>
    </row>
    <row r="73" spans="2:38">
      <c r="AF73" s="35" t="s">
        <v>103</v>
      </c>
      <c r="AL73" s="116" t="e">
        <f>ABS(AL72)</f>
        <v>#VALUE!</v>
      </c>
    </row>
    <row r="74" spans="2:38">
      <c r="AF74" s="35" t="s">
        <v>75</v>
      </c>
      <c r="AG74" s="43" t="e">
        <f>IF(AL73&lt;L5,TRUE,FALSE)</f>
        <v>#VALUE!</v>
      </c>
    </row>
    <row r="75" spans="2:38">
      <c r="AF75" s="35" t="s">
        <v>76</v>
      </c>
      <c r="AG75" s="43" t="e">
        <f>IF((AL73-AA35)&lt;L5,TRUE,FALSE)</f>
        <v>#VALUE!</v>
      </c>
    </row>
    <row r="76" spans="2:38">
      <c r="AF76" s="35" t="s">
        <v>77</v>
      </c>
      <c r="AG76" s="43" t="e">
        <f>AND(AG74=FALSE,AG75=TRUE)</f>
        <v>#VALUE!</v>
      </c>
    </row>
    <row r="77" spans="2:38">
      <c r="AF77" s="96" t="s">
        <v>78</v>
      </c>
      <c r="AG77" s="43" t="e">
        <f>IF((AL73-L58)&lt;L5,TRUE,FALSE)</f>
        <v>#VALUE!</v>
      </c>
    </row>
    <row r="78" spans="2:38">
      <c r="AF78" s="35" t="s">
        <v>252</v>
      </c>
      <c r="AG78" s="43" t="e">
        <f>AND(AG74=FALSE,AG77=TRUE)</f>
        <v>#VALUE!</v>
      </c>
    </row>
  </sheetData>
  <sheetProtection algorithmName="SHA-512" hashValue="e+ALpJrtB8sgHZ4zQdm2bI8qEiduBklBxhy/jyWHDISPBkMSQ4vmqCmmjnXzf8YRxUgasqCstRUQ/oMTzo5BMg==" saltValue="rcZuSox1GjiLQwkCkONaFA==" spinCount="100000" sheet="1" objects="1" scenarios="1"/>
  <mergeCells count="147">
    <mergeCell ref="H9:Q10"/>
    <mergeCell ref="B10:D10"/>
    <mergeCell ref="Y10:AB10"/>
    <mergeCell ref="B11:D11"/>
    <mergeCell ref="K11:N11"/>
    <mergeCell ref="B12:D12"/>
    <mergeCell ref="Y12:AB12"/>
    <mergeCell ref="B1:D1"/>
    <mergeCell ref="D3:E3"/>
    <mergeCell ref="D4:E4"/>
    <mergeCell ref="L4:O4"/>
    <mergeCell ref="D5:E5"/>
    <mergeCell ref="L5:O5"/>
    <mergeCell ref="B13:D13"/>
    <mergeCell ref="D14:F14"/>
    <mergeCell ref="B18:D18"/>
    <mergeCell ref="M18:Q18"/>
    <mergeCell ref="S18:Y19"/>
    <mergeCell ref="Z18:AB19"/>
    <mergeCell ref="B19:D19"/>
    <mergeCell ref="K19:L19"/>
    <mergeCell ref="M19:Q19"/>
    <mergeCell ref="H23:Q23"/>
    <mergeCell ref="O24:Q24"/>
    <mergeCell ref="L25:Q25"/>
    <mergeCell ref="L26:Q26"/>
    <mergeCell ref="H27:K27"/>
    <mergeCell ref="L27:Q27"/>
    <mergeCell ref="B20:D20"/>
    <mergeCell ref="K20:L20"/>
    <mergeCell ref="M20:Q20"/>
    <mergeCell ref="K21:L21"/>
    <mergeCell ref="M21:Q21"/>
    <mergeCell ref="M22:N22"/>
    <mergeCell ref="O22:Q22"/>
    <mergeCell ref="B28:F28"/>
    <mergeCell ref="B31:AB32"/>
    <mergeCell ref="B33:Q33"/>
    <mergeCell ref="S33:AB33"/>
    <mergeCell ref="C34:F34"/>
    <mergeCell ref="C35:C36"/>
    <mergeCell ref="D35:D36"/>
    <mergeCell ref="E35:E36"/>
    <mergeCell ref="H35:I36"/>
    <mergeCell ref="J35:K36"/>
    <mergeCell ref="L35:Q35"/>
    <mergeCell ref="AA35:AB35"/>
    <mergeCell ref="L36:N36"/>
    <mergeCell ref="O36:Q36"/>
    <mergeCell ref="AL36:AL37"/>
    <mergeCell ref="H37:I37"/>
    <mergeCell ref="J37:K37"/>
    <mergeCell ref="L37:N37"/>
    <mergeCell ref="O37:Q37"/>
    <mergeCell ref="S37:Z39"/>
    <mergeCell ref="H40:I40"/>
    <mergeCell ref="J40:K40"/>
    <mergeCell ref="L40:N40"/>
    <mergeCell ref="O40:Q40"/>
    <mergeCell ref="H41:I41"/>
    <mergeCell ref="J41:K41"/>
    <mergeCell ref="L41:N41"/>
    <mergeCell ref="O41:Q41"/>
    <mergeCell ref="AA37:AB39"/>
    <mergeCell ref="H38:I38"/>
    <mergeCell ref="J38:K38"/>
    <mergeCell ref="L38:N38"/>
    <mergeCell ref="O38:Q38"/>
    <mergeCell ref="H39:I39"/>
    <mergeCell ref="J39:K39"/>
    <mergeCell ref="L39:N39"/>
    <mergeCell ref="O39:Q39"/>
    <mergeCell ref="AA41:AB41"/>
    <mergeCell ref="H42:I42"/>
    <mergeCell ref="J42:K42"/>
    <mergeCell ref="L42:N42"/>
    <mergeCell ref="O42:Q42"/>
    <mergeCell ref="H43:I43"/>
    <mergeCell ref="J43:K43"/>
    <mergeCell ref="L43:N43"/>
    <mergeCell ref="O43:Q43"/>
    <mergeCell ref="S43:T45"/>
    <mergeCell ref="U43:V45"/>
    <mergeCell ref="W43:Z45"/>
    <mergeCell ref="AA43:AB45"/>
    <mergeCell ref="H44:I44"/>
    <mergeCell ref="J44:K44"/>
    <mergeCell ref="L44:N44"/>
    <mergeCell ref="O44:Q44"/>
    <mergeCell ref="H45:I45"/>
    <mergeCell ref="J45:K45"/>
    <mergeCell ref="L45:N45"/>
    <mergeCell ref="O45:Q45"/>
    <mergeCell ref="H46:I46"/>
    <mergeCell ref="J46:K46"/>
    <mergeCell ref="L46:N46"/>
    <mergeCell ref="O46:Q46"/>
    <mergeCell ref="H47:I47"/>
    <mergeCell ref="J47:K47"/>
    <mergeCell ref="L47:N47"/>
    <mergeCell ref="O47:Q47"/>
    <mergeCell ref="H50:I50"/>
    <mergeCell ref="J50:K50"/>
    <mergeCell ref="L50:N50"/>
    <mergeCell ref="O50:Q50"/>
    <mergeCell ref="H51:I51"/>
    <mergeCell ref="J51:K51"/>
    <mergeCell ref="L51:N51"/>
    <mergeCell ref="O51:Q51"/>
    <mergeCell ref="H48:I48"/>
    <mergeCell ref="J48:K48"/>
    <mergeCell ref="L48:N48"/>
    <mergeCell ref="O48:Q48"/>
    <mergeCell ref="H49:I49"/>
    <mergeCell ref="J49:K49"/>
    <mergeCell ref="L49:N49"/>
    <mergeCell ref="O49:Q49"/>
    <mergeCell ref="H54:I54"/>
    <mergeCell ref="J54:K54"/>
    <mergeCell ref="L54:N54"/>
    <mergeCell ref="O54:Q54"/>
    <mergeCell ref="H55:I55"/>
    <mergeCell ref="J55:K55"/>
    <mergeCell ref="L55:N55"/>
    <mergeCell ref="O55:Q55"/>
    <mergeCell ref="H52:I52"/>
    <mergeCell ref="J52:K52"/>
    <mergeCell ref="L52:N52"/>
    <mergeCell ref="O52:Q52"/>
    <mergeCell ref="H53:I53"/>
    <mergeCell ref="J53:K53"/>
    <mergeCell ref="L53:N53"/>
    <mergeCell ref="O53:Q53"/>
    <mergeCell ref="L58:Q58"/>
    <mergeCell ref="S58:AB59"/>
    <mergeCell ref="S60:AB61"/>
    <mergeCell ref="H61:Q63"/>
    <mergeCell ref="S62:AB63"/>
    <mergeCell ref="B66:AB70"/>
    <mergeCell ref="H56:I56"/>
    <mergeCell ref="J56:K56"/>
    <mergeCell ref="L56:N56"/>
    <mergeCell ref="O56:Q56"/>
    <mergeCell ref="C57:F57"/>
    <mergeCell ref="H57:I57"/>
    <mergeCell ref="L57:N57"/>
    <mergeCell ref="O57:Q57"/>
  </mergeCells>
  <phoneticPr fontId="32" type="noConversion"/>
  <conditionalFormatting sqref="S58">
    <cfRule type="expression" dxfId="179" priority="27">
      <formula>$AG$74=TRUE</formula>
    </cfRule>
  </conditionalFormatting>
  <conditionalFormatting sqref="M19:Q19">
    <cfRule type="expression" dxfId="178" priority="26">
      <formula>ISTEXT($M$19)</formula>
    </cfRule>
  </conditionalFormatting>
  <conditionalFormatting sqref="Y10:AB10">
    <cfRule type="expression" dxfId="177" priority="24">
      <formula>ISBLANK($Y$10)</formula>
    </cfRule>
  </conditionalFormatting>
  <conditionalFormatting sqref="E10">
    <cfRule type="expression" dxfId="176" priority="23">
      <formula>ISBLANK($E$10)</formula>
    </cfRule>
  </conditionalFormatting>
  <conditionalFormatting sqref="E19">
    <cfRule type="expression" dxfId="175" priority="9">
      <formula>ISBLANK($E$19)</formula>
    </cfRule>
  </conditionalFormatting>
  <conditionalFormatting sqref="M20:Q20">
    <cfRule type="expression" dxfId="174" priority="21">
      <formula>ISTEXT($M$20)</formula>
    </cfRule>
  </conditionalFormatting>
  <conditionalFormatting sqref="M21:Q21">
    <cfRule type="expression" dxfId="173" priority="18">
      <formula>ISTEXT($M$21)</formula>
    </cfRule>
  </conditionalFormatting>
  <conditionalFormatting sqref="K20:L20">
    <cfRule type="expression" dxfId="172" priority="15">
      <formula>ISBLANK($K$20)</formula>
    </cfRule>
  </conditionalFormatting>
  <conditionalFormatting sqref="K21:L21">
    <cfRule type="expression" dxfId="171" priority="14">
      <formula>ISBLANK($K$21)</formula>
    </cfRule>
  </conditionalFormatting>
  <conditionalFormatting sqref="K19:L19">
    <cfRule type="expression" dxfId="170" priority="13">
      <formula>ISBLANK($K$19)</formula>
    </cfRule>
  </conditionalFormatting>
  <conditionalFormatting sqref="E11">
    <cfRule type="expression" dxfId="169" priority="8">
      <formula>ISBLANK($E$11)</formula>
    </cfRule>
  </conditionalFormatting>
  <conditionalFormatting sqref="E12">
    <cfRule type="expression" dxfId="168" priority="7">
      <formula>ISBLANK($E$12)</formula>
    </cfRule>
  </conditionalFormatting>
  <conditionalFormatting sqref="M22:N22">
    <cfRule type="expression" dxfId="167" priority="3">
      <formula>ISBLANK($M$22)</formula>
    </cfRule>
  </conditionalFormatting>
  <conditionalFormatting sqref="L27:Q27">
    <cfRule type="expression" dxfId="166" priority="2">
      <formula>$L$27&lt;&gt;""</formula>
    </cfRule>
  </conditionalFormatting>
  <dataValidations count="10">
    <dataValidation type="list" allowBlank="1" showErrorMessage="1" prompt="Choose the applicable assertion" sqref="E10" xr:uid="{C6D4EECE-4CF3-4122-B627-BF7EAB74C0EA}">
      <formula1>Assertions</formula1>
    </dataValidation>
    <dataValidation type="list" allowBlank="1" showInputMessage="1" showErrorMessage="1" sqref="E11" xr:uid="{725698C9-A565-4B38-8C70-EEE6AFC45178}">
      <formula1>InherentRisk</formula1>
    </dataValidation>
    <dataValidation type="decimal" allowBlank="1" showInputMessage="1" showErrorMessage="1" error="Absolute tested value cannot be less than zero or greater than value of population." sqref="E21" xr:uid="{414CA692-1BC0-44F7-82CC-DFF04AA72016}">
      <formula1>0</formula1>
      <formula2>#REF!</formula2>
    </dataValidation>
    <dataValidation type="decimal" allowBlank="1" showInputMessage="1" showErrorMessage="1" error="Absolute tested value cannot be less than zero or greater than value of population." sqref="F20:F21" xr:uid="{D8E97D58-AFA9-4EAB-9184-9A75DDEA6C5E}">
      <formula1>0</formula1>
      <formula2>F18</formula2>
    </dataValidation>
    <dataValidation type="decimal" operator="greaterThanOrEqual" allowBlank="1" showInputMessage="1" showErrorMessage="1" sqref="C37:D56" xr:uid="{75B0CB50-A623-4F5A-B022-5FBA59136263}">
      <formula1>0</formula1>
    </dataValidation>
    <dataValidation type="decimal" allowBlank="1" errorTitle="test" error="test" sqref="M22:N22" xr:uid="{09C20E68-1F50-42FC-B1CE-5F69130F87E8}">
      <formula1>0</formula1>
      <formula2>1</formula2>
    </dataValidation>
    <dataValidation type="list" allowBlank="1" showInputMessage="1" showErrorMessage="1" sqref="K21:L21" xr:uid="{EA0E6ACB-3AF2-44F8-9D2D-F8F8743F4897}">
      <formula1>ADA</formula1>
    </dataValidation>
    <dataValidation type="list" allowBlank="1" showInputMessage="1" showErrorMessage="1" sqref="E37:F56 E19" xr:uid="{3C028FA4-549E-4046-AC23-F19D4C78367C}">
      <formula1>YesNo</formula1>
    </dataValidation>
    <dataValidation type="list" allowBlank="1" showInputMessage="1" showErrorMessage="1" sqref="K19:K20" xr:uid="{D31CB093-B801-4AD5-AD01-0EA96877FCBA}">
      <formula1>OtherEvidence</formula1>
    </dataValidation>
    <dataValidation type="whole" allowBlank="1" showInputMessage="1" showErrorMessage="1" error="测试项目的绝对值不能小于零或大于总体值。" sqref="E20" xr:uid="{0F2D96C4-961C-4271-9351-BE84F97B231E}">
      <formula1>0</formula1>
      <formula2>E18</formula2>
    </dataValidation>
  </dataValidations>
  <pageMargins left="0.25" right="0.25" top="0.75" bottom="0.75" header="0.3" footer="0.3"/>
  <pageSetup scale="40" orientation="landscape" r:id="rId1"/>
  <headerFooter>
    <oddFooter>&amp;C&amp;P of &amp;N&amp;R&amp;A</oddFooter>
  </headerFooter>
  <customProperties>
    <customPr name="CodeName" r:id="rId2"/>
  </customProperties>
  <legacyDrawing r:id="rId3"/>
  <extLst>
    <ext xmlns:x14="http://schemas.microsoft.com/office/spreadsheetml/2009/9/main" uri="{78C0D931-6437-407d-A8EE-F0AAD7539E65}">
      <x14:conditionalFormattings>
        <x14:conditionalFormatting xmlns:xm="http://schemas.microsoft.com/office/excel/2006/main">
          <x14:cfRule type="expression" priority="22" id="{771E2727-8EE9-4831-B5FB-D69E6E79DE18}">
            <xm:f>OR(ISBLANK($K$19),$K$19=Drop!$A$52)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25" id="{95E61471-5EAE-4A47-B847-4499F3B8A876}">
            <xm:f>AND(OR($K$19=Drop!$A$53,$K$19=Drop!$A$54),ISBLANK($M$19))</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M19:Q19</xm:sqref>
        </x14:conditionalFormatting>
        <x14:conditionalFormatting xmlns:xm="http://schemas.microsoft.com/office/excel/2006/main">
          <x14:cfRule type="expression" priority="19" id="{C50CC083-5898-4E1F-8219-5FB4BE3FC632}">
            <xm:f>OR(ISBLANK($K$20),$K$20=Drop!$A$52)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20" id="{09A05AD3-7800-4CC5-B248-96BD666E0ED6}">
            <xm:f>AND(OR($K$20=Drop!$A$53,$K$20=Drop!$A$54),ISBLANK($M$20))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M20:Q20</xm:sqref>
        </x14:conditionalFormatting>
        <x14:conditionalFormatting xmlns:xm="http://schemas.microsoft.com/office/excel/2006/main">
          <x14:cfRule type="expression" priority="16" id="{839428E4-DBED-451F-8376-7EFA36848092}">
            <xm:f>OR(ISBLANK($K$21),$K$21=Drop!$A$58)</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17" id="{2E16573E-2823-4E57-A132-3A5E10DB63DD}">
            <xm:f>AND($K$21=Drop!$A$59,ISBLANK($M$21))</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M21:Q21</xm:sqref>
        </x14:conditionalFormatting>
        <x14:conditionalFormatting xmlns:xm="http://schemas.microsoft.com/office/excel/2006/main">
          <x14:cfRule type="expression" priority="10" id="{51E697BD-CDCD-40D2-B2E9-F8056EF0AA0E}">
            <xm:f>OR(ISBLANK($E$19),$E$19=Drop!$A$14)</xm:f>
            <x14:dxf>
              <font>
                <color theme="0" tint="-4.9989318521683403E-2"/>
              </font>
              <fill>
                <patternFill>
                  <bgColor theme="0" tint="-4.9989318521683403E-2"/>
                </patternFill>
              </fill>
            </x14:dxf>
          </x14:cfRule>
          <x14:cfRule type="expression" priority="11" id="{F3358DE7-111E-4C46-9CE7-3739FB58C52F}">
            <xm:f>AND($E$19=Drop!$A$13,ISBLANK($E$20))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12" id="{CED46371-14B7-4566-AED0-28507AA6F7FA}">
            <xm:f>AND($E$20&gt;0,$E$19=Drop!$A$13)</xm:f>
            <x14:dxf>
              <font>
                <color auto="1"/>
              </font>
              <fill>
                <patternFill>
                  <bgColor theme="0"/>
                </patternFill>
              </fill>
              <border>
                <left style="thin">
                  <color auto="1"/>
                </left>
                <right style="thin">
                  <color auto="1"/>
                </right>
                <top style="thin">
                  <color auto="1"/>
                </top>
                <bottom style="thin">
                  <color auto="1"/>
                </bottom>
                <vertical/>
                <horizontal/>
              </border>
            </x14:dxf>
          </x14:cfRule>
          <xm:sqref>E20</xm:sqref>
        </x14:conditionalFormatting>
        <x14:conditionalFormatting xmlns:xm="http://schemas.microsoft.com/office/excel/2006/main">
          <x14:cfRule type="expression" priority="4" id="{EC229E91-9E95-4EF3-BD4A-A7CEF8F90DBF}">
            <xm:f>$E$12&lt;&gt;Drop!$A$47</xm:f>
            <x14:dxf>
              <font>
                <color theme="0" tint="-4.9989318521683403E-2"/>
              </font>
              <fill>
                <patternFill>
                  <bgColor theme="0" tint="-4.9989318521683403E-2"/>
                </patternFill>
              </fill>
              <border>
                <left/>
                <right/>
                <bottom/>
              </border>
            </x14:dxf>
          </x14:cfRule>
          <x14:cfRule type="expression" priority="5" id="{4DFB1B21-58CF-46CC-928E-2A26EF4A1DA8}">
            <xm:f>AND(ISBLANK($E$13),$E$12=Drop!$A$47)</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6" id="{F7080AAD-5017-4598-A775-A7AA2005AF34}">
            <xm:f>$E$12=Drop!$A$47</xm:f>
            <x14:dxf>
              <border>
                <left style="thin">
                  <color auto="1"/>
                </left>
                <bottom style="thin">
                  <color auto="1"/>
                </bottom>
                <vertical/>
                <horizontal/>
              </border>
            </x14:dxf>
          </x14:cfRule>
          <xm:sqref>E13</xm:sqref>
        </x14:conditionalFormatting>
        <x14:conditionalFormatting xmlns:xm="http://schemas.microsoft.com/office/excel/2006/main">
          <x14:cfRule type="expression" priority="1" id="{6F3C6C55-6AF6-4376-9A4F-00F6BB6848EA}">
            <xm:f>$L$26=Drop!$A$85</xm:f>
            <x14:dxf>
              <font>
                <color auto="1"/>
              </font>
              <fill>
                <patternFill patternType="solid">
                  <bgColor theme="1"/>
                </patternFill>
              </fill>
            </x14:dxf>
          </x14:cfRule>
          <xm:sqref>B36 B33:AB35 B37:AB63 F36:AB36</xm:sqref>
        </x14:conditionalFormatting>
        <x14:conditionalFormatting xmlns:xm="http://schemas.microsoft.com/office/excel/2006/main">
          <x14:cfRule type="expression" priority="28" id="{5A22DFB7-B3FD-435C-B86D-F1D7944A424E}">
            <xm:f>OR(E19&lt;&gt;Drop!A13,ISBLANK(M22))</xm:f>
            <x14:dxf>
              <fill>
                <patternFill>
                  <bgColor theme="0" tint="-4.9989318521683403E-2"/>
                </patternFill>
              </fill>
              <border>
                <left/>
                <top/>
                <vertical/>
                <horizontal/>
              </border>
            </x14:dxf>
          </x14:cfRule>
          <xm:sqref>O24:Q24</xm:sqref>
        </x14:conditionalFormatting>
        <x14:conditionalFormatting xmlns:xm="http://schemas.microsoft.com/office/excel/2006/main">
          <x14:cfRule type="expression" priority="29" id="{82F3B72B-84BF-4D6E-AA73-F88F2735EB07}">
            <xm:f>$E$19&lt;&gt;Drop!$A$13</xm:f>
            <x14:dxf>
              <font>
                <color auto="1"/>
              </font>
            </x14:dxf>
          </x14:cfRule>
          <xm:sqref>B20 B21:D21</xm:sqref>
        </x14:conditionalFormatting>
        <x14:conditionalFormatting xmlns:xm="http://schemas.microsoft.com/office/excel/2006/main">
          <x14:cfRule type="expression" priority="30" id="{E73FFED4-832E-44EE-B4E5-B92B1B21D6F8}">
            <xm:f>$E$12&lt;&gt;Drop!$A$47</xm:f>
            <x14:dxf>
              <font>
                <color theme="0" tint="-4.9989318521683403E-2"/>
              </font>
              <fill>
                <patternFill>
                  <bgColor theme="0" tint="-4.9989318521683403E-2"/>
                </patternFill>
              </fill>
            </x14:dxf>
          </x14:cfRule>
          <xm:sqref>B13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4D6C9101-AC86-4F68-BA7E-19A93E274B35}">
          <x14:formula1>
            <xm:f>Drop!$A$44:$A$46</xm:f>
          </x14:formula1>
          <xm:sqref>E13</xm:sqref>
        </x14:dataValidation>
        <x14:dataValidation type="list" allowBlank="1" showInputMessage="1" showErrorMessage="1" xr:uid="{5A9BD17A-0AD5-4092-B205-0CBF53D1FD81}">
          <x14:formula1>
            <xm:f>Drop!$G$43:$G$44</xm:f>
          </x14:formula1>
          <xm:sqref>E12</xm:sqref>
        </x14:dataValidation>
        <x14:dataValidation type="list" allowBlank="1" showInputMessage="1" showErrorMessage="1" xr:uid="{F8FD3E9D-0CCE-4CC0-9780-343B609384B8}">
          <x14:formula1>
            <xm:f>Drop!$A$62</xm:f>
          </x14:formula1>
          <xm:sqref>Y10:AB10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9E897-D19B-40C8-B513-5C0E9117F34F}">
  <sheetPr codeName="sheet0NonStatistical2">
    <pageSetUpPr fitToPage="1"/>
  </sheetPr>
  <dimension ref="A1:AK60"/>
  <sheetViews>
    <sheetView showGridLines="0" zoomScale="80" zoomScaleNormal="80" workbookViewId="0">
      <selection activeCell="AE2" sqref="AE2"/>
    </sheetView>
  </sheetViews>
  <sheetFormatPr defaultColWidth="9.125" defaultRowHeight="12.75" outlineLevelCol="1"/>
  <cols>
    <col min="1" max="1" width="2.75" style="2" customWidth="1"/>
    <col min="2" max="2" width="5.75" style="2" customWidth="1"/>
    <col min="3" max="5" width="25.75" style="2" customWidth="1"/>
    <col min="6" max="6" width="1.75" style="2" customWidth="1"/>
    <col min="7" max="7" width="1.125" style="2" customWidth="1"/>
    <col min="8" max="8" width="5.75" style="2" customWidth="1"/>
    <col min="9" max="9" width="17.75" style="2" customWidth="1"/>
    <col min="10" max="11" width="5.75" style="2" customWidth="1"/>
    <col min="12" max="12" width="17.75" style="2" customWidth="1"/>
    <col min="13" max="13" width="5.75" style="2" customWidth="1"/>
    <col min="14" max="14" width="9.75" style="2" customWidth="1"/>
    <col min="15" max="15" width="5.75" style="2" customWidth="1"/>
    <col min="16" max="16" width="15.75" style="2" customWidth="1"/>
    <col min="17" max="17" width="10.75" style="2" customWidth="1"/>
    <col min="18" max="18" width="1.5" style="2" customWidth="1"/>
    <col min="19" max="21" width="5.75" style="2" customWidth="1"/>
    <col min="22" max="22" width="11.75" style="2" customWidth="1"/>
    <col min="23" max="27" width="5.75" style="2" customWidth="1"/>
    <col min="28" max="28" width="21.75" style="2" customWidth="1"/>
    <col min="29" max="30" width="2.75" style="2" customWidth="1" outlineLevel="1"/>
    <col min="31" max="31" width="9.125" style="2" customWidth="1" outlineLevel="1"/>
    <col min="32" max="32" width="21.5" style="2" customWidth="1" outlineLevel="1"/>
    <col min="33" max="33" width="15.25" style="2" customWidth="1" outlineLevel="1"/>
    <col min="34" max="34" width="14.5" style="2" customWidth="1" outlineLevel="1"/>
    <col min="35" max="35" width="14.25" style="2" customWidth="1" outlineLevel="1"/>
    <col min="36" max="36" width="15.5" style="2" customWidth="1" outlineLevel="1"/>
    <col min="37" max="37" width="9.125" style="2" customWidth="1" outlineLevel="1"/>
    <col min="38" max="40" width="9.125" style="2" customWidth="1"/>
    <col min="41" max="16384" width="9.125" style="2"/>
  </cols>
  <sheetData>
    <row r="1" spans="1:37" ht="21" thickBot="1">
      <c r="A1" s="1"/>
      <c r="B1" s="308"/>
      <c r="C1" s="309"/>
      <c r="D1" s="309"/>
      <c r="E1" s="309"/>
      <c r="F1" s="1"/>
      <c r="G1" s="1"/>
      <c r="H1" s="1"/>
      <c r="I1" s="1"/>
      <c r="O1" s="1"/>
      <c r="AC1" s="1"/>
      <c r="AF1" s="10" t="s">
        <v>32</v>
      </c>
      <c r="AG1" s="2" t="s">
        <v>1</v>
      </c>
    </row>
    <row r="2" spans="1:37" ht="12.95" customHeight="1">
      <c r="A2" s="7"/>
      <c r="B2" s="38"/>
      <c r="C2" s="39"/>
      <c r="D2" s="39"/>
      <c r="E2" s="39"/>
      <c r="F2" s="39"/>
      <c r="G2" s="39"/>
      <c r="H2" s="39"/>
      <c r="I2" s="39"/>
      <c r="J2" s="40"/>
      <c r="K2" s="40"/>
      <c r="L2" s="40"/>
      <c r="M2" s="41"/>
      <c r="N2" s="41"/>
      <c r="O2" s="41"/>
      <c r="P2" s="41"/>
      <c r="Q2" s="41"/>
      <c r="R2" s="41"/>
      <c r="S2" s="41"/>
      <c r="T2" s="41"/>
      <c r="U2" s="41"/>
      <c r="V2" s="41"/>
      <c r="W2" s="41"/>
      <c r="X2" s="41"/>
      <c r="Y2" s="41"/>
      <c r="Z2" s="41"/>
      <c r="AA2" s="41"/>
      <c r="AB2" s="42"/>
      <c r="AF2" s="27"/>
      <c r="AG2" s="27"/>
    </row>
    <row r="3" spans="1:37" ht="12.95" customHeight="1">
      <c r="A3" s="15"/>
      <c r="B3" s="45"/>
      <c r="C3" s="47" t="str">
        <f>Drop!A102</f>
        <v>总体名称：</v>
      </c>
      <c r="D3" s="310"/>
      <c r="E3" s="311"/>
      <c r="F3" s="46"/>
      <c r="G3" s="46"/>
      <c r="H3" s="46"/>
      <c r="I3" s="46"/>
      <c r="J3" s="48"/>
      <c r="K3" s="49"/>
      <c r="L3" s="49"/>
      <c r="M3" s="49"/>
      <c r="N3" s="49"/>
      <c r="O3" s="49"/>
      <c r="P3" s="49"/>
      <c r="Q3" s="49"/>
      <c r="R3" s="49"/>
      <c r="S3" s="49"/>
      <c r="T3" s="49"/>
      <c r="U3" s="49"/>
      <c r="V3" s="50"/>
      <c r="W3" s="51"/>
      <c r="X3" s="51"/>
      <c r="Y3" s="51"/>
      <c r="Z3" s="51"/>
      <c r="AA3" s="51"/>
      <c r="AB3" s="52"/>
      <c r="AF3" s="27"/>
      <c r="AG3" s="27"/>
      <c r="AH3" s="27"/>
      <c r="AI3" s="27"/>
    </row>
    <row r="4" spans="1:37" ht="12.95" customHeight="1">
      <c r="A4" s="1"/>
      <c r="B4" s="53"/>
      <c r="C4" s="47" t="str">
        <f>Drop!A103</f>
        <v>适用的样本计划：</v>
      </c>
      <c r="D4" s="312" t="str">
        <f>汇总!D3</f>
        <v>致同抽样</v>
      </c>
      <c r="E4" s="313"/>
      <c r="F4" s="46"/>
      <c r="G4" s="46"/>
      <c r="H4" s="46"/>
      <c r="I4" s="46"/>
      <c r="J4" s="46"/>
      <c r="K4" s="49" t="str">
        <f>Drop!A105</f>
        <v>高信赖（其他标准）?：</v>
      </c>
      <c r="L4" s="312" t="str">
        <f>IF(ISBLANK(汇总!D7),Drop!A247,汇总!D7)</f>
        <v>否 - 不适用</v>
      </c>
      <c r="M4" s="314"/>
      <c r="N4" s="314"/>
      <c r="O4" s="313"/>
      <c r="P4" s="49"/>
      <c r="Q4" s="49"/>
      <c r="R4" s="49"/>
      <c r="S4" s="49"/>
      <c r="T4" s="49"/>
      <c r="U4" s="49"/>
      <c r="V4" s="50"/>
      <c r="W4" s="51"/>
      <c r="X4" s="51"/>
      <c r="Y4" s="51"/>
      <c r="Z4" s="51"/>
      <c r="AA4" s="51"/>
      <c r="AB4" s="52"/>
      <c r="AF4" s="27"/>
      <c r="AG4" s="27"/>
      <c r="AH4" s="27"/>
      <c r="AI4" s="27"/>
    </row>
    <row r="5" spans="1:37" ht="12.95" customHeight="1">
      <c r="A5" s="1"/>
      <c r="B5" s="54"/>
      <c r="C5" s="49" t="str">
        <f>Drop!A104</f>
        <v>上市实体/ 高风险?：</v>
      </c>
      <c r="D5" s="315" t="str">
        <f>汇总!D5</f>
        <v>是</v>
      </c>
      <c r="E5" s="316"/>
      <c r="F5" s="46"/>
      <c r="G5" s="46"/>
      <c r="H5" s="46"/>
      <c r="I5" s="46"/>
      <c r="J5" s="46"/>
      <c r="K5" s="49" t="str">
        <f>Drop!A106</f>
        <v>实际执行的重要性</v>
      </c>
      <c r="L5" s="317">
        <f>汇总!D10</f>
        <v>0</v>
      </c>
      <c r="M5" s="318"/>
      <c r="N5" s="318"/>
      <c r="O5" s="319"/>
      <c r="P5" s="49"/>
      <c r="Q5" s="49"/>
      <c r="R5" s="49"/>
      <c r="S5" s="49"/>
      <c r="T5" s="49"/>
      <c r="U5" s="49"/>
      <c r="V5" s="50"/>
      <c r="W5" s="51"/>
      <c r="X5" s="51"/>
      <c r="Y5" s="51"/>
      <c r="Z5" s="51"/>
      <c r="AA5" s="51"/>
      <c r="AB5" s="52"/>
      <c r="AF5" s="27" t="s">
        <v>161</v>
      </c>
      <c r="AG5" s="27" t="b">
        <f>OR(E11=Drop!A37)</f>
        <v>0</v>
      </c>
      <c r="AH5" s="11"/>
    </row>
    <row r="6" spans="1:37" ht="12.95" customHeight="1" thickBot="1">
      <c r="A6" s="1"/>
      <c r="B6" s="56"/>
      <c r="C6" s="57"/>
      <c r="D6" s="57"/>
      <c r="E6" s="57"/>
      <c r="F6" s="57"/>
      <c r="G6" s="57"/>
      <c r="H6" s="57"/>
      <c r="I6" s="57"/>
      <c r="J6" s="57"/>
      <c r="K6" s="57"/>
      <c r="L6" s="57"/>
      <c r="M6" s="57"/>
      <c r="N6" s="57"/>
      <c r="O6" s="57"/>
      <c r="P6" s="57"/>
      <c r="Q6" s="57"/>
      <c r="R6" s="57"/>
      <c r="S6" s="57"/>
      <c r="T6" s="57"/>
      <c r="U6" s="57"/>
      <c r="V6" s="57"/>
      <c r="W6" s="57"/>
      <c r="X6" s="57"/>
      <c r="Y6" s="57"/>
      <c r="Z6" s="57"/>
      <c r="AA6" s="57"/>
      <c r="AB6" s="58"/>
      <c r="AF6" s="27" t="s">
        <v>36</v>
      </c>
      <c r="AG6" s="27" t="b">
        <f>OR(D5=Drop!A13,L4=Drop!A246)</f>
        <v>1</v>
      </c>
      <c r="AH6" s="4"/>
    </row>
    <row r="7" spans="1:37" ht="13.5" thickBot="1">
      <c r="B7" s="60"/>
      <c r="C7" s="60"/>
      <c r="D7" s="60"/>
      <c r="E7" s="60"/>
      <c r="F7" s="35"/>
      <c r="G7" s="35"/>
      <c r="H7" s="35"/>
      <c r="I7" s="35"/>
      <c r="J7" s="35"/>
      <c r="K7" s="35"/>
      <c r="L7" s="35"/>
      <c r="M7" s="35"/>
      <c r="N7" s="35"/>
      <c r="O7" s="35"/>
      <c r="P7" s="35"/>
      <c r="Q7" s="35"/>
      <c r="R7" s="35"/>
      <c r="S7" s="35"/>
      <c r="T7" s="35"/>
      <c r="U7" s="35"/>
      <c r="V7" s="35"/>
      <c r="W7" s="35"/>
      <c r="X7" s="35"/>
      <c r="Y7" s="35"/>
      <c r="Z7" s="35"/>
      <c r="AA7" s="35"/>
      <c r="AB7" s="35"/>
      <c r="AF7" s="27" t="s">
        <v>37</v>
      </c>
      <c r="AG7" s="28">
        <f>IF(AG6=TRUE,5%,10%)</f>
        <v>0.05</v>
      </c>
      <c r="AH7" s="4"/>
    </row>
    <row r="8" spans="1:37" ht="13.5" thickBot="1">
      <c r="B8" s="62" t="str">
        <f>Drop!A93</f>
        <v>步骤 1 - 确定测试的目标</v>
      </c>
      <c r="C8" s="63"/>
      <c r="D8" s="63"/>
      <c r="E8" s="63"/>
      <c r="F8" s="64"/>
      <c r="G8" s="35"/>
      <c r="H8" s="65" t="str">
        <f>Drop!A95</f>
        <v>步骤 3 - 抽样方法</v>
      </c>
      <c r="I8" s="66"/>
      <c r="J8" s="66"/>
      <c r="K8" s="66"/>
      <c r="L8" s="66"/>
      <c r="M8" s="66"/>
      <c r="N8" s="66"/>
      <c r="O8" s="66"/>
      <c r="P8" s="66"/>
      <c r="Q8" s="67"/>
      <c r="R8" s="35"/>
      <c r="S8" s="65" t="str">
        <f>Drop!A97</f>
        <v>步骤 5 - 选取样本</v>
      </c>
      <c r="T8" s="66"/>
      <c r="U8" s="66"/>
      <c r="V8" s="66"/>
      <c r="W8" s="66"/>
      <c r="X8" s="66"/>
      <c r="Y8" s="66"/>
      <c r="Z8" s="66"/>
      <c r="AA8" s="66"/>
      <c r="AB8" s="67"/>
      <c r="AF8" s="27" t="s">
        <v>27</v>
      </c>
      <c r="AG8" s="26" t="str">
        <f>D4</f>
        <v>致同抽样</v>
      </c>
      <c r="AH8" s="12"/>
    </row>
    <row r="9" spans="1:37" ht="15" customHeight="1">
      <c r="B9" s="69"/>
      <c r="C9" s="70"/>
      <c r="D9" s="70"/>
      <c r="E9" s="70"/>
      <c r="F9" s="71"/>
      <c r="G9" s="35"/>
      <c r="H9" s="320" t="str">
        <f>IF(AG2=TRUE,Drop!A88,"")</f>
        <v/>
      </c>
      <c r="I9" s="321"/>
      <c r="J9" s="321"/>
      <c r="K9" s="321"/>
      <c r="L9" s="321"/>
      <c r="M9" s="321"/>
      <c r="N9" s="321"/>
      <c r="O9" s="321"/>
      <c r="P9" s="321"/>
      <c r="Q9" s="322"/>
      <c r="R9" s="35"/>
      <c r="S9" s="72"/>
      <c r="T9" s="32"/>
      <c r="U9" s="32"/>
      <c r="V9" s="32"/>
      <c r="W9" s="32"/>
      <c r="X9" s="32"/>
      <c r="Y9" s="32"/>
      <c r="Z9" s="32"/>
      <c r="AA9" s="32"/>
      <c r="AB9" s="73"/>
      <c r="AF9" s="27" t="s">
        <v>43</v>
      </c>
      <c r="AG9" s="26">
        <f>VLOOKUP(AG8,Drop!A17:B19,2,FALSE)</f>
        <v>2</v>
      </c>
      <c r="AH9" s="12"/>
    </row>
    <row r="10" spans="1:37" ht="20.100000000000001" customHeight="1">
      <c r="B10" s="326" t="str">
        <f>Drop!A108</f>
        <v>认定</v>
      </c>
      <c r="C10" s="327"/>
      <c r="D10" s="328"/>
      <c r="E10" s="212" t="s">
        <v>313</v>
      </c>
      <c r="F10" s="199"/>
      <c r="G10" s="35"/>
      <c r="H10" s="323"/>
      <c r="I10" s="324"/>
      <c r="J10" s="324"/>
      <c r="K10" s="324"/>
      <c r="L10" s="324"/>
      <c r="M10" s="324"/>
      <c r="N10" s="324"/>
      <c r="O10" s="324"/>
      <c r="P10" s="324"/>
      <c r="Q10" s="325"/>
      <c r="R10" s="35"/>
      <c r="S10" s="135" t="str">
        <f>Drop!A139</f>
        <v>使用的选取方法</v>
      </c>
      <c r="T10" s="32"/>
      <c r="U10" s="32"/>
      <c r="V10" s="32"/>
      <c r="W10" s="32"/>
      <c r="X10" s="32"/>
      <c r="Y10" s="329" t="s">
        <v>291</v>
      </c>
      <c r="Z10" s="330"/>
      <c r="AA10" s="330"/>
      <c r="AB10" s="331"/>
      <c r="AF10" s="27" t="s">
        <v>39</v>
      </c>
      <c r="AG10" s="28">
        <f>VLOOKUP(E11,Drop!A37:D39,AG9,FALSE)</f>
        <v>0.5</v>
      </c>
      <c r="AH10" s="11"/>
    </row>
    <row r="11" spans="1:37" ht="26.1" customHeight="1">
      <c r="B11" s="326" t="str">
        <f>Drop!A109</f>
        <v>固有风险</v>
      </c>
      <c r="C11" s="327"/>
      <c r="D11" s="328"/>
      <c r="E11" s="211" t="s">
        <v>286</v>
      </c>
      <c r="F11" s="199"/>
      <c r="G11" s="35"/>
      <c r="H11" s="117"/>
      <c r="I11" s="32"/>
      <c r="J11" s="32"/>
      <c r="K11" s="118" t="str">
        <f>Drop!A121</f>
        <v>非统计抽样</v>
      </c>
      <c r="L11" s="32"/>
      <c r="M11" s="118"/>
      <c r="N11" s="118"/>
      <c r="O11" s="32"/>
      <c r="P11" s="32"/>
      <c r="Q11" s="73"/>
      <c r="R11" s="35"/>
      <c r="S11" s="74"/>
      <c r="T11" s="32"/>
      <c r="U11" s="32"/>
      <c r="V11" s="32"/>
      <c r="W11" s="32"/>
      <c r="X11" s="32"/>
      <c r="Y11" s="32"/>
      <c r="Z11" s="32"/>
      <c r="AA11" s="32"/>
      <c r="AB11" s="73"/>
      <c r="AF11" s="27" t="s">
        <v>40</v>
      </c>
      <c r="AG11" s="61" t="e">
        <f>IF(ISBLANK(E12),"",IF(E12=Drop!A43,Drop!B43,VLOOKUP(E13,Drop!A44:D46,AG9,FALSE)))</f>
        <v>#N/A</v>
      </c>
      <c r="AH11" s="29" t="s">
        <v>167</v>
      </c>
      <c r="AI11" s="27" t="b">
        <f>E12=Drop!A45</f>
        <v>0</v>
      </c>
      <c r="AJ11" s="27" t="str">
        <f>IF(AI$11=TRUE,Drop!A13,"")</f>
        <v/>
      </c>
      <c r="AK11" s="27" t="str">
        <f>IF(AI$11=TRUE,Drop!A14,"")</f>
        <v/>
      </c>
    </row>
    <row r="12" spans="1:37" ht="26.1" customHeight="1">
      <c r="B12" s="332" t="str">
        <f>Drop!A110</f>
        <v>对控制的信赖程度</v>
      </c>
      <c r="C12" s="333"/>
      <c r="D12" s="334"/>
      <c r="E12" s="212" t="s">
        <v>288</v>
      </c>
      <c r="F12" s="199"/>
      <c r="G12" s="35"/>
      <c r="H12" s="117"/>
      <c r="I12" s="32"/>
      <c r="J12" s="119"/>
      <c r="K12" s="119"/>
      <c r="L12" s="119"/>
      <c r="M12" s="119"/>
      <c r="N12" s="134" t="str">
        <f>Drop!A122</f>
        <v>总体的性质?</v>
      </c>
      <c r="O12" s="335" t="s">
        <v>292</v>
      </c>
      <c r="P12" s="336"/>
      <c r="Q12" s="73"/>
      <c r="R12" s="35"/>
      <c r="S12" s="135" t="str">
        <f>Drop!A140</f>
        <v>样本间隔</v>
      </c>
      <c r="T12" s="32"/>
      <c r="U12" s="32"/>
      <c r="V12" s="32"/>
      <c r="W12" s="32"/>
      <c r="X12" s="32"/>
      <c r="Y12" s="337" t="str" cm="1">
        <f t="array" ref="Y12">_xlfn.IFS(ISBLANK(Y10),"",AND(Y10=Drop!A62,O12=Drop!A125),Drop!A228,Y10&lt;&gt;Drop!A62,Drop!A222,ISERROR(AG25),Drop!A219,TRUE,AG25)</f>
        <v>系统抽样未被选取，间隔不适用</v>
      </c>
      <c r="Z12" s="338"/>
      <c r="AA12" s="338"/>
      <c r="AB12" s="339"/>
      <c r="AF12" s="27" t="s">
        <v>41</v>
      </c>
      <c r="AG12" s="28">
        <f>VLOOKUP(K19,Drop!A52:D54,AG9,FALSE)</f>
        <v>1</v>
      </c>
      <c r="AH12" s="11"/>
      <c r="AJ12" s="2" t="str">
        <f>IF(AI$11=TRUE,Drop!A14,"")</f>
        <v/>
      </c>
    </row>
    <row r="13" spans="1:37" ht="20.100000000000001" customHeight="1">
      <c r="B13" s="332" t="str">
        <f>Drop!A48</f>
        <v>测试范围</v>
      </c>
      <c r="C13" s="333"/>
      <c r="D13" s="333"/>
      <c r="E13" s="212" t="s">
        <v>286</v>
      </c>
      <c r="F13" s="199"/>
      <c r="G13" s="35"/>
      <c r="H13" s="117"/>
      <c r="I13" s="32"/>
      <c r="J13" s="119"/>
      <c r="K13" s="119"/>
      <c r="L13" s="119"/>
      <c r="M13" s="119"/>
      <c r="N13" s="179"/>
      <c r="O13" s="119"/>
      <c r="P13" s="179"/>
      <c r="Q13" s="73"/>
      <c r="R13" s="35"/>
      <c r="S13" s="135"/>
      <c r="T13" s="32"/>
      <c r="U13" s="32"/>
      <c r="V13" s="32"/>
      <c r="W13" s="32"/>
      <c r="X13" s="32"/>
      <c r="Y13" s="180"/>
      <c r="Z13" s="180"/>
      <c r="AA13" s="180"/>
      <c r="AB13" s="181"/>
      <c r="AF13" s="27"/>
      <c r="AG13" s="28"/>
      <c r="AH13" s="11"/>
    </row>
    <row r="14" spans="1:37" ht="15.75" customHeight="1" thickBot="1">
      <c r="B14" s="162"/>
      <c r="C14" s="163"/>
      <c r="D14" s="163"/>
      <c r="E14" s="163"/>
      <c r="F14" s="200"/>
      <c r="G14" s="35"/>
      <c r="H14" s="76"/>
      <c r="I14" s="77"/>
      <c r="J14" s="77"/>
      <c r="K14" s="77"/>
      <c r="L14" s="77"/>
      <c r="M14" s="77"/>
      <c r="N14" s="77"/>
      <c r="O14" s="77"/>
      <c r="P14" s="77"/>
      <c r="Q14" s="78"/>
      <c r="R14" s="35"/>
      <c r="S14" s="76"/>
      <c r="T14" s="77"/>
      <c r="U14" s="77"/>
      <c r="V14" s="77"/>
      <c r="W14" s="77"/>
      <c r="X14" s="77"/>
      <c r="Y14" s="77"/>
      <c r="Z14" s="77"/>
      <c r="AA14" s="77"/>
      <c r="AB14" s="78"/>
      <c r="AF14" s="27" t="s">
        <v>38</v>
      </c>
      <c r="AG14" s="28">
        <f>VLOOKUP(K20,Drop!A52:D54,AG9,FALSE)</f>
        <v>0.4</v>
      </c>
      <c r="AH14" s="13"/>
    </row>
    <row r="15" spans="1:37" ht="13.5" thickBot="1">
      <c r="B15" s="35"/>
      <c r="C15" s="35"/>
      <c r="D15" s="35"/>
      <c r="E15" s="35"/>
      <c r="F15" s="35"/>
      <c r="G15" s="35"/>
      <c r="H15" s="35"/>
      <c r="I15" s="35"/>
      <c r="J15" s="35"/>
      <c r="K15" s="35"/>
      <c r="L15" s="35"/>
      <c r="M15" s="35"/>
      <c r="N15" s="35"/>
      <c r="O15" s="35"/>
      <c r="P15" s="35"/>
      <c r="Q15" s="35"/>
      <c r="R15" s="35"/>
      <c r="S15" s="80"/>
      <c r="T15" s="81"/>
      <c r="U15" s="81"/>
      <c r="V15" s="81"/>
      <c r="W15" s="81"/>
      <c r="X15" s="81"/>
      <c r="Y15" s="81"/>
      <c r="Z15" s="81"/>
      <c r="AA15" s="81"/>
      <c r="AB15" s="81"/>
      <c r="AF15" s="27" t="s">
        <v>211</v>
      </c>
      <c r="AG15" s="28">
        <f>VLOOKUP(K21,Drop!A58:D59,AG9,FALSE)</f>
        <v>1</v>
      </c>
      <c r="AH15" s="14"/>
    </row>
    <row r="16" spans="1:37" ht="13.5" thickBot="1">
      <c r="B16" s="65" t="str">
        <f>Drop!A94</f>
        <v>步骤 2 - 定义和分析总体</v>
      </c>
      <c r="C16" s="66"/>
      <c r="D16" s="66"/>
      <c r="E16" s="66"/>
      <c r="F16" s="67"/>
      <c r="G16" s="35"/>
      <c r="H16" s="65" t="str">
        <f>Drop!A96</f>
        <v>步骤 4 - 确定样本量</v>
      </c>
      <c r="I16" s="66"/>
      <c r="J16" s="66"/>
      <c r="K16" s="66"/>
      <c r="L16" s="66"/>
      <c r="M16" s="66"/>
      <c r="N16" s="66"/>
      <c r="O16" s="66"/>
      <c r="P16" s="66"/>
      <c r="Q16" s="67"/>
      <c r="R16" s="35"/>
      <c r="S16" s="65" t="str">
        <f>Drop!A98</f>
        <v>步骤 6 - 测试已选取样本</v>
      </c>
      <c r="T16" s="66"/>
      <c r="U16" s="66"/>
      <c r="V16" s="66"/>
      <c r="W16" s="66"/>
      <c r="X16" s="66"/>
      <c r="Y16" s="66"/>
      <c r="Z16" s="66"/>
      <c r="AA16" s="66"/>
      <c r="AB16" s="67"/>
      <c r="AF16" s="27" t="s">
        <v>45</v>
      </c>
      <c r="AG16" s="28" t="e">
        <f>AG7/(AG10*AG11*AG12*AG14*AG15)</f>
        <v>#N/A</v>
      </c>
    </row>
    <row r="17" spans="2:33">
      <c r="B17" s="85"/>
      <c r="C17" s="86"/>
      <c r="D17" s="86"/>
      <c r="E17" s="86"/>
      <c r="F17" s="87"/>
      <c r="G17" s="35"/>
      <c r="H17" s="85"/>
      <c r="I17" s="86"/>
      <c r="J17" s="86"/>
      <c r="K17" s="86"/>
      <c r="L17" s="86"/>
      <c r="M17" s="86"/>
      <c r="N17" s="86"/>
      <c r="O17" s="86"/>
      <c r="P17" s="86"/>
      <c r="Q17" s="87"/>
      <c r="R17" s="35"/>
      <c r="S17" s="74"/>
      <c r="T17" s="32"/>
      <c r="U17" s="32"/>
      <c r="V17" s="32"/>
      <c r="W17" s="32"/>
      <c r="X17" s="32"/>
      <c r="Y17" s="32"/>
      <c r="Z17" s="32"/>
      <c r="AA17" s="32"/>
      <c r="AB17" s="73"/>
      <c r="AF17" s="27" t="s">
        <v>46</v>
      </c>
      <c r="AG17" s="30" t="e">
        <f>1-AG16</f>
        <v>#N/A</v>
      </c>
    </row>
    <row r="18" spans="2:33" ht="14.25">
      <c r="B18" s="349" t="str">
        <f>Drop!A112</f>
        <v>总体的绝对值</v>
      </c>
      <c r="C18" s="350"/>
      <c r="D18" s="351"/>
      <c r="E18" s="224"/>
      <c r="F18" s="199"/>
      <c r="G18" s="35"/>
      <c r="H18" s="135" t="str">
        <f>Drop!A130</f>
        <v>提供的证据:</v>
      </c>
      <c r="I18" s="32"/>
      <c r="J18" s="32"/>
      <c r="K18" s="32"/>
      <c r="L18" s="32"/>
      <c r="M18" s="358" t="str">
        <f>Drop!A82</f>
        <v>描述程序</v>
      </c>
      <c r="N18" s="359"/>
      <c r="O18" s="359"/>
      <c r="P18" s="359"/>
      <c r="Q18" s="360"/>
      <c r="R18" s="35"/>
      <c r="S18" s="340" t="str">
        <f>Drop!A142</f>
        <v>相关测试记录的工作底稿索引:</v>
      </c>
      <c r="T18" s="341"/>
      <c r="U18" s="341"/>
      <c r="V18" s="341"/>
      <c r="W18" s="341"/>
      <c r="X18" s="341"/>
      <c r="Y18" s="342"/>
      <c r="Z18" s="343" t="s">
        <v>302</v>
      </c>
      <c r="AA18" s="344"/>
      <c r="AB18" s="345"/>
      <c r="AF18" s="27" t="s">
        <v>48</v>
      </c>
      <c r="AG18" s="31">
        <f>IF(E19=Drop!A14,(E18-E24-E25),(E20 - E24-E25))</f>
        <v>-3000</v>
      </c>
    </row>
    <row r="19" spans="2:33" ht="30" customHeight="1">
      <c r="B19" s="349" t="str">
        <f>Drop!A67</f>
        <v>测试少于总体的100%？</v>
      </c>
      <c r="C19" s="350"/>
      <c r="D19" s="351"/>
      <c r="E19" s="211" t="s">
        <v>284</v>
      </c>
      <c r="F19" s="199"/>
      <c r="G19" s="136"/>
      <c r="H19" s="135" t="str">
        <f>Drop!A131</f>
        <v>分析程序</v>
      </c>
      <c r="I19" s="93"/>
      <c r="J19" s="130"/>
      <c r="K19" s="329" t="s">
        <v>287</v>
      </c>
      <c r="L19" s="352"/>
      <c r="M19" s="329"/>
      <c r="N19" s="330"/>
      <c r="O19" s="330"/>
      <c r="P19" s="330"/>
      <c r="Q19" s="331"/>
      <c r="R19" s="35"/>
      <c r="S19" s="340"/>
      <c r="T19" s="341"/>
      <c r="U19" s="341"/>
      <c r="V19" s="341"/>
      <c r="W19" s="341"/>
      <c r="X19" s="341"/>
      <c r="Y19" s="342"/>
      <c r="Z19" s="346"/>
      <c r="AA19" s="347"/>
      <c r="AB19" s="348"/>
      <c r="AF19" s="27" t="s">
        <v>49</v>
      </c>
      <c r="AG19" s="27" t="b">
        <f>OR(E24&gt;0,E25&gt;0,D24&gt;0,D25&gt;0)</f>
        <v>1</v>
      </c>
    </row>
    <row r="20" spans="2:33" ht="30" customHeight="1" thickBot="1">
      <c r="B20" s="361" t="str">
        <f>IF(OR(ISBLANK(E19),E19=Drop!A14),"",Drop!A68)</f>
        <v/>
      </c>
      <c r="C20" s="362"/>
      <c r="D20" s="362"/>
      <c r="E20" s="198"/>
      <c r="F20" s="199"/>
      <c r="G20" s="136"/>
      <c r="H20" s="137" t="str">
        <f>Drop!A132</f>
        <v>其他细节测试</v>
      </c>
      <c r="I20" s="93"/>
      <c r="J20" s="130"/>
      <c r="K20" s="329" t="s">
        <v>289</v>
      </c>
      <c r="L20" s="352"/>
      <c r="M20" s="329">
        <v>1000</v>
      </c>
      <c r="N20" s="330"/>
      <c r="O20" s="330"/>
      <c r="P20" s="330"/>
      <c r="Q20" s="331"/>
      <c r="R20" s="35"/>
      <c r="S20" s="76"/>
      <c r="T20" s="77"/>
      <c r="U20" s="77"/>
      <c r="V20" s="77"/>
      <c r="W20" s="77"/>
      <c r="X20" s="77"/>
      <c r="Y20" s="77"/>
      <c r="Z20" s="77"/>
      <c r="AA20" s="77"/>
      <c r="AB20" s="78"/>
      <c r="AF20" s="153" t="s">
        <v>99</v>
      </c>
      <c r="AG20" s="27" t="b">
        <f>IF(ISERROR(OR(AG12&lt;100%,AG14&lt;100%)),"",OR(AG12&lt;100%,AG14&lt;100%))</f>
        <v>1</v>
      </c>
    </row>
    <row r="21" spans="2:33" ht="30" customHeight="1">
      <c r="B21" s="196"/>
      <c r="C21" s="197"/>
      <c r="D21" s="197"/>
      <c r="E21" s="197"/>
      <c r="F21" s="199"/>
      <c r="G21" s="136"/>
      <c r="H21" s="137" t="str">
        <f>Drop!A133</f>
        <v>审计数据分析</v>
      </c>
      <c r="I21" s="93"/>
      <c r="J21" s="130"/>
      <c r="K21" s="329" t="s">
        <v>287</v>
      </c>
      <c r="L21" s="352"/>
      <c r="M21" s="329"/>
      <c r="N21" s="330"/>
      <c r="O21" s="330"/>
      <c r="P21" s="330"/>
      <c r="Q21" s="331"/>
      <c r="R21" s="35"/>
      <c r="S21" s="35"/>
      <c r="T21" s="35"/>
      <c r="U21" s="35"/>
      <c r="V21" s="35"/>
      <c r="W21" s="35"/>
      <c r="X21" s="35"/>
      <c r="Y21" s="35"/>
      <c r="Z21" s="35"/>
      <c r="AA21" s="35"/>
      <c r="AB21" s="35"/>
      <c r="AF21" s="176" t="s">
        <v>205</v>
      </c>
      <c r="AG21" s="177" t="b">
        <f>OR(O12=Drop!A125,O12=Drop!A126,Y10=Drop!A62)</f>
        <v>1</v>
      </c>
    </row>
    <row r="22" spans="2:33" s="141" customFormat="1" ht="23.25" customHeight="1">
      <c r="B22" s="158" t="str">
        <f>Drop!A113</f>
        <v>重大金额或关键项目进行单独测试:</v>
      </c>
      <c r="C22" s="159"/>
      <c r="D22" s="159"/>
      <c r="E22" s="159"/>
      <c r="F22" s="157"/>
      <c r="G22" s="136"/>
      <c r="H22" s="137" t="str">
        <f>Drop!A134</f>
        <v>预期总体错报金额</v>
      </c>
      <c r="I22" s="93"/>
      <c r="J22" s="93"/>
      <c r="K22" s="93"/>
      <c r="L22" s="93"/>
      <c r="M22" s="353">
        <v>0.1</v>
      </c>
      <c r="N22" s="354"/>
      <c r="O22" s="355">
        <f>IF(ISBLANK(M22),"",$L$5*M22)</f>
        <v>0</v>
      </c>
      <c r="P22" s="356"/>
      <c r="Q22" s="357"/>
      <c r="R22" s="136"/>
      <c r="S22" s="136"/>
      <c r="T22" s="136"/>
      <c r="U22" s="136"/>
      <c r="V22" s="136"/>
      <c r="W22" s="136"/>
      <c r="X22" s="136"/>
      <c r="Y22" s="136"/>
      <c r="Z22" s="136"/>
      <c r="AA22" s="136"/>
      <c r="AB22" s="136"/>
      <c r="AF22" s="153"/>
      <c r="AG22" s="27"/>
    </row>
    <row r="23" spans="2:33">
      <c r="B23" s="166"/>
      <c r="C23" s="168"/>
      <c r="D23" s="195" t="str">
        <f>Drop!A114</f>
        <v>项目总数</v>
      </c>
      <c r="E23" s="192" t="str">
        <f>Drop!A115</f>
        <v>合计金额</v>
      </c>
      <c r="F23" s="73"/>
      <c r="G23" s="35"/>
      <c r="H23" s="363" t="str" cm="1">
        <f t="array" ref="H23">_xlfn.IFS(ISBLANK(M22),"",ISERROR(O22),Drop!A219,M22&lt;Drop!F62,Drop!A79,M22&gt;=Drop!H62,Drop!A81,M22&gt;Drop!G62,Drop!A80,TRUE,"")</f>
        <v/>
      </c>
      <c r="I23" s="364"/>
      <c r="J23" s="364"/>
      <c r="K23" s="364"/>
      <c r="L23" s="364"/>
      <c r="M23" s="364"/>
      <c r="N23" s="364"/>
      <c r="O23" s="364"/>
      <c r="P23" s="364"/>
      <c r="Q23" s="365"/>
      <c r="R23" s="35"/>
      <c r="S23" s="35"/>
      <c r="T23" s="35"/>
      <c r="U23" s="35"/>
      <c r="V23" s="35"/>
      <c r="W23" s="35"/>
      <c r="X23" s="35"/>
      <c r="Y23" s="35"/>
      <c r="Z23" s="35"/>
      <c r="AA23" s="35"/>
      <c r="AB23" s="161" t="str">
        <f>Drop!A243</f>
        <v>图例</v>
      </c>
      <c r="AF23" s="175" t="s">
        <v>85</v>
      </c>
      <c r="AG23" s="175">
        <f>IF(OR(ISBLANK(O12),ISBLANK(Y10)),"",IF(AG21,1,1.5))</f>
        <v>1</v>
      </c>
    </row>
    <row r="24" spans="2:33" ht="24.95" customHeight="1">
      <c r="B24" s="166"/>
      <c r="C24" s="215" t="str">
        <f>Drop!A116</f>
        <v>定性</v>
      </c>
      <c r="D24" s="194">
        <v>3</v>
      </c>
      <c r="E24" s="218">
        <v>1000</v>
      </c>
      <c r="F24" s="73"/>
      <c r="G24" s="91"/>
      <c r="H24" s="174" t="str">
        <f>IF(E19=Drop!A13,Drop!A137,"")</f>
        <v/>
      </c>
      <c r="I24" s="193"/>
      <c r="J24" s="193"/>
      <c r="K24" s="193"/>
      <c r="L24" s="167"/>
      <c r="M24" s="167"/>
      <c r="N24" s="167"/>
      <c r="O24" s="355" t="str">
        <f>IF(AND(E19=Drop!A13,ISBLANK(M22)=FALSE),O22*E20/E18,"")</f>
        <v/>
      </c>
      <c r="P24" s="356"/>
      <c r="Q24" s="357"/>
      <c r="R24" s="35"/>
      <c r="S24" s="35"/>
      <c r="T24" s="35"/>
      <c r="U24" s="35"/>
      <c r="V24" s="35"/>
      <c r="W24" s="35"/>
      <c r="X24" s="35"/>
      <c r="Y24" s="35"/>
      <c r="Z24" s="35"/>
      <c r="AA24" s="148" t="str">
        <f>Drop!A234</f>
        <v>系统生成或计算值</v>
      </c>
      <c r="AB24" s="150"/>
      <c r="AF24" s="27" t="s">
        <v>12</v>
      </c>
      <c r="AG24" s="140" t="e">
        <f>IF(ISBLANK(E19),Drop!A219,IF(E19=Drop!A13,IF(AG17&gt;0,ROUNDUP(PoissonSample(AG16,((O22*(E20/E18))/AG18),((L5*(E20/E18))/AG18))*AG23,0),0),IF(E19=Drop!A14,IF(AG17&gt;0,ROUNDUP(PoissonSample(AG16,((O22)/AG18),((L5)/AG18))*AG23,0),0))))</f>
        <v>#N/A</v>
      </c>
    </row>
    <row r="25" spans="2:33" ht="24.95" customHeight="1">
      <c r="B25" s="166"/>
      <c r="C25" s="215" t="str">
        <f>Drop!A117</f>
        <v>定量</v>
      </c>
      <c r="D25" s="194">
        <v>5</v>
      </c>
      <c r="E25" s="218">
        <v>2000</v>
      </c>
      <c r="F25" s="73"/>
      <c r="G25" s="35"/>
      <c r="H25" s="92" t="str">
        <f>Drop!A135</f>
        <v>设计置信水平</v>
      </c>
      <c r="I25" s="121"/>
      <c r="J25" s="93"/>
      <c r="K25" s="93"/>
      <c r="L25" s="366" t="str">
        <f>IF(ISERROR(IF(AG17&lt;=0,Drop!A69,AG17)),Drop!A219,IF(AG17&lt;=0,Drop!A69,AG17))</f>
        <v>核实所有输入</v>
      </c>
      <c r="M25" s="366"/>
      <c r="N25" s="366"/>
      <c r="O25" s="366"/>
      <c r="P25" s="366"/>
      <c r="Q25" s="367"/>
      <c r="R25" s="35"/>
      <c r="S25" s="35"/>
      <c r="T25" s="35"/>
      <c r="U25" s="35"/>
      <c r="V25" s="35"/>
      <c r="W25" s="35"/>
      <c r="X25" s="35"/>
      <c r="Y25" s="35"/>
      <c r="Z25" s="35"/>
      <c r="AA25" s="148" t="str">
        <f>Drop!A235</f>
        <v>要求用户选择如何确定样本</v>
      </c>
      <c r="AB25" s="147"/>
      <c r="AF25" s="27" t="s">
        <v>106</v>
      </c>
      <c r="AG25" s="143" t="e" cm="1">
        <f t="array" ref="AG25">_xlfn.IFS(L26=Drop!A85,Drop!A227,L26=Drop!A84,ROUND(AG18/5,0),TRUE,ROUND(AG18/L26,0))</f>
        <v>#VALUE!</v>
      </c>
    </row>
    <row r="26" spans="2:33" ht="24.95" customHeight="1">
      <c r="B26" s="166"/>
      <c r="C26" s="168"/>
      <c r="D26" s="214" t="str">
        <f>Drop!A118</f>
        <v>抽样总体</v>
      </c>
      <c r="E26" s="219">
        <f>AG18</f>
        <v>-3000</v>
      </c>
      <c r="F26" s="169"/>
      <c r="G26" s="35"/>
      <c r="H26" s="92" t="str">
        <f>Drop!A136</f>
        <v>样本量</v>
      </c>
      <c r="I26" s="121"/>
      <c r="J26" s="93"/>
      <c r="K26" s="93"/>
      <c r="L26" s="368" t="str" cm="1">
        <f t="array" ref="L26">_xlfn.IFS(AG18&lt;=L5,Drop!A89,AG26=TRUE,Drop!A219,O22="",Drop!A219,ISERROR(AG24&gt;=5),Drop!A219,AG24&gt;=5,AG24,AG17&lt;=0,Drop!A85,TRUE,Drop!A84)</f>
        <v xml:space="preserve">警告 - 样本量小于或等于实际执行的重要性。			</v>
      </c>
      <c r="M26" s="368"/>
      <c r="N26" s="368"/>
      <c r="O26" s="368"/>
      <c r="P26" s="368"/>
      <c r="Q26" s="369"/>
      <c r="R26" s="35"/>
      <c r="S26" s="35"/>
      <c r="T26" s="35"/>
      <c r="U26" s="35"/>
      <c r="V26" s="35"/>
      <c r="W26" s="35"/>
      <c r="X26" s="35"/>
      <c r="Y26" s="35"/>
      <c r="Z26" s="35"/>
      <c r="AA26" s="148" t="str">
        <f>Drop!A236</f>
        <v>其他用户输入栏</v>
      </c>
      <c r="AB26" s="151"/>
      <c r="AF26" s="153" t="s">
        <v>244</v>
      </c>
      <c r="AG26" s="143" t="b">
        <f>M22&gt;=Drop!H62</f>
        <v>0</v>
      </c>
    </row>
    <row r="27" spans="2:33" ht="24.95" customHeight="1">
      <c r="B27" s="166"/>
      <c r="C27" s="168"/>
      <c r="D27" s="168"/>
      <c r="E27" s="168"/>
      <c r="F27" s="169"/>
      <c r="G27" s="35"/>
      <c r="H27" s="370" t="str">
        <f>IF(AG19=TRUE,Drop!A70,"")</f>
        <v>外加识别出的重大金额和关键项目</v>
      </c>
      <c r="I27" s="371"/>
      <c r="J27" s="371"/>
      <c r="K27" s="371"/>
      <c r="L27" s="372">
        <f>IF(AG19=TRUE,D24+D25,"")</f>
        <v>8</v>
      </c>
      <c r="M27" s="373"/>
      <c r="N27" s="373">
        <f>IF(AG19=TRUE,D24+D25,"")</f>
        <v>8</v>
      </c>
      <c r="O27" s="373"/>
      <c r="P27" s="373"/>
      <c r="Q27" s="374"/>
      <c r="R27" s="35"/>
      <c r="S27" s="35"/>
      <c r="T27" s="35"/>
      <c r="U27" s="35"/>
      <c r="V27" s="35"/>
      <c r="W27" s="35"/>
      <c r="X27" s="35"/>
      <c r="Y27" s="35"/>
      <c r="Z27" s="35"/>
      <c r="AA27" s="148"/>
      <c r="AB27" s="35"/>
    </row>
    <row r="28" spans="2:33" ht="34.15" customHeight="1" thickBot="1">
      <c r="B28" s="375" t="str" cm="1">
        <f t="array" ref="B28">_xlfn.IFS(AG28=TRUE,Drop!A220,AG29=TRUE,Drop!A223,AG30=TRUE,Drop!A221,TRUE,"")</f>
        <v/>
      </c>
      <c r="C28" s="376"/>
      <c r="D28" s="376"/>
      <c r="E28" s="376"/>
      <c r="F28" s="377"/>
      <c r="G28" s="35"/>
      <c r="H28" s="76"/>
      <c r="I28" s="77"/>
      <c r="J28" s="77"/>
      <c r="K28" s="77"/>
      <c r="L28" s="77"/>
      <c r="M28" s="77"/>
      <c r="N28" s="77"/>
      <c r="O28" s="94"/>
      <c r="P28" s="77"/>
      <c r="Q28" s="95"/>
      <c r="R28" s="35"/>
      <c r="S28" s="35"/>
      <c r="T28" s="35"/>
      <c r="U28" s="35"/>
      <c r="V28" s="35"/>
      <c r="W28" s="35"/>
      <c r="X28" s="35"/>
      <c r="Y28" s="35"/>
      <c r="Z28" s="35"/>
      <c r="AA28" s="35"/>
      <c r="AB28" s="35"/>
      <c r="AF28" s="154" t="s">
        <v>206</v>
      </c>
      <c r="AG28" s="207" t="str">
        <f>IF(ISBLANK(E18),"",IF(E19=Drop!A13,SUM(E24:E25)&gt;E20,SUM(E24:E25)&gt;E18))</f>
        <v/>
      </c>
    </row>
    <row r="29" spans="2:33" ht="24.95" customHeight="1" thickBot="1">
      <c r="B29" s="96"/>
      <c r="C29" s="35"/>
      <c r="D29" s="35"/>
      <c r="E29" s="35"/>
      <c r="F29" s="35"/>
      <c r="G29" s="35"/>
      <c r="H29" s="35"/>
      <c r="I29" s="35"/>
      <c r="J29" s="35"/>
      <c r="K29" s="35"/>
      <c r="L29" s="35"/>
      <c r="M29" s="35"/>
      <c r="N29" s="35"/>
      <c r="O29" s="35"/>
      <c r="P29" s="35"/>
      <c r="Q29" s="35"/>
      <c r="R29" s="35"/>
      <c r="S29" s="35"/>
      <c r="T29" s="35"/>
      <c r="U29" s="35"/>
      <c r="V29" s="35"/>
      <c r="W29" s="35"/>
      <c r="X29" s="35"/>
      <c r="Y29" s="35"/>
      <c r="Z29" s="35"/>
      <c r="AA29" s="35"/>
      <c r="AB29" s="35"/>
      <c r="AF29" s="154" t="s">
        <v>207</v>
      </c>
      <c r="AG29" s="207" t="str">
        <f>IF(ISBLANK(E18),"",IF(E19=Drop!A13,(SUM(E24:E25)/E20)&gt;Drop!E223,(SUM(E24:E25)/E18)&gt;Drop!E223))</f>
        <v/>
      </c>
    </row>
    <row r="30" spans="2:33" ht="13.5" thickBot="1">
      <c r="B30" s="65" t="str">
        <f>Drop!A99</f>
        <v>步骤 7 - 评价样本结果</v>
      </c>
      <c r="C30" s="66"/>
      <c r="D30" s="66"/>
      <c r="E30" s="66"/>
      <c r="F30" s="66"/>
      <c r="G30" s="66"/>
      <c r="H30" s="66"/>
      <c r="I30" s="66"/>
      <c r="J30" s="66"/>
      <c r="K30" s="66"/>
      <c r="L30" s="66"/>
      <c r="M30" s="66"/>
      <c r="N30" s="66"/>
      <c r="O30" s="66"/>
      <c r="P30" s="66"/>
      <c r="Q30" s="66"/>
      <c r="R30" s="66"/>
      <c r="S30" s="66"/>
      <c r="T30" s="66"/>
      <c r="U30" s="66"/>
      <c r="V30" s="66"/>
      <c r="W30" s="66"/>
      <c r="X30" s="66"/>
      <c r="Y30" s="66"/>
      <c r="Z30" s="66"/>
      <c r="AA30" s="66"/>
      <c r="AB30" s="67"/>
      <c r="AF30" s="27" t="s">
        <v>237</v>
      </c>
      <c r="AG30" s="27" t="b">
        <f>OR(E24&lt;0,E25&lt;0)</f>
        <v>0</v>
      </c>
    </row>
    <row r="31" spans="2:33" ht="15" customHeight="1">
      <c r="B31" s="378" t="str" cm="1">
        <f t="array" ref="B31">_xlfn.IFS(L26=Drop!A85,Drop!A86,L26=Drop!A84,Drop!A87,ISERROR(L26),Drop!A219,TRUE,"")</f>
        <v/>
      </c>
      <c r="C31" s="379"/>
      <c r="D31" s="379"/>
      <c r="E31" s="379"/>
      <c r="F31" s="379"/>
      <c r="G31" s="379"/>
      <c r="H31" s="379"/>
      <c r="I31" s="379"/>
      <c r="J31" s="379"/>
      <c r="K31" s="379"/>
      <c r="L31" s="379"/>
      <c r="M31" s="379"/>
      <c r="N31" s="379"/>
      <c r="O31" s="379"/>
      <c r="P31" s="379"/>
      <c r="Q31" s="379"/>
      <c r="R31" s="379"/>
      <c r="S31" s="379"/>
      <c r="T31" s="379"/>
      <c r="U31" s="379"/>
      <c r="V31" s="379"/>
      <c r="W31" s="379"/>
      <c r="X31" s="379"/>
      <c r="Y31" s="379"/>
      <c r="Z31" s="379"/>
      <c r="AA31" s="379"/>
      <c r="AB31" s="380"/>
    </row>
    <row r="32" spans="2:33" ht="15.75" customHeight="1" thickBot="1">
      <c r="B32" s="381"/>
      <c r="C32" s="382"/>
      <c r="D32" s="382"/>
      <c r="E32" s="382"/>
      <c r="F32" s="382"/>
      <c r="G32" s="382"/>
      <c r="H32" s="382"/>
      <c r="I32" s="382"/>
      <c r="J32" s="382"/>
      <c r="K32" s="382"/>
      <c r="L32" s="382"/>
      <c r="M32" s="382"/>
      <c r="N32" s="382"/>
      <c r="O32" s="382"/>
      <c r="P32" s="382"/>
      <c r="Q32" s="382"/>
      <c r="R32" s="382"/>
      <c r="S32" s="382"/>
      <c r="T32" s="382"/>
      <c r="U32" s="382"/>
      <c r="V32" s="382"/>
      <c r="W32" s="382"/>
      <c r="X32" s="382"/>
      <c r="Y32" s="382"/>
      <c r="Z32" s="382"/>
      <c r="AA32" s="382"/>
      <c r="AB32" s="383"/>
    </row>
    <row r="33" spans="2:35" ht="15.75" customHeight="1" thickBot="1">
      <c r="B33" s="384" t="str">
        <f>Drop!A164</f>
        <v>存在错报</v>
      </c>
      <c r="C33" s="385"/>
      <c r="D33" s="385"/>
      <c r="E33" s="385"/>
      <c r="F33" s="385"/>
      <c r="G33" s="385"/>
      <c r="H33" s="385"/>
      <c r="I33" s="385"/>
      <c r="J33" s="385"/>
      <c r="K33" s="385"/>
      <c r="L33" s="385"/>
      <c r="M33" s="385"/>
      <c r="N33" s="385"/>
      <c r="O33" s="385"/>
      <c r="P33" s="385"/>
      <c r="Q33" s="386"/>
      <c r="R33" s="35"/>
      <c r="S33" s="384" t="s">
        <v>68</v>
      </c>
      <c r="T33" s="385"/>
      <c r="U33" s="385"/>
      <c r="V33" s="385"/>
      <c r="W33" s="385"/>
      <c r="X33" s="385"/>
      <c r="Y33" s="385"/>
      <c r="Z33" s="385"/>
      <c r="AA33" s="385"/>
      <c r="AB33" s="386"/>
    </row>
    <row r="34" spans="2:35">
      <c r="B34" s="202"/>
      <c r="C34" s="97"/>
      <c r="D34" s="97"/>
      <c r="E34" s="97"/>
      <c r="F34" s="97"/>
      <c r="G34" s="97"/>
      <c r="H34" s="97"/>
      <c r="I34" s="97"/>
      <c r="J34" s="97"/>
      <c r="K34" s="97"/>
      <c r="L34" s="97"/>
      <c r="M34" s="97"/>
      <c r="N34" s="97"/>
      <c r="O34" s="97"/>
      <c r="P34" s="97"/>
      <c r="Q34" s="98"/>
      <c r="R34" s="35"/>
      <c r="S34" s="74"/>
      <c r="T34" s="32"/>
      <c r="U34" s="32"/>
      <c r="V34" s="32"/>
      <c r="W34" s="32"/>
      <c r="X34" s="32"/>
      <c r="Y34" s="32"/>
      <c r="Z34" s="32"/>
      <c r="AA34" s="32"/>
      <c r="AB34" s="73"/>
      <c r="AF34" s="27" t="s">
        <v>105</v>
      </c>
      <c r="AG34" s="27">
        <f>COUNT(D37)</f>
        <v>0</v>
      </c>
      <c r="AH34" s="14"/>
    </row>
    <row r="35" spans="2:35">
      <c r="B35" s="72"/>
      <c r="C35" s="32"/>
      <c r="D35" s="388" t="str">
        <f>Drop!A165</f>
        <v>分层 1</v>
      </c>
      <c r="E35" s="388" t="str">
        <f>Drop!A166</f>
        <v>分层 2</v>
      </c>
      <c r="F35" s="32"/>
      <c r="G35" s="32"/>
      <c r="H35" s="390" t="str">
        <f>Drop!A167</f>
        <v>重大金额或关键项目</v>
      </c>
      <c r="I35" s="391"/>
      <c r="J35" s="32"/>
      <c r="K35" s="394" t="str">
        <f>Drop!A168</f>
        <v>合计</v>
      </c>
      <c r="L35" s="395"/>
      <c r="M35" s="32"/>
      <c r="N35" s="32"/>
      <c r="O35" s="32"/>
      <c r="P35" s="32"/>
      <c r="Q35" s="73"/>
      <c r="R35" s="35"/>
      <c r="S35" s="398" t="str">
        <f>Drop!A175</f>
        <v>样本的实际错报金额:</v>
      </c>
      <c r="T35" s="399"/>
      <c r="U35" s="399"/>
      <c r="V35" s="399"/>
      <c r="W35" s="399"/>
      <c r="X35" s="399"/>
      <c r="Y35" s="399"/>
      <c r="Z35" s="400"/>
      <c r="AA35" s="401">
        <f>K37</f>
        <v>0</v>
      </c>
      <c r="AB35" s="402"/>
      <c r="AF35" s="27" t="s">
        <v>183</v>
      </c>
      <c r="AG35" s="27">
        <f>COUNT(E37)</f>
        <v>0</v>
      </c>
    </row>
    <row r="36" spans="2:35">
      <c r="B36" s="74"/>
      <c r="C36" s="32"/>
      <c r="D36" s="389"/>
      <c r="E36" s="389"/>
      <c r="F36" s="32"/>
      <c r="G36" s="32"/>
      <c r="H36" s="392"/>
      <c r="I36" s="393"/>
      <c r="J36" s="32"/>
      <c r="K36" s="396"/>
      <c r="L36" s="397"/>
      <c r="M36" s="100"/>
      <c r="N36" s="100"/>
      <c r="O36" s="100"/>
      <c r="P36" s="100"/>
      <c r="Q36" s="122"/>
      <c r="R36" s="35"/>
      <c r="S36" s="398" t="str">
        <f>Drop!A176</f>
        <v>推断总体错报金额</v>
      </c>
      <c r="T36" s="399"/>
      <c r="U36" s="399"/>
      <c r="V36" s="399"/>
      <c r="W36" s="399"/>
      <c r="X36" s="399"/>
      <c r="Y36" s="399"/>
      <c r="Z36" s="400"/>
      <c r="AA36" s="401" t="str">
        <f>IFERROR(K45,"")</f>
        <v/>
      </c>
      <c r="AB36" s="402"/>
      <c r="AF36" s="27" t="s">
        <v>184</v>
      </c>
      <c r="AG36" s="27">
        <f>COUNT(H37)</f>
        <v>0</v>
      </c>
      <c r="AH36" s="4"/>
    </row>
    <row r="37" spans="2:35" ht="13.5" thickBot="1">
      <c r="B37" s="419" t="str">
        <f>Drop!A169</f>
        <v>合计错报金额</v>
      </c>
      <c r="C37" s="420"/>
      <c r="D37" s="220"/>
      <c r="E37" s="220"/>
      <c r="F37" s="32"/>
      <c r="G37" s="32"/>
      <c r="H37" s="403"/>
      <c r="I37" s="404"/>
      <c r="J37" s="124"/>
      <c r="K37" s="405">
        <f>D37+E37+H37</f>
        <v>0</v>
      </c>
      <c r="L37" s="406"/>
      <c r="M37" s="125"/>
      <c r="N37" s="125"/>
      <c r="O37" s="125"/>
      <c r="P37" s="125"/>
      <c r="Q37" s="120"/>
      <c r="R37" s="35"/>
      <c r="S37" s="74" t="str">
        <f>Drop!A177</f>
        <v>结果:</v>
      </c>
      <c r="T37" s="106"/>
      <c r="U37" s="106"/>
      <c r="V37" s="106"/>
      <c r="W37" s="106"/>
      <c r="X37" s="106"/>
      <c r="Y37" s="106"/>
      <c r="Z37" s="106"/>
      <c r="AA37" s="106"/>
      <c r="AB37" s="107"/>
      <c r="AF37" s="27" t="s">
        <v>86</v>
      </c>
      <c r="AG37" s="26"/>
      <c r="AH37" s="4"/>
      <c r="AI37" s="14"/>
    </row>
    <row r="38" spans="2:35" ht="12.75" customHeight="1">
      <c r="B38" s="74"/>
      <c r="C38" s="32"/>
      <c r="D38" s="125"/>
      <c r="E38" s="126"/>
      <c r="F38" s="32"/>
      <c r="G38" s="32"/>
      <c r="H38" s="126"/>
      <c r="I38" s="126"/>
      <c r="J38" s="124"/>
      <c r="K38" s="124"/>
      <c r="L38" s="125"/>
      <c r="M38" s="125"/>
      <c r="N38" s="125"/>
      <c r="O38" s="125"/>
      <c r="P38" s="125"/>
      <c r="Q38" s="120"/>
      <c r="R38" s="35"/>
      <c r="S38" s="433" t="str">
        <f>IF(O12=Drop!A125,IF(COUNTA(D43:E43)&lt;2,Drop!A219,IF(ISERROR(IF(AG38=FALSE,Drop!A77,Drop!A78)),Drop!A219,IF(AG38=FALSE,Drop!A77,Drop!A78))),IF(ISBLANK(O12),Drop!A219,IF(COUNTA(D43:D43)&lt;1,Drop!A219,IF(ISERROR(IF(AG38=FALSE,Drop!A77,Drop!A78)),Drop!A219,IF(AG38=FALSE,Drop!A77,Drop!A78)))))</f>
        <v>核实所有输入</v>
      </c>
      <c r="T38" s="434"/>
      <c r="U38" s="434"/>
      <c r="V38" s="434"/>
      <c r="W38" s="434"/>
      <c r="X38" s="434"/>
      <c r="Y38" s="434"/>
      <c r="Z38" s="434"/>
      <c r="AA38" s="434"/>
      <c r="AB38" s="435"/>
      <c r="AF38" s="27" t="s">
        <v>88</v>
      </c>
      <c r="AG38" s="26" t="e">
        <f>IF(ABS(U43)&gt;O22,TRUE,FALSE)</f>
        <v>#VALUE!</v>
      </c>
      <c r="AH38" s="4"/>
      <c r="AI38" s="14"/>
    </row>
    <row r="39" spans="2:35">
      <c r="B39" s="419" t="str">
        <f>Drop!A170</f>
        <v>样本项目账面价值</v>
      </c>
      <c r="C39" s="420"/>
      <c r="D39" s="220"/>
      <c r="E39" s="190"/>
      <c r="F39" s="32"/>
      <c r="G39" s="32"/>
      <c r="H39" s="125"/>
      <c r="I39" s="125"/>
      <c r="J39" s="124"/>
      <c r="K39" s="125"/>
      <c r="L39" s="125"/>
      <c r="M39" s="125"/>
      <c r="N39" s="125"/>
      <c r="O39" s="125"/>
      <c r="P39" s="125"/>
      <c r="Q39" s="120"/>
      <c r="R39" s="35"/>
      <c r="S39" s="436"/>
      <c r="T39" s="437"/>
      <c r="U39" s="437"/>
      <c r="V39" s="437"/>
      <c r="W39" s="437"/>
      <c r="X39" s="437"/>
      <c r="Y39" s="437"/>
      <c r="Z39" s="437"/>
      <c r="AA39" s="437"/>
      <c r="AB39" s="438"/>
      <c r="AF39" s="4"/>
      <c r="AG39" s="4"/>
      <c r="AH39" s="4"/>
      <c r="AI39" s="14"/>
    </row>
    <row r="40" spans="2:35">
      <c r="B40" s="74"/>
      <c r="C40" s="32"/>
      <c r="D40" s="125"/>
      <c r="E40" s="126"/>
      <c r="F40" s="32"/>
      <c r="G40" s="32"/>
      <c r="H40" s="126"/>
      <c r="I40" s="126"/>
      <c r="J40" s="124"/>
      <c r="K40" s="124"/>
      <c r="L40" s="125"/>
      <c r="M40" s="125"/>
      <c r="N40" s="125"/>
      <c r="O40" s="125"/>
      <c r="P40" s="125"/>
      <c r="Q40" s="120"/>
      <c r="R40" s="35"/>
      <c r="S40" s="436"/>
      <c r="T40" s="437"/>
      <c r="U40" s="437"/>
      <c r="V40" s="437"/>
      <c r="W40" s="437"/>
      <c r="X40" s="437"/>
      <c r="Y40" s="437"/>
      <c r="Z40" s="437"/>
      <c r="AA40" s="437"/>
      <c r="AB40" s="438"/>
      <c r="AF40" s="4"/>
      <c r="AG40" s="4"/>
      <c r="AH40" s="4"/>
      <c r="AI40" s="14"/>
    </row>
    <row r="41" spans="2:35" ht="32.25" customHeight="1" thickBot="1">
      <c r="B41" s="419" t="str">
        <f>Drop!A171</f>
        <v>错报比率</v>
      </c>
      <c r="C41" s="432"/>
      <c r="D41" s="216" t="str">
        <f>IF(AG34=1,D37/D39,"")</f>
        <v/>
      </c>
      <c r="E41" s="217" t="str">
        <f>IFERROR( IF(AG35=1,E37/E39,""),"")</f>
        <v/>
      </c>
      <c r="F41" s="32"/>
      <c r="G41" s="32"/>
      <c r="H41" s="125"/>
      <c r="I41" s="125"/>
      <c r="J41" s="124"/>
      <c r="K41" s="125"/>
      <c r="L41" s="125"/>
      <c r="M41" s="125"/>
      <c r="N41" s="125"/>
      <c r="O41" s="125"/>
      <c r="P41" s="125"/>
      <c r="Q41" s="120"/>
      <c r="R41" s="35"/>
      <c r="S41" s="439"/>
      <c r="T41" s="440"/>
      <c r="U41" s="440"/>
      <c r="V41" s="440"/>
      <c r="W41" s="440"/>
      <c r="X41" s="440"/>
      <c r="Y41" s="440"/>
      <c r="Z41" s="440"/>
      <c r="AA41" s="440"/>
      <c r="AB41" s="441"/>
      <c r="AF41" s="4"/>
      <c r="AG41" s="4"/>
      <c r="AH41" s="4"/>
      <c r="AI41" s="14"/>
    </row>
    <row r="42" spans="2:35">
      <c r="B42" s="123"/>
      <c r="C42" s="32"/>
      <c r="D42" s="125"/>
      <c r="E42" s="126"/>
      <c r="F42" s="32"/>
      <c r="G42" s="32"/>
      <c r="H42" s="126"/>
      <c r="I42" s="126"/>
      <c r="J42" s="124"/>
      <c r="K42" s="124"/>
      <c r="L42" s="125"/>
      <c r="M42" s="125"/>
      <c r="N42" s="125"/>
      <c r="O42" s="125"/>
      <c r="P42" s="125"/>
      <c r="Q42" s="120"/>
      <c r="R42" s="35"/>
      <c r="S42" s="74"/>
      <c r="T42" s="32"/>
      <c r="U42" s="32"/>
      <c r="V42" s="32"/>
      <c r="W42" s="32"/>
      <c r="X42" s="32"/>
      <c r="Y42" s="32"/>
      <c r="Z42" s="32"/>
      <c r="AA42" s="32"/>
      <c r="AB42" s="73"/>
      <c r="AF42" s="4"/>
      <c r="AG42" s="4"/>
      <c r="AH42" s="4"/>
      <c r="AI42" s="14"/>
    </row>
    <row r="43" spans="2:35" ht="12.75" customHeight="1">
      <c r="B43" s="419" t="str">
        <f>Drop!A172</f>
        <v>合计总体账面价值</v>
      </c>
      <c r="C43" s="420"/>
      <c r="D43" s="190"/>
      <c r="E43" s="190"/>
      <c r="F43" s="32"/>
      <c r="G43" s="32"/>
      <c r="H43" s="125"/>
      <c r="I43" s="125"/>
      <c r="J43" s="124"/>
      <c r="K43" s="125"/>
      <c r="L43" s="125"/>
      <c r="M43" s="125"/>
      <c r="N43" s="125"/>
      <c r="O43" s="125"/>
      <c r="P43" s="125"/>
      <c r="Q43" s="120"/>
      <c r="R43" s="35"/>
      <c r="S43" s="421" t="str">
        <f>Drop!A178</f>
        <v>金额</v>
      </c>
      <c r="T43" s="422"/>
      <c r="U43" s="423" t="e">
        <f>K45</f>
        <v>#VALUE!</v>
      </c>
      <c r="V43" s="424"/>
      <c r="W43" s="429" t="str">
        <f>Drop!A179</f>
        <v>应记录到审计调整分录或未更正错报汇总</v>
      </c>
      <c r="X43" s="430"/>
      <c r="Y43" s="430"/>
      <c r="Z43" s="430"/>
      <c r="AA43" s="430"/>
      <c r="AB43" s="431"/>
      <c r="AF43" s="4"/>
      <c r="AG43" s="4"/>
      <c r="AH43" s="4"/>
      <c r="AI43" s="14"/>
    </row>
    <row r="44" spans="2:35">
      <c r="B44" s="123"/>
      <c r="C44" s="32"/>
      <c r="D44" s="125"/>
      <c r="E44" s="126"/>
      <c r="F44" s="32"/>
      <c r="G44" s="32"/>
      <c r="H44" s="126"/>
      <c r="I44" s="126"/>
      <c r="J44" s="124"/>
      <c r="K44" s="124"/>
      <c r="L44" s="125"/>
      <c r="M44" s="125"/>
      <c r="N44" s="125"/>
      <c r="O44" s="125"/>
      <c r="P44" s="125"/>
      <c r="Q44" s="120"/>
      <c r="R44" s="35"/>
      <c r="S44" s="421"/>
      <c r="T44" s="422"/>
      <c r="U44" s="425"/>
      <c r="V44" s="426"/>
      <c r="W44" s="429"/>
      <c r="X44" s="430"/>
      <c r="Y44" s="430"/>
      <c r="Z44" s="430"/>
      <c r="AA44" s="430"/>
      <c r="AB44" s="431"/>
      <c r="AF44" s="4"/>
      <c r="AG44" s="4"/>
      <c r="AH44" s="4"/>
      <c r="AI44" s="14"/>
    </row>
    <row r="45" spans="2:35">
      <c r="B45" s="419" t="str">
        <f>Drop!A173</f>
        <v>推断总体错报</v>
      </c>
      <c r="C45" s="432"/>
      <c r="D45" s="191" t="str">
        <f>IF(AG34=1,D41*D43,"")</f>
        <v/>
      </c>
      <c r="E45" s="191" t="str">
        <f>IF(AG35=1,E41*E43,"")</f>
        <v/>
      </c>
      <c r="F45" s="127"/>
      <c r="G45" s="127"/>
      <c r="H45" s="405">
        <f>IF(AG36=1,H37,0)</f>
        <v>0</v>
      </c>
      <c r="I45" s="406"/>
      <c r="J45" s="124"/>
      <c r="K45" s="405" t="e">
        <f>IF(O12=Drop!A125,D45+E45+H45,D45+H45)</f>
        <v>#VALUE!</v>
      </c>
      <c r="L45" s="406"/>
      <c r="M45" s="125"/>
      <c r="N45" s="125"/>
      <c r="O45" s="125"/>
      <c r="P45" s="125"/>
      <c r="Q45" s="120"/>
      <c r="R45" s="35"/>
      <c r="S45" s="421"/>
      <c r="T45" s="422"/>
      <c r="U45" s="427"/>
      <c r="V45" s="428"/>
      <c r="W45" s="429"/>
      <c r="X45" s="430"/>
      <c r="Y45" s="430"/>
      <c r="Z45" s="430"/>
      <c r="AA45" s="430"/>
      <c r="AB45" s="431"/>
      <c r="AF45" s="4"/>
      <c r="AG45" s="4"/>
      <c r="AH45" s="4"/>
      <c r="AI45" s="14"/>
    </row>
    <row r="46" spans="2:35" ht="13.5" thickBot="1">
      <c r="B46" s="76"/>
      <c r="C46" s="77"/>
      <c r="D46" s="77"/>
      <c r="E46" s="77"/>
      <c r="F46" s="77"/>
      <c r="G46" s="77"/>
      <c r="H46" s="77"/>
      <c r="I46" s="77"/>
      <c r="J46" s="77"/>
      <c r="K46" s="77"/>
      <c r="L46" s="77"/>
      <c r="M46" s="77"/>
      <c r="N46" s="77"/>
      <c r="O46" s="77"/>
      <c r="P46" s="77"/>
      <c r="Q46" s="78"/>
      <c r="R46" s="110"/>
      <c r="S46" s="407"/>
      <c r="T46" s="408"/>
      <c r="U46" s="408"/>
      <c r="V46" s="408"/>
      <c r="W46" s="408"/>
      <c r="X46" s="408"/>
      <c r="Y46" s="408"/>
      <c r="Z46" s="408"/>
      <c r="AA46" s="408"/>
      <c r="AB46" s="409"/>
      <c r="AF46" s="4"/>
      <c r="AG46" s="4"/>
      <c r="AI46" s="14"/>
    </row>
    <row r="47" spans="2:35" ht="15" thickBot="1">
      <c r="B47" s="35"/>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F47"/>
      <c r="AI47" s="14"/>
    </row>
    <row r="48" spans="2:35" ht="15" thickBot="1">
      <c r="B48" s="65" t="str">
        <f>Drop!A100</f>
        <v>步骤 8 - 记录程序的结果</v>
      </c>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9"/>
      <c r="AF48" s="5"/>
      <c r="AI48" s="14"/>
    </row>
    <row r="49" spans="2:35" ht="15" customHeight="1">
      <c r="B49" s="410"/>
      <c r="C49" s="411"/>
      <c r="D49" s="411"/>
      <c r="E49" s="411"/>
      <c r="F49" s="411"/>
      <c r="G49" s="411"/>
      <c r="H49" s="411"/>
      <c r="I49" s="411"/>
      <c r="J49" s="411"/>
      <c r="K49" s="411"/>
      <c r="L49" s="411"/>
      <c r="M49" s="411"/>
      <c r="N49" s="411"/>
      <c r="O49" s="411"/>
      <c r="P49" s="411"/>
      <c r="Q49" s="411"/>
      <c r="R49" s="411"/>
      <c r="S49" s="411"/>
      <c r="T49" s="411"/>
      <c r="U49" s="411"/>
      <c r="V49" s="411"/>
      <c r="W49" s="411"/>
      <c r="X49" s="411"/>
      <c r="Y49" s="411"/>
      <c r="Z49" s="411"/>
      <c r="AA49" s="411"/>
      <c r="AB49" s="412"/>
    </row>
    <row r="50" spans="2:35" ht="14.25">
      <c r="B50" s="413"/>
      <c r="C50" s="414"/>
      <c r="D50" s="414"/>
      <c r="E50" s="414"/>
      <c r="F50" s="414"/>
      <c r="G50" s="414"/>
      <c r="H50" s="414"/>
      <c r="I50" s="414"/>
      <c r="J50" s="414"/>
      <c r="K50" s="414"/>
      <c r="L50" s="414"/>
      <c r="M50" s="414"/>
      <c r="N50" s="414"/>
      <c r="O50" s="414"/>
      <c r="P50" s="414"/>
      <c r="Q50" s="414"/>
      <c r="R50" s="414"/>
      <c r="S50" s="414"/>
      <c r="T50" s="414"/>
      <c r="U50" s="414"/>
      <c r="V50" s="414"/>
      <c r="W50" s="414"/>
      <c r="X50" s="414"/>
      <c r="Y50" s="414"/>
      <c r="Z50" s="414"/>
      <c r="AA50" s="414"/>
      <c r="AB50" s="415"/>
      <c r="AH50"/>
    </row>
    <row r="51" spans="2:35" ht="14.25">
      <c r="B51" s="413"/>
      <c r="C51" s="414"/>
      <c r="D51" s="414"/>
      <c r="E51" s="414"/>
      <c r="F51" s="414"/>
      <c r="G51" s="414"/>
      <c r="H51" s="414"/>
      <c r="I51" s="414"/>
      <c r="J51" s="414"/>
      <c r="K51" s="414"/>
      <c r="L51" s="414"/>
      <c r="M51" s="414"/>
      <c r="N51" s="414"/>
      <c r="O51" s="414"/>
      <c r="P51" s="414"/>
      <c r="Q51" s="414"/>
      <c r="R51" s="414"/>
      <c r="S51" s="414"/>
      <c r="T51" s="414"/>
      <c r="U51" s="414"/>
      <c r="V51" s="414"/>
      <c r="W51" s="414"/>
      <c r="X51" s="414"/>
      <c r="Y51" s="414"/>
      <c r="Z51" s="414"/>
      <c r="AA51" s="414"/>
      <c r="AB51" s="415"/>
      <c r="AF51" s="6"/>
      <c r="AG51"/>
      <c r="AH51"/>
      <c r="AI51" s="14"/>
    </row>
    <row r="52" spans="2:35" ht="14.25">
      <c r="B52" s="413"/>
      <c r="C52" s="414"/>
      <c r="D52" s="414"/>
      <c r="E52" s="414"/>
      <c r="F52" s="414"/>
      <c r="G52" s="414"/>
      <c r="H52" s="414"/>
      <c r="I52" s="414"/>
      <c r="J52" s="414"/>
      <c r="K52" s="414"/>
      <c r="L52" s="414"/>
      <c r="M52" s="414"/>
      <c r="N52" s="414"/>
      <c r="O52" s="414"/>
      <c r="P52" s="414"/>
      <c r="Q52" s="414"/>
      <c r="R52" s="414"/>
      <c r="S52" s="414"/>
      <c r="T52" s="414"/>
      <c r="U52" s="414"/>
      <c r="V52" s="414"/>
      <c r="W52" s="414"/>
      <c r="X52" s="414"/>
      <c r="Y52" s="414"/>
      <c r="Z52" s="414"/>
      <c r="AA52" s="414"/>
      <c r="AB52" s="415"/>
      <c r="AF52"/>
      <c r="AG52"/>
      <c r="AH52"/>
      <c r="AI52" s="14"/>
    </row>
    <row r="53" spans="2:35" ht="15" thickBot="1">
      <c r="B53" s="416"/>
      <c r="C53" s="417"/>
      <c r="D53" s="417"/>
      <c r="E53" s="417"/>
      <c r="F53" s="417"/>
      <c r="G53" s="417"/>
      <c r="H53" s="417"/>
      <c r="I53" s="417"/>
      <c r="J53" s="417"/>
      <c r="K53" s="417"/>
      <c r="L53" s="417"/>
      <c r="M53" s="417"/>
      <c r="N53" s="417"/>
      <c r="O53" s="417"/>
      <c r="P53" s="417"/>
      <c r="Q53" s="417"/>
      <c r="R53" s="417"/>
      <c r="S53" s="417"/>
      <c r="T53" s="417"/>
      <c r="U53" s="417"/>
      <c r="V53" s="417"/>
      <c r="W53" s="417"/>
      <c r="X53" s="417"/>
      <c r="Y53" s="417"/>
      <c r="Z53" s="417"/>
      <c r="AA53" s="417"/>
      <c r="AB53" s="418"/>
      <c r="AF53" s="5"/>
      <c r="AG53"/>
      <c r="AH53"/>
      <c r="AI53" s="14"/>
    </row>
    <row r="54" spans="2:35" ht="14.25">
      <c r="AF54" s="5"/>
      <c r="AG54"/>
      <c r="AI54" s="14"/>
    </row>
    <row r="60" spans="2:35">
      <c r="AF60" s="3"/>
    </row>
  </sheetData>
  <mergeCells count="61">
    <mergeCell ref="H37:I37"/>
    <mergeCell ref="K37:L37"/>
    <mergeCell ref="S46:AB46"/>
    <mergeCell ref="B49:AB53"/>
    <mergeCell ref="B43:C43"/>
    <mergeCell ref="S43:T45"/>
    <mergeCell ref="U43:V45"/>
    <mergeCell ref="W43:AB45"/>
    <mergeCell ref="B45:C45"/>
    <mergeCell ref="H45:I45"/>
    <mergeCell ref="K45:L45"/>
    <mergeCell ref="S38:AB41"/>
    <mergeCell ref="B39:C39"/>
    <mergeCell ref="B41:C41"/>
    <mergeCell ref="B37:C37"/>
    <mergeCell ref="B28:F28"/>
    <mergeCell ref="B31:AB32"/>
    <mergeCell ref="B33:Q33"/>
    <mergeCell ref="S33:AB33"/>
    <mergeCell ref="D35:D36"/>
    <mergeCell ref="E35:E36"/>
    <mergeCell ref="H35:I36"/>
    <mergeCell ref="K35:L36"/>
    <mergeCell ref="S35:Z35"/>
    <mergeCell ref="AA35:AB35"/>
    <mergeCell ref="S36:Z36"/>
    <mergeCell ref="AA36:AB36"/>
    <mergeCell ref="H23:Q23"/>
    <mergeCell ref="O24:Q24"/>
    <mergeCell ref="L25:Q25"/>
    <mergeCell ref="L26:Q26"/>
    <mergeCell ref="H27:K27"/>
    <mergeCell ref="L27:Q27"/>
    <mergeCell ref="M22:N22"/>
    <mergeCell ref="O22:Q22"/>
    <mergeCell ref="B13:D13"/>
    <mergeCell ref="B18:D18"/>
    <mergeCell ref="M18:Q18"/>
    <mergeCell ref="B20:D20"/>
    <mergeCell ref="K20:L20"/>
    <mergeCell ref="M20:Q20"/>
    <mergeCell ref="K21:L21"/>
    <mergeCell ref="M21:Q21"/>
    <mergeCell ref="S18:Y19"/>
    <mergeCell ref="Z18:AB19"/>
    <mergeCell ref="B19:D19"/>
    <mergeCell ref="K19:L19"/>
    <mergeCell ref="M19:Q19"/>
    <mergeCell ref="H9:Q10"/>
    <mergeCell ref="B10:D10"/>
    <mergeCell ref="Y10:AB10"/>
    <mergeCell ref="B11:D11"/>
    <mergeCell ref="B12:D12"/>
    <mergeCell ref="O12:P12"/>
    <mergeCell ref="Y12:AB12"/>
    <mergeCell ref="B1:E1"/>
    <mergeCell ref="D3:E3"/>
    <mergeCell ref="D4:E4"/>
    <mergeCell ref="L4:O4"/>
    <mergeCell ref="D5:E5"/>
    <mergeCell ref="L5:O5"/>
  </mergeCells>
  <phoneticPr fontId="32" type="noConversion"/>
  <conditionalFormatting sqref="S38">
    <cfRule type="expression" dxfId="104" priority="32">
      <formula>$AG$38=FALSE</formula>
    </cfRule>
  </conditionalFormatting>
  <conditionalFormatting sqref="O12:P12">
    <cfRule type="expression" dxfId="103" priority="30">
      <formula>ISBLANK($O$12)</formula>
    </cfRule>
  </conditionalFormatting>
  <conditionalFormatting sqref="Y10:AB10">
    <cfRule type="expression" dxfId="102" priority="29">
      <formula>ISBLANK($Y$10)</formula>
    </cfRule>
  </conditionalFormatting>
  <conditionalFormatting sqref="E39">
    <cfRule type="expression" dxfId="101" priority="28">
      <formula>$AG$23=1.5</formula>
    </cfRule>
  </conditionalFormatting>
  <conditionalFormatting sqref="E43">
    <cfRule type="expression" dxfId="100" priority="27">
      <formula>$AG$23=1.5</formula>
    </cfRule>
  </conditionalFormatting>
  <conditionalFormatting sqref="K21:L21">
    <cfRule type="expression" dxfId="99" priority="24">
      <formula>ISBLANK($K$21)</formula>
    </cfRule>
  </conditionalFormatting>
  <conditionalFormatting sqref="M20:Q20">
    <cfRule type="expression" dxfId="98" priority="23">
      <formula>ISTEXT($M$20)</formula>
    </cfRule>
  </conditionalFormatting>
  <conditionalFormatting sqref="M21:Q21">
    <cfRule type="expression" dxfId="97" priority="20">
      <formula>ISTEXT($M$21)</formula>
    </cfRule>
  </conditionalFormatting>
  <conditionalFormatting sqref="K19:L19">
    <cfRule type="expression" dxfId="96" priority="17">
      <formula>ISBLANK($K$19)</formula>
    </cfRule>
  </conditionalFormatting>
  <conditionalFormatting sqref="K20:L20">
    <cfRule type="expression" dxfId="95" priority="16">
      <formula>ISBLANK($K$20)</formula>
    </cfRule>
  </conditionalFormatting>
  <conditionalFormatting sqref="M22:N22">
    <cfRule type="expression" dxfId="94" priority="15">
      <formula>ISBLANK($M$22)</formula>
    </cfRule>
  </conditionalFormatting>
  <conditionalFormatting sqref="L27:Q27">
    <cfRule type="expression" dxfId="93" priority="14">
      <formula>$L$27&lt;&gt;""</formula>
    </cfRule>
  </conditionalFormatting>
  <conditionalFormatting sqref="E37">
    <cfRule type="expression" dxfId="92" priority="34">
      <formula>ABS($E$37)&gt;0</formula>
    </cfRule>
  </conditionalFormatting>
  <conditionalFormatting sqref="E39">
    <cfRule type="expression" dxfId="91" priority="35">
      <formula>ABS($E$39)&gt;0</formula>
    </cfRule>
  </conditionalFormatting>
  <conditionalFormatting sqref="E43">
    <cfRule type="expression" dxfId="90" priority="36">
      <formula>ABS($E$43)&gt;0</formula>
    </cfRule>
  </conditionalFormatting>
  <conditionalFormatting sqref="D37">
    <cfRule type="expression" dxfId="89" priority="41">
      <formula>AND($AG$23&gt;=1,ISBLANK($D$37))</formula>
    </cfRule>
  </conditionalFormatting>
  <conditionalFormatting sqref="D39">
    <cfRule type="expression" dxfId="88" priority="42">
      <formula>AND($AG$23&gt;=1,OR(ISBLANK($D$39),$D$39=0))</formula>
    </cfRule>
  </conditionalFormatting>
  <conditionalFormatting sqref="D43">
    <cfRule type="expression" dxfId="87" priority="43">
      <formula>ABS($D$43)&gt;0</formula>
    </cfRule>
    <cfRule type="expression" dxfId="86" priority="44">
      <formula>AND($AG$23&gt;=1,OR(ISBLANK($D$43),$D$43=0))</formula>
    </cfRule>
  </conditionalFormatting>
  <conditionalFormatting sqref="E19">
    <cfRule type="expression" dxfId="85" priority="10">
      <formula>ISBLANK($E$19)</formula>
    </cfRule>
  </conditionalFormatting>
  <conditionalFormatting sqref="E10">
    <cfRule type="expression" dxfId="84" priority="9">
      <formula>ISBLANK($E$10)</formula>
    </cfRule>
  </conditionalFormatting>
  <conditionalFormatting sqref="E11">
    <cfRule type="expression" dxfId="83" priority="8">
      <formula>ISBLANK($E$11)</formula>
    </cfRule>
  </conditionalFormatting>
  <conditionalFormatting sqref="E12">
    <cfRule type="expression" dxfId="82" priority="7">
      <formula>ISBLANK($E$12)</formula>
    </cfRule>
  </conditionalFormatting>
  <conditionalFormatting sqref="E41">
    <cfRule type="expression" dxfId="81" priority="3">
      <formula>$AG$23=1.5</formula>
    </cfRule>
  </conditionalFormatting>
  <dataValidations count="11">
    <dataValidation operator="greaterThanOrEqual" allowBlank="1" errorTitle="test1" error="test2" sqref="E24" xr:uid="{80CFDEC1-4B58-4E72-ADE2-3CB0F7F43210}"/>
    <dataValidation type="decimal" allowBlank="1" errorTitle="test" error="test" sqref="M22:N22" xr:uid="{02B0AD5C-A276-4FD4-ACBA-40418132A45C}">
      <formula1>0</formula1>
      <formula2>1</formula2>
    </dataValidation>
    <dataValidation type="list" allowBlank="1" showInputMessage="1" showErrorMessage="1" sqref="K21:L21" xr:uid="{71FEE827-77A3-4ABD-ADD8-F6971F1DBF68}">
      <formula1>ADA</formula1>
    </dataValidation>
    <dataValidation type="decimal" allowBlank="1" showInputMessage="1" showErrorMessage="1" error="Absolute tested value cannot be less than zero or greater than value of population." sqref="F21" xr:uid="{1B1C4290-2FA8-4FCE-A62C-8F520693F724}">
      <formula1>0</formula1>
      <formula2>F19</formula2>
    </dataValidation>
    <dataValidation type="list" allowBlank="1" showErrorMessage="1" error="Choose a relevant or applicable assertion" prompt="Choose the applicable assertion" sqref="E10" xr:uid="{060B9809-9B8C-4309-A785-6D74E62F1A5B}">
      <formula1>Assertions</formula1>
    </dataValidation>
    <dataValidation type="list" allowBlank="1" showInputMessage="1" showErrorMessage="1" sqref="K19:K20" xr:uid="{332CECBD-2F9A-4082-9787-74146E91875A}">
      <formula1>OtherEvidence</formula1>
    </dataValidation>
    <dataValidation type="list" allowBlank="1" showInputMessage="1" showErrorMessage="1" sqref="E19" xr:uid="{1C11D15D-1CFB-412E-9959-B716F9A97254}">
      <formula1>YesNo</formula1>
    </dataValidation>
    <dataValidation type="list" allowBlank="1" showInputMessage="1" showErrorMessage="1" sqref="Y10" xr:uid="{DDEB7257-638A-4F6F-8D00-A3B81FD76EED}">
      <formula1>SelectionMethods</formula1>
    </dataValidation>
    <dataValidation type="list" allowBlank="1" showInputMessage="1" showErrorMessage="1" sqref="E11" xr:uid="{E739BA04-6228-4AB6-ADD0-F026DC03C12B}">
      <formula1>InherentRisk</formula1>
    </dataValidation>
    <dataValidation type="list" allowBlank="1" showInputMessage="1" showErrorMessage="1" sqref="O12:P12" xr:uid="{E4F93A61-C371-46EE-A922-F5013C3B8C62}">
      <formula1>NatureOfPop</formula1>
    </dataValidation>
    <dataValidation type="whole" allowBlank="1" showInputMessage="1" showErrorMessage="1" error="测试项目的绝对值不能小于零或大于总体值。" sqref="E20" xr:uid="{0DB440B0-6D7C-4F59-9BFD-1A37402AAE15}">
      <formula1>0</formula1>
      <formula2>E18</formula2>
    </dataValidation>
  </dataValidations>
  <pageMargins left="0.25" right="0.25" top="0.75" bottom="0.75" header="0.3" footer="0.3"/>
  <pageSetup scale="50" orientation="landscape" r:id="rId1"/>
  <headerFooter>
    <oddFooter>&amp;C&amp;P of &amp;N&amp;R&amp;A</oddFooter>
  </headerFooter>
  <customProperties>
    <customPr name="CodeName" r:id="rId2"/>
  </customProperties>
  <legacyDrawing r:id="rId3"/>
  <extLst>
    <ext xmlns:x14="http://schemas.microsoft.com/office/spreadsheetml/2009/9/main" uri="{78C0D931-6437-407d-A8EE-F0AAD7539E65}">
      <x14:conditionalFormattings>
        <x14:conditionalFormatting xmlns:xm="http://schemas.microsoft.com/office/excel/2006/main">
          <x14:cfRule type="expression" priority="2" id="{AD6D7850-429C-44B2-A888-E991E3C77CBD}">
            <xm:f>O12=Drop!A125</xm:f>
            <x14:dxf>
              <fill>
                <patternFill patternType="solid">
                  <bgColor rgb="FFCCCCFF"/>
                </patternFill>
              </fill>
              <border>
                <left style="thin">
                  <color auto="1"/>
                </left>
                <right style="thin">
                  <color auto="1"/>
                </right>
                <top style="thin">
                  <color auto="1"/>
                </top>
                <bottom style="thin">
                  <color auto="1"/>
                </bottom>
                <vertical/>
                <horizontal/>
              </border>
            </x14:dxf>
          </x14:cfRule>
          <xm:sqref>E41</xm:sqref>
        </x14:conditionalFormatting>
        <x14:conditionalFormatting xmlns:xm="http://schemas.microsoft.com/office/excel/2006/main">
          <x14:cfRule type="expression" priority="25" id="{16E16C85-F168-4826-8978-AAF4D00E8B24}">
            <xm:f>$O$12&lt;&gt;Drop!$A$125</xm:f>
            <x14:dxf>
              <fill>
                <patternFill>
                  <bgColor theme="0" tint="-4.9989318521683403E-2"/>
                </patternFill>
              </fill>
              <border>
                <right/>
                <bottom/>
              </border>
            </x14:dxf>
          </x14:cfRule>
          <xm:sqref>E37</xm:sqref>
        </x14:conditionalFormatting>
        <x14:conditionalFormatting xmlns:xm="http://schemas.microsoft.com/office/excel/2006/main">
          <x14:cfRule type="expression" priority="26" id="{DFA4C237-BC18-4EF7-80BD-C1AEE63BA402}">
            <xm:f>OR(ISBLANK($K$19),$K$19=Drop!$A$52)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31" id="{A13E6BF6-DFCF-4F74-8E62-03C7CE7FDF9B}">
            <xm:f>AND(OR($K$19=Drop!$A$53,$K$19=Drop!$A$54),ISBLANK($M$19))</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M19:Q19</xm:sqref>
        </x14:conditionalFormatting>
        <x14:conditionalFormatting xmlns:xm="http://schemas.microsoft.com/office/excel/2006/main">
          <x14:cfRule type="expression" priority="21" id="{CB1A3602-1000-48E5-A88F-0C93754A5D68}">
            <xm:f>OR(ISBLANK($K$20),$K$20=Drop!$A$52)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22" id="{E76C92A9-F693-4498-BD70-00E143DA8918}">
            <xm:f>AND(OR($K$20=Drop!$A$53,$K$20=Drop!$A$54),ISBLANK($M$20))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M20:Q20</xm:sqref>
        </x14:conditionalFormatting>
        <x14:conditionalFormatting xmlns:xm="http://schemas.microsoft.com/office/excel/2006/main">
          <x14:cfRule type="expression" priority="18" id="{78B31BB0-AF89-4DAB-A023-D193FEBE8DA2}">
            <xm:f>OR(ISBLANK($K$21),$K$21=Drop!$A$58)</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19" id="{A8B1D6F1-8F89-4DFC-8D59-1AB1DD25E9BE}">
            <xm:f>AND($K$21=Drop!$A$59,ISBLANK($M$21))</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M21:Q21</xm:sqref>
        </x14:conditionalFormatting>
        <x14:conditionalFormatting xmlns:xm="http://schemas.microsoft.com/office/excel/2006/main">
          <x14:cfRule type="expression" priority="1" id="{003ED859-C6B6-41AF-BD57-FF65D56A5CD6}">
            <xm:f>$L$26=Drop!$A$85</xm:f>
            <x14:dxf>
              <font>
                <color auto="1"/>
              </font>
              <fill>
                <patternFill patternType="solid">
                  <bgColor theme="1"/>
                </patternFill>
              </fill>
              <border>
                <left style="thin">
                  <color auto="1"/>
                </left>
                <right style="thin">
                  <color auto="1"/>
                </right>
                <top style="thin">
                  <color auto="1"/>
                </top>
                <bottom style="thin">
                  <color auto="1"/>
                </bottom>
              </border>
            </x14:dxf>
          </x14:cfRule>
          <xm:sqref>B34:AB46</xm:sqref>
        </x14:conditionalFormatting>
        <x14:conditionalFormatting xmlns:xm="http://schemas.microsoft.com/office/excel/2006/main">
          <x14:cfRule type="expression" priority="33" id="{27C9A267-6A67-4126-979A-9078075BB284}">
            <xm:f>$E$12&lt;&gt;Drop!$A$47</xm:f>
            <x14:dxf>
              <font>
                <color theme="0" tint="-4.9989318521683403E-2"/>
              </font>
              <fill>
                <patternFill>
                  <bgColor theme="0" tint="-4.9989318521683403E-2"/>
                </patternFill>
              </fill>
            </x14:dxf>
          </x14:cfRule>
          <xm:sqref>B13</xm:sqref>
        </x14:conditionalFormatting>
        <x14:conditionalFormatting xmlns:xm="http://schemas.microsoft.com/office/excel/2006/main">
          <x14:cfRule type="expression" priority="37" id="{5C48CFAD-5C70-41AA-AFFC-45E1765C58D6}">
            <xm:f>AND(O12=Drop!A125,ISBLANK($E$37))</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E37</xm:sqref>
        </x14:conditionalFormatting>
        <x14:conditionalFormatting xmlns:xm="http://schemas.microsoft.com/office/excel/2006/main">
          <x14:cfRule type="expression" priority="38" id="{C564095C-9740-4DD8-8B80-B7DA5F611738}">
            <xm:f>O12=Drop!A125</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E39 E41</xm:sqref>
        </x14:conditionalFormatting>
        <x14:conditionalFormatting xmlns:xm="http://schemas.microsoft.com/office/excel/2006/main">
          <x14:cfRule type="expression" priority="39" id="{057D1FDD-E1BD-4D6B-8FFC-FF68F6F11CB4}">
            <xm:f>O12=Drop!A125</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E43</xm:sqref>
        </x14:conditionalFormatting>
        <x14:conditionalFormatting xmlns:xm="http://schemas.microsoft.com/office/excel/2006/main">
          <x14:cfRule type="expression" priority="40" id="{04445DD9-D351-43C1-95DA-52E5BF155529}">
            <xm:f>$E$19&lt;&gt;Drop!$A$13</xm:f>
            <x14:dxf>
              <font>
                <color auto="1"/>
              </font>
            </x14:dxf>
          </x14:cfRule>
          <xm:sqref>B21:E21 B20</xm:sqref>
        </x14:conditionalFormatting>
        <x14:conditionalFormatting xmlns:xm="http://schemas.microsoft.com/office/excel/2006/main">
          <x14:cfRule type="expression" priority="45" id="{68C19735-C653-45C7-8C15-5F53054DF3EB}">
            <xm:f>OR(E19&lt;&gt;Drop!A13,ISBLANK(M22))</xm:f>
            <x14:dxf>
              <fill>
                <patternFill>
                  <bgColor theme="0" tint="-4.9989318521683403E-2"/>
                </patternFill>
              </fill>
              <border>
                <left/>
                <top/>
                <vertical/>
                <horizontal/>
              </border>
            </x14:dxf>
          </x14:cfRule>
          <xm:sqref>O24:Q24</xm:sqref>
        </x14:conditionalFormatting>
        <x14:conditionalFormatting xmlns:xm="http://schemas.microsoft.com/office/excel/2006/main">
          <x14:cfRule type="expression" priority="11" id="{A377EF87-85BB-4F81-8C14-FF02A8410E59}">
            <xm:f>OR(ISBLANK($E$19),$E$19=Drop!$A$14)</xm:f>
            <x14:dxf>
              <font>
                <color theme="0" tint="-4.9989318521683403E-2"/>
              </font>
              <fill>
                <patternFill>
                  <bgColor theme="0" tint="-4.9989318521683403E-2"/>
                </patternFill>
              </fill>
            </x14:dxf>
          </x14:cfRule>
          <x14:cfRule type="expression" priority="12" id="{7D9B90BC-18F5-4284-B854-AECB3D0B510E}">
            <xm:f>AND($E$19=Drop!$A$13,ISBLANK($E$20))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13" id="{1A8036ED-4D7D-4CEC-98E7-A5CE810C08F8}">
            <xm:f>AND($E$20&gt;0,$E$19=Drop!$A$13)</xm:f>
            <x14:dxf>
              <font>
                <color auto="1"/>
              </font>
              <fill>
                <patternFill>
                  <bgColor theme="0"/>
                </patternFill>
              </fill>
              <border>
                <left style="thin">
                  <color auto="1"/>
                </left>
                <right style="thin">
                  <color auto="1"/>
                </right>
                <top style="thin">
                  <color auto="1"/>
                </top>
                <bottom style="thin">
                  <color auto="1"/>
                </bottom>
                <vertical/>
                <horizontal/>
              </border>
            </x14:dxf>
          </x14:cfRule>
          <xm:sqref>E20</xm:sqref>
        </x14:conditionalFormatting>
        <x14:conditionalFormatting xmlns:xm="http://schemas.microsoft.com/office/excel/2006/main">
          <x14:cfRule type="expression" priority="4" id="{12FB4746-B90F-4E46-99C0-C0448AA51450}">
            <xm:f>$E$12&lt;&gt;Drop!$A$47</xm:f>
            <x14:dxf>
              <font>
                <color theme="0" tint="-4.9989318521683403E-2"/>
              </font>
              <fill>
                <patternFill>
                  <bgColor theme="0" tint="-4.9989318521683403E-2"/>
                </patternFill>
              </fill>
              <border>
                <left/>
                <right/>
                <bottom/>
              </border>
            </x14:dxf>
          </x14:cfRule>
          <x14:cfRule type="expression" priority="5" id="{90FCEA7D-57F2-4519-B6E7-2565EBA76DE1}">
            <xm:f>AND(ISBLANK($E$13),$E$12=Drop!$A$47)</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6" id="{69317368-0808-4F78-ACA9-0AF1143770F3}">
            <xm:f>$E$12=Drop!$A$47</xm:f>
            <x14:dxf>
              <border>
                <left style="thin">
                  <color auto="1"/>
                </left>
                <bottom style="thin">
                  <color auto="1"/>
                </bottom>
                <vertical/>
                <horizontal/>
              </border>
            </x14:dxf>
          </x14:cfRule>
          <xm:sqref>E13</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3A723B00-0E72-4AE1-A068-135972C42487}">
          <x14:formula1>
            <xm:f>Drop!$A$44:$A$46</xm:f>
          </x14:formula1>
          <xm:sqref>E13</xm:sqref>
        </x14:dataValidation>
        <x14:dataValidation type="list" allowBlank="1" showInputMessage="1" showErrorMessage="1" xr:uid="{EA527179-AE67-4A23-A97C-4339C3A204BF}">
          <x14:formula1>
            <xm:f>Drop!$G$43:$G$44</xm:f>
          </x14:formula1>
          <xm:sqref>E12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06E92-ABB1-4532-A7AE-2D6188B3A685}">
  <sheetPr codeName="sheet0Statistical2">
    <pageSetUpPr fitToPage="1"/>
  </sheetPr>
  <dimension ref="A1:AM78"/>
  <sheetViews>
    <sheetView showGridLines="0" topLeftCell="A15" zoomScale="80" zoomScaleNormal="80" workbookViewId="0">
      <selection activeCell="B11" sqref="B11:D11"/>
    </sheetView>
  </sheetViews>
  <sheetFormatPr defaultColWidth="9.125" defaultRowHeight="12.75" outlineLevelCol="1"/>
  <cols>
    <col min="1" max="1" width="2.75" style="35" customWidth="1"/>
    <col min="2" max="2" width="5.75" style="35" customWidth="1"/>
    <col min="3" max="5" width="25.75" style="35" customWidth="1"/>
    <col min="6" max="6" width="1.75" style="35" customWidth="1"/>
    <col min="7" max="7" width="1.125" style="35" customWidth="1"/>
    <col min="8" max="8" width="5.75" style="35" customWidth="1"/>
    <col min="9" max="9" width="17.75" style="35" customWidth="1"/>
    <col min="10" max="11" width="5.75" style="35" customWidth="1"/>
    <col min="12" max="12" width="17.75" style="35" customWidth="1"/>
    <col min="13" max="13" width="5.75" style="35" customWidth="1"/>
    <col min="14" max="14" width="9.75" style="35" customWidth="1"/>
    <col min="15" max="15" width="5.75" style="35" customWidth="1"/>
    <col min="16" max="16" width="15.75" style="35" customWidth="1"/>
    <col min="17" max="17" width="10.75" style="35" customWidth="1"/>
    <col min="18" max="18" width="1.5" style="35" customWidth="1"/>
    <col min="19" max="21" width="5.75" style="35" customWidth="1"/>
    <col min="22" max="22" width="11.75" style="35" customWidth="1"/>
    <col min="23" max="27" width="5.75" style="35" customWidth="1"/>
    <col min="28" max="28" width="21.75" style="35" customWidth="1"/>
    <col min="29" max="29" width="4.25" style="35" hidden="1" customWidth="1" outlineLevel="1"/>
    <col min="30" max="30" width="2.75" style="35" hidden="1" customWidth="1" outlineLevel="1"/>
    <col min="31" max="31" width="9.125" style="35" hidden="1" customWidth="1" outlineLevel="1"/>
    <col min="32" max="32" width="15.75" style="35" hidden="1" customWidth="1" outlineLevel="1"/>
    <col min="33" max="33" width="14.25" style="35" hidden="1" customWidth="1" outlineLevel="1"/>
    <col min="34" max="34" width="16.125" style="35" hidden="1" customWidth="1" outlineLevel="1"/>
    <col min="35" max="35" width="13.25" style="35" hidden="1" customWidth="1" outlineLevel="1"/>
    <col min="36" max="36" width="14.25" style="35" hidden="1" customWidth="1" outlineLevel="1"/>
    <col min="37" max="37" width="15.5" style="35" hidden="1" customWidth="1" outlineLevel="1"/>
    <col min="38" max="38" width="18.75" style="35" hidden="1" customWidth="1" outlineLevel="1"/>
    <col min="39" max="39" width="9.125" style="35" customWidth="1" collapsed="1"/>
    <col min="40" max="42" width="9.125" style="35" customWidth="1"/>
    <col min="43" max="16384" width="9.125" style="35"/>
  </cols>
  <sheetData>
    <row r="1" spans="1:37" s="2" customFormat="1" ht="21" thickBot="1">
      <c r="A1" s="1"/>
      <c r="B1" s="308"/>
      <c r="C1" s="309"/>
      <c r="D1" s="309"/>
      <c r="F1" s="1"/>
      <c r="G1" s="1"/>
      <c r="H1" s="1"/>
      <c r="I1" s="1"/>
      <c r="J1" s="1"/>
      <c r="K1" s="1"/>
      <c r="L1" s="1"/>
      <c r="M1" s="1"/>
      <c r="AC1" s="1"/>
      <c r="AF1" s="10" t="s">
        <v>32</v>
      </c>
      <c r="AG1" s="2" t="s">
        <v>1</v>
      </c>
    </row>
    <row r="2" spans="1:37" ht="12.95" customHeight="1">
      <c r="A2" s="37"/>
      <c r="B2" s="38"/>
      <c r="C2" s="39"/>
      <c r="D2" s="39"/>
      <c r="E2" s="39"/>
      <c r="F2" s="39"/>
      <c r="G2" s="39"/>
      <c r="H2" s="39"/>
      <c r="I2" s="39"/>
      <c r="J2" s="40"/>
      <c r="K2" s="40"/>
      <c r="L2" s="40"/>
      <c r="M2" s="41"/>
      <c r="N2" s="41"/>
      <c r="O2" s="41"/>
      <c r="P2" s="41"/>
      <c r="Q2" s="41"/>
      <c r="R2" s="41"/>
      <c r="S2" s="41"/>
      <c r="T2" s="41"/>
      <c r="U2" s="41"/>
      <c r="V2" s="41"/>
      <c r="W2" s="41"/>
      <c r="X2" s="41"/>
      <c r="Y2" s="41"/>
      <c r="Z2" s="41"/>
      <c r="AA2" s="41"/>
      <c r="AB2" s="42"/>
      <c r="AF2" s="43"/>
      <c r="AG2" s="43"/>
    </row>
    <row r="3" spans="1:37" ht="12.95" customHeight="1">
      <c r="A3" s="44"/>
      <c r="B3" s="45"/>
      <c r="C3" s="47" t="str">
        <f>Drop!A102</f>
        <v>总体名称：</v>
      </c>
      <c r="D3" s="559"/>
      <c r="E3" s="560"/>
      <c r="F3" s="46"/>
      <c r="G3" s="46"/>
      <c r="H3" s="46"/>
      <c r="I3" s="46"/>
      <c r="J3" s="48"/>
      <c r="K3" s="49"/>
      <c r="L3" s="49"/>
      <c r="M3" s="49"/>
      <c r="N3" s="49"/>
      <c r="O3" s="49"/>
      <c r="P3" s="49"/>
      <c r="Q3" s="49"/>
      <c r="R3" s="49"/>
      <c r="S3" s="49"/>
      <c r="T3" s="49"/>
      <c r="U3" s="49"/>
      <c r="V3" s="50"/>
      <c r="W3" s="51"/>
      <c r="X3" s="51"/>
      <c r="Y3" s="51"/>
      <c r="Z3" s="51"/>
      <c r="AA3" s="51"/>
      <c r="AB3" s="52"/>
      <c r="AF3" s="43"/>
      <c r="AG3" s="43"/>
      <c r="AH3" s="43"/>
      <c r="AI3" s="43"/>
    </row>
    <row r="4" spans="1:37" ht="12.95" customHeight="1">
      <c r="A4" s="34"/>
      <c r="B4" s="53"/>
      <c r="C4" s="47" t="str">
        <f>Drop!A103</f>
        <v>适用的样本计划：</v>
      </c>
      <c r="D4" s="561" t="str">
        <f>汇总!D3</f>
        <v>致同抽样</v>
      </c>
      <c r="E4" s="562"/>
      <c r="F4" s="46"/>
      <c r="G4" s="46"/>
      <c r="H4" s="46"/>
      <c r="I4" s="46"/>
      <c r="J4" s="46"/>
      <c r="K4" s="49" t="str">
        <f>Drop!A105</f>
        <v>高信赖（其他标准）?：</v>
      </c>
      <c r="L4" s="553" t="str">
        <f>IF(ISBLANK(汇总!D7),Drop!A247,汇总!D7)</f>
        <v>否 - 不适用</v>
      </c>
      <c r="M4" s="554"/>
      <c r="N4" s="554"/>
      <c r="O4" s="555"/>
      <c r="P4" s="144"/>
      <c r="Q4" s="49"/>
      <c r="R4" s="49"/>
      <c r="S4" s="49"/>
      <c r="T4" s="49"/>
      <c r="U4" s="49"/>
      <c r="V4" s="50"/>
      <c r="W4" s="51"/>
      <c r="X4" s="51"/>
      <c r="Y4" s="51"/>
      <c r="Z4" s="51"/>
      <c r="AA4" s="51"/>
      <c r="AB4" s="52"/>
      <c r="AF4" s="43"/>
      <c r="AG4" s="43"/>
      <c r="AH4" s="43"/>
      <c r="AI4" s="43"/>
    </row>
    <row r="5" spans="1:37" ht="12.95" customHeight="1">
      <c r="A5" s="34"/>
      <c r="B5" s="54"/>
      <c r="C5" s="49" t="str">
        <f>Drop!A104</f>
        <v>上市实体/ 高风险?：</v>
      </c>
      <c r="D5" s="315" t="str">
        <f>汇总!D5</f>
        <v>是</v>
      </c>
      <c r="E5" s="316"/>
      <c r="F5" s="46"/>
      <c r="G5" s="46"/>
      <c r="H5" s="46"/>
      <c r="I5" s="46"/>
      <c r="J5" s="46"/>
      <c r="K5" s="49" t="str">
        <f>Drop!A106</f>
        <v>实际执行的重要性</v>
      </c>
      <c r="L5" s="556">
        <f>汇总!D10</f>
        <v>0</v>
      </c>
      <c r="M5" s="557"/>
      <c r="N5" s="557"/>
      <c r="O5" s="558"/>
      <c r="P5" s="49"/>
      <c r="Q5" s="49"/>
      <c r="R5" s="49"/>
      <c r="S5" s="49"/>
      <c r="T5" s="49"/>
      <c r="U5" s="49"/>
      <c r="V5" s="50"/>
      <c r="W5" s="51"/>
      <c r="X5" s="51"/>
      <c r="Y5" s="51"/>
      <c r="Z5" s="51"/>
      <c r="AA5" s="51"/>
      <c r="AB5" s="52"/>
      <c r="AF5" s="43" t="s">
        <v>161</v>
      </c>
      <c r="AG5" s="43" t="b">
        <f>OR(E11=Drop!A37)</f>
        <v>0</v>
      </c>
      <c r="AH5" s="55"/>
      <c r="AI5" s="55"/>
      <c r="AJ5" s="55"/>
      <c r="AK5" s="55"/>
    </row>
    <row r="6" spans="1:37" ht="12.95" customHeight="1" thickBot="1">
      <c r="A6" s="34"/>
      <c r="B6" s="56"/>
      <c r="C6" s="57"/>
      <c r="D6" s="57"/>
      <c r="E6" s="57"/>
      <c r="F6" s="57"/>
      <c r="G6" s="57"/>
      <c r="H6" s="57"/>
      <c r="I6" s="57"/>
      <c r="J6" s="57"/>
      <c r="K6" s="57"/>
      <c r="L6" s="57"/>
      <c r="M6" s="57"/>
      <c r="N6" s="57"/>
      <c r="O6" s="57"/>
      <c r="P6" s="57"/>
      <c r="Q6" s="57"/>
      <c r="R6" s="57"/>
      <c r="S6" s="57"/>
      <c r="T6" s="57"/>
      <c r="U6" s="57"/>
      <c r="V6" s="57"/>
      <c r="W6" s="57"/>
      <c r="X6" s="57"/>
      <c r="Y6" s="57"/>
      <c r="Z6" s="57"/>
      <c r="AA6" s="57"/>
      <c r="AB6" s="58"/>
      <c r="AF6" s="43" t="s">
        <v>36</v>
      </c>
      <c r="AG6" s="43" t="b">
        <f>OR(D5=Drop!A13,L4=Drop!A246)</f>
        <v>1</v>
      </c>
      <c r="AH6" s="59"/>
      <c r="AI6" s="59"/>
      <c r="AJ6" s="59"/>
      <c r="AK6" s="59"/>
    </row>
    <row r="7" spans="1:37" ht="13.5" thickBot="1">
      <c r="B7" s="60"/>
      <c r="C7" s="60"/>
      <c r="AF7" s="43" t="s">
        <v>37</v>
      </c>
      <c r="AG7" s="61">
        <f>IF(AG6=TRUE,5%,10%)</f>
        <v>0.05</v>
      </c>
      <c r="AH7" s="59"/>
      <c r="AI7" s="59"/>
      <c r="AJ7" s="59"/>
      <c r="AK7" s="59"/>
    </row>
    <row r="8" spans="1:37" ht="13.5" thickBot="1">
      <c r="B8" s="62" t="str">
        <f>Drop!A93</f>
        <v>步骤 1 - 确定测试的目标</v>
      </c>
      <c r="C8" s="63"/>
      <c r="D8" s="63"/>
      <c r="E8" s="63"/>
      <c r="F8" s="64"/>
      <c r="H8" s="65" t="str">
        <f>Drop!A95</f>
        <v>步骤 3 - 抽样方法</v>
      </c>
      <c r="I8" s="66"/>
      <c r="J8" s="66"/>
      <c r="K8" s="66"/>
      <c r="L8" s="66"/>
      <c r="M8" s="66"/>
      <c r="N8" s="66"/>
      <c r="O8" s="66"/>
      <c r="P8" s="66"/>
      <c r="Q8" s="67"/>
      <c r="S8" s="65" t="str">
        <f>Drop!A97</f>
        <v>步骤 5 - 选取样本</v>
      </c>
      <c r="T8" s="66"/>
      <c r="U8" s="66"/>
      <c r="V8" s="66"/>
      <c r="W8" s="66"/>
      <c r="X8" s="66"/>
      <c r="Y8" s="66"/>
      <c r="Z8" s="66"/>
      <c r="AA8" s="66"/>
      <c r="AB8" s="67"/>
      <c r="AF8" s="43" t="s">
        <v>27</v>
      </c>
      <c r="AG8" s="138" t="str">
        <f>D4</f>
        <v>致同抽样</v>
      </c>
      <c r="AH8" s="68"/>
      <c r="AI8" s="68"/>
      <c r="AJ8" s="68"/>
      <c r="AK8" s="68"/>
    </row>
    <row r="9" spans="1:37" ht="15" customHeight="1">
      <c r="B9" s="69"/>
      <c r="C9" s="70"/>
      <c r="D9" s="70"/>
      <c r="E9" s="70"/>
      <c r="F9" s="71"/>
      <c r="H9" s="546" t="str">
        <f>IF(AG2=TRUE,Drop!A88,"")</f>
        <v/>
      </c>
      <c r="I9" s="547"/>
      <c r="J9" s="547"/>
      <c r="K9" s="547"/>
      <c r="L9" s="547"/>
      <c r="M9" s="547"/>
      <c r="N9" s="547"/>
      <c r="O9" s="547"/>
      <c r="P9" s="547"/>
      <c r="Q9" s="548"/>
      <c r="S9" s="72"/>
      <c r="T9" s="32"/>
      <c r="U9" s="32"/>
      <c r="V9" s="32"/>
      <c r="W9" s="32"/>
      <c r="X9" s="32"/>
      <c r="Y9" s="32"/>
      <c r="Z9" s="32"/>
      <c r="AA9" s="32"/>
      <c r="AB9" s="73"/>
      <c r="AF9" s="43" t="s">
        <v>43</v>
      </c>
      <c r="AG9" s="138">
        <f>VLOOKUP(AG8,Drop!A17:B19,2,FALSE)</f>
        <v>2</v>
      </c>
      <c r="AH9" s="68"/>
      <c r="AI9" s="68"/>
      <c r="AJ9" s="68"/>
      <c r="AK9" s="68"/>
    </row>
    <row r="10" spans="1:37" ht="20.100000000000001" customHeight="1">
      <c r="B10" s="326" t="str">
        <f>Drop!A108</f>
        <v>认定</v>
      </c>
      <c r="C10" s="327"/>
      <c r="D10" s="328"/>
      <c r="E10" s="212" t="s">
        <v>317</v>
      </c>
      <c r="F10" s="208"/>
      <c r="H10" s="549"/>
      <c r="I10" s="550"/>
      <c r="J10" s="550"/>
      <c r="K10" s="550"/>
      <c r="L10" s="550"/>
      <c r="M10" s="550"/>
      <c r="N10" s="550"/>
      <c r="O10" s="550"/>
      <c r="P10" s="550"/>
      <c r="Q10" s="551"/>
      <c r="S10" s="135" t="str">
        <f>Drop!A139</f>
        <v>使用的选取方法</v>
      </c>
      <c r="T10" s="32"/>
      <c r="U10" s="32"/>
      <c r="V10" s="32"/>
      <c r="W10" s="32"/>
      <c r="X10" s="32"/>
      <c r="Y10" s="329" t="s">
        <v>186</v>
      </c>
      <c r="Z10" s="330"/>
      <c r="AA10" s="330"/>
      <c r="AB10" s="331"/>
      <c r="AF10" s="43" t="s">
        <v>39</v>
      </c>
      <c r="AG10" s="61">
        <f>VLOOKUP(E11,Drop!A$37:D$39,AG9,FALSE)</f>
        <v>0.5</v>
      </c>
      <c r="AH10" s="55"/>
      <c r="AI10" s="55"/>
      <c r="AJ10" s="55"/>
      <c r="AK10" s="55"/>
    </row>
    <row r="11" spans="1:37" ht="26.1" customHeight="1">
      <c r="B11" s="326" t="str">
        <f>Drop!A109</f>
        <v>固有风险</v>
      </c>
      <c r="C11" s="327"/>
      <c r="D11" s="328"/>
      <c r="E11" s="211" t="s">
        <v>286</v>
      </c>
      <c r="F11" s="208"/>
      <c r="H11" s="74"/>
      <c r="I11" s="32"/>
      <c r="J11" s="32"/>
      <c r="K11" s="552" t="str">
        <f>Drop!A120</f>
        <v>统计抽样</v>
      </c>
      <c r="L11" s="552"/>
      <c r="M11" s="552"/>
      <c r="N11" s="552"/>
      <c r="O11" s="32"/>
      <c r="P11" s="32"/>
      <c r="Q11" s="73"/>
      <c r="S11" s="74"/>
      <c r="T11" s="32"/>
      <c r="U11" s="32"/>
      <c r="V11" s="32"/>
      <c r="W11" s="32"/>
      <c r="X11" s="32"/>
      <c r="Y11" s="32"/>
      <c r="Z11" s="32"/>
      <c r="AA11" s="32"/>
      <c r="AB11" s="73"/>
      <c r="AF11" s="43" t="s">
        <v>40</v>
      </c>
      <c r="AG11" s="61" t="e">
        <f>IF(ISBLANK(E12),"",IF(E12=Drop!A43,Drop!B43,VLOOKUP(E13,Drop!A44:D46,AG9,FALSE)))</f>
        <v>#N/A</v>
      </c>
      <c r="AH11" s="75" t="s">
        <v>167</v>
      </c>
      <c r="AI11" s="43" t="b">
        <f>E12=Drop!A45</f>
        <v>0</v>
      </c>
      <c r="AJ11" s="43" t="str">
        <f>IF(AI$11=TRUE,Drop!A13,"")</f>
        <v/>
      </c>
      <c r="AK11" s="35" t="str">
        <f>IF(AI$11=TRUE,Drop!A14,"")</f>
        <v/>
      </c>
    </row>
    <row r="12" spans="1:37" ht="26.1" customHeight="1">
      <c r="B12" s="332" t="str">
        <f>Drop!A110</f>
        <v>对控制的信赖程度</v>
      </c>
      <c r="C12" s="333"/>
      <c r="D12" s="334"/>
      <c r="E12" s="212" t="s">
        <v>288</v>
      </c>
      <c r="F12" s="208"/>
      <c r="H12" s="74"/>
      <c r="I12" s="32"/>
      <c r="J12" s="32"/>
      <c r="K12" s="32"/>
      <c r="L12" s="32"/>
      <c r="M12" s="32"/>
      <c r="N12" s="32"/>
      <c r="O12" s="32"/>
      <c r="P12" s="32"/>
      <c r="Q12" s="73"/>
      <c r="S12" s="135" t="str">
        <f>Drop!A140</f>
        <v>样本间隔</v>
      </c>
      <c r="T12" s="32"/>
      <c r="U12" s="32"/>
      <c r="V12" s="32"/>
      <c r="W12" s="32"/>
      <c r="X12" s="32"/>
      <c r="Y12" s="337" t="str" cm="1">
        <f t="array" ref="Y12">_xlfn.IFS(ISBLANK(Y10),"",AND(Y10=Drop!A62,O12=Drop!A125),Drop!A228,Y10&lt;&gt;Drop!A62,Drop!A222,ISERROR(AG25),Drop!A219,TRUE,AG25)</f>
        <v>系统抽样未被选取，间隔不适用</v>
      </c>
      <c r="Z12" s="338"/>
      <c r="AA12" s="338"/>
      <c r="AB12" s="339"/>
      <c r="AF12" s="43" t="s">
        <v>41</v>
      </c>
      <c r="AG12" s="61">
        <f>VLOOKUP(K19,Drop!A52:D54,AG9,FALSE)</f>
        <v>1</v>
      </c>
      <c r="AH12" s="55"/>
      <c r="AK12" s="55"/>
    </row>
    <row r="13" spans="1:37" ht="20.100000000000001" customHeight="1">
      <c r="B13" s="332" t="str">
        <f>Drop!A48</f>
        <v>测试范围</v>
      </c>
      <c r="C13" s="333"/>
      <c r="D13" s="334"/>
      <c r="E13" s="212" t="s">
        <v>286</v>
      </c>
      <c r="F13" s="208"/>
      <c r="H13" s="74"/>
      <c r="I13" s="32"/>
      <c r="J13" s="32"/>
      <c r="K13" s="32"/>
      <c r="L13" s="32"/>
      <c r="M13" s="32"/>
      <c r="N13" s="32"/>
      <c r="O13" s="32"/>
      <c r="P13" s="32"/>
      <c r="Q13" s="73"/>
      <c r="S13" s="135"/>
      <c r="T13" s="32"/>
      <c r="U13" s="32"/>
      <c r="V13" s="32"/>
      <c r="W13" s="32"/>
      <c r="X13" s="32"/>
      <c r="Y13" s="180"/>
      <c r="Z13" s="180"/>
      <c r="AA13" s="180"/>
      <c r="AB13" s="181"/>
      <c r="AF13" s="43"/>
      <c r="AG13" s="61"/>
      <c r="AH13" s="55"/>
      <c r="AK13" s="55"/>
    </row>
    <row r="14" spans="1:37" ht="15.75" customHeight="1" thickBot="1">
      <c r="B14" s="162"/>
      <c r="C14" s="163"/>
      <c r="D14" s="541"/>
      <c r="E14" s="541"/>
      <c r="F14" s="542"/>
      <c r="H14" s="76"/>
      <c r="I14" s="77"/>
      <c r="J14" s="77"/>
      <c r="K14" s="77"/>
      <c r="L14" s="77"/>
      <c r="M14" s="77"/>
      <c r="N14" s="77"/>
      <c r="O14" s="77"/>
      <c r="P14" s="77"/>
      <c r="Q14" s="78"/>
      <c r="S14" s="76"/>
      <c r="T14" s="77"/>
      <c r="U14" s="77"/>
      <c r="V14" s="77"/>
      <c r="W14" s="77"/>
      <c r="X14" s="77"/>
      <c r="Y14" s="77"/>
      <c r="Z14" s="77"/>
      <c r="AA14" s="77"/>
      <c r="AB14" s="78"/>
      <c r="AF14" s="43" t="s">
        <v>38</v>
      </c>
      <c r="AG14" s="61">
        <f>VLOOKUP(K20,Drop!A52:D54,AG9,FALSE)</f>
        <v>0.4</v>
      </c>
      <c r="AH14" s="79"/>
      <c r="AI14" s="79"/>
      <c r="AJ14" s="79"/>
      <c r="AK14" s="79"/>
    </row>
    <row r="15" spans="1:37" ht="13.5" thickBot="1">
      <c r="S15" s="80"/>
      <c r="T15" s="81"/>
      <c r="U15" s="81"/>
      <c r="V15" s="81"/>
      <c r="W15" s="81"/>
      <c r="X15" s="81"/>
      <c r="Y15" s="81"/>
      <c r="Z15" s="81"/>
      <c r="AA15" s="81"/>
      <c r="AB15" s="81"/>
      <c r="AF15" s="43" t="s">
        <v>211</v>
      </c>
      <c r="AG15" s="61">
        <f>VLOOKUP(K21,Drop!A58:D59,AG9,FALSE)</f>
        <v>1</v>
      </c>
      <c r="AH15" s="82"/>
      <c r="AI15" s="82"/>
      <c r="AJ15" s="82"/>
      <c r="AK15" s="82"/>
    </row>
    <row r="16" spans="1:37" ht="13.5" thickBot="1">
      <c r="B16" s="65" t="str">
        <f>Drop!A94</f>
        <v>步骤 2 - 定义和分析总体</v>
      </c>
      <c r="C16" s="66"/>
      <c r="D16" s="66"/>
      <c r="E16" s="66"/>
      <c r="F16" s="67"/>
      <c r="H16" s="65" t="str">
        <f>Drop!A96</f>
        <v>步骤 4 - 确定样本量</v>
      </c>
      <c r="I16" s="66"/>
      <c r="J16" s="66"/>
      <c r="K16" s="66"/>
      <c r="L16" s="66"/>
      <c r="M16" s="66"/>
      <c r="N16" s="66"/>
      <c r="O16" s="66"/>
      <c r="P16" s="66"/>
      <c r="Q16" s="67"/>
      <c r="S16" s="83" t="str">
        <f>Drop!A98</f>
        <v>步骤 6 - 测试已选取样本</v>
      </c>
      <c r="T16" s="66"/>
      <c r="U16" s="66"/>
      <c r="V16" s="66"/>
      <c r="W16" s="66"/>
      <c r="X16" s="66"/>
      <c r="Y16" s="66"/>
      <c r="Z16" s="66"/>
      <c r="AA16" s="66"/>
      <c r="AB16" s="67"/>
      <c r="AF16" s="43" t="s">
        <v>45</v>
      </c>
      <c r="AG16" s="61" t="e">
        <f>AG7/(AG10*AG11*AG12*AG14*AG15)</f>
        <v>#N/A</v>
      </c>
    </row>
    <row r="17" spans="2:33">
      <c r="B17" s="85"/>
      <c r="C17" s="86"/>
      <c r="D17" s="86"/>
      <c r="E17" s="86"/>
      <c r="F17" s="87"/>
      <c r="H17" s="152"/>
      <c r="I17" s="88"/>
      <c r="J17" s="88"/>
      <c r="K17" s="88"/>
      <c r="L17" s="88"/>
      <c r="M17" s="88"/>
      <c r="N17" s="88"/>
      <c r="O17" s="88"/>
      <c r="P17" s="88"/>
      <c r="Q17" s="89"/>
      <c r="S17" s="74"/>
      <c r="T17" s="32"/>
      <c r="U17" s="32"/>
      <c r="V17" s="32"/>
      <c r="W17" s="32"/>
      <c r="X17" s="32"/>
      <c r="Y17" s="32"/>
      <c r="Z17" s="32"/>
      <c r="AA17" s="32"/>
      <c r="AB17" s="73"/>
      <c r="AF17" s="43" t="s">
        <v>46</v>
      </c>
      <c r="AG17" s="84" t="e">
        <f>1-AG16</f>
        <v>#N/A</v>
      </c>
    </row>
    <row r="18" spans="2:33" ht="14.25">
      <c r="B18" s="543" t="str">
        <f>Drop!A112</f>
        <v>总体的绝对值</v>
      </c>
      <c r="C18" s="544"/>
      <c r="D18" s="545"/>
      <c r="E18" s="224"/>
      <c r="F18" s="199"/>
      <c r="H18" s="135" t="str">
        <f>Drop!A130</f>
        <v>提供的证据:</v>
      </c>
      <c r="I18" s="32"/>
      <c r="J18" s="32"/>
      <c r="K18" s="32"/>
      <c r="L18" s="32"/>
      <c r="M18" s="358" t="str">
        <f>Drop!A82</f>
        <v>描述程序</v>
      </c>
      <c r="N18" s="359"/>
      <c r="O18" s="359"/>
      <c r="P18" s="359"/>
      <c r="Q18" s="360"/>
      <c r="S18" s="340" t="str">
        <f>Drop!A142</f>
        <v>相关测试记录的工作底稿索引:</v>
      </c>
      <c r="T18" s="341"/>
      <c r="U18" s="341"/>
      <c r="V18" s="341"/>
      <c r="W18" s="341"/>
      <c r="X18" s="341"/>
      <c r="Y18" s="342"/>
      <c r="Z18" s="535" t="s">
        <v>301</v>
      </c>
      <c r="AA18" s="536"/>
      <c r="AB18" s="537"/>
      <c r="AF18" s="43" t="s">
        <v>48</v>
      </c>
      <c r="AG18" s="90">
        <f>IF(E19=Drop!A14,(E18-E24-E25),(E20 - E24-E25))</f>
        <v>-3000</v>
      </c>
    </row>
    <row r="19" spans="2:33" ht="30" customHeight="1">
      <c r="B19" s="543" t="str">
        <f>Drop!A67</f>
        <v>测试少于总体的100%？</v>
      </c>
      <c r="C19" s="544"/>
      <c r="D19" s="545"/>
      <c r="E19" s="211" t="s">
        <v>319</v>
      </c>
      <c r="F19" s="199"/>
      <c r="H19" s="135" t="str">
        <f>Drop!A131</f>
        <v>分析程序</v>
      </c>
      <c r="I19" s="93"/>
      <c r="J19" s="93"/>
      <c r="K19" s="329" t="s">
        <v>287</v>
      </c>
      <c r="L19" s="352"/>
      <c r="M19" s="329"/>
      <c r="N19" s="330"/>
      <c r="O19" s="330"/>
      <c r="P19" s="330"/>
      <c r="Q19" s="331"/>
      <c r="S19" s="340"/>
      <c r="T19" s="341"/>
      <c r="U19" s="341"/>
      <c r="V19" s="341"/>
      <c r="W19" s="341"/>
      <c r="X19" s="341"/>
      <c r="Y19" s="342"/>
      <c r="Z19" s="538"/>
      <c r="AA19" s="539"/>
      <c r="AB19" s="540"/>
      <c r="AF19" s="43"/>
      <c r="AG19" s="90"/>
    </row>
    <row r="20" spans="2:33" ht="30" customHeight="1" thickBot="1">
      <c r="B20" s="442" t="str">
        <f>IF(OR(ISBLANK(E19),E19=Drop!A14),"",Drop!A68)</f>
        <v/>
      </c>
      <c r="C20" s="443"/>
      <c r="D20" s="443"/>
      <c r="E20" s="198"/>
      <c r="F20" s="199"/>
      <c r="H20" s="137" t="str">
        <f>Drop!A132</f>
        <v>其他细节测试</v>
      </c>
      <c r="I20" s="93"/>
      <c r="J20" s="93"/>
      <c r="K20" s="329" t="s">
        <v>289</v>
      </c>
      <c r="L20" s="352"/>
      <c r="M20" s="329">
        <v>1000</v>
      </c>
      <c r="N20" s="330"/>
      <c r="O20" s="330"/>
      <c r="P20" s="330"/>
      <c r="Q20" s="331"/>
      <c r="S20" s="76"/>
      <c r="T20" s="77"/>
      <c r="U20" s="77"/>
      <c r="V20" s="77"/>
      <c r="W20" s="77"/>
      <c r="X20" s="77"/>
      <c r="Y20" s="77"/>
      <c r="Z20" s="77"/>
      <c r="AA20" s="77"/>
      <c r="AB20" s="78"/>
      <c r="AF20" s="43" t="s">
        <v>49</v>
      </c>
      <c r="AG20" s="43" t="b">
        <f>OR(E24&gt;0,E25&gt;0,D24&gt;0,D25&gt;0)</f>
        <v>1</v>
      </c>
    </row>
    <row r="21" spans="2:33" ht="30" customHeight="1">
      <c r="B21" s="196"/>
      <c r="C21" s="197"/>
      <c r="D21" s="213"/>
      <c r="E21" s="198"/>
      <c r="F21" s="199"/>
      <c r="H21" s="137" t="str">
        <f>Drop!A133</f>
        <v>审计数据分析</v>
      </c>
      <c r="I21" s="93"/>
      <c r="J21" s="93"/>
      <c r="K21" s="329" t="s">
        <v>287</v>
      </c>
      <c r="L21" s="352"/>
      <c r="M21" s="329"/>
      <c r="N21" s="330"/>
      <c r="O21" s="330"/>
      <c r="P21" s="330"/>
      <c r="Q21" s="331"/>
      <c r="AF21" s="43" t="s">
        <v>99</v>
      </c>
      <c r="AG21" s="43" t="b">
        <f>OR(AG12&lt;100%,AG14&lt;100%)</f>
        <v>1</v>
      </c>
    </row>
    <row r="22" spans="2:33" s="136" customFormat="1" ht="23.25" customHeight="1">
      <c r="B22" s="158" t="str">
        <f>Drop!A113</f>
        <v>重大金额或关键项目进行单独测试:</v>
      </c>
      <c r="C22" s="159"/>
      <c r="D22" s="159"/>
      <c r="E22" s="159"/>
      <c r="F22" s="157"/>
      <c r="H22" s="137" t="str">
        <f>Drop!A134</f>
        <v>预期总体错报金额</v>
      </c>
      <c r="I22" s="93"/>
      <c r="J22" s="93"/>
      <c r="K22" s="93"/>
      <c r="L22" s="93"/>
      <c r="M22" s="353">
        <v>0.1</v>
      </c>
      <c r="N22" s="354"/>
      <c r="O22" s="355">
        <f>IF(ISBLANK(M22),"",$L$5*M22)</f>
        <v>0</v>
      </c>
      <c r="P22" s="356"/>
      <c r="Q22" s="357"/>
      <c r="AB22" s="160"/>
      <c r="AF22" s="43"/>
      <c r="AG22" s="43"/>
    </row>
    <row r="23" spans="2:33">
      <c r="B23" s="166"/>
      <c r="C23" s="32"/>
      <c r="D23" s="195" t="str">
        <f>Drop!A114</f>
        <v>项目总数</v>
      </c>
      <c r="E23" s="192" t="str">
        <f>Drop!A115</f>
        <v>合计金额</v>
      </c>
      <c r="F23" s="73"/>
      <c r="H23" s="363" t="str" cm="1">
        <f t="array" ref="H23">_xlfn.IFS(ISBLANK(M22),"",ISERROR(O22),Drop!A219,M22&lt;Drop!F62,Drop!A79,M22&gt;=Drop!H62,Drop!A81,M22&gt;Drop!G62,Drop!A80,TRUE,"")</f>
        <v/>
      </c>
      <c r="I23" s="364"/>
      <c r="J23" s="364"/>
      <c r="K23" s="364"/>
      <c r="L23" s="364"/>
      <c r="M23" s="364"/>
      <c r="N23" s="364"/>
      <c r="O23" s="364"/>
      <c r="P23" s="364"/>
      <c r="Q23" s="365"/>
      <c r="V23" s="149"/>
      <c r="AB23" s="161" t="str">
        <f>Drop!A243</f>
        <v>图例</v>
      </c>
      <c r="AF23" s="142"/>
      <c r="AG23" s="142"/>
    </row>
    <row r="24" spans="2:33" ht="24.95" customHeight="1">
      <c r="B24" s="166"/>
      <c r="C24" s="215" t="str">
        <f>Drop!A116</f>
        <v>定性</v>
      </c>
      <c r="D24" s="194">
        <v>3</v>
      </c>
      <c r="E24" s="218">
        <v>1000</v>
      </c>
      <c r="F24" s="73"/>
      <c r="G24" s="91"/>
      <c r="H24" s="174" t="str">
        <f>IF(E19=Drop!A13,Drop!A137,"")</f>
        <v/>
      </c>
      <c r="I24" s="178"/>
      <c r="J24" s="178"/>
      <c r="K24" s="178"/>
      <c r="L24" s="170"/>
      <c r="M24" s="170"/>
      <c r="N24" s="170"/>
      <c r="O24" s="355" t="str">
        <f>IF(AND(E19=Drop!A13,ISBLANK(M22)=FALSE),O22*E20/E18,"")</f>
        <v/>
      </c>
      <c r="P24" s="356"/>
      <c r="Q24" s="357"/>
      <c r="V24" s="136"/>
      <c r="W24" s="136"/>
      <c r="X24" s="136"/>
      <c r="Y24" s="136"/>
      <c r="Z24" s="136"/>
      <c r="AA24" s="148" t="str">
        <f>Drop!A234</f>
        <v>系统生成或计算值</v>
      </c>
      <c r="AB24" s="150"/>
      <c r="AF24" s="43" t="s">
        <v>12</v>
      </c>
      <c r="AG24" s="138" t="e">
        <f>IF(ISBLANK(E19),Drop!A219,IF(E19=Drop!A13,IF(AG17&gt;0,ROUNDUP(PoissonSample(AG16,((O22*(E20/E18))/AG18),((L5*(E20/E18))/AG18)),0),0),IF(E19=Drop!A14,IF(AG17&gt;0,ROUNDUP(PoissonSample(AG16,((O22)/AG18),((L5)/AG18)),0),0))))</f>
        <v>#N/A</v>
      </c>
    </row>
    <row r="25" spans="2:33" ht="24.95" customHeight="1">
      <c r="B25" s="166"/>
      <c r="C25" s="215" t="str">
        <f>Drop!A117</f>
        <v>定量</v>
      </c>
      <c r="D25" s="194">
        <v>5</v>
      </c>
      <c r="E25" s="218">
        <v>2000</v>
      </c>
      <c r="F25" s="73"/>
      <c r="H25" s="92" t="str">
        <f>Drop!A135</f>
        <v>设计置信水平</v>
      </c>
      <c r="I25" s="93"/>
      <c r="J25" s="93"/>
      <c r="K25" s="164"/>
      <c r="L25" s="366" t="str">
        <f>IF(ISERROR(IF(AG17&lt;=0,Drop!A69,AG17)),Drop!A219,IF(AG17&lt;=0,Drop!A69,AG17))</f>
        <v>核实所有输入</v>
      </c>
      <c r="M25" s="366"/>
      <c r="N25" s="366"/>
      <c r="O25" s="366"/>
      <c r="P25" s="366"/>
      <c r="Q25" s="367"/>
      <c r="V25" s="136"/>
      <c r="W25" s="136"/>
      <c r="X25" s="136"/>
      <c r="Y25" s="136"/>
      <c r="Z25" s="136"/>
      <c r="AA25" s="148" t="str">
        <f>Drop!A235</f>
        <v>要求用户选择如何确定样本</v>
      </c>
      <c r="AB25" s="147"/>
      <c r="AF25" s="43" t="s">
        <v>106</v>
      </c>
      <c r="AG25" s="143" t="e" cm="1">
        <f t="array" ref="AG25">_xlfn.IFS(L26=Drop!A85,Drop!A227,L26=Drop!A84,ROUND(AG18/5,0),TRUE,ROUND(AG18/L26,0))</f>
        <v>#VALUE!</v>
      </c>
    </row>
    <row r="26" spans="2:33" ht="24.95" customHeight="1">
      <c r="B26" s="166"/>
      <c r="C26" s="32"/>
      <c r="D26" s="214" t="str">
        <f>Drop!A118</f>
        <v>抽样总体</v>
      </c>
      <c r="E26" s="219">
        <f>AG18</f>
        <v>-3000</v>
      </c>
      <c r="F26" s="73"/>
      <c r="H26" s="92" t="str">
        <f>Drop!A136</f>
        <v>样本量</v>
      </c>
      <c r="I26" s="93"/>
      <c r="J26" s="93"/>
      <c r="K26" s="93"/>
      <c r="L26" s="532" t="str" cm="1">
        <f t="array" ref="L26">_xlfn.IFS(AG18&lt;=L5,Drop!A89,AG26=TRUE,Drop!A219,O22="",Drop!A219,ISERROR(AG24&gt;=5),Drop!A219,AG24&gt;=5,AG24,AG17&lt;=0,Drop!A85,TRUE,Drop!A84)</f>
        <v xml:space="preserve">警告 - 样本量小于或等于实际执行的重要性。			</v>
      </c>
      <c r="M26" s="533"/>
      <c r="N26" s="533" t="str">
        <f>IF(ISERROR(IF(AG24&gt;5,AG24,Drop!A84)),Drop!A219,IF(AG24&gt;5,AG24,Drop!A84))</f>
        <v>核实所有输入</v>
      </c>
      <c r="O26" s="533"/>
      <c r="P26" s="533"/>
      <c r="Q26" s="534"/>
      <c r="R26" s="165"/>
      <c r="AA26" s="148" t="str">
        <f>Drop!A236</f>
        <v>其他用户输入栏</v>
      </c>
      <c r="AB26" s="151"/>
      <c r="AF26" s="153" t="s">
        <v>244</v>
      </c>
      <c r="AG26" s="143" t="b">
        <f>M22&gt;=Drop!H62</f>
        <v>0</v>
      </c>
    </row>
    <row r="27" spans="2:33" ht="24.95" customHeight="1">
      <c r="B27" s="166"/>
      <c r="C27" s="171"/>
      <c r="D27" s="168"/>
      <c r="E27" s="172"/>
      <c r="F27" s="173"/>
      <c r="H27" s="370" t="str">
        <f>IF(AG20=TRUE,Drop!A70,"")</f>
        <v>外加识别出的重大金额和关键项目</v>
      </c>
      <c r="I27" s="371"/>
      <c r="J27" s="371"/>
      <c r="K27" s="371"/>
      <c r="L27" s="372">
        <f>IF(AG20=TRUE,D24+D25,"")</f>
        <v>8</v>
      </c>
      <c r="M27" s="373"/>
      <c r="N27" s="373"/>
      <c r="O27" s="373"/>
      <c r="P27" s="373"/>
      <c r="Q27" s="374"/>
      <c r="AA27" s="148"/>
    </row>
    <row r="28" spans="2:33" ht="33.75" customHeight="1" thickBot="1">
      <c r="B28" s="375" t="str" cm="1">
        <f t="array" ref="B28">_xlfn.IFS(AG28=TRUE,Drop!A220,AG29=TRUE,Drop!A223,AG30=TRUE,Drop!A221,TRUE,"")</f>
        <v/>
      </c>
      <c r="C28" s="376"/>
      <c r="D28" s="376"/>
      <c r="E28" s="376"/>
      <c r="F28" s="377"/>
      <c r="H28" s="76"/>
      <c r="I28" s="77"/>
      <c r="J28" s="77"/>
      <c r="K28" s="77"/>
      <c r="L28" s="77"/>
      <c r="M28" s="77"/>
      <c r="N28" s="77"/>
      <c r="O28" s="94"/>
      <c r="P28" s="77"/>
      <c r="Q28" s="95"/>
      <c r="AF28" s="43" t="s">
        <v>206</v>
      </c>
      <c r="AG28" s="43" t="str">
        <f>IF(ISBLANK(E18),"",IF(E19=Drop!A13,SUM(E24:E25)&gt;E20,SUM(E24:E25)&gt;E18))</f>
        <v/>
      </c>
    </row>
    <row r="29" spans="2:33" ht="24.95" customHeight="1" thickBot="1">
      <c r="B29" s="96"/>
      <c r="AF29" s="43" t="s">
        <v>207</v>
      </c>
      <c r="AG29" s="43" t="str">
        <f>IF(ISBLANK(E18),"",IF(E19=Drop!A13,(SUM(E24:E25)/E20)&gt;Drop!E223,(SUM(E24:E25)/E18)&gt;Drop!E223))</f>
        <v/>
      </c>
    </row>
    <row r="30" spans="2:33" ht="13.5" thickBot="1">
      <c r="B30" s="65" t="str">
        <f>Drop!A99</f>
        <v>步骤 7 - 评价样本结果</v>
      </c>
      <c r="C30" s="66"/>
      <c r="D30" s="66"/>
      <c r="E30" s="66"/>
      <c r="F30" s="66"/>
      <c r="G30" s="66"/>
      <c r="H30" s="66"/>
      <c r="I30" s="66"/>
      <c r="J30" s="66"/>
      <c r="K30" s="66"/>
      <c r="L30" s="66"/>
      <c r="M30" s="66"/>
      <c r="N30" s="66"/>
      <c r="O30" s="66"/>
      <c r="P30" s="66"/>
      <c r="Q30" s="66"/>
      <c r="R30" s="66"/>
      <c r="S30" s="66"/>
      <c r="T30" s="66"/>
      <c r="U30" s="66"/>
      <c r="V30" s="66"/>
      <c r="W30" s="66"/>
      <c r="X30" s="66"/>
      <c r="Y30" s="66"/>
      <c r="Z30" s="66"/>
      <c r="AA30" s="66"/>
      <c r="AB30" s="67"/>
      <c r="AF30" s="27" t="s">
        <v>237</v>
      </c>
      <c r="AG30" s="27" t="b">
        <f>OR(E24&lt;0,E25&lt;0)</f>
        <v>0</v>
      </c>
    </row>
    <row r="31" spans="2:33" ht="15" customHeight="1">
      <c r="B31" s="378" t="str" cm="1">
        <f t="array" ref="B31">_xlfn.IFS(L26=Drop!A85,Drop!A86,L26=Drop!A84,Drop!A87,ISERROR(L26),Drop!A219,TRUE,"")</f>
        <v/>
      </c>
      <c r="C31" s="379"/>
      <c r="D31" s="379"/>
      <c r="E31" s="379"/>
      <c r="F31" s="379"/>
      <c r="G31" s="379"/>
      <c r="H31" s="379"/>
      <c r="I31" s="379"/>
      <c r="J31" s="379"/>
      <c r="K31" s="379"/>
      <c r="L31" s="379"/>
      <c r="M31" s="379"/>
      <c r="N31" s="379"/>
      <c r="O31" s="379"/>
      <c r="P31" s="379"/>
      <c r="Q31" s="379"/>
      <c r="R31" s="379"/>
      <c r="S31" s="379"/>
      <c r="T31" s="379"/>
      <c r="U31" s="379"/>
      <c r="V31" s="379"/>
      <c r="W31" s="379"/>
      <c r="X31" s="379"/>
      <c r="Y31" s="379"/>
      <c r="Z31" s="379"/>
      <c r="AA31" s="379"/>
      <c r="AB31" s="380"/>
    </row>
    <row r="32" spans="2:33" ht="15.75" customHeight="1" thickBot="1">
      <c r="B32" s="381"/>
      <c r="C32" s="382"/>
      <c r="D32" s="382"/>
      <c r="E32" s="382"/>
      <c r="F32" s="382"/>
      <c r="G32" s="382"/>
      <c r="H32" s="382"/>
      <c r="I32" s="382"/>
      <c r="J32" s="382"/>
      <c r="K32" s="382"/>
      <c r="L32" s="382"/>
      <c r="M32" s="382"/>
      <c r="N32" s="382"/>
      <c r="O32" s="382"/>
      <c r="P32" s="382"/>
      <c r="Q32" s="382"/>
      <c r="R32" s="382"/>
      <c r="S32" s="382"/>
      <c r="T32" s="382"/>
      <c r="U32" s="382"/>
      <c r="V32" s="382"/>
      <c r="W32" s="382"/>
      <c r="X32" s="382"/>
      <c r="Y32" s="382"/>
      <c r="Z32" s="382"/>
      <c r="AA32" s="382"/>
      <c r="AB32" s="383"/>
    </row>
    <row r="33" spans="2:39" ht="15.75" customHeight="1" thickBot="1">
      <c r="B33" s="384" t="str">
        <f>Drop!A144</f>
        <v>识别出的错报</v>
      </c>
      <c r="C33" s="385"/>
      <c r="D33" s="385"/>
      <c r="E33" s="385"/>
      <c r="F33" s="385"/>
      <c r="G33" s="385"/>
      <c r="H33" s="385"/>
      <c r="I33" s="385"/>
      <c r="J33" s="385"/>
      <c r="K33" s="385"/>
      <c r="L33" s="385"/>
      <c r="M33" s="385"/>
      <c r="N33" s="385"/>
      <c r="O33" s="385"/>
      <c r="P33" s="385"/>
      <c r="Q33" s="386"/>
      <c r="S33" s="384" t="str">
        <f>Drop!A156</f>
        <v>汇总结果</v>
      </c>
      <c r="T33" s="385"/>
      <c r="U33" s="385"/>
      <c r="V33" s="385"/>
      <c r="W33" s="385"/>
      <c r="X33" s="385"/>
      <c r="Y33" s="385"/>
      <c r="Z33" s="385"/>
      <c r="AA33" s="385"/>
      <c r="AB33" s="386"/>
      <c r="AF33" s="35" t="s">
        <v>104</v>
      </c>
      <c r="AG33" s="35" t="b">
        <f>MIN(AJ38:AJ57)&lt;Drop!A240</f>
        <v>0</v>
      </c>
    </row>
    <row r="34" spans="2:39">
      <c r="B34" s="202"/>
      <c r="C34" s="520"/>
      <c r="D34" s="520"/>
      <c r="E34" s="520"/>
      <c r="F34" s="521"/>
      <c r="G34" s="97"/>
      <c r="H34" s="97"/>
      <c r="I34" s="97"/>
      <c r="J34" s="97"/>
      <c r="K34" s="97"/>
      <c r="L34" s="97"/>
      <c r="M34" s="97"/>
      <c r="N34" s="97"/>
      <c r="O34" s="97"/>
      <c r="P34" s="97"/>
      <c r="Q34" s="98"/>
      <c r="S34" s="74"/>
      <c r="T34" s="32"/>
      <c r="U34" s="32"/>
      <c r="V34" s="32"/>
      <c r="W34" s="32"/>
      <c r="X34" s="32"/>
      <c r="Y34" s="32"/>
      <c r="Z34" s="32"/>
      <c r="AA34" s="32"/>
      <c r="AB34" s="73"/>
      <c r="AK34" s="82"/>
    </row>
    <row r="35" spans="2:39">
      <c r="B35" s="72"/>
      <c r="C35" s="530" t="str">
        <f>Drop!A145</f>
        <v>账面金额</v>
      </c>
      <c r="D35" s="530" t="str">
        <f>Drop!A146</f>
        <v>审计金额</v>
      </c>
      <c r="E35" s="530" t="str">
        <f>Drop!A147</f>
        <v>与重大金额或关键项目相关?</v>
      </c>
      <c r="F35" s="210"/>
      <c r="G35" s="210"/>
      <c r="H35" s="522" t="str">
        <f>Drop!A148</f>
        <v>错报金额合计</v>
      </c>
      <c r="I35" s="523"/>
      <c r="J35" s="526" t="str">
        <f>Drop!A149</f>
        <v>渲染</v>
      </c>
      <c r="K35" s="527"/>
      <c r="L35" s="305" t="str">
        <f>Drop!A150</f>
        <v>推断总体</v>
      </c>
      <c r="M35" s="306"/>
      <c r="N35" s="306"/>
      <c r="O35" s="306"/>
      <c r="P35" s="306"/>
      <c r="Q35" s="513"/>
      <c r="S35" s="74" t="str">
        <f>Drop!A157</f>
        <v>样本的实际错报金额:</v>
      </c>
      <c r="T35" s="32"/>
      <c r="U35" s="32"/>
      <c r="V35" s="32"/>
      <c r="W35" s="32"/>
      <c r="X35" s="32"/>
      <c r="Y35" s="32"/>
      <c r="Z35" s="32"/>
      <c r="AA35" s="401">
        <f>H57</f>
        <v>0</v>
      </c>
      <c r="AB35" s="402"/>
      <c r="AF35" s="35" t="s">
        <v>57</v>
      </c>
      <c r="AG35" s="82" t="e">
        <f>Y12*AG37</f>
        <v>#VALUE!</v>
      </c>
      <c r="AH35" s="82"/>
      <c r="AI35" s="82"/>
      <c r="AJ35" s="82"/>
      <c r="AK35" s="82"/>
    </row>
    <row r="36" spans="2:39">
      <c r="B36" s="202"/>
      <c r="C36" s="531"/>
      <c r="D36" s="531"/>
      <c r="E36" s="531"/>
      <c r="F36" s="210"/>
      <c r="G36" s="210"/>
      <c r="H36" s="524"/>
      <c r="I36" s="525"/>
      <c r="J36" s="528"/>
      <c r="K36" s="529"/>
      <c r="L36" s="514" t="str">
        <f>Drop!A151</f>
        <v>包括渲染</v>
      </c>
      <c r="M36" s="515"/>
      <c r="N36" s="516"/>
      <c r="O36" s="514" t="str">
        <f>Drop!A152</f>
        <v>没有渲染</v>
      </c>
      <c r="P36" s="515"/>
      <c r="Q36" s="517"/>
      <c r="S36" s="74"/>
      <c r="T36" s="100"/>
      <c r="U36" s="100"/>
      <c r="V36" s="100"/>
      <c r="W36" s="100"/>
      <c r="X36" s="100"/>
      <c r="Y36" s="100"/>
      <c r="Z36" s="32"/>
      <c r="AA36" s="32"/>
      <c r="AB36" s="73"/>
      <c r="AF36" s="59" t="s">
        <v>56</v>
      </c>
      <c r="AG36" s="35" t="s">
        <v>42</v>
      </c>
      <c r="AH36" s="35" t="s">
        <v>70</v>
      </c>
      <c r="AI36" s="35" t="s">
        <v>102</v>
      </c>
      <c r="AJ36" s="99" t="s">
        <v>91</v>
      </c>
      <c r="AK36" s="99" t="s">
        <v>92</v>
      </c>
      <c r="AL36" s="518" t="s">
        <v>58</v>
      </c>
    </row>
    <row r="37" spans="2:39" ht="15.75" customHeight="1">
      <c r="B37" s="201"/>
      <c r="C37" s="189"/>
      <c r="D37" s="189"/>
      <c r="E37" s="209"/>
      <c r="F37" s="32"/>
      <c r="G37" s="32"/>
      <c r="H37" s="465">
        <f t="shared" ref="H37:H56" si="0">C37-D37</f>
        <v>0</v>
      </c>
      <c r="I37" s="466"/>
      <c r="J37" s="467" t="str">
        <f t="shared" ref="J37:J56" si="1">IF(C37&gt;0,H37/C37,"")</f>
        <v/>
      </c>
      <c r="K37" s="468"/>
      <c r="L37" s="460">
        <f>IF(ISERROR(IF(C37&gt;0,IF(OR(C37&gt;$Y$12,E37=Drop!A$13),0,J37*$Y$12),0)),Drop!A$219,IF(C37&gt;0,IF(OR(C37&gt;$Y$12,E37=Drop!A$13),0,J37*$Y$12),0))</f>
        <v>0</v>
      </c>
      <c r="M37" s="461"/>
      <c r="N37" s="462"/>
      <c r="O37" s="405">
        <f>IF(ISERROR(IF(OR(C37&gt;$Y$12,E37=Drop!A$13),H37,0)),Drop!A$219,IF(OR(C37&gt;$Y$12,E37=Drop!A$13),H37,0))</f>
        <v>0</v>
      </c>
      <c r="P37" s="463"/>
      <c r="Q37" s="464"/>
      <c r="S37" s="504" t="str">
        <f>Drop!A158</f>
        <v>推断总体错报金额 (记录到审计调整分录或未更正错报汇总):</v>
      </c>
      <c r="T37" s="505"/>
      <c r="U37" s="505"/>
      <c r="V37" s="505"/>
      <c r="W37" s="505"/>
      <c r="X37" s="505"/>
      <c r="Y37" s="505"/>
      <c r="Z37" s="506"/>
      <c r="AA37" s="507">
        <f>L58</f>
        <v>0</v>
      </c>
      <c r="AB37" s="508"/>
      <c r="AF37" s="192">
        <v>0</v>
      </c>
      <c r="AG37" s="192" t="e">
        <f t="shared" ref="AG37:AG57" si="2">_xlfn.GAMMA.INV($AG$17,AF37+1,1)</f>
        <v>#N/A</v>
      </c>
      <c r="AH37" s="192"/>
      <c r="AI37" s="192"/>
      <c r="AJ37" s="101"/>
      <c r="AK37" s="101"/>
      <c r="AL37" s="519"/>
      <c r="AM37" s="104"/>
    </row>
    <row r="38" spans="2:39" ht="15.75" customHeight="1">
      <c r="B38" s="201"/>
      <c r="C38" s="189"/>
      <c r="D38" s="189"/>
      <c r="E38" s="209"/>
      <c r="F38" s="32"/>
      <c r="G38" s="32"/>
      <c r="H38" s="465">
        <f t="shared" si="0"/>
        <v>0</v>
      </c>
      <c r="I38" s="466"/>
      <c r="J38" s="467" t="str">
        <f t="shared" si="1"/>
        <v/>
      </c>
      <c r="K38" s="468"/>
      <c r="L38" s="460">
        <f>IF(ISERROR(IF(C38&gt;0,IF(OR(C38&gt;$Y$12,E38=Drop!A$13),0,J38*$Y$12),0)),Drop!A$219,IF(C38&gt;0,IF(OR(C38&gt;$Y$12,E38=Drop!A$13),0,J38*$Y$12),0))</f>
        <v>0</v>
      </c>
      <c r="M38" s="461"/>
      <c r="N38" s="462"/>
      <c r="O38" s="405">
        <f>IF(ISERROR(IF(OR(C38&gt;$Y$12,E38=Drop!A$13),H38,0)),Drop!A$219,IF(OR(C38&gt;$Y$12,E38=Drop!A$13),H38,0))</f>
        <v>0</v>
      </c>
      <c r="P38" s="463"/>
      <c r="Q38" s="464"/>
      <c r="S38" s="504"/>
      <c r="T38" s="505"/>
      <c r="U38" s="505"/>
      <c r="V38" s="505"/>
      <c r="W38" s="505"/>
      <c r="X38" s="505"/>
      <c r="Y38" s="505"/>
      <c r="Z38" s="506"/>
      <c r="AA38" s="509"/>
      <c r="AB38" s="510"/>
      <c r="AF38" s="192">
        <f>AF37+1</f>
        <v>1</v>
      </c>
      <c r="AG38" s="192" t="e">
        <f t="shared" si="2"/>
        <v>#N/A</v>
      </c>
      <c r="AH38" s="192" t="e">
        <f t="shared" ref="AH38:AH56" si="3">AG38-AG37</f>
        <v>#N/A</v>
      </c>
      <c r="AI38" s="192">
        <f>ABS(L37)</f>
        <v>0</v>
      </c>
      <c r="AJ38" s="101">
        <f t="shared" ref="AJ38:AJ57" si="4">RANK(AI38,AI$38:AI$57)</f>
        <v>1</v>
      </c>
      <c r="AK38" s="102">
        <f>L37</f>
        <v>0</v>
      </c>
      <c r="AL38" s="103" t="e">
        <f>VLOOKUP(AJ38,AF$37:AH$57,3,FALSE)*AK38</f>
        <v>#N/A</v>
      </c>
      <c r="AM38" s="104"/>
    </row>
    <row r="39" spans="2:39" ht="15.75" customHeight="1">
      <c r="B39" s="201"/>
      <c r="C39" s="189"/>
      <c r="D39" s="189"/>
      <c r="E39" s="209"/>
      <c r="F39" s="32"/>
      <c r="G39" s="32"/>
      <c r="H39" s="465">
        <f t="shared" si="0"/>
        <v>0</v>
      </c>
      <c r="I39" s="466"/>
      <c r="J39" s="467" t="str">
        <f t="shared" si="1"/>
        <v/>
      </c>
      <c r="K39" s="468"/>
      <c r="L39" s="460">
        <f>IF(ISERROR(IF(C39&gt;0,IF(OR(C39&gt;$Y$12,E39=Drop!A$13),0,J39*$Y$12),0)),Drop!A$219,IF(C39&gt;0,IF(OR(C39&gt;$Y$12,E39=Drop!A$13),0,J39*$Y$12),0))</f>
        <v>0</v>
      </c>
      <c r="M39" s="461"/>
      <c r="N39" s="462"/>
      <c r="O39" s="405">
        <f>IF(ISERROR(IF(OR(C39&gt;$Y$12,E39=Drop!A$13),H39,0)),Drop!A$219,IF(OR(C39&gt;$Y$12,E39=Drop!A$13),H39,0))</f>
        <v>0</v>
      </c>
      <c r="P39" s="463"/>
      <c r="Q39" s="464"/>
      <c r="S39" s="504"/>
      <c r="T39" s="505"/>
      <c r="U39" s="505"/>
      <c r="V39" s="505"/>
      <c r="W39" s="505"/>
      <c r="X39" s="505"/>
      <c r="Y39" s="505"/>
      <c r="Z39" s="506"/>
      <c r="AA39" s="511"/>
      <c r="AB39" s="512"/>
      <c r="AF39" s="192">
        <f t="shared" ref="AF39:AF57" si="5">AF38+1</f>
        <v>2</v>
      </c>
      <c r="AG39" s="192" t="e">
        <f t="shared" si="2"/>
        <v>#N/A</v>
      </c>
      <c r="AH39" s="192" t="e">
        <f t="shared" si="3"/>
        <v>#N/A</v>
      </c>
      <c r="AI39" s="192">
        <f t="shared" ref="AI39:AI57" si="6">ABS(L38)</f>
        <v>0</v>
      </c>
      <c r="AJ39" s="101">
        <f t="shared" si="4"/>
        <v>1</v>
      </c>
      <c r="AK39" s="102">
        <f t="shared" ref="AK39:AK57" si="7">L38</f>
        <v>0</v>
      </c>
      <c r="AL39" s="103" t="e">
        <f>VLOOKUP(AJ39,AF$37:AH$57,3,FALSE)*AK39</f>
        <v>#N/A</v>
      </c>
      <c r="AM39" s="104"/>
    </row>
    <row r="40" spans="2:39" ht="15.75" customHeight="1">
      <c r="B40" s="201"/>
      <c r="C40" s="189"/>
      <c r="D40" s="189"/>
      <c r="E40" s="209"/>
      <c r="F40" s="32"/>
      <c r="G40" s="32"/>
      <c r="H40" s="465">
        <f t="shared" si="0"/>
        <v>0</v>
      </c>
      <c r="I40" s="466"/>
      <c r="J40" s="467" t="str">
        <f t="shared" si="1"/>
        <v/>
      </c>
      <c r="K40" s="468"/>
      <c r="L40" s="460">
        <f>IF(ISERROR(IF(C40&gt;0,IF(OR(C40&gt;$Y$12,E40=Drop!A$13),0,J40*$Y$12),0)),Drop!A$219,IF(C40&gt;0,IF(OR(C40&gt;$Y$12,E40=Drop!A$13),0,J40*$Y$12),0))</f>
        <v>0</v>
      </c>
      <c r="M40" s="461"/>
      <c r="N40" s="462"/>
      <c r="O40" s="405">
        <f>IF(ISERROR(IF(OR(C40&gt;$Y$12,E40=Drop!A$13),H40,0)),Drop!A$219,IF(OR(C40&gt;$Y$12,E40=Drop!A$13),H40,0))</f>
        <v>0</v>
      </c>
      <c r="P40" s="463"/>
      <c r="Q40" s="464"/>
      <c r="S40" s="105"/>
      <c r="T40" s="32"/>
      <c r="U40" s="32"/>
      <c r="V40" s="32"/>
      <c r="W40" s="32"/>
      <c r="X40" s="32"/>
      <c r="Y40" s="32"/>
      <c r="Z40" s="32"/>
      <c r="AA40" s="32"/>
      <c r="AB40" s="73"/>
      <c r="AF40" s="192">
        <f t="shared" si="5"/>
        <v>3</v>
      </c>
      <c r="AG40" s="192" t="e">
        <f t="shared" si="2"/>
        <v>#N/A</v>
      </c>
      <c r="AH40" s="192" t="e">
        <f t="shared" si="3"/>
        <v>#N/A</v>
      </c>
      <c r="AI40" s="192">
        <f t="shared" si="6"/>
        <v>0</v>
      </c>
      <c r="AJ40" s="101">
        <f t="shared" si="4"/>
        <v>1</v>
      </c>
      <c r="AK40" s="102">
        <f t="shared" si="7"/>
        <v>0</v>
      </c>
      <c r="AL40" s="103" t="e">
        <f t="shared" ref="AL40:AL57" si="8">VLOOKUP(AJ40,AF$37:AH$57,3,FALSE)*AK40</f>
        <v>#N/A</v>
      </c>
      <c r="AM40" s="104"/>
    </row>
    <row r="41" spans="2:39" ht="15.75" customHeight="1">
      <c r="B41" s="201"/>
      <c r="C41" s="189"/>
      <c r="D41" s="189"/>
      <c r="E41" s="209"/>
      <c r="F41" s="32"/>
      <c r="G41" s="32"/>
      <c r="H41" s="465">
        <f t="shared" si="0"/>
        <v>0</v>
      </c>
      <c r="I41" s="466"/>
      <c r="J41" s="467" t="str">
        <f t="shared" si="1"/>
        <v/>
      </c>
      <c r="K41" s="468"/>
      <c r="L41" s="460">
        <f>IF(ISERROR(IF(C41&gt;0,IF(OR(C41&gt;$Y$12,E41=Drop!A$13),0,J41*$Y$12),0)),Drop!A$219,IF(C41&gt;0,IF(OR(C41&gt;$Y$12,E41=Drop!A$13),0,J41*$Y$12),0))</f>
        <v>0</v>
      </c>
      <c r="M41" s="461"/>
      <c r="N41" s="462"/>
      <c r="O41" s="405">
        <f>IF(ISERROR(IF(OR(C41&gt;$Y$12,E41=Drop!A$13),H41,0)),Drop!A$219,IF(OR(C41&gt;$Y$12,E41=Drop!A$13),H41,0))</f>
        <v>0</v>
      </c>
      <c r="P41" s="463"/>
      <c r="Q41" s="464"/>
      <c r="S41" s="74" t="str">
        <f>Drop!A159</f>
        <v>整体精准度:</v>
      </c>
      <c r="T41" s="32"/>
      <c r="U41" s="32"/>
      <c r="V41" s="32"/>
      <c r="W41" s="32"/>
      <c r="X41" s="32"/>
      <c r="Y41" s="32"/>
      <c r="Z41" s="32"/>
      <c r="AA41" s="493" t="str">
        <f>IF(ISERROR(AL66),Drop!A219,AL66)</f>
        <v>核实所有输入</v>
      </c>
      <c r="AB41" s="494"/>
      <c r="AF41" s="192">
        <f t="shared" si="5"/>
        <v>4</v>
      </c>
      <c r="AG41" s="192" t="e">
        <f t="shared" si="2"/>
        <v>#N/A</v>
      </c>
      <c r="AH41" s="192" t="e">
        <f t="shared" si="3"/>
        <v>#N/A</v>
      </c>
      <c r="AI41" s="192">
        <f t="shared" si="6"/>
        <v>0</v>
      </c>
      <c r="AJ41" s="101">
        <f t="shared" si="4"/>
        <v>1</v>
      </c>
      <c r="AK41" s="102">
        <f t="shared" si="7"/>
        <v>0</v>
      </c>
      <c r="AL41" s="103" t="e">
        <f t="shared" si="8"/>
        <v>#N/A</v>
      </c>
      <c r="AM41" s="104"/>
    </row>
    <row r="42" spans="2:39" ht="15.75" customHeight="1">
      <c r="B42" s="201"/>
      <c r="C42" s="189"/>
      <c r="D42" s="189"/>
      <c r="E42" s="209"/>
      <c r="F42" s="32"/>
      <c r="G42" s="32"/>
      <c r="H42" s="465">
        <f t="shared" si="0"/>
        <v>0</v>
      </c>
      <c r="I42" s="466"/>
      <c r="J42" s="467" t="str">
        <f t="shared" si="1"/>
        <v/>
      </c>
      <c r="K42" s="468"/>
      <c r="L42" s="460">
        <f>IF(ISERROR(IF(C42&gt;0,IF(OR(C42&gt;$Y$12,E42=Drop!A$13),0,J42*$Y$12),0)),Drop!A$219,IF(C42&gt;0,IF(OR(C42&gt;$Y$12,E42=Drop!A$13),0,J42*$Y$12),0))</f>
        <v>0</v>
      </c>
      <c r="M42" s="461"/>
      <c r="N42" s="462"/>
      <c r="O42" s="405">
        <f>IF(ISERROR(IF(OR(C42&gt;$Y$12,E42=Drop!A$13),H42,0)),Drop!A$219,IF(OR(C42&gt;$Y$12,E42=Drop!A$13),H42,0))</f>
        <v>0</v>
      </c>
      <c r="P42" s="463"/>
      <c r="Q42" s="464"/>
      <c r="S42" s="74"/>
      <c r="T42" s="32"/>
      <c r="U42" s="32"/>
      <c r="V42" s="32"/>
      <c r="W42" s="32"/>
      <c r="X42" s="32"/>
      <c r="Y42" s="32"/>
      <c r="Z42" s="32"/>
      <c r="AA42" s="32"/>
      <c r="AB42" s="73"/>
      <c r="AF42" s="192">
        <f t="shared" si="5"/>
        <v>5</v>
      </c>
      <c r="AG42" s="192" t="e">
        <f t="shared" si="2"/>
        <v>#N/A</v>
      </c>
      <c r="AH42" s="192" t="e">
        <f t="shared" si="3"/>
        <v>#N/A</v>
      </c>
      <c r="AI42" s="192">
        <f t="shared" si="6"/>
        <v>0</v>
      </c>
      <c r="AJ42" s="101">
        <f t="shared" si="4"/>
        <v>1</v>
      </c>
      <c r="AK42" s="102">
        <f t="shared" si="7"/>
        <v>0</v>
      </c>
      <c r="AL42" s="103" t="e">
        <f t="shared" si="8"/>
        <v>#N/A</v>
      </c>
      <c r="AM42" s="104"/>
    </row>
    <row r="43" spans="2:39" ht="15.75" customHeight="1">
      <c r="B43" s="201"/>
      <c r="C43" s="189"/>
      <c r="D43" s="189"/>
      <c r="E43" s="209"/>
      <c r="F43" s="32"/>
      <c r="G43" s="32"/>
      <c r="H43" s="465">
        <f t="shared" si="0"/>
        <v>0</v>
      </c>
      <c r="I43" s="466"/>
      <c r="J43" s="467" t="str">
        <f t="shared" si="1"/>
        <v/>
      </c>
      <c r="K43" s="468"/>
      <c r="L43" s="460">
        <f>IF(ISERROR(IF(C43&gt;0,IF(OR(C43&gt;$Y$12,E43=Drop!A$13),0,J43*$Y$12),0)),Drop!A$219,IF(C43&gt;0,IF(OR(C43&gt;$Y$12,E43=Drop!A$13),0,J43*$Y$12),0))</f>
        <v>0</v>
      </c>
      <c r="M43" s="461"/>
      <c r="N43" s="462"/>
      <c r="O43" s="405">
        <f>IF(ISERROR(IF(OR(C43&gt;$Y$12,E43=Drop!A$13),H43,0)),Drop!A$219,IF(OR(C43&gt;$Y$12,E43=Drop!A$13),H43,0))</f>
        <v>0</v>
      </c>
      <c r="P43" s="463"/>
      <c r="Q43" s="464"/>
      <c r="S43" s="421" t="str">
        <f>Drop!A160</f>
        <v>这里有</v>
      </c>
      <c r="T43" s="422"/>
      <c r="U43" s="495" t="str">
        <f>IF(ISERROR(AG16),Drop!A219,AG16)</f>
        <v>核实所有输入</v>
      </c>
      <c r="V43" s="496"/>
      <c r="W43" s="501" t="str">
        <f>Drop!A161</f>
        <v>机会已记账金额被多计超过</v>
      </c>
      <c r="X43" s="502"/>
      <c r="Y43" s="502"/>
      <c r="Z43" s="503"/>
      <c r="AA43" s="487" t="str">
        <f>IF(ISERROR(AL72),Drop!A219,AL72)</f>
        <v>核实所有输入</v>
      </c>
      <c r="AB43" s="488"/>
      <c r="AF43" s="192">
        <f t="shared" si="5"/>
        <v>6</v>
      </c>
      <c r="AG43" s="192" t="e">
        <f t="shared" si="2"/>
        <v>#N/A</v>
      </c>
      <c r="AH43" s="192" t="e">
        <f t="shared" si="3"/>
        <v>#N/A</v>
      </c>
      <c r="AI43" s="192">
        <f t="shared" si="6"/>
        <v>0</v>
      </c>
      <c r="AJ43" s="101">
        <f t="shared" si="4"/>
        <v>1</v>
      </c>
      <c r="AK43" s="102">
        <f t="shared" si="7"/>
        <v>0</v>
      </c>
      <c r="AL43" s="103" t="e">
        <f t="shared" si="8"/>
        <v>#N/A</v>
      </c>
      <c r="AM43" s="104"/>
    </row>
    <row r="44" spans="2:39" ht="15.75" customHeight="1">
      <c r="B44" s="201"/>
      <c r="C44" s="189"/>
      <c r="D44" s="189"/>
      <c r="E44" s="209"/>
      <c r="F44" s="32"/>
      <c r="G44" s="32"/>
      <c r="H44" s="465">
        <f t="shared" si="0"/>
        <v>0</v>
      </c>
      <c r="I44" s="466"/>
      <c r="J44" s="467" t="str">
        <f t="shared" si="1"/>
        <v/>
      </c>
      <c r="K44" s="468"/>
      <c r="L44" s="460">
        <f>IF(ISERROR(IF(C44&gt;0,IF(OR(C44&gt;$Y$12,E44=Drop!A$13),0,J44*$Y$12),0)),Drop!A$219,IF(C44&gt;0,IF(OR(C44&gt;$Y$12,E44=Drop!A$13),0,J44*$Y$12),0))</f>
        <v>0</v>
      </c>
      <c r="M44" s="461"/>
      <c r="N44" s="462"/>
      <c r="O44" s="405">
        <f>IF(ISERROR(IF(OR(C44&gt;$Y$12,E44=Drop!A$13),H44,0)),Drop!A$219,IF(OR(C44&gt;$Y$12,E44=Drop!A$13),H44,0))</f>
        <v>0</v>
      </c>
      <c r="P44" s="463"/>
      <c r="Q44" s="464"/>
      <c r="S44" s="421"/>
      <c r="T44" s="422"/>
      <c r="U44" s="497"/>
      <c r="V44" s="498"/>
      <c r="W44" s="501"/>
      <c r="X44" s="502"/>
      <c r="Y44" s="502"/>
      <c r="Z44" s="503"/>
      <c r="AA44" s="489"/>
      <c r="AB44" s="490"/>
      <c r="AF44" s="192">
        <f t="shared" si="5"/>
        <v>7</v>
      </c>
      <c r="AG44" s="192" t="e">
        <f t="shared" si="2"/>
        <v>#N/A</v>
      </c>
      <c r="AH44" s="192" t="e">
        <f t="shared" si="3"/>
        <v>#N/A</v>
      </c>
      <c r="AI44" s="192">
        <f t="shared" si="6"/>
        <v>0</v>
      </c>
      <c r="AJ44" s="101">
        <f t="shared" si="4"/>
        <v>1</v>
      </c>
      <c r="AK44" s="102">
        <f t="shared" si="7"/>
        <v>0</v>
      </c>
      <c r="AL44" s="103" t="e">
        <f t="shared" si="8"/>
        <v>#N/A</v>
      </c>
      <c r="AM44" s="104"/>
    </row>
    <row r="45" spans="2:39" ht="15.75" customHeight="1">
      <c r="B45" s="201"/>
      <c r="C45" s="189"/>
      <c r="D45" s="189"/>
      <c r="E45" s="209"/>
      <c r="F45" s="32"/>
      <c r="G45" s="32"/>
      <c r="H45" s="465">
        <f t="shared" si="0"/>
        <v>0</v>
      </c>
      <c r="I45" s="466"/>
      <c r="J45" s="467" t="str">
        <f t="shared" si="1"/>
        <v/>
      </c>
      <c r="K45" s="468"/>
      <c r="L45" s="460">
        <f>IF(ISERROR(IF(C45&gt;0,IF(OR(C45&gt;$Y$12,E45=Drop!A$13),0,J45*$Y$12),0)),Drop!A$219,IF(C45&gt;0,IF(OR(C45&gt;$Y$12,E45=Drop!A$13),0,J45*$Y$12),0))</f>
        <v>0</v>
      </c>
      <c r="M45" s="461"/>
      <c r="N45" s="462"/>
      <c r="O45" s="405">
        <f>IF(ISERROR(IF(OR(C45&gt;$Y$12,E45=Drop!A$13),H45,0)),Drop!A$219,IF(OR(C45&gt;$Y$12,E45=Drop!A$13),H45,0))</f>
        <v>0</v>
      </c>
      <c r="P45" s="463"/>
      <c r="Q45" s="464"/>
      <c r="S45" s="421"/>
      <c r="T45" s="422"/>
      <c r="U45" s="499"/>
      <c r="V45" s="500"/>
      <c r="W45" s="501"/>
      <c r="X45" s="502"/>
      <c r="Y45" s="502"/>
      <c r="Z45" s="503"/>
      <c r="AA45" s="491"/>
      <c r="AB45" s="492"/>
      <c r="AF45" s="192">
        <f t="shared" si="5"/>
        <v>8</v>
      </c>
      <c r="AG45" s="192" t="e">
        <f t="shared" si="2"/>
        <v>#N/A</v>
      </c>
      <c r="AH45" s="192" t="e">
        <f t="shared" si="3"/>
        <v>#N/A</v>
      </c>
      <c r="AI45" s="192">
        <f t="shared" si="6"/>
        <v>0</v>
      </c>
      <c r="AJ45" s="101">
        <f t="shared" si="4"/>
        <v>1</v>
      </c>
      <c r="AK45" s="102">
        <f t="shared" si="7"/>
        <v>0</v>
      </c>
      <c r="AL45" s="103" t="e">
        <f t="shared" si="8"/>
        <v>#N/A</v>
      </c>
      <c r="AM45" s="104"/>
    </row>
    <row r="46" spans="2:39" ht="15.75" customHeight="1">
      <c r="B46" s="201"/>
      <c r="C46" s="189"/>
      <c r="D46" s="189"/>
      <c r="E46" s="209"/>
      <c r="F46" s="32"/>
      <c r="G46" s="32"/>
      <c r="H46" s="483">
        <f t="shared" si="0"/>
        <v>0</v>
      </c>
      <c r="I46" s="484"/>
      <c r="J46" s="485" t="str">
        <f t="shared" si="1"/>
        <v/>
      </c>
      <c r="K46" s="486"/>
      <c r="L46" s="460">
        <f>IF(ISERROR(IF(C46&gt;0,IF(OR(C46&gt;$Y$12,E46=Drop!A$13),0,J46*$Y$12),0)),Drop!A$219,IF(C46&gt;0,IF(OR(C46&gt;$Y$12,E46=Drop!A$13),0,J46*$Y$12),0))</f>
        <v>0</v>
      </c>
      <c r="M46" s="461"/>
      <c r="N46" s="462"/>
      <c r="O46" s="405">
        <f>IF(ISERROR(IF(OR(C46&gt;$Y$12,E46=Drop!A$13),H46,0)),Drop!A$219,IF(OR(C46&gt;$Y$12,E46=Drop!A$13),H46,0))</f>
        <v>0</v>
      </c>
      <c r="P46" s="463"/>
      <c r="Q46" s="464"/>
      <c r="S46" s="74"/>
      <c r="T46" s="32"/>
      <c r="U46" s="32"/>
      <c r="V46" s="32"/>
      <c r="W46" s="32"/>
      <c r="X46" s="32"/>
      <c r="Y46" s="32"/>
      <c r="Z46" s="32"/>
      <c r="AA46" s="32"/>
      <c r="AB46" s="73"/>
      <c r="AF46" s="192">
        <f t="shared" si="5"/>
        <v>9</v>
      </c>
      <c r="AG46" s="192" t="e">
        <f t="shared" si="2"/>
        <v>#N/A</v>
      </c>
      <c r="AH46" s="192" t="e">
        <f t="shared" si="3"/>
        <v>#N/A</v>
      </c>
      <c r="AI46" s="192">
        <f t="shared" si="6"/>
        <v>0</v>
      </c>
      <c r="AJ46" s="101">
        <f t="shared" si="4"/>
        <v>1</v>
      </c>
      <c r="AK46" s="102">
        <f t="shared" si="7"/>
        <v>0</v>
      </c>
      <c r="AL46" s="103" t="e">
        <f t="shared" si="8"/>
        <v>#N/A</v>
      </c>
      <c r="AM46" s="104"/>
    </row>
    <row r="47" spans="2:39" ht="15.75" customHeight="1">
      <c r="B47" s="201"/>
      <c r="C47" s="189"/>
      <c r="D47" s="189"/>
      <c r="E47" s="209"/>
      <c r="F47" s="32"/>
      <c r="G47" s="32"/>
      <c r="H47" s="483">
        <f t="shared" si="0"/>
        <v>0</v>
      </c>
      <c r="I47" s="484"/>
      <c r="J47" s="485" t="str">
        <f t="shared" si="1"/>
        <v/>
      </c>
      <c r="K47" s="486"/>
      <c r="L47" s="461">
        <f>IF(ISERROR(IF(C47&gt;0,IF(OR(C47&gt;$Y$12,E47=Drop!A$13),0,J47*$Y$12),0)),Drop!A$219,IF(C47&gt;0,IF(OR(C47&gt;$Y$12,E47=Drop!A$13),0,J47*$Y$12),0))</f>
        <v>0</v>
      </c>
      <c r="M47" s="461"/>
      <c r="N47" s="462"/>
      <c r="O47" s="405">
        <f>IF(ISERROR(IF(OR(C47&gt;$Y$12,E47=Drop!A$13),H47,0)),Drop!A$219,IF(OR(C47&gt;$Y$12,E47=Drop!A$13),H47,0))</f>
        <v>0</v>
      </c>
      <c r="P47" s="463"/>
      <c r="Q47" s="464"/>
      <c r="S47" s="74"/>
      <c r="T47" s="32"/>
      <c r="U47" s="32"/>
      <c r="V47" s="32"/>
      <c r="W47" s="32"/>
      <c r="X47" s="32"/>
      <c r="Y47" s="32"/>
      <c r="Z47" s="32"/>
      <c r="AA47" s="32"/>
      <c r="AB47" s="73"/>
      <c r="AF47" s="192">
        <f t="shared" si="5"/>
        <v>10</v>
      </c>
      <c r="AG47" s="192" t="e">
        <f t="shared" si="2"/>
        <v>#N/A</v>
      </c>
      <c r="AH47" s="192" t="e">
        <f t="shared" si="3"/>
        <v>#N/A</v>
      </c>
      <c r="AI47" s="192">
        <f t="shared" si="6"/>
        <v>0</v>
      </c>
      <c r="AJ47" s="101">
        <f t="shared" si="4"/>
        <v>1</v>
      </c>
      <c r="AK47" s="102">
        <f t="shared" si="7"/>
        <v>0</v>
      </c>
      <c r="AL47" s="103" t="e">
        <f t="shared" si="8"/>
        <v>#N/A</v>
      </c>
      <c r="AM47" s="104"/>
    </row>
    <row r="48" spans="2:39" ht="15.75" customHeight="1">
      <c r="B48" s="201"/>
      <c r="C48" s="189"/>
      <c r="D48" s="189"/>
      <c r="E48" s="209"/>
      <c r="F48" s="32"/>
      <c r="G48" s="32"/>
      <c r="H48" s="465">
        <f t="shared" si="0"/>
        <v>0</v>
      </c>
      <c r="I48" s="482"/>
      <c r="J48" s="467" t="str">
        <f t="shared" si="1"/>
        <v/>
      </c>
      <c r="K48" s="468"/>
      <c r="L48" s="461">
        <f>IF(ISERROR(IF(C48&gt;0,IF(OR(C48&gt;$Y$12,E48=Drop!A$13),0,J48*$Y$12),0)),Drop!A$219,IF(C48&gt;0,IF(OR(C48&gt;$Y$12,E48=Drop!A$13),0,J48*$Y$12),0))</f>
        <v>0</v>
      </c>
      <c r="M48" s="461"/>
      <c r="N48" s="462"/>
      <c r="O48" s="405">
        <f>IF(ISERROR(IF(OR(C48&gt;$Y$12,E48=Drop!A$13),H48,0)),Drop!A$219,IF(OR(C48&gt;$Y$12,E48=Drop!A$13),H48,0))</f>
        <v>0</v>
      </c>
      <c r="P48" s="463"/>
      <c r="Q48" s="464"/>
      <c r="S48" s="74"/>
      <c r="T48" s="32"/>
      <c r="U48" s="32"/>
      <c r="V48" s="32"/>
      <c r="W48" s="32"/>
      <c r="X48" s="32"/>
      <c r="Y48" s="32"/>
      <c r="Z48" s="32"/>
      <c r="AA48" s="32"/>
      <c r="AB48" s="73"/>
      <c r="AF48" s="192">
        <f t="shared" si="5"/>
        <v>11</v>
      </c>
      <c r="AG48" s="192" t="e">
        <f t="shared" si="2"/>
        <v>#N/A</v>
      </c>
      <c r="AH48" s="192" t="e">
        <f t="shared" si="3"/>
        <v>#N/A</v>
      </c>
      <c r="AI48" s="192">
        <f t="shared" si="6"/>
        <v>0</v>
      </c>
      <c r="AJ48" s="101">
        <f t="shared" si="4"/>
        <v>1</v>
      </c>
      <c r="AK48" s="102">
        <f t="shared" si="7"/>
        <v>0</v>
      </c>
      <c r="AL48" s="103" t="e">
        <f t="shared" si="8"/>
        <v>#N/A</v>
      </c>
      <c r="AM48" s="104"/>
    </row>
    <row r="49" spans="2:39" ht="15.75" customHeight="1">
      <c r="B49" s="201"/>
      <c r="C49" s="189"/>
      <c r="D49" s="189"/>
      <c r="E49" s="209"/>
      <c r="F49" s="32"/>
      <c r="G49" s="32"/>
      <c r="H49" s="469">
        <f t="shared" si="0"/>
        <v>0</v>
      </c>
      <c r="I49" s="470"/>
      <c r="J49" s="471" t="str">
        <f t="shared" si="1"/>
        <v/>
      </c>
      <c r="K49" s="472"/>
      <c r="L49" s="461">
        <f>IF(ISERROR(IF(C49&gt;0,IF(OR(C49&gt;$Y$12,E49=Drop!A$13),0,J49*$Y$12),0)),Drop!A$219,IF(C49&gt;0,IF(OR(C49&gt;$Y$12,E49=Drop!A$13),0,J49*$Y$12),0))</f>
        <v>0</v>
      </c>
      <c r="M49" s="461"/>
      <c r="N49" s="462"/>
      <c r="O49" s="405">
        <f>IF(ISERROR(IF(OR(C49&gt;$Y$12,E49=Drop!A$13),H49,0)),Drop!A$219,IF(OR(C49&gt;$Y$12,E49=Drop!A$13),H49,0))</f>
        <v>0</v>
      </c>
      <c r="P49" s="463"/>
      <c r="Q49" s="464"/>
      <c r="S49" s="74"/>
      <c r="T49" s="32"/>
      <c r="U49" s="32"/>
      <c r="V49" s="32"/>
      <c r="W49" s="32"/>
      <c r="X49" s="32"/>
      <c r="Y49" s="32"/>
      <c r="Z49" s="32"/>
      <c r="AA49" s="32"/>
      <c r="AB49" s="73"/>
      <c r="AF49" s="192">
        <f t="shared" si="5"/>
        <v>12</v>
      </c>
      <c r="AG49" s="192" t="e">
        <f t="shared" si="2"/>
        <v>#N/A</v>
      </c>
      <c r="AH49" s="192" t="e">
        <f t="shared" si="3"/>
        <v>#N/A</v>
      </c>
      <c r="AI49" s="192">
        <f t="shared" si="6"/>
        <v>0</v>
      </c>
      <c r="AJ49" s="101">
        <f t="shared" si="4"/>
        <v>1</v>
      </c>
      <c r="AK49" s="102">
        <f t="shared" si="7"/>
        <v>0</v>
      </c>
      <c r="AL49" s="103" t="e">
        <f t="shared" si="8"/>
        <v>#N/A</v>
      </c>
      <c r="AM49" s="104"/>
    </row>
    <row r="50" spans="2:39" ht="15.75" customHeight="1">
      <c r="B50" s="201"/>
      <c r="C50" s="189"/>
      <c r="D50" s="189"/>
      <c r="E50" s="209"/>
      <c r="F50" s="32"/>
      <c r="G50" s="32"/>
      <c r="H50" s="465">
        <f t="shared" si="0"/>
        <v>0</v>
      </c>
      <c r="I50" s="482"/>
      <c r="J50" s="467" t="str">
        <f t="shared" si="1"/>
        <v/>
      </c>
      <c r="K50" s="468"/>
      <c r="L50" s="461">
        <f>IF(ISERROR(IF(C50&gt;0,IF(OR(C50&gt;$Y$12,E50=Drop!A$13),0,J50*$Y$12),0)),Drop!A$219,IF(C50&gt;0,IF(OR(C50&gt;$Y$12,E50=Drop!A$13),0,J50*$Y$12),0))</f>
        <v>0</v>
      </c>
      <c r="M50" s="461"/>
      <c r="N50" s="462"/>
      <c r="O50" s="405">
        <f>IF(ISERROR(IF(OR(C50&gt;$Y$12,E50=Drop!A$13),H50,0)),Drop!A$219,IF(OR(C50&gt;$Y$12,E50=Drop!A$13),H50,0))</f>
        <v>0</v>
      </c>
      <c r="P50" s="463"/>
      <c r="Q50" s="464"/>
      <c r="S50" s="74"/>
      <c r="T50" s="32"/>
      <c r="U50" s="32"/>
      <c r="V50" s="32"/>
      <c r="W50" s="32"/>
      <c r="X50" s="32"/>
      <c r="Y50" s="32"/>
      <c r="Z50" s="32"/>
      <c r="AA50" s="32"/>
      <c r="AB50" s="73"/>
      <c r="AF50" s="192">
        <f t="shared" si="5"/>
        <v>13</v>
      </c>
      <c r="AG50" s="192" t="e">
        <f t="shared" si="2"/>
        <v>#N/A</v>
      </c>
      <c r="AH50" s="192" t="e">
        <f t="shared" si="3"/>
        <v>#N/A</v>
      </c>
      <c r="AI50" s="192">
        <f t="shared" si="6"/>
        <v>0</v>
      </c>
      <c r="AJ50" s="101">
        <f t="shared" si="4"/>
        <v>1</v>
      </c>
      <c r="AK50" s="102">
        <f t="shared" si="7"/>
        <v>0</v>
      </c>
      <c r="AL50" s="103" t="e">
        <f t="shared" si="8"/>
        <v>#N/A</v>
      </c>
      <c r="AM50" s="104"/>
    </row>
    <row r="51" spans="2:39" ht="15.75" customHeight="1">
      <c r="B51" s="201"/>
      <c r="C51" s="189"/>
      <c r="D51" s="189"/>
      <c r="E51" s="209"/>
      <c r="F51" s="32"/>
      <c r="G51" s="32"/>
      <c r="H51" s="478">
        <f t="shared" si="0"/>
        <v>0</v>
      </c>
      <c r="I51" s="479"/>
      <c r="J51" s="480" t="str">
        <f t="shared" si="1"/>
        <v/>
      </c>
      <c r="K51" s="481"/>
      <c r="L51" s="461">
        <f>IF(ISERROR(IF(C51&gt;0,IF(OR(C51&gt;$Y$12,E51=Drop!A$13),0,J51*$Y$12),0)),Drop!A$219,IF(C51&gt;0,IF(OR(C51&gt;$Y$12,E51=Drop!A$13),0,J51*$Y$12),0))</f>
        <v>0</v>
      </c>
      <c r="M51" s="461"/>
      <c r="N51" s="462"/>
      <c r="O51" s="405">
        <f>IF(ISERROR(IF(OR(C51&gt;$Y$12,E51=Drop!A$13),H51,0)),Drop!A$219,IF(OR(C51&gt;$Y$12,E51=Drop!A$13),H51,0))</f>
        <v>0</v>
      </c>
      <c r="P51" s="463"/>
      <c r="Q51" s="464"/>
      <c r="S51" s="74"/>
      <c r="T51" s="32"/>
      <c r="U51" s="32"/>
      <c r="V51" s="32"/>
      <c r="W51" s="32"/>
      <c r="X51" s="32"/>
      <c r="Y51" s="32"/>
      <c r="Z51" s="32"/>
      <c r="AA51" s="32"/>
      <c r="AB51" s="73"/>
      <c r="AF51" s="192">
        <f t="shared" si="5"/>
        <v>14</v>
      </c>
      <c r="AG51" s="192" t="e">
        <f t="shared" si="2"/>
        <v>#N/A</v>
      </c>
      <c r="AH51" s="192" t="e">
        <f t="shared" si="3"/>
        <v>#N/A</v>
      </c>
      <c r="AI51" s="192">
        <f t="shared" si="6"/>
        <v>0</v>
      </c>
      <c r="AJ51" s="101">
        <f t="shared" si="4"/>
        <v>1</v>
      </c>
      <c r="AK51" s="102">
        <f t="shared" si="7"/>
        <v>0</v>
      </c>
      <c r="AL51" s="103" t="e">
        <f t="shared" si="8"/>
        <v>#N/A</v>
      </c>
      <c r="AM51" s="104"/>
    </row>
    <row r="52" spans="2:39" ht="15.75" customHeight="1">
      <c r="B52" s="201"/>
      <c r="C52" s="189"/>
      <c r="D52" s="189"/>
      <c r="E52" s="209"/>
      <c r="F52" s="32"/>
      <c r="G52" s="32"/>
      <c r="H52" s="469">
        <f t="shared" si="0"/>
        <v>0</v>
      </c>
      <c r="I52" s="470"/>
      <c r="J52" s="471" t="str">
        <f t="shared" si="1"/>
        <v/>
      </c>
      <c r="K52" s="472"/>
      <c r="L52" s="460">
        <f>IF(ISERROR(IF(C52&gt;0,IF(OR(C52&gt;$Y$12,E52=Drop!A$13),0,J52*$Y$12),0)),Drop!A$219,IF(C52&gt;0,IF(OR(C52&gt;$Y$12,E52=Drop!A$13),0,J52*$Y$12),0))</f>
        <v>0</v>
      </c>
      <c r="M52" s="461"/>
      <c r="N52" s="462"/>
      <c r="O52" s="405">
        <f>IF(ISERROR(IF(OR(C52&gt;$Y$12,E52=Drop!A$13),H52,0)),Drop!A$219,IF(OR(C52&gt;$Y$12,E52=Drop!A$13),H52,0))</f>
        <v>0</v>
      </c>
      <c r="P52" s="463"/>
      <c r="Q52" s="464"/>
      <c r="S52" s="74"/>
      <c r="T52" s="32"/>
      <c r="U52" s="32"/>
      <c r="V52" s="32"/>
      <c r="W52" s="32"/>
      <c r="X52" s="32"/>
      <c r="Y52" s="32"/>
      <c r="Z52" s="32"/>
      <c r="AA52" s="32"/>
      <c r="AB52" s="73"/>
      <c r="AF52" s="192">
        <f t="shared" si="5"/>
        <v>15</v>
      </c>
      <c r="AG52" s="192" t="e">
        <f t="shared" si="2"/>
        <v>#N/A</v>
      </c>
      <c r="AH52" s="192" t="e">
        <f t="shared" si="3"/>
        <v>#N/A</v>
      </c>
      <c r="AI52" s="192">
        <f t="shared" si="6"/>
        <v>0</v>
      </c>
      <c r="AJ52" s="101">
        <f t="shared" si="4"/>
        <v>1</v>
      </c>
      <c r="AK52" s="102">
        <f t="shared" si="7"/>
        <v>0</v>
      </c>
      <c r="AL52" s="103" t="e">
        <f t="shared" si="8"/>
        <v>#N/A</v>
      </c>
      <c r="AM52" s="104"/>
    </row>
    <row r="53" spans="2:39" ht="15.75" customHeight="1">
      <c r="B53" s="201"/>
      <c r="C53" s="189"/>
      <c r="D53" s="189"/>
      <c r="E53" s="209"/>
      <c r="F53" s="32"/>
      <c r="G53" s="32"/>
      <c r="H53" s="465">
        <f t="shared" si="0"/>
        <v>0</v>
      </c>
      <c r="I53" s="466"/>
      <c r="J53" s="467" t="str">
        <f t="shared" si="1"/>
        <v/>
      </c>
      <c r="K53" s="468"/>
      <c r="L53" s="460">
        <f>IF(ISERROR(IF(C53&gt;0,IF(OR(C53&gt;$Y$12,E53=Drop!A$13),0,J53*$Y$12),0)),Drop!A$219,IF(C53&gt;0,IF(OR(C53&gt;$Y$12,E53=Drop!A$13),0,J53*$Y$12),0))</f>
        <v>0</v>
      </c>
      <c r="M53" s="461"/>
      <c r="N53" s="462"/>
      <c r="O53" s="405">
        <f>IF(ISERROR(IF(OR(C53&gt;$Y$12,E53=Drop!A$13),H53,0)),Drop!A$219,IF(OR(C53&gt;$Y$12,E53=Drop!A$13),H53,0))</f>
        <v>0</v>
      </c>
      <c r="P53" s="463"/>
      <c r="Q53" s="464"/>
      <c r="S53" s="74"/>
      <c r="T53" s="32"/>
      <c r="U53" s="32"/>
      <c r="V53" s="32"/>
      <c r="W53" s="32"/>
      <c r="X53" s="32"/>
      <c r="Y53" s="32"/>
      <c r="Z53" s="32"/>
      <c r="AA53" s="32"/>
      <c r="AB53" s="73"/>
      <c r="AF53" s="192">
        <f t="shared" si="5"/>
        <v>16</v>
      </c>
      <c r="AG53" s="192" t="e">
        <f t="shared" si="2"/>
        <v>#N/A</v>
      </c>
      <c r="AH53" s="192" t="e">
        <f t="shared" si="3"/>
        <v>#N/A</v>
      </c>
      <c r="AI53" s="192">
        <f t="shared" si="6"/>
        <v>0</v>
      </c>
      <c r="AJ53" s="101">
        <f t="shared" si="4"/>
        <v>1</v>
      </c>
      <c r="AK53" s="102">
        <f t="shared" si="7"/>
        <v>0</v>
      </c>
      <c r="AL53" s="103" t="e">
        <f t="shared" si="8"/>
        <v>#N/A</v>
      </c>
      <c r="AM53" s="104"/>
    </row>
    <row r="54" spans="2:39" ht="15.75" customHeight="1">
      <c r="B54" s="201"/>
      <c r="C54" s="189"/>
      <c r="D54" s="189"/>
      <c r="E54" s="209"/>
      <c r="F54" s="32"/>
      <c r="G54" s="32"/>
      <c r="H54" s="469">
        <f t="shared" si="0"/>
        <v>0</v>
      </c>
      <c r="I54" s="470"/>
      <c r="J54" s="471" t="str">
        <f t="shared" si="1"/>
        <v/>
      </c>
      <c r="K54" s="472"/>
      <c r="L54" s="460">
        <f>IF(ISERROR(IF(C54&gt;0,IF(OR(C54&gt;$Y$12,E54=Drop!A$13),0,J54*$Y$12),0)),Drop!A$219,IF(C54&gt;0,IF(OR(C54&gt;$Y$12,E54=Drop!A$13),0,J54*$Y$12),0))</f>
        <v>0</v>
      </c>
      <c r="M54" s="461"/>
      <c r="N54" s="462"/>
      <c r="O54" s="405">
        <f>IF(ISERROR(IF(OR(C54&gt;$Y$12,E54=Drop!A$13),H54,0)),Drop!A$219,IF(OR(C54&gt;$Y$12,E54=Drop!A$13),H54,0))</f>
        <v>0</v>
      </c>
      <c r="P54" s="463"/>
      <c r="Q54" s="464"/>
      <c r="S54" s="74"/>
      <c r="T54" s="32"/>
      <c r="U54" s="32"/>
      <c r="V54" s="32"/>
      <c r="W54" s="32"/>
      <c r="X54" s="32"/>
      <c r="Y54" s="32"/>
      <c r="Z54" s="32"/>
      <c r="AA54" s="32"/>
      <c r="AB54" s="73"/>
      <c r="AF54" s="192">
        <f t="shared" si="5"/>
        <v>17</v>
      </c>
      <c r="AG54" s="192" t="e">
        <f t="shared" si="2"/>
        <v>#N/A</v>
      </c>
      <c r="AH54" s="192" t="e">
        <f t="shared" si="3"/>
        <v>#N/A</v>
      </c>
      <c r="AI54" s="192">
        <f t="shared" si="6"/>
        <v>0</v>
      </c>
      <c r="AJ54" s="101">
        <f t="shared" si="4"/>
        <v>1</v>
      </c>
      <c r="AK54" s="102">
        <f t="shared" si="7"/>
        <v>0</v>
      </c>
      <c r="AL54" s="103" t="e">
        <f t="shared" si="8"/>
        <v>#N/A</v>
      </c>
      <c r="AM54" s="104"/>
    </row>
    <row r="55" spans="2:39" ht="15.75" customHeight="1">
      <c r="B55" s="201"/>
      <c r="C55" s="189"/>
      <c r="D55" s="189"/>
      <c r="E55" s="209"/>
      <c r="F55" s="32"/>
      <c r="G55" s="32"/>
      <c r="H55" s="465">
        <f t="shared" si="0"/>
        <v>0</v>
      </c>
      <c r="I55" s="466"/>
      <c r="J55" s="467" t="str">
        <f t="shared" si="1"/>
        <v/>
      </c>
      <c r="K55" s="468"/>
      <c r="L55" s="460">
        <f>IF(ISERROR(IF(C55&gt;0,IF(OR(C55&gt;$Y$12,E55=Drop!A$13),0,J55*$Y$12),0)),Drop!A$219,IF(C55&gt;0,IF(OR(C55&gt;$Y$12,E55=Drop!A$13),0,J55*$Y$12),0))</f>
        <v>0</v>
      </c>
      <c r="M55" s="461"/>
      <c r="N55" s="462"/>
      <c r="O55" s="405">
        <f>IF(ISERROR(IF(OR(C55&gt;$Y$12,E55=Drop!A$13),H55,0)),Drop!A$219,IF(OR(C55&gt;$Y$12,E55=Drop!A$13),H55,0))</f>
        <v>0</v>
      </c>
      <c r="P55" s="463"/>
      <c r="Q55" s="464"/>
      <c r="S55" s="74"/>
      <c r="T55" s="32"/>
      <c r="U55" s="32"/>
      <c r="V55" s="32"/>
      <c r="W55" s="32"/>
      <c r="X55" s="32"/>
      <c r="Y55" s="32"/>
      <c r="Z55" s="32"/>
      <c r="AA55" s="32"/>
      <c r="AB55" s="73"/>
      <c r="AF55" s="192">
        <f t="shared" si="5"/>
        <v>18</v>
      </c>
      <c r="AG55" s="192" t="e">
        <f t="shared" si="2"/>
        <v>#N/A</v>
      </c>
      <c r="AH55" s="192" t="e">
        <f t="shared" si="3"/>
        <v>#N/A</v>
      </c>
      <c r="AI55" s="192">
        <f t="shared" si="6"/>
        <v>0</v>
      </c>
      <c r="AJ55" s="101">
        <f t="shared" si="4"/>
        <v>1</v>
      </c>
      <c r="AK55" s="102">
        <f t="shared" si="7"/>
        <v>0</v>
      </c>
      <c r="AL55" s="103" t="e">
        <f t="shared" si="8"/>
        <v>#N/A</v>
      </c>
      <c r="AM55" s="104"/>
    </row>
    <row r="56" spans="2:39" ht="15.75" customHeight="1">
      <c r="B56" s="201"/>
      <c r="C56" s="189"/>
      <c r="D56" s="189"/>
      <c r="E56" s="209"/>
      <c r="F56" s="32"/>
      <c r="G56" s="32"/>
      <c r="H56" s="478">
        <f t="shared" si="0"/>
        <v>0</v>
      </c>
      <c r="I56" s="479"/>
      <c r="J56" s="480" t="str">
        <f t="shared" si="1"/>
        <v/>
      </c>
      <c r="K56" s="481"/>
      <c r="L56" s="460">
        <f>IF(ISERROR(IF(C56&gt;0,IF(OR(C56&gt;$Y$12,E56=Drop!A$13),0,J56*$Y$12),0)),Drop!A$219,IF(C56&gt;0,IF(OR(C56&gt;$Y$12,E56=Drop!A$13),0,J56*$Y$12),0))</f>
        <v>0</v>
      </c>
      <c r="M56" s="461"/>
      <c r="N56" s="462"/>
      <c r="O56" s="405">
        <f>IF(ISERROR(IF(OR(C56&gt;$Y$12,E56=Drop!A$13),H56,0)),Drop!A$219,IF(OR(C56&gt;$Y$12,E56=Drop!A$13),H56,0))</f>
        <v>0</v>
      </c>
      <c r="P56" s="463"/>
      <c r="Q56" s="464"/>
      <c r="S56" s="74"/>
      <c r="T56" s="32"/>
      <c r="U56" s="32"/>
      <c r="V56" s="32"/>
      <c r="W56" s="32"/>
      <c r="X56" s="32"/>
      <c r="Y56" s="32"/>
      <c r="Z56" s="32"/>
      <c r="AA56" s="32"/>
      <c r="AB56" s="73"/>
      <c r="AF56" s="192">
        <f t="shared" si="5"/>
        <v>19</v>
      </c>
      <c r="AG56" s="192" t="e">
        <f t="shared" si="2"/>
        <v>#N/A</v>
      </c>
      <c r="AH56" s="192" t="e">
        <f t="shared" si="3"/>
        <v>#N/A</v>
      </c>
      <c r="AI56" s="192">
        <f t="shared" si="6"/>
        <v>0</v>
      </c>
      <c r="AJ56" s="101">
        <f t="shared" si="4"/>
        <v>1</v>
      </c>
      <c r="AK56" s="102">
        <f t="shared" si="7"/>
        <v>0</v>
      </c>
      <c r="AL56" s="103" t="e">
        <f t="shared" si="8"/>
        <v>#N/A</v>
      </c>
      <c r="AM56" s="104"/>
    </row>
    <row r="57" spans="2:39" ht="15.75" customHeight="1" thickBot="1">
      <c r="B57" s="74"/>
      <c r="C57" s="473" t="str">
        <f>Drop!A153</f>
        <v>推断总体错报金额</v>
      </c>
      <c r="D57" s="473"/>
      <c r="E57" s="473"/>
      <c r="F57" s="474"/>
      <c r="G57" s="32"/>
      <c r="H57" s="475">
        <f>SUM(H37:I56)</f>
        <v>0</v>
      </c>
      <c r="I57" s="476"/>
      <c r="J57" s="32"/>
      <c r="K57" s="32"/>
      <c r="L57" s="460">
        <f>SUM(L37:N56)</f>
        <v>0</v>
      </c>
      <c r="M57" s="461"/>
      <c r="N57" s="462"/>
      <c r="O57" s="401">
        <f>SUM(O37:Q56)</f>
        <v>0</v>
      </c>
      <c r="P57" s="477"/>
      <c r="Q57" s="402"/>
      <c r="S57" s="74" t="str">
        <f>Drop!A162</f>
        <v>结果:</v>
      </c>
      <c r="T57" s="106"/>
      <c r="U57" s="106"/>
      <c r="V57" s="106"/>
      <c r="W57" s="106"/>
      <c r="X57" s="106"/>
      <c r="Y57" s="106"/>
      <c r="Z57" s="106"/>
      <c r="AA57" s="106"/>
      <c r="AB57" s="107"/>
      <c r="AF57" s="192">
        <f t="shared" si="5"/>
        <v>20</v>
      </c>
      <c r="AG57" s="192" t="e">
        <f t="shared" si="2"/>
        <v>#N/A</v>
      </c>
      <c r="AH57" s="192" t="e">
        <f>AG57-AG56</f>
        <v>#N/A</v>
      </c>
      <c r="AI57" s="192">
        <f t="shared" si="6"/>
        <v>0</v>
      </c>
      <c r="AJ57" s="101">
        <f t="shared" si="4"/>
        <v>1</v>
      </c>
      <c r="AK57" s="102">
        <f t="shared" si="7"/>
        <v>0</v>
      </c>
      <c r="AL57" s="103" t="e">
        <f t="shared" si="8"/>
        <v>#N/A</v>
      </c>
      <c r="AM57" s="104"/>
    </row>
    <row r="58" spans="2:39" ht="15.75" customHeight="1">
      <c r="B58" s="74"/>
      <c r="C58" s="32"/>
      <c r="D58" s="32"/>
      <c r="E58" s="32"/>
      <c r="F58" s="32"/>
      <c r="G58" s="32"/>
      <c r="H58" s="32"/>
      <c r="I58" s="33" t="str">
        <f>Drop!A154</f>
        <v>(实际)</v>
      </c>
      <c r="J58" s="32"/>
      <c r="K58" s="32"/>
      <c r="L58" s="444">
        <f>IF(ISERROR(SUM(L57:Q57)),Drop!A219,SUM(L57:Q57))</f>
        <v>0</v>
      </c>
      <c r="M58" s="445"/>
      <c r="N58" s="445"/>
      <c r="O58" s="445"/>
      <c r="P58" s="445"/>
      <c r="Q58" s="446"/>
      <c r="S58" s="447" t="str">
        <f>IF(ISERROR(IF(AG74=TRUE,Drop!A71,Drop!A72)),Drop!A219,IF(AG74=TRUE,Drop!A71,Drop!A72))</f>
        <v>核实所有输入</v>
      </c>
      <c r="T58" s="448"/>
      <c r="U58" s="448"/>
      <c r="V58" s="448"/>
      <c r="W58" s="448"/>
      <c r="X58" s="448"/>
      <c r="Y58" s="448"/>
      <c r="Z58" s="448"/>
      <c r="AA58" s="448"/>
      <c r="AB58" s="449"/>
    </row>
    <row r="59" spans="2:39" ht="27.6" customHeight="1">
      <c r="B59" s="74"/>
      <c r="C59" s="32"/>
      <c r="D59" s="32"/>
      <c r="E59" s="32"/>
      <c r="F59" s="32"/>
      <c r="G59" s="32"/>
      <c r="H59" s="32"/>
      <c r="I59" s="32"/>
      <c r="J59" s="32"/>
      <c r="K59" s="32"/>
      <c r="L59" s="32"/>
      <c r="M59" s="32"/>
      <c r="N59" s="32"/>
      <c r="O59" s="32"/>
      <c r="P59" s="32"/>
      <c r="Q59" s="108" t="str">
        <f>Drop!A155</f>
        <v>(合计推断金额)</v>
      </c>
      <c r="S59" s="450"/>
      <c r="T59" s="451"/>
      <c r="U59" s="451"/>
      <c r="V59" s="451"/>
      <c r="W59" s="451"/>
      <c r="X59" s="451"/>
      <c r="Y59" s="451"/>
      <c r="Z59" s="451"/>
      <c r="AA59" s="451"/>
      <c r="AB59" s="452"/>
      <c r="AF59" s="96" t="s">
        <v>59</v>
      </c>
      <c r="AL59" s="90" t="e">
        <f>SUM(AL38:AL57)</f>
        <v>#N/A</v>
      </c>
    </row>
    <row r="60" spans="2:39" ht="26.25" customHeight="1">
      <c r="B60" s="74"/>
      <c r="C60" s="109"/>
      <c r="D60" s="109"/>
      <c r="E60" s="109"/>
      <c r="F60" s="109"/>
      <c r="G60" s="109"/>
      <c r="H60" s="109"/>
      <c r="I60" s="109"/>
      <c r="J60" s="32"/>
      <c r="K60" s="32"/>
      <c r="L60" s="32"/>
      <c r="M60" s="32"/>
      <c r="N60" s="32"/>
      <c r="O60" s="32"/>
      <c r="P60" s="32"/>
      <c r="Q60" s="73"/>
      <c r="S60" s="450" t="str">
        <f>IF(ISERROR(IF(AG76=TRUE,Drop!A75,"")),Drop!A219,IF(AG76=TRUE,Drop!A75,""))</f>
        <v>核实所有输入</v>
      </c>
      <c r="T60" s="451"/>
      <c r="U60" s="451"/>
      <c r="V60" s="451"/>
      <c r="W60" s="451"/>
      <c r="X60" s="451"/>
      <c r="Y60" s="451"/>
      <c r="Z60" s="451"/>
      <c r="AA60" s="451"/>
      <c r="AB60" s="452"/>
      <c r="AF60" s="35" t="s">
        <v>60</v>
      </c>
      <c r="AL60" s="90">
        <f>L57</f>
        <v>0</v>
      </c>
    </row>
    <row r="61" spans="2:39" ht="45" customHeight="1">
      <c r="B61" s="74"/>
      <c r="C61" s="32"/>
      <c r="D61" s="32"/>
      <c r="E61" s="32"/>
      <c r="F61" s="32"/>
      <c r="G61" s="32"/>
      <c r="H61" s="453" t="str">
        <f>IF(AG33=TRUE,Drop!A83,"")</f>
        <v/>
      </c>
      <c r="I61" s="453"/>
      <c r="J61" s="453"/>
      <c r="K61" s="453"/>
      <c r="L61" s="453"/>
      <c r="M61" s="453"/>
      <c r="N61" s="453"/>
      <c r="O61" s="453"/>
      <c r="P61" s="453"/>
      <c r="Q61" s="454"/>
      <c r="S61" s="450"/>
      <c r="T61" s="451"/>
      <c r="U61" s="451"/>
      <c r="V61" s="451"/>
      <c r="W61" s="451"/>
      <c r="X61" s="451"/>
      <c r="Y61" s="451"/>
      <c r="Z61" s="451"/>
      <c r="AA61" s="451"/>
      <c r="AB61" s="452"/>
      <c r="AF61" s="35" t="s">
        <v>61</v>
      </c>
      <c r="AL61" s="90" t="e">
        <f>AL59-AL60</f>
        <v>#N/A</v>
      </c>
    </row>
    <row r="62" spans="2:39" ht="26.25" customHeight="1">
      <c r="B62" s="74"/>
      <c r="C62" s="32"/>
      <c r="D62" s="32"/>
      <c r="E62" s="32"/>
      <c r="F62" s="32"/>
      <c r="G62" s="32"/>
      <c r="H62" s="453"/>
      <c r="I62" s="453"/>
      <c r="J62" s="453"/>
      <c r="K62" s="453"/>
      <c r="L62" s="453"/>
      <c r="M62" s="453"/>
      <c r="N62" s="453"/>
      <c r="O62" s="453"/>
      <c r="P62" s="453"/>
      <c r="Q62" s="454"/>
      <c r="S62" s="450" t="str">
        <f>IF(ISERROR(IF(AG78=TRUE,Drop!A76,"")),Drop!A219,IF(AG78=TRUE,Drop!A76,""))</f>
        <v>核实所有输入</v>
      </c>
      <c r="T62" s="451"/>
      <c r="U62" s="451"/>
      <c r="V62" s="451"/>
      <c r="W62" s="451"/>
      <c r="X62" s="451"/>
      <c r="Y62" s="451"/>
      <c r="Z62" s="451"/>
      <c r="AA62" s="451"/>
      <c r="AB62" s="452"/>
    </row>
    <row r="63" spans="2:39" ht="80.25" customHeight="1" thickBot="1">
      <c r="B63" s="76"/>
      <c r="C63" s="77"/>
      <c r="D63" s="77"/>
      <c r="E63" s="77"/>
      <c r="F63" s="77"/>
      <c r="G63" s="77"/>
      <c r="H63" s="455"/>
      <c r="I63" s="455"/>
      <c r="J63" s="455"/>
      <c r="K63" s="455"/>
      <c r="L63" s="455"/>
      <c r="M63" s="455"/>
      <c r="N63" s="455"/>
      <c r="O63" s="455"/>
      <c r="P63" s="455"/>
      <c r="Q63" s="456"/>
      <c r="R63" s="110"/>
      <c r="S63" s="457"/>
      <c r="T63" s="458"/>
      <c r="U63" s="458"/>
      <c r="V63" s="458"/>
      <c r="W63" s="458"/>
      <c r="X63" s="458"/>
      <c r="Y63" s="458"/>
      <c r="Z63" s="458"/>
      <c r="AA63" s="458"/>
      <c r="AB63" s="459"/>
      <c r="AF63" s="36" t="s">
        <v>62</v>
      </c>
    </row>
    <row r="64" spans="2:39" ht="15" thickBot="1">
      <c r="AF64" s="111" t="s">
        <v>63</v>
      </c>
      <c r="AL64" s="90" t="e">
        <f>AG35</f>
        <v>#VALUE!</v>
      </c>
    </row>
    <row r="65" spans="2:38" ht="15" thickBot="1">
      <c r="B65" s="139" t="str">
        <f>Drop!A100</f>
        <v>步骤 8 - 记录程序的结果</v>
      </c>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c r="AA65" s="113"/>
      <c r="AB65" s="114"/>
      <c r="AF65" s="112" t="s">
        <v>64</v>
      </c>
      <c r="AL65" s="90" t="e">
        <f>AL61</f>
        <v>#N/A</v>
      </c>
    </row>
    <row r="66" spans="2:38" ht="15" customHeight="1">
      <c r="B66" s="410"/>
      <c r="C66" s="411"/>
      <c r="D66" s="411"/>
      <c r="E66" s="411"/>
      <c r="F66" s="411"/>
      <c r="G66" s="411"/>
      <c r="H66" s="411"/>
      <c r="I66" s="411"/>
      <c r="J66" s="411"/>
      <c r="K66" s="411"/>
      <c r="L66" s="411"/>
      <c r="M66" s="411"/>
      <c r="N66" s="411"/>
      <c r="O66" s="411"/>
      <c r="P66" s="411"/>
      <c r="Q66" s="411"/>
      <c r="R66" s="411"/>
      <c r="S66" s="411"/>
      <c r="T66" s="411"/>
      <c r="U66" s="411"/>
      <c r="V66" s="411"/>
      <c r="W66" s="411"/>
      <c r="X66" s="411"/>
      <c r="Y66" s="411"/>
      <c r="Z66" s="411"/>
      <c r="AA66" s="411"/>
      <c r="AB66" s="412"/>
      <c r="AF66" s="35" t="s">
        <v>62</v>
      </c>
      <c r="AL66" s="90" t="e">
        <f>AL64+AL65</f>
        <v>#VALUE!</v>
      </c>
    </row>
    <row r="67" spans="2:38">
      <c r="B67" s="413"/>
      <c r="C67" s="414"/>
      <c r="D67" s="414"/>
      <c r="E67" s="414"/>
      <c r="F67" s="414"/>
      <c r="G67" s="414"/>
      <c r="H67" s="414"/>
      <c r="I67" s="414"/>
      <c r="J67" s="414"/>
      <c r="K67" s="414"/>
      <c r="L67" s="414"/>
      <c r="M67" s="414"/>
      <c r="N67" s="414"/>
      <c r="O67" s="414"/>
      <c r="P67" s="414"/>
      <c r="Q67" s="414"/>
      <c r="R67" s="414"/>
      <c r="S67" s="414"/>
      <c r="T67" s="414"/>
      <c r="U67" s="414"/>
      <c r="V67" s="414"/>
      <c r="W67" s="414"/>
      <c r="X67" s="414"/>
      <c r="Y67" s="414"/>
      <c r="Z67" s="414"/>
      <c r="AA67" s="414"/>
      <c r="AB67" s="415"/>
      <c r="AL67" s="43"/>
    </row>
    <row r="68" spans="2:38" ht="14.25">
      <c r="B68" s="413"/>
      <c r="C68" s="414"/>
      <c r="D68" s="414"/>
      <c r="E68" s="414"/>
      <c r="F68" s="414"/>
      <c r="G68" s="414"/>
      <c r="H68" s="414"/>
      <c r="I68" s="414"/>
      <c r="J68" s="414"/>
      <c r="K68" s="414"/>
      <c r="L68" s="414"/>
      <c r="M68" s="414"/>
      <c r="N68" s="414"/>
      <c r="O68" s="414"/>
      <c r="P68" s="414"/>
      <c r="Q68" s="414"/>
      <c r="R68" s="414"/>
      <c r="S68" s="414"/>
      <c r="T68" s="414"/>
      <c r="U68" s="414"/>
      <c r="V68" s="414"/>
      <c r="W68" s="414"/>
      <c r="X68" s="414"/>
      <c r="Y68" s="414"/>
      <c r="Z68" s="414"/>
      <c r="AA68" s="414"/>
      <c r="AB68" s="415"/>
      <c r="AF68" s="115" t="s">
        <v>65</v>
      </c>
      <c r="AG68" s="111"/>
      <c r="AH68" s="111"/>
      <c r="AI68" s="111"/>
      <c r="AJ68" s="111"/>
      <c r="AK68" s="111"/>
      <c r="AL68" s="43"/>
    </row>
    <row r="69" spans="2:38" ht="14.25">
      <c r="B69" s="413"/>
      <c r="C69" s="414"/>
      <c r="D69" s="414"/>
      <c r="E69" s="414"/>
      <c r="F69" s="414"/>
      <c r="G69" s="414"/>
      <c r="H69" s="414"/>
      <c r="I69" s="414"/>
      <c r="J69" s="414"/>
      <c r="K69" s="414"/>
      <c r="L69" s="414"/>
      <c r="M69" s="414"/>
      <c r="N69" s="414"/>
      <c r="O69" s="414"/>
      <c r="P69" s="414"/>
      <c r="Q69" s="414"/>
      <c r="R69" s="414"/>
      <c r="S69" s="414"/>
      <c r="T69" s="414"/>
      <c r="U69" s="414"/>
      <c r="V69" s="414"/>
      <c r="W69" s="414"/>
      <c r="X69" s="414"/>
      <c r="Y69" s="414"/>
      <c r="Z69" s="414"/>
      <c r="AA69" s="414"/>
      <c r="AB69" s="415"/>
      <c r="AF69" s="111" t="s">
        <v>63</v>
      </c>
      <c r="AG69" s="111"/>
      <c r="AH69" s="111"/>
      <c r="AI69" s="111"/>
      <c r="AJ69" s="111"/>
      <c r="AK69" s="111"/>
      <c r="AL69" s="90" t="e">
        <f>AG35</f>
        <v>#VALUE!</v>
      </c>
    </row>
    <row r="70" spans="2:38" ht="15" thickBot="1">
      <c r="B70" s="416"/>
      <c r="C70" s="417"/>
      <c r="D70" s="417"/>
      <c r="E70" s="417"/>
      <c r="F70" s="417"/>
      <c r="G70" s="417"/>
      <c r="H70" s="417"/>
      <c r="I70" s="417"/>
      <c r="J70" s="417"/>
      <c r="K70" s="417"/>
      <c r="L70" s="417"/>
      <c r="M70" s="417"/>
      <c r="N70" s="417"/>
      <c r="O70" s="417"/>
      <c r="P70" s="417"/>
      <c r="Q70" s="417"/>
      <c r="R70" s="417"/>
      <c r="S70" s="417"/>
      <c r="T70" s="417"/>
      <c r="U70" s="417"/>
      <c r="V70" s="417"/>
      <c r="W70" s="417"/>
      <c r="X70" s="417"/>
      <c r="Y70" s="417"/>
      <c r="Z70" s="417"/>
      <c r="AA70" s="417"/>
      <c r="AB70" s="418"/>
      <c r="AF70" s="112" t="s">
        <v>66</v>
      </c>
      <c r="AG70" s="111"/>
      <c r="AH70" s="111"/>
      <c r="AI70" s="111"/>
      <c r="AJ70" s="111"/>
      <c r="AK70" s="111"/>
      <c r="AL70" s="90" t="e">
        <f>AL59</f>
        <v>#N/A</v>
      </c>
    </row>
    <row r="71" spans="2:38" ht="14.25">
      <c r="AF71" s="112" t="s">
        <v>67</v>
      </c>
      <c r="AG71" s="111"/>
      <c r="AH71" s="111"/>
      <c r="AI71" s="111"/>
      <c r="AJ71" s="111"/>
      <c r="AK71" s="111"/>
      <c r="AL71" s="90">
        <f>O57</f>
        <v>0</v>
      </c>
    </row>
    <row r="72" spans="2:38">
      <c r="AF72" s="35" t="s">
        <v>65</v>
      </c>
      <c r="AL72" s="90" t="e">
        <f>SUM(AL69:AL71)</f>
        <v>#VALUE!</v>
      </c>
    </row>
    <row r="73" spans="2:38">
      <c r="AF73" s="35" t="s">
        <v>103</v>
      </c>
      <c r="AL73" s="116" t="e">
        <f>ABS(AL72)</f>
        <v>#VALUE!</v>
      </c>
    </row>
    <row r="74" spans="2:38">
      <c r="AF74" s="35" t="s">
        <v>75</v>
      </c>
      <c r="AG74" s="43" t="e">
        <f>IF(AL73&lt;L5,TRUE,FALSE)</f>
        <v>#VALUE!</v>
      </c>
    </row>
    <row r="75" spans="2:38">
      <c r="AF75" s="35" t="s">
        <v>76</v>
      </c>
      <c r="AG75" s="43" t="e">
        <f>IF((AL73-AA35)&lt;L5,TRUE,FALSE)</f>
        <v>#VALUE!</v>
      </c>
    </row>
    <row r="76" spans="2:38">
      <c r="AF76" s="35" t="s">
        <v>77</v>
      </c>
      <c r="AG76" s="43" t="e">
        <f>AND(AG74=FALSE,AG75=TRUE)</f>
        <v>#VALUE!</v>
      </c>
    </row>
    <row r="77" spans="2:38">
      <c r="AF77" s="96" t="s">
        <v>78</v>
      </c>
      <c r="AG77" s="43" t="e">
        <f>IF((AL73-L58)&lt;L5,TRUE,FALSE)</f>
        <v>#VALUE!</v>
      </c>
    </row>
    <row r="78" spans="2:38">
      <c r="AF78" s="35" t="s">
        <v>252</v>
      </c>
      <c r="AG78" s="43" t="e">
        <f>AND(AG74=FALSE,AG77=TRUE)</f>
        <v>#VALUE!</v>
      </c>
    </row>
  </sheetData>
  <sheetProtection algorithmName="SHA-512" hashValue="9qnJMxdrTNBajrRjgxKWt67kxYc0Z+N4VrJQXoSs8bdMjqGsxdPhoA0GkcwELjMTgQ+O/JUQvdDGrQIpPn+UWA==" saltValue="BIn9lBVLpVpak4SlcYKArg==" spinCount="100000" sheet="1" objects="1" scenarios="1"/>
  <mergeCells count="147">
    <mergeCell ref="L58:Q58"/>
    <mergeCell ref="S58:AB59"/>
    <mergeCell ref="S60:AB61"/>
    <mergeCell ref="H61:Q63"/>
    <mergeCell ref="S62:AB63"/>
    <mergeCell ref="B66:AB70"/>
    <mergeCell ref="H56:I56"/>
    <mergeCell ref="J56:K56"/>
    <mergeCell ref="L56:N56"/>
    <mergeCell ref="O56:Q56"/>
    <mergeCell ref="C57:F57"/>
    <mergeCell ref="H57:I57"/>
    <mergeCell ref="L57:N57"/>
    <mergeCell ref="O57:Q57"/>
    <mergeCell ref="H54:I54"/>
    <mergeCell ref="J54:K54"/>
    <mergeCell ref="L54:N54"/>
    <mergeCell ref="O54:Q54"/>
    <mergeCell ref="H55:I55"/>
    <mergeCell ref="J55:K55"/>
    <mergeCell ref="L55:N55"/>
    <mergeCell ref="O55:Q55"/>
    <mergeCell ref="H52:I52"/>
    <mergeCell ref="J52:K52"/>
    <mergeCell ref="L52:N52"/>
    <mergeCell ref="O52:Q52"/>
    <mergeCell ref="H53:I53"/>
    <mergeCell ref="J53:K53"/>
    <mergeCell ref="L53:N53"/>
    <mergeCell ref="O53:Q53"/>
    <mergeCell ref="H51:I51"/>
    <mergeCell ref="J51:K51"/>
    <mergeCell ref="L51:N51"/>
    <mergeCell ref="O51:Q51"/>
    <mergeCell ref="H48:I48"/>
    <mergeCell ref="J48:K48"/>
    <mergeCell ref="L48:N48"/>
    <mergeCell ref="O48:Q48"/>
    <mergeCell ref="H49:I49"/>
    <mergeCell ref="J49:K49"/>
    <mergeCell ref="L49:N49"/>
    <mergeCell ref="O49:Q49"/>
    <mergeCell ref="H46:I46"/>
    <mergeCell ref="J46:K46"/>
    <mergeCell ref="L46:N46"/>
    <mergeCell ref="O46:Q46"/>
    <mergeCell ref="H47:I47"/>
    <mergeCell ref="J47:K47"/>
    <mergeCell ref="L47:N47"/>
    <mergeCell ref="O47:Q47"/>
    <mergeCell ref="H50:I50"/>
    <mergeCell ref="J50:K50"/>
    <mergeCell ref="L50:N50"/>
    <mergeCell ref="O50:Q50"/>
    <mergeCell ref="U43:V45"/>
    <mergeCell ref="W43:Z45"/>
    <mergeCell ref="AA43:AB45"/>
    <mergeCell ref="H44:I44"/>
    <mergeCell ref="J44:K44"/>
    <mergeCell ref="L44:N44"/>
    <mergeCell ref="O44:Q44"/>
    <mergeCell ref="H45:I45"/>
    <mergeCell ref="J45:K45"/>
    <mergeCell ref="L45:N45"/>
    <mergeCell ref="O45:Q45"/>
    <mergeCell ref="H42:I42"/>
    <mergeCell ref="J42:K42"/>
    <mergeCell ref="L42:N42"/>
    <mergeCell ref="O42:Q42"/>
    <mergeCell ref="H43:I43"/>
    <mergeCell ref="J43:K43"/>
    <mergeCell ref="L43:N43"/>
    <mergeCell ref="O43:Q43"/>
    <mergeCell ref="S43:T45"/>
    <mergeCell ref="H41:I41"/>
    <mergeCell ref="J41:K41"/>
    <mergeCell ref="L41:N41"/>
    <mergeCell ref="O41:Q41"/>
    <mergeCell ref="AA37:AB39"/>
    <mergeCell ref="H38:I38"/>
    <mergeCell ref="J38:K38"/>
    <mergeCell ref="L38:N38"/>
    <mergeCell ref="O38:Q38"/>
    <mergeCell ref="H39:I39"/>
    <mergeCell ref="J39:K39"/>
    <mergeCell ref="L39:N39"/>
    <mergeCell ref="O39:Q39"/>
    <mergeCell ref="AA41:AB41"/>
    <mergeCell ref="AL36:AL37"/>
    <mergeCell ref="H37:I37"/>
    <mergeCell ref="J37:K37"/>
    <mergeCell ref="L37:N37"/>
    <mergeCell ref="O37:Q37"/>
    <mergeCell ref="S37:Z39"/>
    <mergeCell ref="H40:I40"/>
    <mergeCell ref="J40:K40"/>
    <mergeCell ref="L40:N40"/>
    <mergeCell ref="O40:Q40"/>
    <mergeCell ref="B28:F28"/>
    <mergeCell ref="B31:AB32"/>
    <mergeCell ref="B33:Q33"/>
    <mergeCell ref="S33:AB33"/>
    <mergeCell ref="C34:F34"/>
    <mergeCell ref="C35:C36"/>
    <mergeCell ref="D35:D36"/>
    <mergeCell ref="E35:E36"/>
    <mergeCell ref="H35:I36"/>
    <mergeCell ref="J35:K36"/>
    <mergeCell ref="L35:Q35"/>
    <mergeCell ref="AA35:AB35"/>
    <mergeCell ref="L36:N36"/>
    <mergeCell ref="O36:Q36"/>
    <mergeCell ref="H23:Q23"/>
    <mergeCell ref="O24:Q24"/>
    <mergeCell ref="L25:Q25"/>
    <mergeCell ref="L26:Q26"/>
    <mergeCell ref="H27:K27"/>
    <mergeCell ref="L27:Q27"/>
    <mergeCell ref="B20:D20"/>
    <mergeCell ref="K20:L20"/>
    <mergeCell ref="M20:Q20"/>
    <mergeCell ref="K21:L21"/>
    <mergeCell ref="M21:Q21"/>
    <mergeCell ref="M22:N22"/>
    <mergeCell ref="O22:Q22"/>
    <mergeCell ref="B13:D13"/>
    <mergeCell ref="D14:F14"/>
    <mergeCell ref="B18:D18"/>
    <mergeCell ref="M18:Q18"/>
    <mergeCell ref="S18:Y19"/>
    <mergeCell ref="Z18:AB19"/>
    <mergeCell ref="B19:D19"/>
    <mergeCell ref="K19:L19"/>
    <mergeCell ref="M19:Q19"/>
    <mergeCell ref="H9:Q10"/>
    <mergeCell ref="B10:D10"/>
    <mergeCell ref="Y10:AB10"/>
    <mergeCell ref="B11:D11"/>
    <mergeCell ref="K11:N11"/>
    <mergeCell ref="B12:D12"/>
    <mergeCell ref="Y12:AB12"/>
    <mergeCell ref="B1:D1"/>
    <mergeCell ref="D3:E3"/>
    <mergeCell ref="D4:E4"/>
    <mergeCell ref="L4:O4"/>
    <mergeCell ref="D5:E5"/>
    <mergeCell ref="L5:O5"/>
  </mergeCells>
  <phoneticPr fontId="32" type="noConversion"/>
  <conditionalFormatting sqref="S58">
    <cfRule type="expression" dxfId="59" priority="27">
      <formula>$AG$74=TRUE</formula>
    </cfRule>
  </conditionalFormatting>
  <conditionalFormatting sqref="M19:Q19">
    <cfRule type="expression" dxfId="58" priority="26">
      <formula>ISTEXT($M$19)</formula>
    </cfRule>
  </conditionalFormatting>
  <conditionalFormatting sqref="Y10:AB10">
    <cfRule type="expression" dxfId="57" priority="24">
      <formula>ISBLANK($Y$10)</formula>
    </cfRule>
  </conditionalFormatting>
  <conditionalFormatting sqref="E10">
    <cfRule type="expression" dxfId="56" priority="23">
      <formula>ISBLANK($E$10)</formula>
    </cfRule>
  </conditionalFormatting>
  <conditionalFormatting sqref="E19">
    <cfRule type="expression" dxfId="55" priority="9">
      <formula>ISBLANK($E$19)</formula>
    </cfRule>
  </conditionalFormatting>
  <conditionalFormatting sqref="M20:Q20">
    <cfRule type="expression" dxfId="54" priority="21">
      <formula>ISTEXT($M$20)</formula>
    </cfRule>
  </conditionalFormatting>
  <conditionalFormatting sqref="M21:Q21">
    <cfRule type="expression" dxfId="53" priority="18">
      <formula>ISTEXT($M$21)</formula>
    </cfRule>
  </conditionalFormatting>
  <conditionalFormatting sqref="K20:L20">
    <cfRule type="expression" dxfId="52" priority="15">
      <formula>ISBLANK($K$20)</formula>
    </cfRule>
  </conditionalFormatting>
  <conditionalFormatting sqref="K21:L21">
    <cfRule type="expression" dxfId="51" priority="14">
      <formula>ISBLANK($K$21)</formula>
    </cfRule>
  </conditionalFormatting>
  <conditionalFormatting sqref="K19:L19">
    <cfRule type="expression" dxfId="50" priority="13">
      <formula>ISBLANK($K$19)</formula>
    </cfRule>
  </conditionalFormatting>
  <conditionalFormatting sqref="E11">
    <cfRule type="expression" dxfId="49" priority="8">
      <formula>ISBLANK($E$11)</formula>
    </cfRule>
  </conditionalFormatting>
  <conditionalFormatting sqref="E12">
    <cfRule type="expression" dxfId="48" priority="7">
      <formula>ISBLANK($E$12)</formula>
    </cfRule>
  </conditionalFormatting>
  <conditionalFormatting sqref="M22:N22">
    <cfRule type="expression" dxfId="47" priority="3">
      <formula>ISBLANK($M$22)</formula>
    </cfRule>
  </conditionalFormatting>
  <conditionalFormatting sqref="L27:Q27">
    <cfRule type="expression" dxfId="46" priority="2">
      <formula>$L$27&lt;&gt;""</formula>
    </cfRule>
  </conditionalFormatting>
  <dataValidations count="10">
    <dataValidation type="list" allowBlank="1" showErrorMessage="1" prompt="Choose the applicable assertion" sqref="E10" xr:uid="{C0DFE030-3D9A-46C5-AD63-0A014074D758}">
      <formula1>Assertions</formula1>
    </dataValidation>
    <dataValidation type="list" allowBlank="1" showInputMessage="1" showErrorMessage="1" sqref="E11" xr:uid="{E68AE60C-EAD9-41B3-92FD-6F46523A3DFB}">
      <formula1>InherentRisk</formula1>
    </dataValidation>
    <dataValidation type="decimal" allowBlank="1" showInputMessage="1" showErrorMessage="1" error="Absolute tested value cannot be less than zero or greater than value of population." sqref="E21" xr:uid="{20EDE18B-C474-4335-A9D0-9D253CF0AF3D}">
      <formula1>0</formula1>
      <formula2>#REF!</formula2>
    </dataValidation>
    <dataValidation type="decimal" allowBlank="1" showInputMessage="1" showErrorMessage="1" error="Absolute tested value cannot be less than zero or greater than value of population." sqref="F20:F21" xr:uid="{6374006B-8074-49BD-BF4A-4080D82E0408}">
      <formula1>0</formula1>
      <formula2>F18</formula2>
    </dataValidation>
    <dataValidation type="decimal" operator="greaterThanOrEqual" allowBlank="1" showInputMessage="1" showErrorMessage="1" sqref="C37:D56" xr:uid="{20402C31-F684-42D0-B917-D5EE9520CA6A}">
      <formula1>0</formula1>
    </dataValidation>
    <dataValidation type="decimal" allowBlank="1" errorTitle="test" error="test" sqref="M22:N22" xr:uid="{A59AA229-F182-414D-9A01-3EF6DAF8698C}">
      <formula1>0</formula1>
      <formula2>1</formula2>
    </dataValidation>
    <dataValidation type="list" allowBlank="1" showInputMessage="1" showErrorMessage="1" sqref="K21:L21" xr:uid="{10BF7802-A1E9-481B-8353-146683F7E2C1}">
      <formula1>ADA</formula1>
    </dataValidation>
    <dataValidation type="list" allowBlank="1" showInputMessage="1" showErrorMessage="1" sqref="E37:F56 E19" xr:uid="{6B264802-1B5B-49C1-84B5-7DD1B4948AB4}">
      <formula1>YesNo</formula1>
    </dataValidation>
    <dataValidation type="list" allowBlank="1" showInputMessage="1" showErrorMessage="1" sqref="K19:K20" xr:uid="{4088AFFA-9598-4BAB-ADFC-DA8D9CF97C34}">
      <formula1>OtherEvidence</formula1>
    </dataValidation>
    <dataValidation type="whole" allowBlank="1" showInputMessage="1" showErrorMessage="1" error="测试项目的绝对值不能小于零或大于总体值。" sqref="E20" xr:uid="{70FF3473-DC1E-4279-AD49-C22B021CFB98}">
      <formula1>0</formula1>
      <formula2>E18</formula2>
    </dataValidation>
  </dataValidations>
  <pageMargins left="0.25" right="0.25" top="0.75" bottom="0.75" header="0.3" footer="0.3"/>
  <pageSetup scale="40" orientation="landscape" r:id="rId1"/>
  <headerFooter>
    <oddFooter>&amp;C&amp;P of &amp;N&amp;R&amp;A</oddFooter>
  </headerFooter>
  <customProperties>
    <customPr name="CodeName" r:id="rId2"/>
  </customProperties>
  <legacyDrawing r:id="rId3"/>
  <extLst>
    <ext xmlns:x14="http://schemas.microsoft.com/office/spreadsheetml/2009/9/main" uri="{78C0D931-6437-407d-A8EE-F0AAD7539E65}">
      <x14:conditionalFormattings>
        <x14:conditionalFormatting xmlns:xm="http://schemas.microsoft.com/office/excel/2006/main">
          <x14:cfRule type="expression" priority="22" id="{22FADC75-F2BB-4ACE-A49C-EEB136E5B603}">
            <xm:f>OR(ISBLANK($K$19),$K$19=Drop!$A$52)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25" id="{86B23AE8-5573-4268-B97A-01F7FBF46D6C}">
            <xm:f>AND(OR($K$19=Drop!$A$53,$K$19=Drop!$A$54),ISBLANK($M$19))</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M19:Q19</xm:sqref>
        </x14:conditionalFormatting>
        <x14:conditionalFormatting xmlns:xm="http://schemas.microsoft.com/office/excel/2006/main">
          <x14:cfRule type="expression" priority="19" id="{88F2B5B4-3500-4850-B5F1-366D088A937B}">
            <xm:f>OR(ISBLANK($K$20),$K$20=Drop!$A$52)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20" id="{ACFB83F6-39D3-48D8-A124-4E155C039E57}">
            <xm:f>AND(OR($K$20=Drop!$A$53,$K$20=Drop!$A$54),ISBLANK($M$20))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M20:Q20</xm:sqref>
        </x14:conditionalFormatting>
        <x14:conditionalFormatting xmlns:xm="http://schemas.microsoft.com/office/excel/2006/main">
          <x14:cfRule type="expression" priority="16" id="{8FDE4241-4561-4BDA-A183-59B3649FD0C7}">
            <xm:f>OR(ISBLANK($K$21),$K$21=Drop!$A$58)</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17" id="{08062F49-FD92-476F-8410-44CE098DC250}">
            <xm:f>AND($K$21=Drop!$A$59,ISBLANK($M$21))</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M21:Q21</xm:sqref>
        </x14:conditionalFormatting>
        <x14:conditionalFormatting xmlns:xm="http://schemas.microsoft.com/office/excel/2006/main">
          <x14:cfRule type="expression" priority="10" id="{CB4014A9-F90A-4346-9767-95521BBD54A6}">
            <xm:f>OR(ISBLANK($E$19),$E$19=Drop!$A$14)</xm:f>
            <x14:dxf>
              <font>
                <color theme="0" tint="-4.9989318521683403E-2"/>
              </font>
              <fill>
                <patternFill>
                  <bgColor theme="0" tint="-4.9989318521683403E-2"/>
                </patternFill>
              </fill>
            </x14:dxf>
          </x14:cfRule>
          <x14:cfRule type="expression" priority="11" id="{E405531A-2F82-4898-9E6A-CD4AAB673D9D}">
            <xm:f>AND($E$19=Drop!$A$13,ISBLANK($E$20))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12" id="{A70BAD1F-9676-422B-B7F0-DE586B42184F}">
            <xm:f>AND($E$20&gt;0,$E$19=Drop!$A$13)</xm:f>
            <x14:dxf>
              <font>
                <color auto="1"/>
              </font>
              <fill>
                <patternFill>
                  <bgColor theme="0"/>
                </patternFill>
              </fill>
              <border>
                <left style="thin">
                  <color auto="1"/>
                </left>
                <right style="thin">
                  <color auto="1"/>
                </right>
                <top style="thin">
                  <color auto="1"/>
                </top>
                <bottom style="thin">
                  <color auto="1"/>
                </bottom>
                <vertical/>
                <horizontal/>
              </border>
            </x14:dxf>
          </x14:cfRule>
          <xm:sqref>E20</xm:sqref>
        </x14:conditionalFormatting>
        <x14:conditionalFormatting xmlns:xm="http://schemas.microsoft.com/office/excel/2006/main">
          <x14:cfRule type="expression" priority="4" id="{739E9CE9-3A37-4542-ACDE-42FBBB3E2565}">
            <xm:f>$E$12&lt;&gt;Drop!$A$47</xm:f>
            <x14:dxf>
              <font>
                <color theme="0" tint="-4.9989318521683403E-2"/>
              </font>
              <fill>
                <patternFill>
                  <bgColor theme="0" tint="-4.9989318521683403E-2"/>
                </patternFill>
              </fill>
              <border>
                <left/>
                <right/>
                <bottom/>
              </border>
            </x14:dxf>
          </x14:cfRule>
          <x14:cfRule type="expression" priority="5" id="{110B6F87-9EF8-4240-BC7F-0AAB8804316D}">
            <xm:f>AND(ISBLANK($E$13),$E$12=Drop!$A$47)</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6" id="{59A69972-560E-46D9-B5B5-57AB507233E8}">
            <xm:f>$E$12=Drop!$A$47</xm:f>
            <x14:dxf>
              <border>
                <left style="thin">
                  <color auto="1"/>
                </left>
                <bottom style="thin">
                  <color auto="1"/>
                </bottom>
                <vertical/>
                <horizontal/>
              </border>
            </x14:dxf>
          </x14:cfRule>
          <xm:sqref>E13</xm:sqref>
        </x14:conditionalFormatting>
        <x14:conditionalFormatting xmlns:xm="http://schemas.microsoft.com/office/excel/2006/main">
          <x14:cfRule type="expression" priority="1" id="{5A1164BC-3883-4A61-A46A-D6DFC9A23C07}">
            <xm:f>$L$26=Drop!$A$85</xm:f>
            <x14:dxf>
              <font>
                <color auto="1"/>
              </font>
              <fill>
                <patternFill patternType="solid">
                  <bgColor theme="1"/>
                </patternFill>
              </fill>
            </x14:dxf>
          </x14:cfRule>
          <xm:sqref>B36 B33:AB35 B37:AB63 F36:AB36</xm:sqref>
        </x14:conditionalFormatting>
        <x14:conditionalFormatting xmlns:xm="http://schemas.microsoft.com/office/excel/2006/main">
          <x14:cfRule type="expression" priority="28" id="{C37D8F8E-70DA-479B-B3C1-34A6561B3D0D}">
            <xm:f>OR(E19&lt;&gt;Drop!A13,ISBLANK(M22))</xm:f>
            <x14:dxf>
              <fill>
                <patternFill>
                  <bgColor theme="0" tint="-4.9989318521683403E-2"/>
                </patternFill>
              </fill>
              <border>
                <left/>
                <top/>
                <vertical/>
                <horizontal/>
              </border>
            </x14:dxf>
          </x14:cfRule>
          <xm:sqref>O24:Q24</xm:sqref>
        </x14:conditionalFormatting>
        <x14:conditionalFormatting xmlns:xm="http://schemas.microsoft.com/office/excel/2006/main">
          <x14:cfRule type="expression" priority="29" id="{3B918092-E593-4792-9B98-6658391C8114}">
            <xm:f>$E$19&lt;&gt;Drop!$A$13</xm:f>
            <x14:dxf>
              <font>
                <color auto="1"/>
              </font>
            </x14:dxf>
          </x14:cfRule>
          <xm:sqref>B20 B21:D21</xm:sqref>
        </x14:conditionalFormatting>
        <x14:conditionalFormatting xmlns:xm="http://schemas.microsoft.com/office/excel/2006/main">
          <x14:cfRule type="expression" priority="30" id="{BABA2B27-4A2F-43E2-B185-591C447FC7CB}">
            <xm:f>$E$12&lt;&gt;Drop!$A$47</xm:f>
            <x14:dxf>
              <font>
                <color theme="0" tint="-4.9989318521683403E-2"/>
              </font>
              <fill>
                <patternFill>
                  <bgColor theme="0" tint="-4.9989318521683403E-2"/>
                </patternFill>
              </fill>
            </x14:dxf>
          </x14:cfRule>
          <xm:sqref>B13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6D64D493-D47E-47D1-8A34-D625B741A871}">
          <x14:formula1>
            <xm:f>Drop!$A$44:$A$46</xm:f>
          </x14:formula1>
          <xm:sqref>E13</xm:sqref>
        </x14:dataValidation>
        <x14:dataValidation type="list" allowBlank="1" showInputMessage="1" showErrorMessage="1" xr:uid="{BC5CDBE4-E62F-438A-8D24-473817F4AF03}">
          <x14:formula1>
            <xm:f>Drop!$G$43:$G$44</xm:f>
          </x14:formula1>
          <xm:sqref>E12</xm:sqref>
        </x14:dataValidation>
        <x14:dataValidation type="list" allowBlank="1" showInputMessage="1" showErrorMessage="1" xr:uid="{35F1E1F9-AFDF-4053-8715-2B0E0AD814EE}">
          <x14:formula1>
            <xm:f>Drop!$A$62</xm:f>
          </x14:formula1>
          <xm:sqref>Y10:AB10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15CF5-FDB9-499C-AC2D-E7CD693D47BB}">
  <sheetPr codeName="sheet0Statistical3">
    <pageSetUpPr fitToPage="1"/>
  </sheetPr>
  <dimension ref="A1:AM78"/>
  <sheetViews>
    <sheetView showGridLines="0" zoomScale="80" zoomScaleNormal="80" workbookViewId="0">
      <selection activeCell="E10" sqref="E10"/>
    </sheetView>
  </sheetViews>
  <sheetFormatPr defaultColWidth="9.125" defaultRowHeight="12.75" outlineLevelCol="1"/>
  <cols>
    <col min="1" max="1" width="2.75" style="35" customWidth="1"/>
    <col min="2" max="2" width="5.75" style="35" customWidth="1"/>
    <col min="3" max="5" width="25.75" style="35" customWidth="1"/>
    <col min="6" max="6" width="1.75" style="35" customWidth="1"/>
    <col min="7" max="7" width="1.125" style="35" customWidth="1"/>
    <col min="8" max="8" width="5.75" style="35" customWidth="1"/>
    <col min="9" max="9" width="17.75" style="35" customWidth="1"/>
    <col min="10" max="11" width="5.75" style="35" customWidth="1"/>
    <col min="12" max="12" width="17.75" style="35" customWidth="1"/>
    <col min="13" max="13" width="5.75" style="35" customWidth="1"/>
    <col min="14" max="14" width="9.75" style="35" customWidth="1"/>
    <col min="15" max="15" width="5.75" style="35" customWidth="1"/>
    <col min="16" max="16" width="15.75" style="35" customWidth="1"/>
    <col min="17" max="17" width="10.75" style="35" customWidth="1"/>
    <col min="18" max="18" width="1.5" style="35" customWidth="1"/>
    <col min="19" max="21" width="5.75" style="35" customWidth="1"/>
    <col min="22" max="22" width="11.75" style="35" customWidth="1"/>
    <col min="23" max="27" width="5.75" style="35" customWidth="1"/>
    <col min="28" max="28" width="21.75" style="35" customWidth="1"/>
    <col min="29" max="29" width="4.25" style="35" hidden="1" customWidth="1" outlineLevel="1"/>
    <col min="30" max="30" width="2.75" style="35" hidden="1" customWidth="1" outlineLevel="1"/>
    <col min="31" max="31" width="9.125" style="35" hidden="1" customWidth="1" outlineLevel="1"/>
    <col min="32" max="32" width="15.75" style="35" hidden="1" customWidth="1" outlineLevel="1"/>
    <col min="33" max="33" width="14.25" style="35" hidden="1" customWidth="1" outlineLevel="1"/>
    <col min="34" max="34" width="16.125" style="35" hidden="1" customWidth="1" outlineLevel="1"/>
    <col min="35" max="35" width="13.25" style="35" hidden="1" customWidth="1" outlineLevel="1"/>
    <col min="36" max="36" width="14.25" style="35" hidden="1" customWidth="1" outlineLevel="1"/>
    <col min="37" max="37" width="15.5" style="35" hidden="1" customWidth="1" outlineLevel="1"/>
    <col min="38" max="38" width="18.75" style="35" hidden="1" customWidth="1" outlineLevel="1"/>
    <col min="39" max="39" width="9.125" style="35" customWidth="1" collapsed="1"/>
    <col min="40" max="42" width="9.125" style="35" customWidth="1"/>
    <col min="43" max="16384" width="9.125" style="35"/>
  </cols>
  <sheetData>
    <row r="1" spans="1:37" s="2" customFormat="1" ht="21" thickBot="1">
      <c r="A1" s="1"/>
      <c r="B1" s="308"/>
      <c r="C1" s="309"/>
      <c r="D1" s="309"/>
      <c r="F1" s="1"/>
      <c r="G1" s="1"/>
      <c r="H1" s="1"/>
      <c r="I1" s="1"/>
      <c r="J1" s="1"/>
      <c r="K1" s="1"/>
      <c r="L1" s="1"/>
      <c r="M1" s="1"/>
      <c r="AC1" s="1"/>
      <c r="AF1" s="10" t="s">
        <v>32</v>
      </c>
      <c r="AG1" s="2" t="s">
        <v>1</v>
      </c>
    </row>
    <row r="2" spans="1:37" ht="12.95" customHeight="1">
      <c r="A2" s="37"/>
      <c r="B2" s="38"/>
      <c r="C2" s="39"/>
      <c r="D2" s="39"/>
      <c r="E2" s="39"/>
      <c r="F2" s="39"/>
      <c r="G2" s="39"/>
      <c r="H2" s="39"/>
      <c r="I2" s="39"/>
      <c r="J2" s="40"/>
      <c r="K2" s="40"/>
      <c r="L2" s="40"/>
      <c r="M2" s="41"/>
      <c r="N2" s="41"/>
      <c r="O2" s="41"/>
      <c r="P2" s="41"/>
      <c r="Q2" s="41"/>
      <c r="R2" s="41"/>
      <c r="S2" s="41"/>
      <c r="T2" s="41"/>
      <c r="U2" s="41"/>
      <c r="V2" s="41"/>
      <c r="W2" s="41"/>
      <c r="X2" s="41"/>
      <c r="Y2" s="41"/>
      <c r="Z2" s="41"/>
      <c r="AA2" s="41"/>
      <c r="AB2" s="42"/>
      <c r="AF2" s="43"/>
      <c r="AG2" s="43"/>
    </row>
    <row r="3" spans="1:37" ht="12.95" customHeight="1">
      <c r="A3" s="44"/>
      <c r="B3" s="45"/>
      <c r="C3" s="47" t="str">
        <f>Drop!A102</f>
        <v>总体名称：</v>
      </c>
      <c r="D3" s="559"/>
      <c r="E3" s="560"/>
      <c r="F3" s="46"/>
      <c r="G3" s="46"/>
      <c r="H3" s="46"/>
      <c r="I3" s="46"/>
      <c r="J3" s="48"/>
      <c r="K3" s="49"/>
      <c r="L3" s="49"/>
      <c r="M3" s="49"/>
      <c r="N3" s="49"/>
      <c r="O3" s="49"/>
      <c r="P3" s="49"/>
      <c r="Q3" s="49"/>
      <c r="R3" s="49"/>
      <c r="S3" s="49"/>
      <c r="T3" s="49"/>
      <c r="U3" s="49"/>
      <c r="V3" s="50"/>
      <c r="W3" s="51"/>
      <c r="X3" s="51"/>
      <c r="Y3" s="51"/>
      <c r="Z3" s="51"/>
      <c r="AA3" s="51"/>
      <c r="AB3" s="52"/>
      <c r="AF3" s="43"/>
      <c r="AG3" s="43"/>
      <c r="AH3" s="43"/>
      <c r="AI3" s="43"/>
    </row>
    <row r="4" spans="1:37" ht="12.95" customHeight="1">
      <c r="A4" s="34"/>
      <c r="B4" s="53"/>
      <c r="C4" s="47" t="str">
        <f>Drop!A103</f>
        <v>适用的样本计划：</v>
      </c>
      <c r="D4" s="561" t="str">
        <f>汇总!D3</f>
        <v>致同抽样</v>
      </c>
      <c r="E4" s="562"/>
      <c r="F4" s="46"/>
      <c r="G4" s="46"/>
      <c r="H4" s="46"/>
      <c r="I4" s="46"/>
      <c r="J4" s="46"/>
      <c r="K4" s="49" t="str">
        <f>Drop!A105</f>
        <v>高信赖（其他标准）?：</v>
      </c>
      <c r="L4" s="553" t="str">
        <f>IF(ISBLANK(汇总!D7),Drop!A247,汇总!D7)</f>
        <v>否 - 不适用</v>
      </c>
      <c r="M4" s="554"/>
      <c r="N4" s="554"/>
      <c r="O4" s="555"/>
      <c r="P4" s="144"/>
      <c r="Q4" s="49"/>
      <c r="R4" s="49"/>
      <c r="S4" s="49"/>
      <c r="T4" s="49"/>
      <c r="U4" s="49"/>
      <c r="V4" s="50"/>
      <c r="W4" s="51"/>
      <c r="X4" s="51"/>
      <c r="Y4" s="51"/>
      <c r="Z4" s="51"/>
      <c r="AA4" s="51"/>
      <c r="AB4" s="52"/>
      <c r="AF4" s="43"/>
      <c r="AG4" s="43"/>
      <c r="AH4" s="43"/>
      <c r="AI4" s="43"/>
    </row>
    <row r="5" spans="1:37" ht="12.95" customHeight="1">
      <c r="A5" s="34"/>
      <c r="B5" s="54"/>
      <c r="C5" s="49" t="str">
        <f>Drop!A104</f>
        <v>上市实体/ 高风险?：</v>
      </c>
      <c r="D5" s="315" t="str">
        <f>汇总!D5</f>
        <v>是</v>
      </c>
      <c r="E5" s="316"/>
      <c r="F5" s="46"/>
      <c r="G5" s="46"/>
      <c r="H5" s="46"/>
      <c r="I5" s="46"/>
      <c r="J5" s="46"/>
      <c r="K5" s="49" t="str">
        <f>Drop!A106</f>
        <v>实际执行的重要性</v>
      </c>
      <c r="L5" s="556">
        <f>汇总!D10</f>
        <v>0</v>
      </c>
      <c r="M5" s="557"/>
      <c r="N5" s="557"/>
      <c r="O5" s="558"/>
      <c r="P5" s="49"/>
      <c r="Q5" s="49"/>
      <c r="R5" s="49"/>
      <c r="S5" s="49"/>
      <c r="T5" s="49"/>
      <c r="U5" s="49"/>
      <c r="V5" s="50"/>
      <c r="W5" s="51"/>
      <c r="X5" s="51"/>
      <c r="Y5" s="51"/>
      <c r="Z5" s="51"/>
      <c r="AA5" s="51"/>
      <c r="AB5" s="52"/>
      <c r="AF5" s="43" t="s">
        <v>161</v>
      </c>
      <c r="AG5" s="43" t="b">
        <f>OR(E11=Drop!A37)</f>
        <v>0</v>
      </c>
      <c r="AH5" s="55"/>
      <c r="AI5" s="55"/>
      <c r="AJ5" s="55"/>
      <c r="AK5" s="55"/>
    </row>
    <row r="6" spans="1:37" ht="12.95" customHeight="1" thickBot="1">
      <c r="A6" s="34"/>
      <c r="B6" s="56"/>
      <c r="C6" s="57"/>
      <c r="D6" s="57"/>
      <c r="E6" s="57"/>
      <c r="F6" s="57"/>
      <c r="G6" s="57"/>
      <c r="H6" s="57"/>
      <c r="I6" s="57"/>
      <c r="J6" s="57"/>
      <c r="K6" s="57"/>
      <c r="L6" s="57"/>
      <c r="M6" s="57"/>
      <c r="N6" s="57"/>
      <c r="O6" s="57"/>
      <c r="P6" s="57"/>
      <c r="Q6" s="57"/>
      <c r="R6" s="57"/>
      <c r="S6" s="57"/>
      <c r="T6" s="57"/>
      <c r="U6" s="57"/>
      <c r="V6" s="57"/>
      <c r="W6" s="57"/>
      <c r="X6" s="57"/>
      <c r="Y6" s="57"/>
      <c r="Z6" s="57"/>
      <c r="AA6" s="57"/>
      <c r="AB6" s="58"/>
      <c r="AF6" s="43" t="s">
        <v>36</v>
      </c>
      <c r="AG6" s="43" t="b">
        <f>OR(D5=Drop!A13,L4=Drop!A246)</f>
        <v>1</v>
      </c>
      <c r="AH6" s="59"/>
      <c r="AI6" s="59"/>
      <c r="AJ6" s="59"/>
      <c r="AK6" s="59"/>
    </row>
    <row r="7" spans="1:37" ht="13.5" thickBot="1">
      <c r="B7" s="60"/>
      <c r="C7" s="60"/>
      <c r="AF7" s="43" t="s">
        <v>37</v>
      </c>
      <c r="AG7" s="61">
        <f>IF(AG6=TRUE,5%,10%)</f>
        <v>0.05</v>
      </c>
      <c r="AH7" s="59"/>
      <c r="AI7" s="59"/>
      <c r="AJ7" s="59"/>
      <c r="AK7" s="59"/>
    </row>
    <row r="8" spans="1:37" ht="13.5" thickBot="1">
      <c r="B8" s="62" t="str">
        <f>Drop!A93</f>
        <v>步骤 1 - 确定测试的目标</v>
      </c>
      <c r="C8" s="63"/>
      <c r="D8" s="63"/>
      <c r="E8" s="63"/>
      <c r="F8" s="64"/>
      <c r="H8" s="65" t="str">
        <f>Drop!A95</f>
        <v>步骤 3 - 抽样方法</v>
      </c>
      <c r="I8" s="66"/>
      <c r="J8" s="66"/>
      <c r="K8" s="66"/>
      <c r="L8" s="66"/>
      <c r="M8" s="66"/>
      <c r="N8" s="66"/>
      <c r="O8" s="66"/>
      <c r="P8" s="66"/>
      <c r="Q8" s="67"/>
      <c r="S8" s="65" t="str">
        <f>Drop!A97</f>
        <v>步骤 5 - 选取样本</v>
      </c>
      <c r="T8" s="66"/>
      <c r="U8" s="66"/>
      <c r="V8" s="66"/>
      <c r="W8" s="66"/>
      <c r="X8" s="66"/>
      <c r="Y8" s="66"/>
      <c r="Z8" s="66"/>
      <c r="AA8" s="66"/>
      <c r="AB8" s="67"/>
      <c r="AF8" s="43" t="s">
        <v>27</v>
      </c>
      <c r="AG8" s="138" t="str">
        <f>D4</f>
        <v>致同抽样</v>
      </c>
      <c r="AH8" s="68"/>
      <c r="AI8" s="68"/>
      <c r="AJ8" s="68"/>
      <c r="AK8" s="68"/>
    </row>
    <row r="9" spans="1:37" ht="15" customHeight="1">
      <c r="B9" s="69"/>
      <c r="C9" s="70"/>
      <c r="D9" s="70"/>
      <c r="E9" s="70"/>
      <c r="F9" s="71"/>
      <c r="H9" s="546" t="str">
        <f>IF(AG2=TRUE,Drop!A88,"")</f>
        <v/>
      </c>
      <c r="I9" s="547"/>
      <c r="J9" s="547"/>
      <c r="K9" s="547"/>
      <c r="L9" s="547"/>
      <c r="M9" s="547"/>
      <c r="N9" s="547"/>
      <c r="O9" s="547"/>
      <c r="P9" s="547"/>
      <c r="Q9" s="548"/>
      <c r="S9" s="72"/>
      <c r="T9" s="32"/>
      <c r="U9" s="32"/>
      <c r="V9" s="32"/>
      <c r="W9" s="32"/>
      <c r="X9" s="32"/>
      <c r="Y9" s="32"/>
      <c r="Z9" s="32"/>
      <c r="AA9" s="32"/>
      <c r="AB9" s="73"/>
      <c r="AF9" s="43" t="s">
        <v>43</v>
      </c>
      <c r="AG9" s="138">
        <f>VLOOKUP(AG8,Drop!A17:B19,2,FALSE)</f>
        <v>2</v>
      </c>
      <c r="AH9" s="68"/>
      <c r="AI9" s="68"/>
      <c r="AJ9" s="68"/>
      <c r="AK9" s="68"/>
    </row>
    <row r="10" spans="1:37" ht="20.100000000000001" customHeight="1">
      <c r="B10" s="326" t="str">
        <f>Drop!A108</f>
        <v>认定</v>
      </c>
      <c r="C10" s="327"/>
      <c r="D10" s="328"/>
      <c r="E10" s="212"/>
      <c r="F10" s="208"/>
      <c r="H10" s="549"/>
      <c r="I10" s="550"/>
      <c r="J10" s="550"/>
      <c r="K10" s="550"/>
      <c r="L10" s="550"/>
      <c r="M10" s="550"/>
      <c r="N10" s="550"/>
      <c r="O10" s="550"/>
      <c r="P10" s="550"/>
      <c r="Q10" s="551"/>
      <c r="S10" s="135" t="str">
        <f>Drop!A139</f>
        <v>使用的选取方法</v>
      </c>
      <c r="T10" s="32"/>
      <c r="U10" s="32"/>
      <c r="V10" s="32"/>
      <c r="W10" s="32"/>
      <c r="X10" s="32"/>
      <c r="Y10" s="329" t="s">
        <v>186</v>
      </c>
      <c r="Z10" s="330"/>
      <c r="AA10" s="330"/>
      <c r="AB10" s="331"/>
      <c r="AF10" s="43" t="s">
        <v>39</v>
      </c>
      <c r="AG10" s="61" t="e">
        <f>VLOOKUP(E11,Drop!A$37:D$39,AG9,FALSE)</f>
        <v>#N/A</v>
      </c>
      <c r="AH10" s="55"/>
      <c r="AI10" s="55"/>
      <c r="AJ10" s="55"/>
      <c r="AK10" s="55"/>
    </row>
    <row r="11" spans="1:37" ht="26.1" customHeight="1">
      <c r="B11" s="326" t="str">
        <f>Drop!A109</f>
        <v>固有风险</v>
      </c>
      <c r="C11" s="327"/>
      <c r="D11" s="328"/>
      <c r="E11" s="211"/>
      <c r="F11" s="208"/>
      <c r="H11" s="74"/>
      <c r="I11" s="32"/>
      <c r="J11" s="32"/>
      <c r="K11" s="552" t="str">
        <f>Drop!A120</f>
        <v>统计抽样</v>
      </c>
      <c r="L11" s="552"/>
      <c r="M11" s="552"/>
      <c r="N11" s="552"/>
      <c r="O11" s="32"/>
      <c r="P11" s="32"/>
      <c r="Q11" s="73"/>
      <c r="S11" s="74"/>
      <c r="T11" s="32"/>
      <c r="U11" s="32"/>
      <c r="V11" s="32"/>
      <c r="W11" s="32"/>
      <c r="X11" s="32"/>
      <c r="Y11" s="32"/>
      <c r="Z11" s="32"/>
      <c r="AA11" s="32"/>
      <c r="AB11" s="73"/>
      <c r="AF11" s="43" t="s">
        <v>40</v>
      </c>
      <c r="AG11" s="61" t="str">
        <f>IF(ISBLANK(E12),"",IF(E12=Drop!A43,Drop!B43,VLOOKUP(E13,Drop!A44:D46,AG9,FALSE)))</f>
        <v/>
      </c>
      <c r="AH11" s="75" t="s">
        <v>167</v>
      </c>
      <c r="AI11" s="43" t="b">
        <f>E12=Drop!A45</f>
        <v>0</v>
      </c>
      <c r="AJ11" s="43" t="str">
        <f>IF(AI$11=TRUE,Drop!A13,"")</f>
        <v/>
      </c>
      <c r="AK11" s="35" t="str">
        <f>IF(AI$11=TRUE,Drop!A14,"")</f>
        <v/>
      </c>
    </row>
    <row r="12" spans="1:37" ht="26.1" customHeight="1">
      <c r="B12" s="332" t="str">
        <f>Drop!A110</f>
        <v>对控制的信赖程度</v>
      </c>
      <c r="C12" s="333"/>
      <c r="D12" s="334"/>
      <c r="E12" s="212"/>
      <c r="F12" s="208"/>
      <c r="H12" s="74"/>
      <c r="I12" s="32"/>
      <c r="J12" s="32"/>
      <c r="K12" s="32"/>
      <c r="L12" s="32"/>
      <c r="M12" s="32"/>
      <c r="N12" s="32"/>
      <c r="O12" s="32"/>
      <c r="P12" s="32"/>
      <c r="Q12" s="73"/>
      <c r="S12" s="135" t="str">
        <f>Drop!A140</f>
        <v>样本间隔</v>
      </c>
      <c r="T12" s="32"/>
      <c r="U12" s="32"/>
      <c r="V12" s="32"/>
      <c r="W12" s="32"/>
      <c r="X12" s="32"/>
      <c r="Y12" s="337" t="str" cm="1">
        <f t="array" ref="Y12">_xlfn.IFS(ISBLANK(Y10),"",AND(Y10=Drop!A62,O12=Drop!A125),Drop!A228,Y10&lt;&gt;Drop!A62,Drop!A222,ISERROR(AG25),Drop!A219,TRUE,AG25)</f>
        <v>系统抽样未被选取，间隔不适用</v>
      </c>
      <c r="Z12" s="338"/>
      <c r="AA12" s="338"/>
      <c r="AB12" s="339"/>
      <c r="AF12" s="43" t="s">
        <v>41</v>
      </c>
      <c r="AG12" s="61" t="e">
        <f>VLOOKUP(K19,Drop!A52:D54,AG9,FALSE)</f>
        <v>#N/A</v>
      </c>
      <c r="AH12" s="55"/>
      <c r="AK12" s="55"/>
    </row>
    <row r="13" spans="1:37" ht="20.100000000000001" customHeight="1">
      <c r="B13" s="332" t="str">
        <f>Drop!A48</f>
        <v>测试范围</v>
      </c>
      <c r="C13" s="333"/>
      <c r="D13" s="334"/>
      <c r="E13" s="212"/>
      <c r="F13" s="208"/>
      <c r="H13" s="74"/>
      <c r="I13" s="32"/>
      <c r="J13" s="32"/>
      <c r="K13" s="32"/>
      <c r="L13" s="32"/>
      <c r="M13" s="32"/>
      <c r="N13" s="32"/>
      <c r="O13" s="32"/>
      <c r="P13" s="32"/>
      <c r="Q13" s="73"/>
      <c r="S13" s="135"/>
      <c r="T13" s="32"/>
      <c r="U13" s="32"/>
      <c r="V13" s="32"/>
      <c r="W13" s="32"/>
      <c r="X13" s="32"/>
      <c r="Y13" s="180"/>
      <c r="Z13" s="180"/>
      <c r="AA13" s="180"/>
      <c r="AB13" s="181"/>
      <c r="AF13" s="43"/>
      <c r="AG13" s="61"/>
      <c r="AH13" s="55"/>
      <c r="AK13" s="55"/>
    </row>
    <row r="14" spans="1:37" ht="15.75" customHeight="1" thickBot="1">
      <c r="B14" s="162"/>
      <c r="C14" s="163"/>
      <c r="D14" s="541"/>
      <c r="E14" s="541"/>
      <c r="F14" s="542"/>
      <c r="H14" s="76"/>
      <c r="I14" s="77"/>
      <c r="J14" s="77"/>
      <c r="K14" s="77"/>
      <c r="L14" s="77"/>
      <c r="M14" s="77"/>
      <c r="N14" s="77"/>
      <c r="O14" s="77"/>
      <c r="P14" s="77"/>
      <c r="Q14" s="78"/>
      <c r="S14" s="76"/>
      <c r="T14" s="77"/>
      <c r="U14" s="77"/>
      <c r="V14" s="77"/>
      <c r="W14" s="77"/>
      <c r="X14" s="77"/>
      <c r="Y14" s="77"/>
      <c r="Z14" s="77"/>
      <c r="AA14" s="77"/>
      <c r="AB14" s="78"/>
      <c r="AF14" s="43" t="s">
        <v>38</v>
      </c>
      <c r="AG14" s="61" t="e">
        <f>VLOOKUP(K20,Drop!A52:D54,AG9,FALSE)</f>
        <v>#N/A</v>
      </c>
      <c r="AH14" s="79"/>
      <c r="AI14" s="79"/>
      <c r="AJ14" s="79"/>
      <c r="AK14" s="79"/>
    </row>
    <row r="15" spans="1:37" ht="13.5" thickBot="1">
      <c r="S15" s="80"/>
      <c r="T15" s="81"/>
      <c r="U15" s="81"/>
      <c r="V15" s="81"/>
      <c r="W15" s="81"/>
      <c r="X15" s="81"/>
      <c r="Y15" s="81"/>
      <c r="Z15" s="81"/>
      <c r="AA15" s="81"/>
      <c r="AB15" s="81"/>
      <c r="AF15" s="43" t="s">
        <v>211</v>
      </c>
      <c r="AG15" s="61" t="e">
        <f>VLOOKUP(K21,Drop!A58:D59,AG9,FALSE)</f>
        <v>#N/A</v>
      </c>
      <c r="AH15" s="82"/>
      <c r="AI15" s="82"/>
      <c r="AJ15" s="82"/>
      <c r="AK15" s="82"/>
    </row>
    <row r="16" spans="1:37" ht="13.5" thickBot="1">
      <c r="B16" s="65" t="str">
        <f>Drop!A94</f>
        <v>步骤 2 - 定义和分析总体</v>
      </c>
      <c r="C16" s="66"/>
      <c r="D16" s="66"/>
      <c r="E16" s="66"/>
      <c r="F16" s="67"/>
      <c r="H16" s="65" t="str">
        <f>Drop!A96</f>
        <v>步骤 4 - 确定样本量</v>
      </c>
      <c r="I16" s="66"/>
      <c r="J16" s="66"/>
      <c r="K16" s="66"/>
      <c r="L16" s="66"/>
      <c r="M16" s="66"/>
      <c r="N16" s="66"/>
      <c r="O16" s="66"/>
      <c r="P16" s="66"/>
      <c r="Q16" s="67"/>
      <c r="S16" s="83" t="str">
        <f>Drop!A98</f>
        <v>步骤 6 - 测试已选取样本</v>
      </c>
      <c r="T16" s="66"/>
      <c r="U16" s="66"/>
      <c r="V16" s="66"/>
      <c r="W16" s="66"/>
      <c r="X16" s="66"/>
      <c r="Y16" s="66"/>
      <c r="Z16" s="66"/>
      <c r="AA16" s="66"/>
      <c r="AB16" s="67"/>
      <c r="AF16" s="43" t="s">
        <v>45</v>
      </c>
      <c r="AG16" s="61" t="e">
        <f>AG7/(AG10*AG11*AG12*AG14*AG15)</f>
        <v>#N/A</v>
      </c>
    </row>
    <row r="17" spans="2:33">
      <c r="B17" s="85"/>
      <c r="C17" s="86"/>
      <c r="D17" s="86"/>
      <c r="E17" s="86"/>
      <c r="F17" s="87"/>
      <c r="H17" s="152"/>
      <c r="I17" s="88"/>
      <c r="J17" s="88"/>
      <c r="K17" s="88"/>
      <c r="L17" s="88"/>
      <c r="M17" s="88"/>
      <c r="N17" s="88"/>
      <c r="O17" s="88"/>
      <c r="P17" s="88"/>
      <c r="Q17" s="89"/>
      <c r="S17" s="74"/>
      <c r="T17" s="32"/>
      <c r="U17" s="32"/>
      <c r="V17" s="32"/>
      <c r="W17" s="32"/>
      <c r="X17" s="32"/>
      <c r="Y17" s="32"/>
      <c r="Z17" s="32"/>
      <c r="AA17" s="32"/>
      <c r="AB17" s="73"/>
      <c r="AF17" s="43" t="s">
        <v>46</v>
      </c>
      <c r="AG17" s="84" t="e">
        <f>1-AG16</f>
        <v>#N/A</v>
      </c>
    </row>
    <row r="18" spans="2:33" ht="14.25">
      <c r="B18" s="543" t="str">
        <f>Drop!A112</f>
        <v>总体的绝对值</v>
      </c>
      <c r="C18" s="544"/>
      <c r="D18" s="545"/>
      <c r="E18" s="224"/>
      <c r="F18" s="199"/>
      <c r="H18" s="135" t="str">
        <f>Drop!A130</f>
        <v>提供的证据:</v>
      </c>
      <c r="I18" s="32"/>
      <c r="J18" s="32"/>
      <c r="K18" s="32"/>
      <c r="L18" s="32"/>
      <c r="M18" s="358" t="str">
        <f>Drop!A82</f>
        <v>描述程序</v>
      </c>
      <c r="N18" s="359"/>
      <c r="O18" s="359"/>
      <c r="P18" s="359"/>
      <c r="Q18" s="360"/>
      <c r="S18" s="340" t="str">
        <f>Drop!A142</f>
        <v>相关测试记录的工作底稿索引:</v>
      </c>
      <c r="T18" s="341"/>
      <c r="U18" s="341"/>
      <c r="V18" s="341"/>
      <c r="W18" s="341"/>
      <c r="X18" s="341"/>
      <c r="Y18" s="342"/>
      <c r="Z18" s="535"/>
      <c r="AA18" s="536"/>
      <c r="AB18" s="537"/>
      <c r="AF18" s="43" t="s">
        <v>48</v>
      </c>
      <c r="AG18" s="90">
        <f>IF(E19=Drop!A14,(E18-E24-E25),(E20 - E24-E25))</f>
        <v>0</v>
      </c>
    </row>
    <row r="19" spans="2:33" ht="30" customHeight="1">
      <c r="B19" s="543" t="str">
        <f>Drop!A67</f>
        <v>测试少于总体的100%？</v>
      </c>
      <c r="C19" s="544"/>
      <c r="D19" s="545"/>
      <c r="E19" s="211"/>
      <c r="F19" s="199"/>
      <c r="H19" s="135" t="str">
        <f>Drop!A131</f>
        <v>分析程序</v>
      </c>
      <c r="I19" s="93"/>
      <c r="J19" s="93"/>
      <c r="K19" s="329"/>
      <c r="L19" s="352"/>
      <c r="M19" s="329"/>
      <c r="N19" s="330"/>
      <c r="O19" s="330"/>
      <c r="P19" s="330"/>
      <c r="Q19" s="331"/>
      <c r="S19" s="340"/>
      <c r="T19" s="341"/>
      <c r="U19" s="341"/>
      <c r="V19" s="341"/>
      <c r="W19" s="341"/>
      <c r="X19" s="341"/>
      <c r="Y19" s="342"/>
      <c r="Z19" s="538"/>
      <c r="AA19" s="539"/>
      <c r="AB19" s="540"/>
      <c r="AF19" s="43"/>
      <c r="AG19" s="90"/>
    </row>
    <row r="20" spans="2:33" ht="30" customHeight="1" thickBot="1">
      <c r="B20" s="442" t="str">
        <f>IF(OR(ISBLANK(E19),E19=Drop!A14),"",Drop!A68)</f>
        <v/>
      </c>
      <c r="C20" s="443"/>
      <c r="D20" s="443"/>
      <c r="E20" s="198"/>
      <c r="F20" s="199"/>
      <c r="H20" s="137" t="str">
        <f>Drop!A132</f>
        <v>其他细节测试</v>
      </c>
      <c r="I20" s="93"/>
      <c r="J20" s="93"/>
      <c r="K20" s="329"/>
      <c r="L20" s="352"/>
      <c r="M20" s="329"/>
      <c r="N20" s="330"/>
      <c r="O20" s="330"/>
      <c r="P20" s="330"/>
      <c r="Q20" s="331"/>
      <c r="S20" s="76"/>
      <c r="T20" s="77"/>
      <c r="U20" s="77"/>
      <c r="V20" s="77"/>
      <c r="W20" s="77"/>
      <c r="X20" s="77"/>
      <c r="Y20" s="77"/>
      <c r="Z20" s="77"/>
      <c r="AA20" s="77"/>
      <c r="AB20" s="78"/>
      <c r="AF20" s="43" t="s">
        <v>49</v>
      </c>
      <c r="AG20" s="43" t="b">
        <f>OR(E24&gt;0,E25&gt;0,D24&gt;0,D25&gt;0)</f>
        <v>0</v>
      </c>
    </row>
    <row r="21" spans="2:33" ht="30" customHeight="1">
      <c r="B21" s="196"/>
      <c r="C21" s="197"/>
      <c r="D21" s="213"/>
      <c r="E21" s="198"/>
      <c r="F21" s="199"/>
      <c r="H21" s="137" t="str">
        <f>Drop!A133</f>
        <v>审计数据分析</v>
      </c>
      <c r="I21" s="93"/>
      <c r="J21" s="93"/>
      <c r="K21" s="329"/>
      <c r="L21" s="352"/>
      <c r="M21" s="329"/>
      <c r="N21" s="330"/>
      <c r="O21" s="330"/>
      <c r="P21" s="330"/>
      <c r="Q21" s="331"/>
      <c r="AF21" s="43" t="s">
        <v>99</v>
      </c>
      <c r="AG21" s="43" t="e">
        <f>OR(AG12&lt;100%,AG14&lt;100%)</f>
        <v>#N/A</v>
      </c>
    </row>
    <row r="22" spans="2:33" s="136" customFormat="1" ht="23.25" customHeight="1">
      <c r="B22" s="158" t="str">
        <f>Drop!A113</f>
        <v>重大金额或关键项目进行单独测试:</v>
      </c>
      <c r="C22" s="159"/>
      <c r="D22" s="159"/>
      <c r="E22" s="159"/>
      <c r="F22" s="157"/>
      <c r="H22" s="137" t="str">
        <f>Drop!A134</f>
        <v>预期总体错报金额</v>
      </c>
      <c r="I22" s="93"/>
      <c r="J22" s="93"/>
      <c r="K22" s="93"/>
      <c r="L22" s="93"/>
      <c r="M22" s="353">
        <v>0.1</v>
      </c>
      <c r="N22" s="354"/>
      <c r="O22" s="355">
        <f>IF(ISBLANK(M22),"",$L$5*M22)</f>
        <v>0</v>
      </c>
      <c r="P22" s="356"/>
      <c r="Q22" s="357"/>
      <c r="AB22" s="160"/>
      <c r="AF22" s="43"/>
      <c r="AG22" s="43"/>
    </row>
    <row r="23" spans="2:33">
      <c r="B23" s="166"/>
      <c r="C23" s="32"/>
      <c r="D23" s="195" t="str">
        <f>Drop!A114</f>
        <v>项目总数</v>
      </c>
      <c r="E23" s="192" t="str">
        <f>Drop!A115</f>
        <v>合计金额</v>
      </c>
      <c r="F23" s="73"/>
      <c r="H23" s="363" t="str" cm="1">
        <f t="array" ref="H23">_xlfn.IFS(ISBLANK(M22),"",ISERROR(O22),Drop!A219,M22&lt;Drop!F62,Drop!A79,M22&gt;=Drop!H62,Drop!A81,M22&gt;Drop!G62,Drop!A80,TRUE,"")</f>
        <v/>
      </c>
      <c r="I23" s="364"/>
      <c r="J23" s="364"/>
      <c r="K23" s="364"/>
      <c r="L23" s="364"/>
      <c r="M23" s="364"/>
      <c r="N23" s="364"/>
      <c r="O23" s="364"/>
      <c r="P23" s="364"/>
      <c r="Q23" s="365"/>
      <c r="V23" s="149"/>
      <c r="AB23" s="161" t="str">
        <f>Drop!A243</f>
        <v>图例</v>
      </c>
      <c r="AF23" s="142"/>
      <c r="AG23" s="142"/>
    </row>
    <row r="24" spans="2:33" ht="24.95" customHeight="1">
      <c r="B24" s="166"/>
      <c r="C24" s="215" t="str">
        <f>Drop!A116</f>
        <v>定性</v>
      </c>
      <c r="D24" s="194"/>
      <c r="E24" s="218"/>
      <c r="F24" s="73"/>
      <c r="G24" s="91"/>
      <c r="H24" s="174" t="str">
        <f>IF(E19=Drop!A13,Drop!A137,"")</f>
        <v/>
      </c>
      <c r="I24" s="178"/>
      <c r="J24" s="178"/>
      <c r="K24" s="178"/>
      <c r="L24" s="170"/>
      <c r="M24" s="170"/>
      <c r="N24" s="170"/>
      <c r="O24" s="355" t="str">
        <f>IF(AND(E19=Drop!A13,ISBLANK(M22)=FALSE),O22*E20/E18,"")</f>
        <v/>
      </c>
      <c r="P24" s="356"/>
      <c r="Q24" s="357"/>
      <c r="V24" s="136"/>
      <c r="W24" s="136"/>
      <c r="X24" s="136"/>
      <c r="Y24" s="136"/>
      <c r="Z24" s="136"/>
      <c r="AA24" s="148" t="str">
        <f>Drop!A234</f>
        <v>系统生成或计算值</v>
      </c>
      <c r="AB24" s="150"/>
      <c r="AF24" s="43" t="s">
        <v>12</v>
      </c>
      <c r="AG24" s="138" t="str">
        <f>IF(ISBLANK(E19),Drop!A219,IF(E19=Drop!A13,IF(AG17&gt;0,ROUNDUP(PoissonSample(AG16,((O22*(E20/E18))/AG18),((L5*(E20/E18))/AG18)),0),0),IF(E19=Drop!A14,IF(AG17&gt;0,ROUNDUP(PoissonSample(AG16,((O22)/AG18),((L5)/AG18)),0),0))))</f>
        <v>核实所有输入</v>
      </c>
    </row>
    <row r="25" spans="2:33" ht="24.95" customHeight="1">
      <c r="B25" s="166"/>
      <c r="C25" s="215" t="str">
        <f>Drop!A117</f>
        <v>定量</v>
      </c>
      <c r="D25" s="194"/>
      <c r="E25" s="218"/>
      <c r="F25" s="73"/>
      <c r="H25" s="92" t="str">
        <f>Drop!A135</f>
        <v>设计置信水平</v>
      </c>
      <c r="I25" s="93"/>
      <c r="J25" s="93"/>
      <c r="K25" s="164"/>
      <c r="L25" s="366" t="str">
        <f>IF(ISERROR(IF(AG17&lt;=0,Drop!A69,AG17)),Drop!A219,IF(AG17&lt;=0,Drop!A69,AG17))</f>
        <v>核实所有输入</v>
      </c>
      <c r="M25" s="366"/>
      <c r="N25" s="366"/>
      <c r="O25" s="366"/>
      <c r="P25" s="366"/>
      <c r="Q25" s="367"/>
      <c r="V25" s="136"/>
      <c r="W25" s="136"/>
      <c r="X25" s="136"/>
      <c r="Y25" s="136"/>
      <c r="Z25" s="136"/>
      <c r="AA25" s="148" t="str">
        <f>Drop!A235</f>
        <v>要求用户选择如何确定样本</v>
      </c>
      <c r="AB25" s="147"/>
      <c r="AF25" s="43" t="s">
        <v>106</v>
      </c>
      <c r="AG25" s="143" t="e" cm="1">
        <f t="array" ref="AG25">_xlfn.IFS(L26=Drop!A85,Drop!A227,L26=Drop!A84,ROUND(AG18/5,0),TRUE,ROUND(AG18/L26,0))</f>
        <v>#VALUE!</v>
      </c>
    </row>
    <row r="26" spans="2:33" ht="24.95" customHeight="1">
      <c r="B26" s="166"/>
      <c r="C26" s="32"/>
      <c r="D26" s="214" t="str">
        <f>Drop!A118</f>
        <v>抽样总体</v>
      </c>
      <c r="E26" s="219">
        <f>AG18</f>
        <v>0</v>
      </c>
      <c r="F26" s="73"/>
      <c r="H26" s="92" t="str">
        <f>Drop!A136</f>
        <v>样本量</v>
      </c>
      <c r="I26" s="93"/>
      <c r="J26" s="93"/>
      <c r="K26" s="93"/>
      <c r="L26" s="532" t="str" cm="1">
        <f t="array" ref="L26">_xlfn.IFS(AG18&lt;=L5,Drop!A89,AG26=TRUE,Drop!A219,O22="",Drop!A219,ISERROR(AG24&gt;=5),Drop!A219,AG24&gt;=5,AG24,AG17&lt;=0,Drop!A85,TRUE,Drop!A84)</f>
        <v xml:space="preserve">警告 - 样本量小于或等于实际执行的重要性。			</v>
      </c>
      <c r="M26" s="533"/>
      <c r="N26" s="533" t="str">
        <f>IF(ISERROR(IF(AG24&gt;5,AG24,Drop!A84)),Drop!A219,IF(AG24&gt;5,AG24,Drop!A84))</f>
        <v>核实所有输入</v>
      </c>
      <c r="O26" s="533"/>
      <c r="P26" s="533"/>
      <c r="Q26" s="534"/>
      <c r="R26" s="165"/>
      <c r="AA26" s="148" t="str">
        <f>Drop!A236</f>
        <v>其他用户输入栏</v>
      </c>
      <c r="AB26" s="151"/>
      <c r="AF26" s="153" t="s">
        <v>244</v>
      </c>
      <c r="AG26" s="143" t="b">
        <f>M22&gt;=Drop!H62</f>
        <v>0</v>
      </c>
    </row>
    <row r="27" spans="2:33" ht="24.95" customHeight="1">
      <c r="B27" s="166"/>
      <c r="C27" s="171"/>
      <c r="D27" s="168"/>
      <c r="E27" s="172"/>
      <c r="F27" s="173"/>
      <c r="H27" s="370" t="str">
        <f>IF(AG20=TRUE,Drop!A70,"")</f>
        <v/>
      </c>
      <c r="I27" s="371"/>
      <c r="J27" s="371"/>
      <c r="K27" s="371"/>
      <c r="L27" s="372" t="str">
        <f>IF(AG20=TRUE,D24+D25,"")</f>
        <v/>
      </c>
      <c r="M27" s="373"/>
      <c r="N27" s="373"/>
      <c r="O27" s="373"/>
      <c r="P27" s="373"/>
      <c r="Q27" s="374"/>
      <c r="AA27" s="148"/>
    </row>
    <row r="28" spans="2:33" ht="33.75" customHeight="1" thickBot="1">
      <c r="B28" s="375" t="str" cm="1">
        <f t="array" ref="B28">_xlfn.IFS(AG28=TRUE,Drop!A220,AG29=TRUE,Drop!A223,AG30=TRUE,Drop!A221,TRUE,"")</f>
        <v/>
      </c>
      <c r="C28" s="376"/>
      <c r="D28" s="376"/>
      <c r="E28" s="376"/>
      <c r="F28" s="377"/>
      <c r="H28" s="76"/>
      <c r="I28" s="77"/>
      <c r="J28" s="77"/>
      <c r="K28" s="77"/>
      <c r="L28" s="77"/>
      <c r="M28" s="77"/>
      <c r="N28" s="77"/>
      <c r="O28" s="94"/>
      <c r="P28" s="77"/>
      <c r="Q28" s="95"/>
      <c r="AF28" s="43" t="s">
        <v>206</v>
      </c>
      <c r="AG28" s="43" t="str">
        <f>IF(ISBLANK(E18),"",IF(E19=Drop!A13,SUM(E24:E25)&gt;E20,SUM(E24:E25)&gt;E18))</f>
        <v/>
      </c>
    </row>
    <row r="29" spans="2:33" ht="24.95" customHeight="1" thickBot="1">
      <c r="B29" s="96"/>
      <c r="AF29" s="43" t="s">
        <v>207</v>
      </c>
      <c r="AG29" s="43" t="str">
        <f>IF(ISBLANK(E18),"",IF(E19=Drop!A13,(SUM(E24:E25)/E20)&gt;Drop!E223,(SUM(E24:E25)/E18)&gt;Drop!E223))</f>
        <v/>
      </c>
    </row>
    <row r="30" spans="2:33" ht="13.5" thickBot="1">
      <c r="B30" s="65" t="str">
        <f>Drop!A99</f>
        <v>步骤 7 - 评价样本结果</v>
      </c>
      <c r="C30" s="66"/>
      <c r="D30" s="66"/>
      <c r="E30" s="66"/>
      <c r="F30" s="66"/>
      <c r="G30" s="66"/>
      <c r="H30" s="66"/>
      <c r="I30" s="66"/>
      <c r="J30" s="66"/>
      <c r="K30" s="66"/>
      <c r="L30" s="66"/>
      <c r="M30" s="66"/>
      <c r="N30" s="66"/>
      <c r="O30" s="66"/>
      <c r="P30" s="66"/>
      <c r="Q30" s="66"/>
      <c r="R30" s="66"/>
      <c r="S30" s="66"/>
      <c r="T30" s="66"/>
      <c r="U30" s="66"/>
      <c r="V30" s="66"/>
      <c r="W30" s="66"/>
      <c r="X30" s="66"/>
      <c r="Y30" s="66"/>
      <c r="Z30" s="66"/>
      <c r="AA30" s="66"/>
      <c r="AB30" s="67"/>
      <c r="AF30" s="27" t="s">
        <v>237</v>
      </c>
      <c r="AG30" s="27" t="b">
        <f>OR(E24&lt;0,E25&lt;0)</f>
        <v>0</v>
      </c>
    </row>
    <row r="31" spans="2:33" ht="15" customHeight="1">
      <c r="B31" s="378" t="str" cm="1">
        <f t="array" ref="B31">_xlfn.IFS(L26=Drop!A85,Drop!A86,L26=Drop!A84,Drop!A87,ISERROR(L26),Drop!A219,TRUE,"")</f>
        <v/>
      </c>
      <c r="C31" s="379"/>
      <c r="D31" s="379"/>
      <c r="E31" s="379"/>
      <c r="F31" s="379"/>
      <c r="G31" s="379"/>
      <c r="H31" s="379"/>
      <c r="I31" s="379"/>
      <c r="J31" s="379"/>
      <c r="K31" s="379"/>
      <c r="L31" s="379"/>
      <c r="M31" s="379"/>
      <c r="N31" s="379"/>
      <c r="O31" s="379"/>
      <c r="P31" s="379"/>
      <c r="Q31" s="379"/>
      <c r="R31" s="379"/>
      <c r="S31" s="379"/>
      <c r="T31" s="379"/>
      <c r="U31" s="379"/>
      <c r="V31" s="379"/>
      <c r="W31" s="379"/>
      <c r="X31" s="379"/>
      <c r="Y31" s="379"/>
      <c r="Z31" s="379"/>
      <c r="AA31" s="379"/>
      <c r="AB31" s="380"/>
    </row>
    <row r="32" spans="2:33" ht="15.75" customHeight="1" thickBot="1">
      <c r="B32" s="381"/>
      <c r="C32" s="382"/>
      <c r="D32" s="382"/>
      <c r="E32" s="382"/>
      <c r="F32" s="382"/>
      <c r="G32" s="382"/>
      <c r="H32" s="382"/>
      <c r="I32" s="382"/>
      <c r="J32" s="382"/>
      <c r="K32" s="382"/>
      <c r="L32" s="382"/>
      <c r="M32" s="382"/>
      <c r="N32" s="382"/>
      <c r="O32" s="382"/>
      <c r="P32" s="382"/>
      <c r="Q32" s="382"/>
      <c r="R32" s="382"/>
      <c r="S32" s="382"/>
      <c r="T32" s="382"/>
      <c r="U32" s="382"/>
      <c r="V32" s="382"/>
      <c r="W32" s="382"/>
      <c r="X32" s="382"/>
      <c r="Y32" s="382"/>
      <c r="Z32" s="382"/>
      <c r="AA32" s="382"/>
      <c r="AB32" s="383"/>
    </row>
    <row r="33" spans="2:39" ht="15.75" customHeight="1" thickBot="1">
      <c r="B33" s="384" t="str">
        <f>Drop!A144</f>
        <v>识别出的错报</v>
      </c>
      <c r="C33" s="385"/>
      <c r="D33" s="385"/>
      <c r="E33" s="385"/>
      <c r="F33" s="385"/>
      <c r="G33" s="385"/>
      <c r="H33" s="385"/>
      <c r="I33" s="385"/>
      <c r="J33" s="385"/>
      <c r="K33" s="385"/>
      <c r="L33" s="385"/>
      <c r="M33" s="385"/>
      <c r="N33" s="385"/>
      <c r="O33" s="385"/>
      <c r="P33" s="385"/>
      <c r="Q33" s="386"/>
      <c r="S33" s="384" t="str">
        <f>Drop!A156</f>
        <v>汇总结果</v>
      </c>
      <c r="T33" s="385"/>
      <c r="U33" s="385"/>
      <c r="V33" s="385"/>
      <c r="W33" s="385"/>
      <c r="X33" s="385"/>
      <c r="Y33" s="385"/>
      <c r="Z33" s="385"/>
      <c r="AA33" s="385"/>
      <c r="AB33" s="386"/>
      <c r="AF33" s="35" t="s">
        <v>104</v>
      </c>
      <c r="AG33" s="35" t="b">
        <f>MIN(AJ38:AJ57)&lt;Drop!A240</f>
        <v>0</v>
      </c>
    </row>
    <row r="34" spans="2:39">
      <c r="B34" s="202"/>
      <c r="C34" s="520"/>
      <c r="D34" s="520"/>
      <c r="E34" s="520"/>
      <c r="F34" s="521"/>
      <c r="G34" s="97"/>
      <c r="H34" s="97"/>
      <c r="I34" s="97"/>
      <c r="J34" s="97"/>
      <c r="K34" s="97"/>
      <c r="L34" s="97"/>
      <c r="M34" s="97"/>
      <c r="N34" s="97"/>
      <c r="O34" s="97"/>
      <c r="P34" s="97"/>
      <c r="Q34" s="98"/>
      <c r="S34" s="74"/>
      <c r="T34" s="32"/>
      <c r="U34" s="32"/>
      <c r="V34" s="32"/>
      <c r="W34" s="32"/>
      <c r="X34" s="32"/>
      <c r="Y34" s="32"/>
      <c r="Z34" s="32"/>
      <c r="AA34" s="32"/>
      <c r="AB34" s="73"/>
      <c r="AK34" s="82"/>
    </row>
    <row r="35" spans="2:39">
      <c r="B35" s="72"/>
      <c r="C35" s="530" t="str">
        <f>Drop!A145</f>
        <v>账面金额</v>
      </c>
      <c r="D35" s="530" t="str">
        <f>Drop!A146</f>
        <v>审计金额</v>
      </c>
      <c r="E35" s="530" t="str">
        <f>Drop!A147</f>
        <v>与重大金额或关键项目相关?</v>
      </c>
      <c r="F35" s="210"/>
      <c r="G35" s="210"/>
      <c r="H35" s="522" t="str">
        <f>Drop!A148</f>
        <v>错报金额合计</v>
      </c>
      <c r="I35" s="523"/>
      <c r="J35" s="526" t="str">
        <f>Drop!A149</f>
        <v>渲染</v>
      </c>
      <c r="K35" s="527"/>
      <c r="L35" s="305" t="str">
        <f>Drop!A150</f>
        <v>推断总体</v>
      </c>
      <c r="M35" s="306"/>
      <c r="N35" s="306"/>
      <c r="O35" s="306"/>
      <c r="P35" s="306"/>
      <c r="Q35" s="513"/>
      <c r="S35" s="74" t="str">
        <f>Drop!A157</f>
        <v>样本的实际错报金额:</v>
      </c>
      <c r="T35" s="32"/>
      <c r="U35" s="32"/>
      <c r="V35" s="32"/>
      <c r="W35" s="32"/>
      <c r="X35" s="32"/>
      <c r="Y35" s="32"/>
      <c r="Z35" s="32"/>
      <c r="AA35" s="401">
        <f>H57</f>
        <v>0</v>
      </c>
      <c r="AB35" s="402"/>
      <c r="AF35" s="35" t="s">
        <v>57</v>
      </c>
      <c r="AG35" s="82" t="e">
        <f>Y12*AG37</f>
        <v>#VALUE!</v>
      </c>
      <c r="AH35" s="82"/>
      <c r="AI35" s="82"/>
      <c r="AJ35" s="82"/>
      <c r="AK35" s="82"/>
    </row>
    <row r="36" spans="2:39">
      <c r="B36" s="202"/>
      <c r="C36" s="531"/>
      <c r="D36" s="531"/>
      <c r="E36" s="531"/>
      <c r="F36" s="210"/>
      <c r="G36" s="210"/>
      <c r="H36" s="524"/>
      <c r="I36" s="525"/>
      <c r="J36" s="528"/>
      <c r="K36" s="529"/>
      <c r="L36" s="514" t="str">
        <f>Drop!A151</f>
        <v>包括渲染</v>
      </c>
      <c r="M36" s="515"/>
      <c r="N36" s="516"/>
      <c r="O36" s="514" t="str">
        <f>Drop!A152</f>
        <v>没有渲染</v>
      </c>
      <c r="P36" s="515"/>
      <c r="Q36" s="517"/>
      <c r="S36" s="74"/>
      <c r="T36" s="100"/>
      <c r="U36" s="100"/>
      <c r="V36" s="100"/>
      <c r="W36" s="100"/>
      <c r="X36" s="100"/>
      <c r="Y36" s="100"/>
      <c r="Z36" s="32"/>
      <c r="AA36" s="32"/>
      <c r="AB36" s="73"/>
      <c r="AF36" s="59" t="s">
        <v>56</v>
      </c>
      <c r="AG36" s="35" t="s">
        <v>42</v>
      </c>
      <c r="AH36" s="35" t="s">
        <v>70</v>
      </c>
      <c r="AI36" s="35" t="s">
        <v>102</v>
      </c>
      <c r="AJ36" s="99" t="s">
        <v>91</v>
      </c>
      <c r="AK36" s="99" t="s">
        <v>92</v>
      </c>
      <c r="AL36" s="518" t="s">
        <v>58</v>
      </c>
    </row>
    <row r="37" spans="2:39" ht="15.75" customHeight="1">
      <c r="B37" s="201"/>
      <c r="C37" s="189"/>
      <c r="D37" s="189"/>
      <c r="E37" s="209"/>
      <c r="F37" s="32"/>
      <c r="G37" s="32"/>
      <c r="H37" s="465">
        <f t="shared" ref="H37:H56" si="0">C37-D37</f>
        <v>0</v>
      </c>
      <c r="I37" s="466"/>
      <c r="J37" s="467" t="str">
        <f t="shared" ref="J37:J56" si="1">IF(C37&gt;0,H37/C37,"")</f>
        <v/>
      </c>
      <c r="K37" s="468"/>
      <c r="L37" s="460">
        <f>IF(ISERROR(IF(C37&gt;0,IF(OR(C37&gt;$Y$12,E37=Drop!A$13),0,J37*$Y$12),0)),Drop!A$219,IF(C37&gt;0,IF(OR(C37&gt;$Y$12,E37=Drop!A$13),0,J37*$Y$12),0))</f>
        <v>0</v>
      </c>
      <c r="M37" s="461"/>
      <c r="N37" s="462"/>
      <c r="O37" s="405">
        <f>IF(ISERROR(IF(OR(C37&gt;$Y$12,E37=Drop!A$13),H37,0)),Drop!A$219,IF(OR(C37&gt;$Y$12,E37=Drop!A$13),H37,0))</f>
        <v>0</v>
      </c>
      <c r="P37" s="463"/>
      <c r="Q37" s="464"/>
      <c r="S37" s="504" t="str">
        <f>Drop!A158</f>
        <v>推断总体错报金额 (记录到审计调整分录或未更正错报汇总):</v>
      </c>
      <c r="T37" s="505"/>
      <c r="U37" s="505"/>
      <c r="V37" s="505"/>
      <c r="W37" s="505"/>
      <c r="X37" s="505"/>
      <c r="Y37" s="505"/>
      <c r="Z37" s="506"/>
      <c r="AA37" s="507">
        <f>L58</f>
        <v>0</v>
      </c>
      <c r="AB37" s="508"/>
      <c r="AF37" s="192">
        <v>0</v>
      </c>
      <c r="AG37" s="192" t="e">
        <f t="shared" ref="AG37:AG57" si="2">_xlfn.GAMMA.INV($AG$17,AF37+1,1)</f>
        <v>#N/A</v>
      </c>
      <c r="AH37" s="192"/>
      <c r="AI37" s="192"/>
      <c r="AJ37" s="101"/>
      <c r="AK37" s="101"/>
      <c r="AL37" s="519"/>
      <c r="AM37" s="104"/>
    </row>
    <row r="38" spans="2:39" ht="15.75" customHeight="1">
      <c r="B38" s="201"/>
      <c r="C38" s="189"/>
      <c r="D38" s="189"/>
      <c r="E38" s="209"/>
      <c r="F38" s="32"/>
      <c r="G38" s="32"/>
      <c r="H38" s="465">
        <f t="shared" si="0"/>
        <v>0</v>
      </c>
      <c r="I38" s="466"/>
      <c r="J38" s="467" t="str">
        <f t="shared" si="1"/>
        <v/>
      </c>
      <c r="K38" s="468"/>
      <c r="L38" s="460">
        <f>IF(ISERROR(IF(C38&gt;0,IF(OR(C38&gt;$Y$12,E38=Drop!A$13),0,J38*$Y$12),0)),Drop!A$219,IF(C38&gt;0,IF(OR(C38&gt;$Y$12,E38=Drop!A$13),0,J38*$Y$12),0))</f>
        <v>0</v>
      </c>
      <c r="M38" s="461"/>
      <c r="N38" s="462"/>
      <c r="O38" s="405">
        <f>IF(ISERROR(IF(OR(C38&gt;$Y$12,E38=Drop!A$13),H38,0)),Drop!A$219,IF(OR(C38&gt;$Y$12,E38=Drop!A$13),H38,0))</f>
        <v>0</v>
      </c>
      <c r="P38" s="463"/>
      <c r="Q38" s="464"/>
      <c r="S38" s="504"/>
      <c r="T38" s="505"/>
      <c r="U38" s="505"/>
      <c r="V38" s="505"/>
      <c r="W38" s="505"/>
      <c r="X38" s="505"/>
      <c r="Y38" s="505"/>
      <c r="Z38" s="506"/>
      <c r="AA38" s="509"/>
      <c r="AB38" s="510"/>
      <c r="AF38" s="192">
        <f>AF37+1</f>
        <v>1</v>
      </c>
      <c r="AG38" s="192" t="e">
        <f t="shared" si="2"/>
        <v>#N/A</v>
      </c>
      <c r="AH38" s="192" t="e">
        <f t="shared" ref="AH38:AH56" si="3">AG38-AG37</f>
        <v>#N/A</v>
      </c>
      <c r="AI38" s="192">
        <f>ABS(L37)</f>
        <v>0</v>
      </c>
      <c r="AJ38" s="101">
        <f t="shared" ref="AJ38:AJ57" si="4">RANK(AI38,AI$38:AI$57)</f>
        <v>1</v>
      </c>
      <c r="AK38" s="102">
        <f>L37</f>
        <v>0</v>
      </c>
      <c r="AL38" s="103" t="e">
        <f>VLOOKUP(AJ38,AF$37:AH$57,3,FALSE)*AK38</f>
        <v>#N/A</v>
      </c>
      <c r="AM38" s="104"/>
    </row>
    <row r="39" spans="2:39" ht="15.75" customHeight="1">
      <c r="B39" s="201"/>
      <c r="C39" s="189"/>
      <c r="D39" s="189"/>
      <c r="E39" s="209"/>
      <c r="F39" s="32"/>
      <c r="G39" s="32"/>
      <c r="H39" s="465">
        <f t="shared" si="0"/>
        <v>0</v>
      </c>
      <c r="I39" s="466"/>
      <c r="J39" s="467" t="str">
        <f t="shared" si="1"/>
        <v/>
      </c>
      <c r="K39" s="468"/>
      <c r="L39" s="460">
        <f>IF(ISERROR(IF(C39&gt;0,IF(OR(C39&gt;$Y$12,E39=Drop!A$13),0,J39*$Y$12),0)),Drop!A$219,IF(C39&gt;0,IF(OR(C39&gt;$Y$12,E39=Drop!A$13),0,J39*$Y$12),0))</f>
        <v>0</v>
      </c>
      <c r="M39" s="461"/>
      <c r="N39" s="462"/>
      <c r="O39" s="405">
        <f>IF(ISERROR(IF(OR(C39&gt;$Y$12,E39=Drop!A$13),H39,0)),Drop!A$219,IF(OR(C39&gt;$Y$12,E39=Drop!A$13),H39,0))</f>
        <v>0</v>
      </c>
      <c r="P39" s="463"/>
      <c r="Q39" s="464"/>
      <c r="S39" s="504"/>
      <c r="T39" s="505"/>
      <c r="U39" s="505"/>
      <c r="V39" s="505"/>
      <c r="W39" s="505"/>
      <c r="X39" s="505"/>
      <c r="Y39" s="505"/>
      <c r="Z39" s="506"/>
      <c r="AA39" s="511"/>
      <c r="AB39" s="512"/>
      <c r="AF39" s="192">
        <f t="shared" ref="AF39:AF57" si="5">AF38+1</f>
        <v>2</v>
      </c>
      <c r="AG39" s="192" t="e">
        <f t="shared" si="2"/>
        <v>#N/A</v>
      </c>
      <c r="AH39" s="192" t="e">
        <f t="shared" si="3"/>
        <v>#N/A</v>
      </c>
      <c r="AI39" s="192">
        <f t="shared" ref="AI39:AI57" si="6">ABS(L38)</f>
        <v>0</v>
      </c>
      <c r="AJ39" s="101">
        <f t="shared" si="4"/>
        <v>1</v>
      </c>
      <c r="AK39" s="102">
        <f t="shared" ref="AK39:AK57" si="7">L38</f>
        <v>0</v>
      </c>
      <c r="AL39" s="103" t="e">
        <f>VLOOKUP(AJ39,AF$37:AH$57,3,FALSE)*AK39</f>
        <v>#N/A</v>
      </c>
      <c r="AM39" s="104"/>
    </row>
    <row r="40" spans="2:39" ht="15.75" customHeight="1">
      <c r="B40" s="201"/>
      <c r="C40" s="189"/>
      <c r="D40" s="189"/>
      <c r="E40" s="209"/>
      <c r="F40" s="32"/>
      <c r="G40" s="32"/>
      <c r="H40" s="465">
        <f t="shared" si="0"/>
        <v>0</v>
      </c>
      <c r="I40" s="466"/>
      <c r="J40" s="467" t="str">
        <f t="shared" si="1"/>
        <v/>
      </c>
      <c r="K40" s="468"/>
      <c r="L40" s="460">
        <f>IF(ISERROR(IF(C40&gt;0,IF(OR(C40&gt;$Y$12,E40=Drop!A$13),0,J40*$Y$12),0)),Drop!A$219,IF(C40&gt;0,IF(OR(C40&gt;$Y$12,E40=Drop!A$13),0,J40*$Y$12),0))</f>
        <v>0</v>
      </c>
      <c r="M40" s="461"/>
      <c r="N40" s="462"/>
      <c r="O40" s="405">
        <f>IF(ISERROR(IF(OR(C40&gt;$Y$12,E40=Drop!A$13),H40,0)),Drop!A$219,IF(OR(C40&gt;$Y$12,E40=Drop!A$13),H40,0))</f>
        <v>0</v>
      </c>
      <c r="P40" s="463"/>
      <c r="Q40" s="464"/>
      <c r="S40" s="105"/>
      <c r="T40" s="32"/>
      <c r="U40" s="32"/>
      <c r="V40" s="32"/>
      <c r="W40" s="32"/>
      <c r="X40" s="32"/>
      <c r="Y40" s="32"/>
      <c r="Z40" s="32"/>
      <c r="AA40" s="32"/>
      <c r="AB40" s="73"/>
      <c r="AF40" s="192">
        <f t="shared" si="5"/>
        <v>3</v>
      </c>
      <c r="AG40" s="192" t="e">
        <f t="shared" si="2"/>
        <v>#N/A</v>
      </c>
      <c r="AH40" s="192" t="e">
        <f t="shared" si="3"/>
        <v>#N/A</v>
      </c>
      <c r="AI40" s="192">
        <f t="shared" si="6"/>
        <v>0</v>
      </c>
      <c r="AJ40" s="101">
        <f t="shared" si="4"/>
        <v>1</v>
      </c>
      <c r="AK40" s="102">
        <f t="shared" si="7"/>
        <v>0</v>
      </c>
      <c r="AL40" s="103" t="e">
        <f t="shared" ref="AL40:AL57" si="8">VLOOKUP(AJ40,AF$37:AH$57,3,FALSE)*AK40</f>
        <v>#N/A</v>
      </c>
      <c r="AM40" s="104"/>
    </row>
    <row r="41" spans="2:39" ht="15.75" customHeight="1">
      <c r="B41" s="201"/>
      <c r="C41" s="189"/>
      <c r="D41" s="189"/>
      <c r="E41" s="209"/>
      <c r="F41" s="32"/>
      <c r="G41" s="32"/>
      <c r="H41" s="465">
        <f t="shared" si="0"/>
        <v>0</v>
      </c>
      <c r="I41" s="466"/>
      <c r="J41" s="467" t="str">
        <f t="shared" si="1"/>
        <v/>
      </c>
      <c r="K41" s="468"/>
      <c r="L41" s="460">
        <f>IF(ISERROR(IF(C41&gt;0,IF(OR(C41&gt;$Y$12,E41=Drop!A$13),0,J41*$Y$12),0)),Drop!A$219,IF(C41&gt;0,IF(OR(C41&gt;$Y$12,E41=Drop!A$13),0,J41*$Y$12),0))</f>
        <v>0</v>
      </c>
      <c r="M41" s="461"/>
      <c r="N41" s="462"/>
      <c r="O41" s="405">
        <f>IF(ISERROR(IF(OR(C41&gt;$Y$12,E41=Drop!A$13),H41,0)),Drop!A$219,IF(OR(C41&gt;$Y$12,E41=Drop!A$13),H41,0))</f>
        <v>0</v>
      </c>
      <c r="P41" s="463"/>
      <c r="Q41" s="464"/>
      <c r="S41" s="74" t="str">
        <f>Drop!A159</f>
        <v>整体精准度:</v>
      </c>
      <c r="T41" s="32"/>
      <c r="U41" s="32"/>
      <c r="V41" s="32"/>
      <c r="W41" s="32"/>
      <c r="X41" s="32"/>
      <c r="Y41" s="32"/>
      <c r="Z41" s="32"/>
      <c r="AA41" s="493" t="str">
        <f>IF(ISERROR(AL66),Drop!A219,AL66)</f>
        <v>核实所有输入</v>
      </c>
      <c r="AB41" s="494"/>
      <c r="AF41" s="192">
        <f t="shared" si="5"/>
        <v>4</v>
      </c>
      <c r="AG41" s="192" t="e">
        <f t="shared" si="2"/>
        <v>#N/A</v>
      </c>
      <c r="AH41" s="192" t="e">
        <f t="shared" si="3"/>
        <v>#N/A</v>
      </c>
      <c r="AI41" s="192">
        <f t="shared" si="6"/>
        <v>0</v>
      </c>
      <c r="AJ41" s="101">
        <f t="shared" si="4"/>
        <v>1</v>
      </c>
      <c r="AK41" s="102">
        <f t="shared" si="7"/>
        <v>0</v>
      </c>
      <c r="AL41" s="103" t="e">
        <f t="shared" si="8"/>
        <v>#N/A</v>
      </c>
      <c r="AM41" s="104"/>
    </row>
    <row r="42" spans="2:39" ht="15.75" customHeight="1">
      <c r="B42" s="201"/>
      <c r="C42" s="189"/>
      <c r="D42" s="189"/>
      <c r="E42" s="209"/>
      <c r="F42" s="32"/>
      <c r="G42" s="32"/>
      <c r="H42" s="465">
        <f t="shared" si="0"/>
        <v>0</v>
      </c>
      <c r="I42" s="466"/>
      <c r="J42" s="467" t="str">
        <f t="shared" si="1"/>
        <v/>
      </c>
      <c r="K42" s="468"/>
      <c r="L42" s="460">
        <f>IF(ISERROR(IF(C42&gt;0,IF(OR(C42&gt;$Y$12,E42=Drop!A$13),0,J42*$Y$12),0)),Drop!A$219,IF(C42&gt;0,IF(OR(C42&gt;$Y$12,E42=Drop!A$13),0,J42*$Y$12),0))</f>
        <v>0</v>
      </c>
      <c r="M42" s="461"/>
      <c r="N42" s="462"/>
      <c r="O42" s="405">
        <f>IF(ISERROR(IF(OR(C42&gt;$Y$12,E42=Drop!A$13),H42,0)),Drop!A$219,IF(OR(C42&gt;$Y$12,E42=Drop!A$13),H42,0))</f>
        <v>0</v>
      </c>
      <c r="P42" s="463"/>
      <c r="Q42" s="464"/>
      <c r="S42" s="74"/>
      <c r="T42" s="32"/>
      <c r="U42" s="32"/>
      <c r="V42" s="32"/>
      <c r="W42" s="32"/>
      <c r="X42" s="32"/>
      <c r="Y42" s="32"/>
      <c r="Z42" s="32"/>
      <c r="AA42" s="32"/>
      <c r="AB42" s="73"/>
      <c r="AF42" s="192">
        <f t="shared" si="5"/>
        <v>5</v>
      </c>
      <c r="AG42" s="192" t="e">
        <f t="shared" si="2"/>
        <v>#N/A</v>
      </c>
      <c r="AH42" s="192" t="e">
        <f t="shared" si="3"/>
        <v>#N/A</v>
      </c>
      <c r="AI42" s="192">
        <f t="shared" si="6"/>
        <v>0</v>
      </c>
      <c r="AJ42" s="101">
        <f t="shared" si="4"/>
        <v>1</v>
      </c>
      <c r="AK42" s="102">
        <f t="shared" si="7"/>
        <v>0</v>
      </c>
      <c r="AL42" s="103" t="e">
        <f t="shared" si="8"/>
        <v>#N/A</v>
      </c>
      <c r="AM42" s="104"/>
    </row>
    <row r="43" spans="2:39" ht="15.75" customHeight="1">
      <c r="B43" s="201"/>
      <c r="C43" s="189"/>
      <c r="D43" s="189"/>
      <c r="E43" s="209"/>
      <c r="F43" s="32"/>
      <c r="G43" s="32"/>
      <c r="H43" s="465">
        <f t="shared" si="0"/>
        <v>0</v>
      </c>
      <c r="I43" s="466"/>
      <c r="J43" s="467" t="str">
        <f t="shared" si="1"/>
        <v/>
      </c>
      <c r="K43" s="468"/>
      <c r="L43" s="460">
        <f>IF(ISERROR(IF(C43&gt;0,IF(OR(C43&gt;$Y$12,E43=Drop!A$13),0,J43*$Y$12),0)),Drop!A$219,IF(C43&gt;0,IF(OR(C43&gt;$Y$12,E43=Drop!A$13),0,J43*$Y$12),0))</f>
        <v>0</v>
      </c>
      <c r="M43" s="461"/>
      <c r="N43" s="462"/>
      <c r="O43" s="405">
        <f>IF(ISERROR(IF(OR(C43&gt;$Y$12,E43=Drop!A$13),H43,0)),Drop!A$219,IF(OR(C43&gt;$Y$12,E43=Drop!A$13),H43,0))</f>
        <v>0</v>
      </c>
      <c r="P43" s="463"/>
      <c r="Q43" s="464"/>
      <c r="S43" s="421" t="str">
        <f>Drop!A160</f>
        <v>这里有</v>
      </c>
      <c r="T43" s="422"/>
      <c r="U43" s="495" t="str">
        <f>IF(ISERROR(AG16),Drop!A219,AG16)</f>
        <v>核实所有输入</v>
      </c>
      <c r="V43" s="496"/>
      <c r="W43" s="501" t="str">
        <f>Drop!A161</f>
        <v>机会已记账金额被多计超过</v>
      </c>
      <c r="X43" s="502"/>
      <c r="Y43" s="502"/>
      <c r="Z43" s="503"/>
      <c r="AA43" s="487" t="str">
        <f>IF(ISERROR(AL72),Drop!A219,AL72)</f>
        <v>核实所有输入</v>
      </c>
      <c r="AB43" s="488"/>
      <c r="AF43" s="192">
        <f t="shared" si="5"/>
        <v>6</v>
      </c>
      <c r="AG43" s="192" t="e">
        <f t="shared" si="2"/>
        <v>#N/A</v>
      </c>
      <c r="AH43" s="192" t="e">
        <f t="shared" si="3"/>
        <v>#N/A</v>
      </c>
      <c r="AI43" s="192">
        <f t="shared" si="6"/>
        <v>0</v>
      </c>
      <c r="AJ43" s="101">
        <f t="shared" si="4"/>
        <v>1</v>
      </c>
      <c r="AK43" s="102">
        <f t="shared" si="7"/>
        <v>0</v>
      </c>
      <c r="AL43" s="103" t="e">
        <f t="shared" si="8"/>
        <v>#N/A</v>
      </c>
      <c r="AM43" s="104"/>
    </row>
    <row r="44" spans="2:39" ht="15.75" customHeight="1">
      <c r="B44" s="201"/>
      <c r="C44" s="189"/>
      <c r="D44" s="189"/>
      <c r="E44" s="209"/>
      <c r="F44" s="32"/>
      <c r="G44" s="32"/>
      <c r="H44" s="465">
        <f t="shared" si="0"/>
        <v>0</v>
      </c>
      <c r="I44" s="466"/>
      <c r="J44" s="467" t="str">
        <f t="shared" si="1"/>
        <v/>
      </c>
      <c r="K44" s="468"/>
      <c r="L44" s="460">
        <f>IF(ISERROR(IF(C44&gt;0,IF(OR(C44&gt;$Y$12,E44=Drop!A$13),0,J44*$Y$12),0)),Drop!A$219,IF(C44&gt;0,IF(OR(C44&gt;$Y$12,E44=Drop!A$13),0,J44*$Y$12),0))</f>
        <v>0</v>
      </c>
      <c r="M44" s="461"/>
      <c r="N44" s="462"/>
      <c r="O44" s="405">
        <f>IF(ISERROR(IF(OR(C44&gt;$Y$12,E44=Drop!A$13),H44,0)),Drop!A$219,IF(OR(C44&gt;$Y$12,E44=Drop!A$13),H44,0))</f>
        <v>0</v>
      </c>
      <c r="P44" s="463"/>
      <c r="Q44" s="464"/>
      <c r="S44" s="421"/>
      <c r="T44" s="422"/>
      <c r="U44" s="497"/>
      <c r="V44" s="498"/>
      <c r="W44" s="501"/>
      <c r="X44" s="502"/>
      <c r="Y44" s="502"/>
      <c r="Z44" s="503"/>
      <c r="AA44" s="489"/>
      <c r="AB44" s="490"/>
      <c r="AF44" s="192">
        <f t="shared" si="5"/>
        <v>7</v>
      </c>
      <c r="AG44" s="192" t="e">
        <f t="shared" si="2"/>
        <v>#N/A</v>
      </c>
      <c r="AH44" s="192" t="e">
        <f t="shared" si="3"/>
        <v>#N/A</v>
      </c>
      <c r="AI44" s="192">
        <f t="shared" si="6"/>
        <v>0</v>
      </c>
      <c r="AJ44" s="101">
        <f t="shared" si="4"/>
        <v>1</v>
      </c>
      <c r="AK44" s="102">
        <f t="shared" si="7"/>
        <v>0</v>
      </c>
      <c r="AL44" s="103" t="e">
        <f t="shared" si="8"/>
        <v>#N/A</v>
      </c>
      <c r="AM44" s="104"/>
    </row>
    <row r="45" spans="2:39" ht="15.75" customHeight="1">
      <c r="B45" s="201"/>
      <c r="C45" s="189"/>
      <c r="D45" s="189"/>
      <c r="E45" s="209"/>
      <c r="F45" s="32"/>
      <c r="G45" s="32"/>
      <c r="H45" s="465">
        <f t="shared" si="0"/>
        <v>0</v>
      </c>
      <c r="I45" s="466"/>
      <c r="J45" s="467" t="str">
        <f t="shared" si="1"/>
        <v/>
      </c>
      <c r="K45" s="468"/>
      <c r="L45" s="460">
        <f>IF(ISERROR(IF(C45&gt;0,IF(OR(C45&gt;$Y$12,E45=Drop!A$13),0,J45*$Y$12),0)),Drop!A$219,IF(C45&gt;0,IF(OR(C45&gt;$Y$12,E45=Drop!A$13),0,J45*$Y$12),0))</f>
        <v>0</v>
      </c>
      <c r="M45" s="461"/>
      <c r="N45" s="462"/>
      <c r="O45" s="405">
        <f>IF(ISERROR(IF(OR(C45&gt;$Y$12,E45=Drop!A$13),H45,0)),Drop!A$219,IF(OR(C45&gt;$Y$12,E45=Drop!A$13),H45,0))</f>
        <v>0</v>
      </c>
      <c r="P45" s="463"/>
      <c r="Q45" s="464"/>
      <c r="S45" s="421"/>
      <c r="T45" s="422"/>
      <c r="U45" s="499"/>
      <c r="V45" s="500"/>
      <c r="W45" s="501"/>
      <c r="X45" s="502"/>
      <c r="Y45" s="502"/>
      <c r="Z45" s="503"/>
      <c r="AA45" s="491"/>
      <c r="AB45" s="492"/>
      <c r="AF45" s="192">
        <f t="shared" si="5"/>
        <v>8</v>
      </c>
      <c r="AG45" s="192" t="e">
        <f t="shared" si="2"/>
        <v>#N/A</v>
      </c>
      <c r="AH45" s="192" t="e">
        <f t="shared" si="3"/>
        <v>#N/A</v>
      </c>
      <c r="AI45" s="192">
        <f t="shared" si="6"/>
        <v>0</v>
      </c>
      <c r="AJ45" s="101">
        <f t="shared" si="4"/>
        <v>1</v>
      </c>
      <c r="AK45" s="102">
        <f t="shared" si="7"/>
        <v>0</v>
      </c>
      <c r="AL45" s="103" t="e">
        <f t="shared" si="8"/>
        <v>#N/A</v>
      </c>
      <c r="AM45" s="104"/>
    </row>
    <row r="46" spans="2:39" ht="15.75" customHeight="1">
      <c r="B46" s="201"/>
      <c r="C46" s="189"/>
      <c r="D46" s="189"/>
      <c r="E46" s="209"/>
      <c r="F46" s="32"/>
      <c r="G46" s="32"/>
      <c r="H46" s="483">
        <f t="shared" si="0"/>
        <v>0</v>
      </c>
      <c r="I46" s="484"/>
      <c r="J46" s="485" t="str">
        <f t="shared" si="1"/>
        <v/>
      </c>
      <c r="K46" s="486"/>
      <c r="L46" s="460">
        <f>IF(ISERROR(IF(C46&gt;0,IF(OR(C46&gt;$Y$12,E46=Drop!A$13),0,J46*$Y$12),0)),Drop!A$219,IF(C46&gt;0,IF(OR(C46&gt;$Y$12,E46=Drop!A$13),0,J46*$Y$12),0))</f>
        <v>0</v>
      </c>
      <c r="M46" s="461"/>
      <c r="N46" s="462"/>
      <c r="O46" s="405">
        <f>IF(ISERROR(IF(OR(C46&gt;$Y$12,E46=Drop!A$13),H46,0)),Drop!A$219,IF(OR(C46&gt;$Y$12,E46=Drop!A$13),H46,0))</f>
        <v>0</v>
      </c>
      <c r="P46" s="463"/>
      <c r="Q46" s="464"/>
      <c r="S46" s="74"/>
      <c r="T46" s="32"/>
      <c r="U46" s="32"/>
      <c r="V46" s="32"/>
      <c r="W46" s="32"/>
      <c r="X46" s="32"/>
      <c r="Y46" s="32"/>
      <c r="Z46" s="32"/>
      <c r="AA46" s="32"/>
      <c r="AB46" s="73"/>
      <c r="AF46" s="192">
        <f t="shared" si="5"/>
        <v>9</v>
      </c>
      <c r="AG46" s="192" t="e">
        <f t="shared" si="2"/>
        <v>#N/A</v>
      </c>
      <c r="AH46" s="192" t="e">
        <f t="shared" si="3"/>
        <v>#N/A</v>
      </c>
      <c r="AI46" s="192">
        <f t="shared" si="6"/>
        <v>0</v>
      </c>
      <c r="AJ46" s="101">
        <f t="shared" si="4"/>
        <v>1</v>
      </c>
      <c r="AK46" s="102">
        <f t="shared" si="7"/>
        <v>0</v>
      </c>
      <c r="AL46" s="103" t="e">
        <f t="shared" si="8"/>
        <v>#N/A</v>
      </c>
      <c r="AM46" s="104"/>
    </row>
    <row r="47" spans="2:39" ht="15.75" customHeight="1">
      <c r="B47" s="201"/>
      <c r="C47" s="189"/>
      <c r="D47" s="189"/>
      <c r="E47" s="209"/>
      <c r="F47" s="32"/>
      <c r="G47" s="32"/>
      <c r="H47" s="483">
        <f t="shared" si="0"/>
        <v>0</v>
      </c>
      <c r="I47" s="484"/>
      <c r="J47" s="485" t="str">
        <f t="shared" si="1"/>
        <v/>
      </c>
      <c r="K47" s="486"/>
      <c r="L47" s="461">
        <f>IF(ISERROR(IF(C47&gt;0,IF(OR(C47&gt;$Y$12,E47=Drop!A$13),0,J47*$Y$12),0)),Drop!A$219,IF(C47&gt;0,IF(OR(C47&gt;$Y$12,E47=Drop!A$13),0,J47*$Y$12),0))</f>
        <v>0</v>
      </c>
      <c r="M47" s="461"/>
      <c r="N47" s="462"/>
      <c r="O47" s="405">
        <f>IF(ISERROR(IF(OR(C47&gt;$Y$12,E47=Drop!A$13),H47,0)),Drop!A$219,IF(OR(C47&gt;$Y$12,E47=Drop!A$13),H47,0))</f>
        <v>0</v>
      </c>
      <c r="P47" s="463"/>
      <c r="Q47" s="464"/>
      <c r="S47" s="74"/>
      <c r="T47" s="32"/>
      <c r="U47" s="32"/>
      <c r="V47" s="32"/>
      <c r="W47" s="32"/>
      <c r="X47" s="32"/>
      <c r="Y47" s="32"/>
      <c r="Z47" s="32"/>
      <c r="AA47" s="32"/>
      <c r="AB47" s="73"/>
      <c r="AF47" s="192">
        <f t="shared" si="5"/>
        <v>10</v>
      </c>
      <c r="AG47" s="192" t="e">
        <f t="shared" si="2"/>
        <v>#N/A</v>
      </c>
      <c r="AH47" s="192" t="e">
        <f t="shared" si="3"/>
        <v>#N/A</v>
      </c>
      <c r="AI47" s="192">
        <f t="shared" si="6"/>
        <v>0</v>
      </c>
      <c r="AJ47" s="101">
        <f t="shared" si="4"/>
        <v>1</v>
      </c>
      <c r="AK47" s="102">
        <f t="shared" si="7"/>
        <v>0</v>
      </c>
      <c r="AL47" s="103" t="e">
        <f t="shared" si="8"/>
        <v>#N/A</v>
      </c>
      <c r="AM47" s="104"/>
    </row>
    <row r="48" spans="2:39" ht="15.75" customHeight="1">
      <c r="B48" s="201"/>
      <c r="C48" s="189"/>
      <c r="D48" s="189"/>
      <c r="E48" s="209"/>
      <c r="F48" s="32"/>
      <c r="G48" s="32"/>
      <c r="H48" s="465">
        <f t="shared" si="0"/>
        <v>0</v>
      </c>
      <c r="I48" s="482"/>
      <c r="J48" s="467" t="str">
        <f t="shared" si="1"/>
        <v/>
      </c>
      <c r="K48" s="468"/>
      <c r="L48" s="461">
        <f>IF(ISERROR(IF(C48&gt;0,IF(OR(C48&gt;$Y$12,E48=Drop!A$13),0,J48*$Y$12),0)),Drop!A$219,IF(C48&gt;0,IF(OR(C48&gt;$Y$12,E48=Drop!A$13),0,J48*$Y$12),0))</f>
        <v>0</v>
      </c>
      <c r="M48" s="461"/>
      <c r="N48" s="462"/>
      <c r="O48" s="405">
        <f>IF(ISERROR(IF(OR(C48&gt;$Y$12,E48=Drop!A$13),H48,0)),Drop!A$219,IF(OR(C48&gt;$Y$12,E48=Drop!A$13),H48,0))</f>
        <v>0</v>
      </c>
      <c r="P48" s="463"/>
      <c r="Q48" s="464"/>
      <c r="S48" s="74"/>
      <c r="T48" s="32"/>
      <c r="U48" s="32"/>
      <c r="V48" s="32"/>
      <c r="W48" s="32"/>
      <c r="X48" s="32"/>
      <c r="Y48" s="32"/>
      <c r="Z48" s="32"/>
      <c r="AA48" s="32"/>
      <c r="AB48" s="73"/>
      <c r="AF48" s="192">
        <f t="shared" si="5"/>
        <v>11</v>
      </c>
      <c r="AG48" s="192" t="e">
        <f t="shared" si="2"/>
        <v>#N/A</v>
      </c>
      <c r="AH48" s="192" t="e">
        <f t="shared" si="3"/>
        <v>#N/A</v>
      </c>
      <c r="AI48" s="192">
        <f t="shared" si="6"/>
        <v>0</v>
      </c>
      <c r="AJ48" s="101">
        <f t="shared" si="4"/>
        <v>1</v>
      </c>
      <c r="AK48" s="102">
        <f t="shared" si="7"/>
        <v>0</v>
      </c>
      <c r="AL48" s="103" t="e">
        <f t="shared" si="8"/>
        <v>#N/A</v>
      </c>
      <c r="AM48" s="104"/>
    </row>
    <row r="49" spans="2:39" ht="15.75" customHeight="1">
      <c r="B49" s="201"/>
      <c r="C49" s="189"/>
      <c r="D49" s="189"/>
      <c r="E49" s="209"/>
      <c r="F49" s="32"/>
      <c r="G49" s="32"/>
      <c r="H49" s="469">
        <f t="shared" si="0"/>
        <v>0</v>
      </c>
      <c r="I49" s="470"/>
      <c r="J49" s="471" t="str">
        <f t="shared" si="1"/>
        <v/>
      </c>
      <c r="K49" s="472"/>
      <c r="L49" s="461">
        <f>IF(ISERROR(IF(C49&gt;0,IF(OR(C49&gt;$Y$12,E49=Drop!A$13),0,J49*$Y$12),0)),Drop!A$219,IF(C49&gt;0,IF(OR(C49&gt;$Y$12,E49=Drop!A$13),0,J49*$Y$12),0))</f>
        <v>0</v>
      </c>
      <c r="M49" s="461"/>
      <c r="N49" s="462"/>
      <c r="O49" s="405">
        <f>IF(ISERROR(IF(OR(C49&gt;$Y$12,E49=Drop!A$13),H49,0)),Drop!A$219,IF(OR(C49&gt;$Y$12,E49=Drop!A$13),H49,0))</f>
        <v>0</v>
      </c>
      <c r="P49" s="463"/>
      <c r="Q49" s="464"/>
      <c r="S49" s="74"/>
      <c r="T49" s="32"/>
      <c r="U49" s="32"/>
      <c r="V49" s="32"/>
      <c r="W49" s="32"/>
      <c r="X49" s="32"/>
      <c r="Y49" s="32"/>
      <c r="Z49" s="32"/>
      <c r="AA49" s="32"/>
      <c r="AB49" s="73"/>
      <c r="AF49" s="192">
        <f t="shared" si="5"/>
        <v>12</v>
      </c>
      <c r="AG49" s="192" t="e">
        <f t="shared" si="2"/>
        <v>#N/A</v>
      </c>
      <c r="AH49" s="192" t="e">
        <f t="shared" si="3"/>
        <v>#N/A</v>
      </c>
      <c r="AI49" s="192">
        <f t="shared" si="6"/>
        <v>0</v>
      </c>
      <c r="AJ49" s="101">
        <f t="shared" si="4"/>
        <v>1</v>
      </c>
      <c r="AK49" s="102">
        <f t="shared" si="7"/>
        <v>0</v>
      </c>
      <c r="AL49" s="103" t="e">
        <f t="shared" si="8"/>
        <v>#N/A</v>
      </c>
      <c r="AM49" s="104"/>
    </row>
    <row r="50" spans="2:39" ht="15.75" customHeight="1">
      <c r="B50" s="201"/>
      <c r="C50" s="189"/>
      <c r="D50" s="189"/>
      <c r="E50" s="209"/>
      <c r="F50" s="32"/>
      <c r="G50" s="32"/>
      <c r="H50" s="465">
        <f t="shared" si="0"/>
        <v>0</v>
      </c>
      <c r="I50" s="482"/>
      <c r="J50" s="467" t="str">
        <f t="shared" si="1"/>
        <v/>
      </c>
      <c r="K50" s="468"/>
      <c r="L50" s="461">
        <f>IF(ISERROR(IF(C50&gt;0,IF(OR(C50&gt;$Y$12,E50=Drop!A$13),0,J50*$Y$12),0)),Drop!A$219,IF(C50&gt;0,IF(OR(C50&gt;$Y$12,E50=Drop!A$13),0,J50*$Y$12),0))</f>
        <v>0</v>
      </c>
      <c r="M50" s="461"/>
      <c r="N50" s="462"/>
      <c r="O50" s="405">
        <f>IF(ISERROR(IF(OR(C50&gt;$Y$12,E50=Drop!A$13),H50,0)),Drop!A$219,IF(OR(C50&gt;$Y$12,E50=Drop!A$13),H50,0))</f>
        <v>0</v>
      </c>
      <c r="P50" s="463"/>
      <c r="Q50" s="464"/>
      <c r="S50" s="74"/>
      <c r="T50" s="32"/>
      <c r="U50" s="32"/>
      <c r="V50" s="32"/>
      <c r="W50" s="32"/>
      <c r="X50" s="32"/>
      <c r="Y50" s="32"/>
      <c r="Z50" s="32"/>
      <c r="AA50" s="32"/>
      <c r="AB50" s="73"/>
      <c r="AF50" s="192">
        <f t="shared" si="5"/>
        <v>13</v>
      </c>
      <c r="AG50" s="192" t="e">
        <f t="shared" si="2"/>
        <v>#N/A</v>
      </c>
      <c r="AH50" s="192" t="e">
        <f t="shared" si="3"/>
        <v>#N/A</v>
      </c>
      <c r="AI50" s="192">
        <f t="shared" si="6"/>
        <v>0</v>
      </c>
      <c r="AJ50" s="101">
        <f t="shared" si="4"/>
        <v>1</v>
      </c>
      <c r="AK50" s="102">
        <f t="shared" si="7"/>
        <v>0</v>
      </c>
      <c r="AL50" s="103" t="e">
        <f t="shared" si="8"/>
        <v>#N/A</v>
      </c>
      <c r="AM50" s="104"/>
    </row>
    <row r="51" spans="2:39" ht="15.75" customHeight="1">
      <c r="B51" s="201"/>
      <c r="C51" s="189"/>
      <c r="D51" s="189"/>
      <c r="E51" s="209"/>
      <c r="F51" s="32"/>
      <c r="G51" s="32"/>
      <c r="H51" s="478">
        <f t="shared" si="0"/>
        <v>0</v>
      </c>
      <c r="I51" s="479"/>
      <c r="J51" s="480" t="str">
        <f t="shared" si="1"/>
        <v/>
      </c>
      <c r="K51" s="481"/>
      <c r="L51" s="461">
        <f>IF(ISERROR(IF(C51&gt;0,IF(OR(C51&gt;$Y$12,E51=Drop!A$13),0,J51*$Y$12),0)),Drop!A$219,IF(C51&gt;0,IF(OR(C51&gt;$Y$12,E51=Drop!A$13),0,J51*$Y$12),0))</f>
        <v>0</v>
      </c>
      <c r="M51" s="461"/>
      <c r="N51" s="462"/>
      <c r="O51" s="405">
        <f>IF(ISERROR(IF(OR(C51&gt;$Y$12,E51=Drop!A$13),H51,0)),Drop!A$219,IF(OR(C51&gt;$Y$12,E51=Drop!A$13),H51,0))</f>
        <v>0</v>
      </c>
      <c r="P51" s="463"/>
      <c r="Q51" s="464"/>
      <c r="S51" s="74"/>
      <c r="T51" s="32"/>
      <c r="U51" s="32"/>
      <c r="V51" s="32"/>
      <c r="W51" s="32"/>
      <c r="X51" s="32"/>
      <c r="Y51" s="32"/>
      <c r="Z51" s="32"/>
      <c r="AA51" s="32"/>
      <c r="AB51" s="73"/>
      <c r="AF51" s="192">
        <f t="shared" si="5"/>
        <v>14</v>
      </c>
      <c r="AG51" s="192" t="e">
        <f t="shared" si="2"/>
        <v>#N/A</v>
      </c>
      <c r="AH51" s="192" t="e">
        <f t="shared" si="3"/>
        <v>#N/A</v>
      </c>
      <c r="AI51" s="192">
        <f t="shared" si="6"/>
        <v>0</v>
      </c>
      <c r="AJ51" s="101">
        <f t="shared" si="4"/>
        <v>1</v>
      </c>
      <c r="AK51" s="102">
        <f t="shared" si="7"/>
        <v>0</v>
      </c>
      <c r="AL51" s="103" t="e">
        <f t="shared" si="8"/>
        <v>#N/A</v>
      </c>
      <c r="AM51" s="104"/>
    </row>
    <row r="52" spans="2:39" ht="15.75" customHeight="1">
      <c r="B52" s="201"/>
      <c r="C52" s="189"/>
      <c r="D52" s="189"/>
      <c r="E52" s="209"/>
      <c r="F52" s="32"/>
      <c r="G52" s="32"/>
      <c r="H52" s="469">
        <f t="shared" si="0"/>
        <v>0</v>
      </c>
      <c r="I52" s="470"/>
      <c r="J52" s="471" t="str">
        <f t="shared" si="1"/>
        <v/>
      </c>
      <c r="K52" s="472"/>
      <c r="L52" s="460">
        <f>IF(ISERROR(IF(C52&gt;0,IF(OR(C52&gt;$Y$12,E52=Drop!A$13),0,J52*$Y$12),0)),Drop!A$219,IF(C52&gt;0,IF(OR(C52&gt;$Y$12,E52=Drop!A$13),0,J52*$Y$12),0))</f>
        <v>0</v>
      </c>
      <c r="M52" s="461"/>
      <c r="N52" s="462"/>
      <c r="O52" s="405">
        <f>IF(ISERROR(IF(OR(C52&gt;$Y$12,E52=Drop!A$13),H52,0)),Drop!A$219,IF(OR(C52&gt;$Y$12,E52=Drop!A$13),H52,0))</f>
        <v>0</v>
      </c>
      <c r="P52" s="463"/>
      <c r="Q52" s="464"/>
      <c r="S52" s="74"/>
      <c r="T52" s="32"/>
      <c r="U52" s="32"/>
      <c r="V52" s="32"/>
      <c r="W52" s="32"/>
      <c r="X52" s="32"/>
      <c r="Y52" s="32"/>
      <c r="Z52" s="32"/>
      <c r="AA52" s="32"/>
      <c r="AB52" s="73"/>
      <c r="AF52" s="192">
        <f t="shared" si="5"/>
        <v>15</v>
      </c>
      <c r="AG52" s="192" t="e">
        <f t="shared" si="2"/>
        <v>#N/A</v>
      </c>
      <c r="AH52" s="192" t="e">
        <f t="shared" si="3"/>
        <v>#N/A</v>
      </c>
      <c r="AI52" s="192">
        <f t="shared" si="6"/>
        <v>0</v>
      </c>
      <c r="AJ52" s="101">
        <f t="shared" si="4"/>
        <v>1</v>
      </c>
      <c r="AK52" s="102">
        <f t="shared" si="7"/>
        <v>0</v>
      </c>
      <c r="AL52" s="103" t="e">
        <f t="shared" si="8"/>
        <v>#N/A</v>
      </c>
      <c r="AM52" s="104"/>
    </row>
    <row r="53" spans="2:39" ht="15.75" customHeight="1">
      <c r="B53" s="201"/>
      <c r="C53" s="189"/>
      <c r="D53" s="189"/>
      <c r="E53" s="209"/>
      <c r="F53" s="32"/>
      <c r="G53" s="32"/>
      <c r="H53" s="465">
        <f t="shared" si="0"/>
        <v>0</v>
      </c>
      <c r="I53" s="466"/>
      <c r="J53" s="467" t="str">
        <f t="shared" si="1"/>
        <v/>
      </c>
      <c r="K53" s="468"/>
      <c r="L53" s="460">
        <f>IF(ISERROR(IF(C53&gt;0,IF(OR(C53&gt;$Y$12,E53=Drop!A$13),0,J53*$Y$12),0)),Drop!A$219,IF(C53&gt;0,IF(OR(C53&gt;$Y$12,E53=Drop!A$13),0,J53*$Y$12),0))</f>
        <v>0</v>
      </c>
      <c r="M53" s="461"/>
      <c r="N53" s="462"/>
      <c r="O53" s="405">
        <f>IF(ISERROR(IF(OR(C53&gt;$Y$12,E53=Drop!A$13),H53,0)),Drop!A$219,IF(OR(C53&gt;$Y$12,E53=Drop!A$13),H53,0))</f>
        <v>0</v>
      </c>
      <c r="P53" s="463"/>
      <c r="Q53" s="464"/>
      <c r="S53" s="74"/>
      <c r="T53" s="32"/>
      <c r="U53" s="32"/>
      <c r="V53" s="32"/>
      <c r="W53" s="32"/>
      <c r="X53" s="32"/>
      <c r="Y53" s="32"/>
      <c r="Z53" s="32"/>
      <c r="AA53" s="32"/>
      <c r="AB53" s="73"/>
      <c r="AF53" s="192">
        <f t="shared" si="5"/>
        <v>16</v>
      </c>
      <c r="AG53" s="192" t="e">
        <f t="shared" si="2"/>
        <v>#N/A</v>
      </c>
      <c r="AH53" s="192" t="e">
        <f t="shared" si="3"/>
        <v>#N/A</v>
      </c>
      <c r="AI53" s="192">
        <f t="shared" si="6"/>
        <v>0</v>
      </c>
      <c r="AJ53" s="101">
        <f t="shared" si="4"/>
        <v>1</v>
      </c>
      <c r="AK53" s="102">
        <f t="shared" si="7"/>
        <v>0</v>
      </c>
      <c r="AL53" s="103" t="e">
        <f t="shared" si="8"/>
        <v>#N/A</v>
      </c>
      <c r="AM53" s="104"/>
    </row>
    <row r="54" spans="2:39" ht="15.75" customHeight="1">
      <c r="B54" s="201"/>
      <c r="C54" s="189"/>
      <c r="D54" s="189"/>
      <c r="E54" s="209"/>
      <c r="F54" s="32"/>
      <c r="G54" s="32"/>
      <c r="H54" s="469">
        <f t="shared" si="0"/>
        <v>0</v>
      </c>
      <c r="I54" s="470"/>
      <c r="J54" s="471" t="str">
        <f t="shared" si="1"/>
        <v/>
      </c>
      <c r="K54" s="472"/>
      <c r="L54" s="460">
        <f>IF(ISERROR(IF(C54&gt;0,IF(OR(C54&gt;$Y$12,E54=Drop!A$13),0,J54*$Y$12),0)),Drop!A$219,IF(C54&gt;0,IF(OR(C54&gt;$Y$12,E54=Drop!A$13),0,J54*$Y$12),0))</f>
        <v>0</v>
      </c>
      <c r="M54" s="461"/>
      <c r="N54" s="462"/>
      <c r="O54" s="405">
        <f>IF(ISERROR(IF(OR(C54&gt;$Y$12,E54=Drop!A$13),H54,0)),Drop!A$219,IF(OR(C54&gt;$Y$12,E54=Drop!A$13),H54,0))</f>
        <v>0</v>
      </c>
      <c r="P54" s="463"/>
      <c r="Q54" s="464"/>
      <c r="S54" s="74"/>
      <c r="T54" s="32"/>
      <c r="U54" s="32"/>
      <c r="V54" s="32"/>
      <c r="W54" s="32"/>
      <c r="X54" s="32"/>
      <c r="Y54" s="32"/>
      <c r="Z54" s="32"/>
      <c r="AA54" s="32"/>
      <c r="AB54" s="73"/>
      <c r="AF54" s="192">
        <f t="shared" si="5"/>
        <v>17</v>
      </c>
      <c r="AG54" s="192" t="e">
        <f t="shared" si="2"/>
        <v>#N/A</v>
      </c>
      <c r="AH54" s="192" t="e">
        <f t="shared" si="3"/>
        <v>#N/A</v>
      </c>
      <c r="AI54" s="192">
        <f t="shared" si="6"/>
        <v>0</v>
      </c>
      <c r="AJ54" s="101">
        <f t="shared" si="4"/>
        <v>1</v>
      </c>
      <c r="AK54" s="102">
        <f t="shared" si="7"/>
        <v>0</v>
      </c>
      <c r="AL54" s="103" t="e">
        <f t="shared" si="8"/>
        <v>#N/A</v>
      </c>
      <c r="AM54" s="104"/>
    </row>
    <row r="55" spans="2:39" ht="15.75" customHeight="1">
      <c r="B55" s="201"/>
      <c r="C55" s="189"/>
      <c r="D55" s="189"/>
      <c r="E55" s="209"/>
      <c r="F55" s="32"/>
      <c r="G55" s="32"/>
      <c r="H55" s="465">
        <f t="shared" si="0"/>
        <v>0</v>
      </c>
      <c r="I55" s="466"/>
      <c r="J55" s="467" t="str">
        <f t="shared" si="1"/>
        <v/>
      </c>
      <c r="K55" s="468"/>
      <c r="L55" s="460">
        <f>IF(ISERROR(IF(C55&gt;0,IF(OR(C55&gt;$Y$12,E55=Drop!A$13),0,J55*$Y$12),0)),Drop!A$219,IF(C55&gt;0,IF(OR(C55&gt;$Y$12,E55=Drop!A$13),0,J55*$Y$12),0))</f>
        <v>0</v>
      </c>
      <c r="M55" s="461"/>
      <c r="N55" s="462"/>
      <c r="O55" s="405">
        <f>IF(ISERROR(IF(OR(C55&gt;$Y$12,E55=Drop!A$13),H55,0)),Drop!A$219,IF(OR(C55&gt;$Y$12,E55=Drop!A$13),H55,0))</f>
        <v>0</v>
      </c>
      <c r="P55" s="463"/>
      <c r="Q55" s="464"/>
      <c r="S55" s="74"/>
      <c r="T55" s="32"/>
      <c r="U55" s="32"/>
      <c r="V55" s="32"/>
      <c r="W55" s="32"/>
      <c r="X55" s="32"/>
      <c r="Y55" s="32"/>
      <c r="Z55" s="32"/>
      <c r="AA55" s="32"/>
      <c r="AB55" s="73"/>
      <c r="AF55" s="192">
        <f t="shared" si="5"/>
        <v>18</v>
      </c>
      <c r="AG55" s="192" t="e">
        <f t="shared" si="2"/>
        <v>#N/A</v>
      </c>
      <c r="AH55" s="192" t="e">
        <f t="shared" si="3"/>
        <v>#N/A</v>
      </c>
      <c r="AI55" s="192">
        <f t="shared" si="6"/>
        <v>0</v>
      </c>
      <c r="AJ55" s="101">
        <f t="shared" si="4"/>
        <v>1</v>
      </c>
      <c r="AK55" s="102">
        <f t="shared" si="7"/>
        <v>0</v>
      </c>
      <c r="AL55" s="103" t="e">
        <f t="shared" si="8"/>
        <v>#N/A</v>
      </c>
      <c r="AM55" s="104"/>
    </row>
    <row r="56" spans="2:39" ht="15.75" customHeight="1">
      <c r="B56" s="201"/>
      <c r="C56" s="189"/>
      <c r="D56" s="189"/>
      <c r="E56" s="209"/>
      <c r="F56" s="32"/>
      <c r="G56" s="32"/>
      <c r="H56" s="478">
        <f t="shared" si="0"/>
        <v>0</v>
      </c>
      <c r="I56" s="479"/>
      <c r="J56" s="480" t="str">
        <f t="shared" si="1"/>
        <v/>
      </c>
      <c r="K56" s="481"/>
      <c r="L56" s="460">
        <f>IF(ISERROR(IF(C56&gt;0,IF(OR(C56&gt;$Y$12,E56=Drop!A$13),0,J56*$Y$12),0)),Drop!A$219,IF(C56&gt;0,IF(OR(C56&gt;$Y$12,E56=Drop!A$13),0,J56*$Y$12),0))</f>
        <v>0</v>
      </c>
      <c r="M56" s="461"/>
      <c r="N56" s="462"/>
      <c r="O56" s="405">
        <f>IF(ISERROR(IF(OR(C56&gt;$Y$12,E56=Drop!A$13),H56,0)),Drop!A$219,IF(OR(C56&gt;$Y$12,E56=Drop!A$13),H56,0))</f>
        <v>0</v>
      </c>
      <c r="P56" s="463"/>
      <c r="Q56" s="464"/>
      <c r="S56" s="74"/>
      <c r="T56" s="32"/>
      <c r="U56" s="32"/>
      <c r="V56" s="32"/>
      <c r="W56" s="32"/>
      <c r="X56" s="32"/>
      <c r="Y56" s="32"/>
      <c r="Z56" s="32"/>
      <c r="AA56" s="32"/>
      <c r="AB56" s="73"/>
      <c r="AF56" s="192">
        <f t="shared" si="5"/>
        <v>19</v>
      </c>
      <c r="AG56" s="192" t="e">
        <f t="shared" si="2"/>
        <v>#N/A</v>
      </c>
      <c r="AH56" s="192" t="e">
        <f t="shared" si="3"/>
        <v>#N/A</v>
      </c>
      <c r="AI56" s="192">
        <f t="shared" si="6"/>
        <v>0</v>
      </c>
      <c r="AJ56" s="101">
        <f t="shared" si="4"/>
        <v>1</v>
      </c>
      <c r="AK56" s="102">
        <f t="shared" si="7"/>
        <v>0</v>
      </c>
      <c r="AL56" s="103" t="e">
        <f t="shared" si="8"/>
        <v>#N/A</v>
      </c>
      <c r="AM56" s="104"/>
    </row>
    <row r="57" spans="2:39" ht="15.75" customHeight="1" thickBot="1">
      <c r="B57" s="74"/>
      <c r="C57" s="473" t="str">
        <f>Drop!A153</f>
        <v>推断总体错报金额</v>
      </c>
      <c r="D57" s="473"/>
      <c r="E57" s="473"/>
      <c r="F57" s="474"/>
      <c r="G57" s="32"/>
      <c r="H57" s="475">
        <f>SUM(H37:I56)</f>
        <v>0</v>
      </c>
      <c r="I57" s="476"/>
      <c r="J57" s="32"/>
      <c r="K57" s="32"/>
      <c r="L57" s="460">
        <f>SUM(L37:N56)</f>
        <v>0</v>
      </c>
      <c r="M57" s="461"/>
      <c r="N57" s="462"/>
      <c r="O57" s="401">
        <f>SUM(O37:Q56)</f>
        <v>0</v>
      </c>
      <c r="P57" s="477"/>
      <c r="Q57" s="402"/>
      <c r="S57" s="74" t="str">
        <f>Drop!A162</f>
        <v>结果:</v>
      </c>
      <c r="T57" s="106"/>
      <c r="U57" s="106"/>
      <c r="V57" s="106"/>
      <c r="W57" s="106"/>
      <c r="X57" s="106"/>
      <c r="Y57" s="106"/>
      <c r="Z57" s="106"/>
      <c r="AA57" s="106"/>
      <c r="AB57" s="107"/>
      <c r="AF57" s="192">
        <f t="shared" si="5"/>
        <v>20</v>
      </c>
      <c r="AG57" s="192" t="e">
        <f t="shared" si="2"/>
        <v>#N/A</v>
      </c>
      <c r="AH57" s="192" t="e">
        <f>AG57-AG56</f>
        <v>#N/A</v>
      </c>
      <c r="AI57" s="192">
        <f t="shared" si="6"/>
        <v>0</v>
      </c>
      <c r="AJ57" s="101">
        <f t="shared" si="4"/>
        <v>1</v>
      </c>
      <c r="AK57" s="102">
        <f t="shared" si="7"/>
        <v>0</v>
      </c>
      <c r="AL57" s="103" t="e">
        <f t="shared" si="8"/>
        <v>#N/A</v>
      </c>
      <c r="AM57" s="104"/>
    </row>
    <row r="58" spans="2:39" ht="15.75" customHeight="1">
      <c r="B58" s="74"/>
      <c r="C58" s="32"/>
      <c r="D58" s="32"/>
      <c r="E58" s="32"/>
      <c r="F58" s="32"/>
      <c r="G58" s="32"/>
      <c r="H58" s="32"/>
      <c r="I58" s="33" t="str">
        <f>Drop!A154</f>
        <v>(实际)</v>
      </c>
      <c r="J58" s="32"/>
      <c r="K58" s="32"/>
      <c r="L58" s="444">
        <f>IF(ISERROR(SUM(L57:Q57)),Drop!A219,SUM(L57:Q57))</f>
        <v>0</v>
      </c>
      <c r="M58" s="445"/>
      <c r="N58" s="445"/>
      <c r="O58" s="445"/>
      <c r="P58" s="445"/>
      <c r="Q58" s="446"/>
      <c r="S58" s="447" t="str">
        <f>IF(ISERROR(IF(AG74=TRUE,Drop!A71,Drop!A72)),Drop!A219,IF(AG74=TRUE,Drop!A71,Drop!A72))</f>
        <v>核实所有输入</v>
      </c>
      <c r="T58" s="448"/>
      <c r="U58" s="448"/>
      <c r="V58" s="448"/>
      <c r="W58" s="448"/>
      <c r="X58" s="448"/>
      <c r="Y58" s="448"/>
      <c r="Z58" s="448"/>
      <c r="AA58" s="448"/>
      <c r="AB58" s="449"/>
    </row>
    <row r="59" spans="2:39" ht="27.6" customHeight="1">
      <c r="B59" s="74"/>
      <c r="C59" s="32"/>
      <c r="D59" s="32"/>
      <c r="E59" s="32"/>
      <c r="F59" s="32"/>
      <c r="G59" s="32"/>
      <c r="H59" s="32"/>
      <c r="I59" s="32"/>
      <c r="J59" s="32"/>
      <c r="K59" s="32"/>
      <c r="L59" s="32"/>
      <c r="M59" s="32"/>
      <c r="N59" s="32"/>
      <c r="O59" s="32"/>
      <c r="P59" s="32"/>
      <c r="Q59" s="108" t="str">
        <f>Drop!A155</f>
        <v>(合计推断金额)</v>
      </c>
      <c r="S59" s="450"/>
      <c r="T59" s="451"/>
      <c r="U59" s="451"/>
      <c r="V59" s="451"/>
      <c r="W59" s="451"/>
      <c r="X59" s="451"/>
      <c r="Y59" s="451"/>
      <c r="Z59" s="451"/>
      <c r="AA59" s="451"/>
      <c r="AB59" s="452"/>
      <c r="AF59" s="96" t="s">
        <v>59</v>
      </c>
      <c r="AL59" s="90" t="e">
        <f>SUM(AL38:AL57)</f>
        <v>#N/A</v>
      </c>
    </row>
    <row r="60" spans="2:39" ht="26.25" customHeight="1">
      <c r="B60" s="74"/>
      <c r="C60" s="109"/>
      <c r="D60" s="109"/>
      <c r="E60" s="109"/>
      <c r="F60" s="109"/>
      <c r="G60" s="109"/>
      <c r="H60" s="109"/>
      <c r="I60" s="109"/>
      <c r="J60" s="32"/>
      <c r="K60" s="32"/>
      <c r="L60" s="32"/>
      <c r="M60" s="32"/>
      <c r="N60" s="32"/>
      <c r="O60" s="32"/>
      <c r="P60" s="32"/>
      <c r="Q60" s="73"/>
      <c r="S60" s="450" t="str">
        <f>IF(ISERROR(IF(AG76=TRUE,Drop!A75,"")),Drop!A219,IF(AG76=TRUE,Drop!A75,""))</f>
        <v>核实所有输入</v>
      </c>
      <c r="T60" s="451"/>
      <c r="U60" s="451"/>
      <c r="V60" s="451"/>
      <c r="W60" s="451"/>
      <c r="X60" s="451"/>
      <c r="Y60" s="451"/>
      <c r="Z60" s="451"/>
      <c r="AA60" s="451"/>
      <c r="AB60" s="452"/>
      <c r="AF60" s="35" t="s">
        <v>60</v>
      </c>
      <c r="AL60" s="90">
        <f>L57</f>
        <v>0</v>
      </c>
    </row>
    <row r="61" spans="2:39" ht="45" customHeight="1">
      <c r="B61" s="74"/>
      <c r="C61" s="32"/>
      <c r="D61" s="32"/>
      <c r="E61" s="32"/>
      <c r="F61" s="32"/>
      <c r="G61" s="32"/>
      <c r="H61" s="453" t="str">
        <f>IF(AG33=TRUE,Drop!A83,"")</f>
        <v/>
      </c>
      <c r="I61" s="453"/>
      <c r="J61" s="453"/>
      <c r="K61" s="453"/>
      <c r="L61" s="453"/>
      <c r="M61" s="453"/>
      <c r="N61" s="453"/>
      <c r="O61" s="453"/>
      <c r="P61" s="453"/>
      <c r="Q61" s="454"/>
      <c r="S61" s="450"/>
      <c r="T61" s="451"/>
      <c r="U61" s="451"/>
      <c r="V61" s="451"/>
      <c r="W61" s="451"/>
      <c r="X61" s="451"/>
      <c r="Y61" s="451"/>
      <c r="Z61" s="451"/>
      <c r="AA61" s="451"/>
      <c r="AB61" s="452"/>
      <c r="AF61" s="35" t="s">
        <v>61</v>
      </c>
      <c r="AL61" s="90" t="e">
        <f>AL59-AL60</f>
        <v>#N/A</v>
      </c>
    </row>
    <row r="62" spans="2:39" ht="26.25" customHeight="1">
      <c r="B62" s="74"/>
      <c r="C62" s="32"/>
      <c r="D62" s="32"/>
      <c r="E62" s="32"/>
      <c r="F62" s="32"/>
      <c r="G62" s="32"/>
      <c r="H62" s="453"/>
      <c r="I62" s="453"/>
      <c r="J62" s="453"/>
      <c r="K62" s="453"/>
      <c r="L62" s="453"/>
      <c r="M62" s="453"/>
      <c r="N62" s="453"/>
      <c r="O62" s="453"/>
      <c r="P62" s="453"/>
      <c r="Q62" s="454"/>
      <c r="S62" s="450" t="str">
        <f>IF(ISERROR(IF(AG78=TRUE,Drop!A76,"")),Drop!A219,IF(AG78=TRUE,Drop!A76,""))</f>
        <v>核实所有输入</v>
      </c>
      <c r="T62" s="451"/>
      <c r="U62" s="451"/>
      <c r="V62" s="451"/>
      <c r="W62" s="451"/>
      <c r="X62" s="451"/>
      <c r="Y62" s="451"/>
      <c r="Z62" s="451"/>
      <c r="AA62" s="451"/>
      <c r="AB62" s="452"/>
    </row>
    <row r="63" spans="2:39" ht="80.25" customHeight="1" thickBot="1">
      <c r="B63" s="76"/>
      <c r="C63" s="77"/>
      <c r="D63" s="77"/>
      <c r="E63" s="77"/>
      <c r="F63" s="77"/>
      <c r="G63" s="77"/>
      <c r="H63" s="455"/>
      <c r="I63" s="455"/>
      <c r="J63" s="455"/>
      <c r="K63" s="455"/>
      <c r="L63" s="455"/>
      <c r="M63" s="455"/>
      <c r="N63" s="455"/>
      <c r="O63" s="455"/>
      <c r="P63" s="455"/>
      <c r="Q63" s="456"/>
      <c r="R63" s="110"/>
      <c r="S63" s="457"/>
      <c r="T63" s="458"/>
      <c r="U63" s="458"/>
      <c r="V63" s="458"/>
      <c r="W63" s="458"/>
      <c r="X63" s="458"/>
      <c r="Y63" s="458"/>
      <c r="Z63" s="458"/>
      <c r="AA63" s="458"/>
      <c r="AB63" s="459"/>
      <c r="AF63" s="36" t="s">
        <v>62</v>
      </c>
    </row>
    <row r="64" spans="2:39" ht="15" thickBot="1">
      <c r="AF64" s="111" t="s">
        <v>63</v>
      </c>
      <c r="AL64" s="90" t="e">
        <f>AG35</f>
        <v>#VALUE!</v>
      </c>
    </row>
    <row r="65" spans="2:38" ht="15" thickBot="1">
      <c r="B65" s="139" t="str">
        <f>Drop!A100</f>
        <v>步骤 8 - 记录程序的结果</v>
      </c>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c r="AA65" s="113"/>
      <c r="AB65" s="114"/>
      <c r="AF65" s="112" t="s">
        <v>64</v>
      </c>
      <c r="AL65" s="90" t="e">
        <f>AL61</f>
        <v>#N/A</v>
      </c>
    </row>
    <row r="66" spans="2:38" ht="15" customHeight="1">
      <c r="B66" s="410"/>
      <c r="C66" s="411"/>
      <c r="D66" s="411"/>
      <c r="E66" s="411"/>
      <c r="F66" s="411"/>
      <c r="G66" s="411"/>
      <c r="H66" s="411"/>
      <c r="I66" s="411"/>
      <c r="J66" s="411"/>
      <c r="K66" s="411"/>
      <c r="L66" s="411"/>
      <c r="M66" s="411"/>
      <c r="N66" s="411"/>
      <c r="O66" s="411"/>
      <c r="P66" s="411"/>
      <c r="Q66" s="411"/>
      <c r="R66" s="411"/>
      <c r="S66" s="411"/>
      <c r="T66" s="411"/>
      <c r="U66" s="411"/>
      <c r="V66" s="411"/>
      <c r="W66" s="411"/>
      <c r="X66" s="411"/>
      <c r="Y66" s="411"/>
      <c r="Z66" s="411"/>
      <c r="AA66" s="411"/>
      <c r="AB66" s="412"/>
      <c r="AF66" s="35" t="s">
        <v>62</v>
      </c>
      <c r="AL66" s="90" t="e">
        <f>AL64+AL65</f>
        <v>#VALUE!</v>
      </c>
    </row>
    <row r="67" spans="2:38">
      <c r="B67" s="413"/>
      <c r="C67" s="414"/>
      <c r="D67" s="414"/>
      <c r="E67" s="414"/>
      <c r="F67" s="414"/>
      <c r="G67" s="414"/>
      <c r="H67" s="414"/>
      <c r="I67" s="414"/>
      <c r="J67" s="414"/>
      <c r="K67" s="414"/>
      <c r="L67" s="414"/>
      <c r="M67" s="414"/>
      <c r="N67" s="414"/>
      <c r="O67" s="414"/>
      <c r="P67" s="414"/>
      <c r="Q67" s="414"/>
      <c r="R67" s="414"/>
      <c r="S67" s="414"/>
      <c r="T67" s="414"/>
      <c r="U67" s="414"/>
      <c r="V67" s="414"/>
      <c r="W67" s="414"/>
      <c r="X67" s="414"/>
      <c r="Y67" s="414"/>
      <c r="Z67" s="414"/>
      <c r="AA67" s="414"/>
      <c r="AB67" s="415"/>
      <c r="AL67" s="43"/>
    </row>
    <row r="68" spans="2:38" ht="14.25">
      <c r="B68" s="413"/>
      <c r="C68" s="414"/>
      <c r="D68" s="414"/>
      <c r="E68" s="414"/>
      <c r="F68" s="414"/>
      <c r="G68" s="414"/>
      <c r="H68" s="414"/>
      <c r="I68" s="414"/>
      <c r="J68" s="414"/>
      <c r="K68" s="414"/>
      <c r="L68" s="414"/>
      <c r="M68" s="414"/>
      <c r="N68" s="414"/>
      <c r="O68" s="414"/>
      <c r="P68" s="414"/>
      <c r="Q68" s="414"/>
      <c r="R68" s="414"/>
      <c r="S68" s="414"/>
      <c r="T68" s="414"/>
      <c r="U68" s="414"/>
      <c r="V68" s="414"/>
      <c r="W68" s="414"/>
      <c r="X68" s="414"/>
      <c r="Y68" s="414"/>
      <c r="Z68" s="414"/>
      <c r="AA68" s="414"/>
      <c r="AB68" s="415"/>
      <c r="AF68" s="115" t="s">
        <v>65</v>
      </c>
      <c r="AG68" s="111"/>
      <c r="AH68" s="111"/>
      <c r="AI68" s="111"/>
      <c r="AJ68" s="111"/>
      <c r="AK68" s="111"/>
      <c r="AL68" s="43"/>
    </row>
    <row r="69" spans="2:38" ht="14.25">
      <c r="B69" s="413"/>
      <c r="C69" s="414"/>
      <c r="D69" s="414"/>
      <c r="E69" s="414"/>
      <c r="F69" s="414"/>
      <c r="G69" s="414"/>
      <c r="H69" s="414"/>
      <c r="I69" s="414"/>
      <c r="J69" s="414"/>
      <c r="K69" s="414"/>
      <c r="L69" s="414"/>
      <c r="M69" s="414"/>
      <c r="N69" s="414"/>
      <c r="O69" s="414"/>
      <c r="P69" s="414"/>
      <c r="Q69" s="414"/>
      <c r="R69" s="414"/>
      <c r="S69" s="414"/>
      <c r="T69" s="414"/>
      <c r="U69" s="414"/>
      <c r="V69" s="414"/>
      <c r="W69" s="414"/>
      <c r="X69" s="414"/>
      <c r="Y69" s="414"/>
      <c r="Z69" s="414"/>
      <c r="AA69" s="414"/>
      <c r="AB69" s="415"/>
      <c r="AF69" s="111" t="s">
        <v>63</v>
      </c>
      <c r="AG69" s="111"/>
      <c r="AH69" s="111"/>
      <c r="AI69" s="111"/>
      <c r="AJ69" s="111"/>
      <c r="AK69" s="111"/>
      <c r="AL69" s="90" t="e">
        <f>AG35</f>
        <v>#VALUE!</v>
      </c>
    </row>
    <row r="70" spans="2:38" ht="15" thickBot="1">
      <c r="B70" s="416"/>
      <c r="C70" s="417"/>
      <c r="D70" s="417"/>
      <c r="E70" s="417"/>
      <c r="F70" s="417"/>
      <c r="G70" s="417"/>
      <c r="H70" s="417"/>
      <c r="I70" s="417"/>
      <c r="J70" s="417"/>
      <c r="K70" s="417"/>
      <c r="L70" s="417"/>
      <c r="M70" s="417"/>
      <c r="N70" s="417"/>
      <c r="O70" s="417"/>
      <c r="P70" s="417"/>
      <c r="Q70" s="417"/>
      <c r="R70" s="417"/>
      <c r="S70" s="417"/>
      <c r="T70" s="417"/>
      <c r="U70" s="417"/>
      <c r="V70" s="417"/>
      <c r="W70" s="417"/>
      <c r="X70" s="417"/>
      <c r="Y70" s="417"/>
      <c r="Z70" s="417"/>
      <c r="AA70" s="417"/>
      <c r="AB70" s="418"/>
      <c r="AF70" s="112" t="s">
        <v>66</v>
      </c>
      <c r="AG70" s="111"/>
      <c r="AH70" s="111"/>
      <c r="AI70" s="111"/>
      <c r="AJ70" s="111"/>
      <c r="AK70" s="111"/>
      <c r="AL70" s="90" t="e">
        <f>AL59</f>
        <v>#N/A</v>
      </c>
    </row>
    <row r="71" spans="2:38" ht="14.25">
      <c r="AF71" s="112" t="s">
        <v>67</v>
      </c>
      <c r="AG71" s="111"/>
      <c r="AH71" s="111"/>
      <c r="AI71" s="111"/>
      <c r="AJ71" s="111"/>
      <c r="AK71" s="111"/>
      <c r="AL71" s="90">
        <f>O57</f>
        <v>0</v>
      </c>
    </row>
    <row r="72" spans="2:38">
      <c r="AF72" s="35" t="s">
        <v>65</v>
      </c>
      <c r="AL72" s="90" t="e">
        <f>SUM(AL69:AL71)</f>
        <v>#VALUE!</v>
      </c>
    </row>
    <row r="73" spans="2:38">
      <c r="AF73" s="35" t="s">
        <v>103</v>
      </c>
      <c r="AL73" s="116" t="e">
        <f>ABS(AL72)</f>
        <v>#VALUE!</v>
      </c>
    </row>
    <row r="74" spans="2:38">
      <c r="AF74" s="35" t="s">
        <v>75</v>
      </c>
      <c r="AG74" s="43" t="e">
        <f>IF(AL73&lt;L5,TRUE,FALSE)</f>
        <v>#VALUE!</v>
      </c>
    </row>
    <row r="75" spans="2:38">
      <c r="AF75" s="35" t="s">
        <v>76</v>
      </c>
      <c r="AG75" s="43" t="e">
        <f>IF((AL73-AA35)&lt;L5,TRUE,FALSE)</f>
        <v>#VALUE!</v>
      </c>
    </row>
    <row r="76" spans="2:38">
      <c r="AF76" s="35" t="s">
        <v>77</v>
      </c>
      <c r="AG76" s="43" t="e">
        <f>AND(AG74=FALSE,AG75=TRUE)</f>
        <v>#VALUE!</v>
      </c>
    </row>
    <row r="77" spans="2:38">
      <c r="AF77" s="96" t="s">
        <v>78</v>
      </c>
      <c r="AG77" s="43" t="e">
        <f>IF((AL73-L58)&lt;L5,TRUE,FALSE)</f>
        <v>#VALUE!</v>
      </c>
    </row>
    <row r="78" spans="2:38">
      <c r="AF78" s="35" t="s">
        <v>252</v>
      </c>
      <c r="AG78" s="43" t="e">
        <f>AND(AG74=FALSE,AG77=TRUE)</f>
        <v>#VALUE!</v>
      </c>
    </row>
  </sheetData>
  <sheetProtection algorithmName="SHA-512" hashValue="xOItwSiwvh2r0AfKHdChrb+NxAlz3e4G08DZAYeBIvG5XA5CqPrQf1anwhFVUYM9UGdEa/PvQxDkwxNyVzc6RA==" saltValue="voQrQn7Du5bF2k9HzK2Ymw==" spinCount="100000" sheet="1" objects="1" scenarios="1"/>
  <mergeCells count="147">
    <mergeCell ref="L58:Q58"/>
    <mergeCell ref="S58:AB59"/>
    <mergeCell ref="S60:AB61"/>
    <mergeCell ref="H61:Q63"/>
    <mergeCell ref="S62:AB63"/>
    <mergeCell ref="B66:AB70"/>
    <mergeCell ref="H56:I56"/>
    <mergeCell ref="J56:K56"/>
    <mergeCell ref="L56:N56"/>
    <mergeCell ref="O56:Q56"/>
    <mergeCell ref="C57:F57"/>
    <mergeCell ref="H57:I57"/>
    <mergeCell ref="L57:N57"/>
    <mergeCell ref="O57:Q57"/>
    <mergeCell ref="H54:I54"/>
    <mergeCell ref="J54:K54"/>
    <mergeCell ref="L54:N54"/>
    <mergeCell ref="O54:Q54"/>
    <mergeCell ref="H55:I55"/>
    <mergeCell ref="J55:K55"/>
    <mergeCell ref="L55:N55"/>
    <mergeCell ref="O55:Q55"/>
    <mergeCell ref="H52:I52"/>
    <mergeCell ref="J52:K52"/>
    <mergeCell ref="L52:N52"/>
    <mergeCell ref="O52:Q52"/>
    <mergeCell ref="H53:I53"/>
    <mergeCell ref="J53:K53"/>
    <mergeCell ref="L53:N53"/>
    <mergeCell ref="O53:Q53"/>
    <mergeCell ref="H51:I51"/>
    <mergeCell ref="J51:K51"/>
    <mergeCell ref="L51:N51"/>
    <mergeCell ref="O51:Q51"/>
    <mergeCell ref="H48:I48"/>
    <mergeCell ref="J48:K48"/>
    <mergeCell ref="L48:N48"/>
    <mergeCell ref="O48:Q48"/>
    <mergeCell ref="H49:I49"/>
    <mergeCell ref="J49:K49"/>
    <mergeCell ref="L49:N49"/>
    <mergeCell ref="O49:Q49"/>
    <mergeCell ref="H46:I46"/>
    <mergeCell ref="J46:K46"/>
    <mergeCell ref="L46:N46"/>
    <mergeCell ref="O46:Q46"/>
    <mergeCell ref="H47:I47"/>
    <mergeCell ref="J47:K47"/>
    <mergeCell ref="L47:N47"/>
    <mergeCell ref="O47:Q47"/>
    <mergeCell ref="H50:I50"/>
    <mergeCell ref="J50:K50"/>
    <mergeCell ref="L50:N50"/>
    <mergeCell ref="O50:Q50"/>
    <mergeCell ref="U43:V45"/>
    <mergeCell ref="W43:Z45"/>
    <mergeCell ref="AA43:AB45"/>
    <mergeCell ref="H44:I44"/>
    <mergeCell ref="J44:K44"/>
    <mergeCell ref="L44:N44"/>
    <mergeCell ref="O44:Q44"/>
    <mergeCell ref="H45:I45"/>
    <mergeCell ref="J45:K45"/>
    <mergeCell ref="L45:N45"/>
    <mergeCell ref="O45:Q45"/>
    <mergeCell ref="H42:I42"/>
    <mergeCell ref="J42:K42"/>
    <mergeCell ref="L42:N42"/>
    <mergeCell ref="O42:Q42"/>
    <mergeCell ref="H43:I43"/>
    <mergeCell ref="J43:K43"/>
    <mergeCell ref="L43:N43"/>
    <mergeCell ref="O43:Q43"/>
    <mergeCell ref="S43:T45"/>
    <mergeCell ref="H41:I41"/>
    <mergeCell ref="J41:K41"/>
    <mergeCell ref="L41:N41"/>
    <mergeCell ref="O41:Q41"/>
    <mergeCell ref="AA37:AB39"/>
    <mergeCell ref="H38:I38"/>
    <mergeCell ref="J38:K38"/>
    <mergeCell ref="L38:N38"/>
    <mergeCell ref="O38:Q38"/>
    <mergeCell ref="H39:I39"/>
    <mergeCell ref="J39:K39"/>
    <mergeCell ref="L39:N39"/>
    <mergeCell ref="O39:Q39"/>
    <mergeCell ref="AA41:AB41"/>
    <mergeCell ref="AL36:AL37"/>
    <mergeCell ref="H37:I37"/>
    <mergeCell ref="J37:K37"/>
    <mergeCell ref="L37:N37"/>
    <mergeCell ref="O37:Q37"/>
    <mergeCell ref="S37:Z39"/>
    <mergeCell ref="H40:I40"/>
    <mergeCell ref="J40:K40"/>
    <mergeCell ref="L40:N40"/>
    <mergeCell ref="O40:Q40"/>
    <mergeCell ref="B28:F28"/>
    <mergeCell ref="B31:AB32"/>
    <mergeCell ref="B33:Q33"/>
    <mergeCell ref="S33:AB33"/>
    <mergeCell ref="C34:F34"/>
    <mergeCell ref="C35:C36"/>
    <mergeCell ref="D35:D36"/>
    <mergeCell ref="E35:E36"/>
    <mergeCell ref="H35:I36"/>
    <mergeCell ref="J35:K36"/>
    <mergeCell ref="L35:Q35"/>
    <mergeCell ref="AA35:AB35"/>
    <mergeCell ref="L36:N36"/>
    <mergeCell ref="O36:Q36"/>
    <mergeCell ref="H23:Q23"/>
    <mergeCell ref="O24:Q24"/>
    <mergeCell ref="L25:Q25"/>
    <mergeCell ref="L26:Q26"/>
    <mergeCell ref="H27:K27"/>
    <mergeCell ref="L27:Q27"/>
    <mergeCell ref="B20:D20"/>
    <mergeCell ref="K20:L20"/>
    <mergeCell ref="M20:Q20"/>
    <mergeCell ref="K21:L21"/>
    <mergeCell ref="M21:Q21"/>
    <mergeCell ref="M22:N22"/>
    <mergeCell ref="O22:Q22"/>
    <mergeCell ref="B13:D13"/>
    <mergeCell ref="D14:F14"/>
    <mergeCell ref="B18:D18"/>
    <mergeCell ref="M18:Q18"/>
    <mergeCell ref="S18:Y19"/>
    <mergeCell ref="Z18:AB19"/>
    <mergeCell ref="B19:D19"/>
    <mergeCell ref="K19:L19"/>
    <mergeCell ref="M19:Q19"/>
    <mergeCell ref="H9:Q10"/>
    <mergeCell ref="B10:D10"/>
    <mergeCell ref="Y10:AB10"/>
    <mergeCell ref="B11:D11"/>
    <mergeCell ref="K11:N11"/>
    <mergeCell ref="B12:D12"/>
    <mergeCell ref="Y12:AB12"/>
    <mergeCell ref="B1:D1"/>
    <mergeCell ref="D3:E3"/>
    <mergeCell ref="D4:E4"/>
    <mergeCell ref="L4:O4"/>
    <mergeCell ref="D5:E5"/>
    <mergeCell ref="L5:O5"/>
  </mergeCells>
  <phoneticPr fontId="32" type="noConversion"/>
  <conditionalFormatting sqref="S58">
    <cfRule type="expression" dxfId="29" priority="27">
      <formula>$AG$74=TRUE</formula>
    </cfRule>
  </conditionalFormatting>
  <conditionalFormatting sqref="M19:Q19">
    <cfRule type="expression" dxfId="28" priority="26">
      <formula>ISTEXT($M$19)</formula>
    </cfRule>
  </conditionalFormatting>
  <conditionalFormatting sqref="Y10:AB10">
    <cfRule type="expression" dxfId="27" priority="24">
      <formula>ISBLANK($Y$10)</formula>
    </cfRule>
  </conditionalFormatting>
  <conditionalFormatting sqref="E10">
    <cfRule type="expression" dxfId="26" priority="23">
      <formula>ISBLANK($E$10)</formula>
    </cfRule>
  </conditionalFormatting>
  <conditionalFormatting sqref="E19">
    <cfRule type="expression" dxfId="25" priority="9">
      <formula>ISBLANK($E$19)</formula>
    </cfRule>
  </conditionalFormatting>
  <conditionalFormatting sqref="M20:Q20">
    <cfRule type="expression" dxfId="24" priority="21">
      <formula>ISTEXT($M$20)</formula>
    </cfRule>
  </conditionalFormatting>
  <conditionalFormatting sqref="M21:Q21">
    <cfRule type="expression" dxfId="23" priority="18">
      <formula>ISTEXT($M$21)</formula>
    </cfRule>
  </conditionalFormatting>
  <conditionalFormatting sqref="K20:L20">
    <cfRule type="expression" dxfId="22" priority="15">
      <formula>ISBLANK($K$20)</formula>
    </cfRule>
  </conditionalFormatting>
  <conditionalFormatting sqref="K21:L21">
    <cfRule type="expression" dxfId="21" priority="14">
      <formula>ISBLANK($K$21)</formula>
    </cfRule>
  </conditionalFormatting>
  <conditionalFormatting sqref="K19:L19">
    <cfRule type="expression" dxfId="20" priority="13">
      <formula>ISBLANK($K$19)</formula>
    </cfRule>
  </conditionalFormatting>
  <conditionalFormatting sqref="E11">
    <cfRule type="expression" dxfId="19" priority="8">
      <formula>ISBLANK($E$11)</formula>
    </cfRule>
  </conditionalFormatting>
  <conditionalFormatting sqref="E12">
    <cfRule type="expression" dxfId="18" priority="7">
      <formula>ISBLANK($E$12)</formula>
    </cfRule>
  </conditionalFormatting>
  <conditionalFormatting sqref="M22:N22">
    <cfRule type="expression" dxfId="17" priority="3">
      <formula>ISBLANK($M$22)</formula>
    </cfRule>
  </conditionalFormatting>
  <conditionalFormatting sqref="L27:Q27">
    <cfRule type="expression" dxfId="16" priority="2">
      <formula>$L$27&lt;&gt;""</formula>
    </cfRule>
  </conditionalFormatting>
  <dataValidations count="9">
    <dataValidation type="list" allowBlank="1" showErrorMessage="1" prompt="Choose the applicable assertion" sqref="E10" xr:uid="{AC1244B9-CF5B-4A55-B199-B4DF8244ED0D}">
      <formula1>Assertions</formula1>
    </dataValidation>
    <dataValidation type="list" allowBlank="1" showInputMessage="1" showErrorMessage="1" sqref="E11" xr:uid="{CDC72717-3343-45F2-B4C6-73F75741B748}">
      <formula1>InherentRisk</formula1>
    </dataValidation>
    <dataValidation type="decimal" allowBlank="1" showInputMessage="1" showErrorMessage="1" error="Absolute tested value cannot be less than zero or greater than value of population." sqref="E21" xr:uid="{6A283D31-95BE-414C-A53E-35E0B18BBDEA}">
      <formula1>0</formula1>
      <formula2>#REF!</formula2>
    </dataValidation>
    <dataValidation type="decimal" allowBlank="1" showInputMessage="1" showErrorMessage="1" error="Absolute tested value cannot be less than zero or greater than value of population." sqref="E20 F20:F21" xr:uid="{75699809-030A-4E14-9EFD-C18F654A4567}">
      <formula1>0</formula1>
      <formula2>E18</formula2>
    </dataValidation>
    <dataValidation type="decimal" operator="greaterThanOrEqual" allowBlank="1" showInputMessage="1" showErrorMessage="1" sqref="C37:D56" xr:uid="{51DE7A2E-62EF-4847-AF21-3CB5D64B205C}">
      <formula1>0</formula1>
    </dataValidation>
    <dataValidation type="decimal" allowBlank="1" errorTitle="test" error="test" sqref="M22:N22" xr:uid="{4C57E6B7-DE3C-4015-84A8-678AD6E67043}">
      <formula1>0</formula1>
      <formula2>1</formula2>
    </dataValidation>
    <dataValidation type="list" allowBlank="1" showInputMessage="1" showErrorMessage="1" sqref="K21:L21" xr:uid="{0EDF6DDA-C549-4065-939A-3AA36728CC2C}">
      <formula1>ADA</formula1>
    </dataValidation>
    <dataValidation type="list" allowBlank="1" showInputMessage="1" showErrorMessage="1" sqref="E37:F56 E19" xr:uid="{C8F26775-00FE-4BDB-B6ED-198698810B89}">
      <formula1>YesNo</formula1>
    </dataValidation>
    <dataValidation type="list" allowBlank="1" showInputMessage="1" showErrorMessage="1" sqref="K19:K20" xr:uid="{2C0FF188-0A39-4213-B3E2-B059C2ADE6E3}">
      <formula1>OtherEvidence</formula1>
    </dataValidation>
  </dataValidations>
  <pageMargins left="0.25" right="0.25" top="0.75" bottom="0.75" header="0.3" footer="0.3"/>
  <pageSetup scale="40" orientation="landscape" r:id="rId1"/>
  <headerFooter>
    <oddFooter>&amp;C&amp;P of &amp;N&amp;R&amp;A</oddFooter>
  </headerFooter>
  <customProperties>
    <customPr name="CodeName" r:id="rId2"/>
  </customProperties>
  <extLst>
    <ext xmlns:x14="http://schemas.microsoft.com/office/spreadsheetml/2009/9/main" uri="{78C0D931-6437-407d-A8EE-F0AAD7539E65}">
      <x14:conditionalFormattings>
        <x14:conditionalFormatting xmlns:xm="http://schemas.microsoft.com/office/excel/2006/main">
          <x14:cfRule type="expression" priority="22" id="{95CC76A3-5B5E-4A42-BB7E-5F383B63B0F0}">
            <xm:f>OR(ISBLANK($K$19),$K$19=Drop!$A$52)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25" id="{EAE82A28-6C39-458D-AF92-9D879BF28515}">
            <xm:f>AND(OR($K$19=Drop!$A$53,$K$19=Drop!$A$54),ISBLANK($M$19))</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M19:Q19</xm:sqref>
        </x14:conditionalFormatting>
        <x14:conditionalFormatting xmlns:xm="http://schemas.microsoft.com/office/excel/2006/main">
          <x14:cfRule type="expression" priority="19" id="{984388E3-AC31-4558-BD5B-1C185A6A4E39}">
            <xm:f>OR(ISBLANK($K$20),$K$20=Drop!$A$52)</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20" id="{816F3DA9-FA28-4349-B653-633FB498CD7B}">
            <xm:f>AND(OR($K$20=Drop!$A$53,$K$20=Drop!$A$54),ISBLANK($M$20))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M20:Q20</xm:sqref>
        </x14:conditionalFormatting>
        <x14:conditionalFormatting xmlns:xm="http://schemas.microsoft.com/office/excel/2006/main">
          <x14:cfRule type="expression" priority="16" id="{75E6B1FB-C7A8-4019-BAA6-C63DC7805E1D}">
            <xm:f>OR(ISBLANK($K$21),$K$21=Drop!$A$58)</xm:f>
            <x14:dxf>
              <font>
                <color theme="0" tint="-0.14996795556505021"/>
              </font>
              <fill>
                <patternFill>
                  <bgColor theme="0" tint="-0.14996795556505021"/>
                </patternFill>
              </fill>
              <border>
                <left style="thin">
                  <color auto="1"/>
                </left>
                <top style="thin">
                  <color auto="1"/>
                </top>
                <bottom style="thin">
                  <color auto="1"/>
                </bottom>
              </border>
            </x14:dxf>
          </x14:cfRule>
          <x14:cfRule type="expression" priority="17" id="{2DC7E060-9FAF-4AE3-AC12-C076DE7A83F1}">
            <xm:f>AND($K$21=Drop!$A$59,ISBLANK($M$21))</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m:sqref>M21:Q21</xm:sqref>
        </x14:conditionalFormatting>
        <x14:conditionalFormatting xmlns:xm="http://schemas.microsoft.com/office/excel/2006/main">
          <x14:cfRule type="expression" priority="10" id="{ECB6F484-177A-45A1-BB22-CFACC19BB76D}">
            <xm:f>OR(ISBLANK($E$19),$E$19=Drop!$A$14)</xm:f>
            <x14:dxf>
              <font>
                <color theme="0" tint="-4.9989318521683403E-2"/>
              </font>
              <fill>
                <patternFill>
                  <bgColor theme="0" tint="-4.9989318521683403E-2"/>
                </patternFill>
              </fill>
            </x14:dxf>
          </x14:cfRule>
          <x14:cfRule type="expression" priority="11" id="{0B6DF730-A64C-46C6-977E-3EFB08F5BAC6}">
            <xm:f>AND($E$19=Drop!$A$13,ISBLANK($E$20))</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12" id="{1E43A112-E2A8-4A12-870D-A31F50B0782C}">
            <xm:f>AND($E$20&gt;0,$E$19=Drop!$A$13)</xm:f>
            <x14:dxf>
              <font>
                <color auto="1"/>
              </font>
              <fill>
                <patternFill>
                  <bgColor theme="0"/>
                </patternFill>
              </fill>
              <border>
                <left style="thin">
                  <color auto="1"/>
                </left>
                <right style="thin">
                  <color auto="1"/>
                </right>
                <top style="thin">
                  <color auto="1"/>
                </top>
                <bottom style="thin">
                  <color auto="1"/>
                </bottom>
                <vertical/>
                <horizontal/>
              </border>
            </x14:dxf>
          </x14:cfRule>
          <xm:sqref>E20</xm:sqref>
        </x14:conditionalFormatting>
        <x14:conditionalFormatting xmlns:xm="http://schemas.microsoft.com/office/excel/2006/main">
          <x14:cfRule type="expression" priority="4" id="{1F17B514-DA62-4220-8806-7F617E419C7A}">
            <xm:f>$E$12&lt;&gt;Drop!$A$47</xm:f>
            <x14:dxf>
              <font>
                <color theme="0" tint="-4.9989318521683403E-2"/>
              </font>
              <fill>
                <patternFill>
                  <bgColor theme="0" tint="-4.9989318521683403E-2"/>
                </patternFill>
              </fill>
              <border>
                <left/>
                <right/>
                <bottom/>
              </border>
            </x14:dxf>
          </x14:cfRule>
          <x14:cfRule type="expression" priority="5" id="{BEEBFD17-5847-4222-A44E-5DF945FF475D}">
            <xm:f>AND(ISBLANK($E$13),$E$12=Drop!$A$47)</xm:f>
            <x14:dxf>
              <fill>
                <patternFill>
                  <bgColor theme="7" tint="0.59996337778862885"/>
                </patternFill>
              </fill>
              <border>
                <left style="thin">
                  <color rgb="FFFF0000"/>
                </left>
                <right style="thin">
                  <color rgb="FFFF0000"/>
                </right>
                <top style="thin">
                  <color rgb="FFFF0000"/>
                </top>
                <bottom style="thin">
                  <color rgb="FFFF0000"/>
                </bottom>
                <vertical/>
                <horizontal/>
              </border>
            </x14:dxf>
          </x14:cfRule>
          <x14:cfRule type="expression" priority="6" id="{2627568E-2C0A-4EFE-AA4E-5062C71D291A}">
            <xm:f>$E$12=Drop!$A$47</xm:f>
            <x14:dxf>
              <border>
                <left style="thin">
                  <color auto="1"/>
                </left>
                <bottom style="thin">
                  <color auto="1"/>
                </bottom>
                <vertical/>
                <horizontal/>
              </border>
            </x14:dxf>
          </x14:cfRule>
          <xm:sqref>E13</xm:sqref>
        </x14:conditionalFormatting>
        <x14:conditionalFormatting xmlns:xm="http://schemas.microsoft.com/office/excel/2006/main">
          <x14:cfRule type="expression" priority="1" id="{7D1AF4A6-A58F-427C-B9B2-2E922B9FFE53}">
            <xm:f>$L$26=Drop!$A$85</xm:f>
            <x14:dxf>
              <font>
                <color auto="1"/>
              </font>
              <fill>
                <patternFill patternType="solid">
                  <bgColor theme="1"/>
                </patternFill>
              </fill>
            </x14:dxf>
          </x14:cfRule>
          <xm:sqref>B36 B33:AB35 B37:AB63 F36:AB36</xm:sqref>
        </x14:conditionalFormatting>
        <x14:conditionalFormatting xmlns:xm="http://schemas.microsoft.com/office/excel/2006/main">
          <x14:cfRule type="expression" priority="28" id="{44E142BC-1A88-43B3-8754-427ADF1AFDBE}">
            <xm:f>OR(E19&lt;&gt;Drop!A13,ISBLANK(M22))</xm:f>
            <x14:dxf>
              <fill>
                <patternFill>
                  <bgColor theme="0" tint="-4.9989318521683403E-2"/>
                </patternFill>
              </fill>
              <border>
                <left/>
                <top/>
                <vertical/>
                <horizontal/>
              </border>
            </x14:dxf>
          </x14:cfRule>
          <xm:sqref>O24:Q24</xm:sqref>
        </x14:conditionalFormatting>
        <x14:conditionalFormatting xmlns:xm="http://schemas.microsoft.com/office/excel/2006/main">
          <x14:cfRule type="expression" priority="29" id="{38FB3304-254C-48E9-92D6-CA131D259C45}">
            <xm:f>$E$19&lt;&gt;Drop!$A$13</xm:f>
            <x14:dxf>
              <font>
                <color auto="1"/>
              </font>
            </x14:dxf>
          </x14:cfRule>
          <xm:sqref>B20 B21:D21</xm:sqref>
        </x14:conditionalFormatting>
        <x14:conditionalFormatting xmlns:xm="http://schemas.microsoft.com/office/excel/2006/main">
          <x14:cfRule type="expression" priority="30" id="{79923FAF-ABA7-4D4D-BD07-1C2F0FA54D8D}">
            <xm:f>$E$12&lt;&gt;Drop!$A$47</xm:f>
            <x14:dxf>
              <font>
                <color theme="0" tint="-4.9989318521683403E-2"/>
              </font>
              <fill>
                <patternFill>
                  <bgColor theme="0" tint="-4.9989318521683403E-2"/>
                </patternFill>
              </fill>
            </x14:dxf>
          </x14:cfRule>
          <xm:sqref>B13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61EAA9A-45F6-4A95-BFDA-EEFDB2BE4D5A}">
          <x14:formula1>
            <xm:f>Drop!$A$44:$A$46</xm:f>
          </x14:formula1>
          <xm:sqref>E13</xm:sqref>
        </x14:dataValidation>
        <x14:dataValidation type="list" allowBlank="1" showInputMessage="1" showErrorMessage="1" xr:uid="{DF232C81-C99D-4281-A893-37A455DEDDD1}">
          <x14:formula1>
            <xm:f>Drop!$G$43:$G$44</xm:f>
          </x14:formula1>
          <xm:sqref>E12</xm:sqref>
        </x14:dataValidation>
        <x14:dataValidation type="list" allowBlank="1" showInputMessage="1" showErrorMessage="1" xr:uid="{877E9038-6424-46B9-8A4B-123109CF2FF0}">
          <x14:formula1>
            <xm:f>Drop!$A$62</xm:f>
          </x14:formula1>
          <xm:sqref>Y10:AB10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START"/>
  <dimension ref="B5:M20"/>
  <sheetViews>
    <sheetView tabSelected="1" workbookViewId="0"/>
  </sheetViews>
  <sheetFormatPr defaultColWidth="9.125" defaultRowHeight="13.5"/>
  <cols>
    <col min="1" max="16384" width="9.125" style="156"/>
  </cols>
  <sheetData>
    <row r="5" spans="2:13" ht="19.5">
      <c r="B5" s="182" t="str">
        <f>Drop!A252</f>
        <v>您必须启用宏才能使用本工作簿</v>
      </c>
      <c r="C5" s="155"/>
      <c r="D5" s="155"/>
      <c r="E5" s="155"/>
      <c r="F5" s="155"/>
      <c r="G5" s="155"/>
    </row>
    <row r="7" spans="2:13">
      <c r="B7" s="613" t="str">
        <f>Drop!A253</f>
        <v>如果已启用宏，但仅能看到本工作表， 通常是由于以下情况：
1. 打开工作簿并启用宏后，工作表不会消失，工作簿中的其余工作表也不会显示。
2.自动保存已开启，尝试关闭工作簿时，由于自动保存过程中断，在生成的消息框中选择了“取消”。 
如果出现上述任何一种情况，请保存并关闭所有打开的Excel文件，然后重新打开工作簿。</v>
      </c>
      <c r="C7" s="614"/>
      <c r="D7" s="614"/>
      <c r="E7" s="614"/>
      <c r="F7" s="614"/>
      <c r="G7" s="614"/>
      <c r="H7" s="614"/>
      <c r="I7" s="614"/>
      <c r="J7" s="614"/>
      <c r="K7" s="614"/>
      <c r="L7" s="614"/>
      <c r="M7" s="614"/>
    </row>
    <row r="8" spans="2:13">
      <c r="B8" s="614"/>
      <c r="C8" s="614"/>
      <c r="D8" s="614"/>
      <c r="E8" s="614"/>
      <c r="F8" s="614"/>
      <c r="G8" s="614"/>
      <c r="H8" s="614"/>
      <c r="I8" s="614"/>
      <c r="J8" s="614"/>
      <c r="K8" s="614"/>
      <c r="L8" s="614"/>
      <c r="M8" s="614"/>
    </row>
    <row r="9" spans="2:13">
      <c r="B9" s="614"/>
      <c r="C9" s="614"/>
      <c r="D9" s="614"/>
      <c r="E9" s="614"/>
      <c r="F9" s="614"/>
      <c r="G9" s="614"/>
      <c r="H9" s="614"/>
      <c r="I9" s="614"/>
      <c r="J9" s="614"/>
      <c r="K9" s="614"/>
      <c r="L9" s="614"/>
      <c r="M9" s="614"/>
    </row>
    <row r="10" spans="2:13">
      <c r="B10" s="614"/>
      <c r="C10" s="614"/>
      <c r="D10" s="614"/>
      <c r="E10" s="614"/>
      <c r="F10" s="614"/>
      <c r="G10" s="614"/>
      <c r="H10" s="614"/>
      <c r="I10" s="614"/>
      <c r="J10" s="614"/>
      <c r="K10" s="614"/>
      <c r="L10" s="614"/>
      <c r="M10" s="614"/>
    </row>
    <row r="11" spans="2:13">
      <c r="B11" s="614"/>
      <c r="C11" s="614"/>
      <c r="D11" s="614"/>
      <c r="E11" s="614"/>
      <c r="F11" s="614"/>
      <c r="G11" s="614"/>
      <c r="H11" s="614"/>
      <c r="I11" s="614"/>
      <c r="J11" s="614"/>
      <c r="K11" s="614"/>
      <c r="L11" s="614"/>
      <c r="M11" s="614"/>
    </row>
    <row r="12" spans="2:13">
      <c r="B12" s="614"/>
      <c r="C12" s="614"/>
      <c r="D12" s="614"/>
      <c r="E12" s="614"/>
      <c r="F12" s="614"/>
      <c r="G12" s="614"/>
      <c r="H12" s="614"/>
      <c r="I12" s="614"/>
      <c r="J12" s="614"/>
      <c r="K12" s="614"/>
      <c r="L12" s="614"/>
      <c r="M12" s="614"/>
    </row>
    <row r="13" spans="2:13">
      <c r="B13" s="614"/>
      <c r="C13" s="614"/>
      <c r="D13" s="614"/>
      <c r="E13" s="614"/>
      <c r="F13" s="614"/>
      <c r="G13" s="614"/>
      <c r="H13" s="614"/>
      <c r="I13" s="614"/>
      <c r="J13" s="614"/>
      <c r="K13" s="614"/>
      <c r="L13" s="614"/>
      <c r="M13" s="614"/>
    </row>
    <row r="14" spans="2:13">
      <c r="B14" s="614"/>
      <c r="C14" s="614"/>
      <c r="D14" s="614"/>
      <c r="E14" s="614"/>
      <c r="F14" s="614"/>
      <c r="G14" s="614"/>
      <c r="H14" s="614"/>
      <c r="I14" s="614"/>
      <c r="J14" s="614"/>
      <c r="K14" s="614"/>
      <c r="L14" s="614"/>
      <c r="M14" s="614"/>
    </row>
    <row r="15" spans="2:13">
      <c r="B15" s="614"/>
      <c r="C15" s="614"/>
      <c r="D15" s="614"/>
      <c r="E15" s="614"/>
      <c r="F15" s="614"/>
      <c r="G15" s="614"/>
      <c r="H15" s="614"/>
      <c r="I15" s="614"/>
      <c r="J15" s="614"/>
      <c r="K15" s="614"/>
      <c r="L15" s="614"/>
      <c r="M15" s="614"/>
    </row>
    <row r="16" spans="2:13">
      <c r="B16" s="614"/>
      <c r="C16" s="614"/>
      <c r="D16" s="614"/>
      <c r="E16" s="614"/>
      <c r="F16" s="614"/>
      <c r="G16" s="614"/>
      <c r="H16" s="614"/>
      <c r="I16" s="614"/>
      <c r="J16" s="614"/>
      <c r="K16" s="614"/>
      <c r="L16" s="614"/>
      <c r="M16" s="614"/>
    </row>
    <row r="17" spans="2:13">
      <c r="B17" s="614"/>
      <c r="C17" s="614"/>
      <c r="D17" s="614"/>
      <c r="E17" s="614"/>
      <c r="F17" s="614"/>
      <c r="G17" s="614"/>
      <c r="H17" s="614"/>
      <c r="I17" s="614"/>
      <c r="J17" s="614"/>
      <c r="K17" s="614"/>
      <c r="L17" s="614"/>
      <c r="M17" s="614"/>
    </row>
    <row r="18" spans="2:13">
      <c r="B18" s="614"/>
      <c r="C18" s="614"/>
      <c r="D18" s="614"/>
      <c r="E18" s="614"/>
      <c r="F18" s="614"/>
      <c r="G18" s="614"/>
      <c r="H18" s="614"/>
      <c r="I18" s="614"/>
      <c r="J18" s="614"/>
      <c r="K18" s="614"/>
      <c r="L18" s="614"/>
      <c r="M18" s="614"/>
    </row>
    <row r="19" spans="2:13">
      <c r="B19" s="614"/>
      <c r="C19" s="614"/>
      <c r="D19" s="614"/>
      <c r="E19" s="614"/>
      <c r="F19" s="614"/>
      <c r="G19" s="614"/>
      <c r="H19" s="614"/>
      <c r="I19" s="614"/>
      <c r="J19" s="614"/>
      <c r="K19" s="614"/>
      <c r="L19" s="614"/>
      <c r="M19" s="614"/>
    </row>
    <row r="20" spans="2:13">
      <c r="B20" s="614"/>
      <c r="C20" s="614"/>
      <c r="D20" s="614"/>
      <c r="E20" s="614"/>
      <c r="F20" s="614"/>
      <c r="G20" s="614"/>
      <c r="H20" s="614"/>
      <c r="I20" s="614"/>
      <c r="J20" s="614"/>
      <c r="K20" s="614"/>
      <c r="L20" s="614"/>
      <c r="M20" s="614"/>
    </row>
  </sheetData>
  <sheetProtection algorithmName="SHA-512" hashValue="s+h4CHrczAo/pLDOEWq+Bpinm21wV9g9iifm7BI4JnQnljsb4GhtjzFWV+zfwnTKpbX6ra2Pd/fGl+cb6mCndg==" saltValue="KXCGgX8pmlHN3aZ0HuEaIQ==" spinCount="100000" sheet="1" objects="1" scenarios="1"/>
  <mergeCells count="1">
    <mergeCell ref="B7:M20"/>
  </mergeCells>
  <phoneticPr fontId="32" type="noConversion"/>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GTCustom"/>
  <dimension ref="A1:B8"/>
  <sheetViews>
    <sheetView topLeftCell="A15" workbookViewId="0"/>
  </sheetViews>
  <sheetFormatPr defaultRowHeight="13.5"/>
  <sheetData>
    <row r="1" spans="1:2">
      <c r="A1" t="s">
        <v>127</v>
      </c>
      <c r="B1" t="s">
        <v>128</v>
      </c>
    </row>
    <row r="2" spans="1:2">
      <c r="A2" t="s">
        <v>129</v>
      </c>
      <c r="B2" t="s">
        <v>130</v>
      </c>
    </row>
    <row r="3" spans="1:2">
      <c r="A3" t="s">
        <v>131</v>
      </c>
      <c r="B3" t="s">
        <v>132</v>
      </c>
    </row>
    <row r="4" spans="1:2">
      <c r="A4" t="s">
        <v>133</v>
      </c>
      <c r="B4" t="s">
        <v>134</v>
      </c>
    </row>
    <row r="5" spans="1:2">
      <c r="A5" t="s">
        <v>135</v>
      </c>
      <c r="B5" t="s">
        <v>136</v>
      </c>
    </row>
    <row r="6" spans="1:2">
      <c r="A6" t="s">
        <v>137</v>
      </c>
      <c r="B6" t="s">
        <v>138</v>
      </c>
    </row>
    <row r="7" spans="1:2">
      <c r="A7" t="s">
        <v>139</v>
      </c>
      <c r="B7" t="s">
        <v>140</v>
      </c>
    </row>
    <row r="8" spans="1:2">
      <c r="A8" t="s">
        <v>141</v>
      </c>
      <c r="B8" t="s">
        <v>142</v>
      </c>
    </row>
  </sheetData>
  <sheetProtection algorithmName="SHA-512" hashValue="9iW6D5wCQNfFQ1sX6v/bf0/3ANOypsvRDawTKGQpW4VyLtLxQ1K5NgxcUOUROQ2L6RVF+k82PLCtdn+KYvYp0Q==" saltValue="A/vk5ZQZOalah91+t7DOIQ==" spinCount="100000" sheet="1" objects="1" scenarios="1" formatCells="0" formatColumns="0" selectLockedCells="1"/>
  <phoneticPr fontId="3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ffe4ad93-ed6f-4535-b8d7-9f3717677e75">
      <Terms xmlns="http://schemas.microsoft.com/office/infopath/2007/PartnerControls"/>
    </lcf76f155ced4ddcb4097134ff3c332f>
    <Versioncomments xmlns="ffe4ad93-ed6f-4535-b8d7-9f3717677e75" xsi:nil="true"/>
    <TaxCatchAll xmlns="aae29c38-5c64-4b4f-89da-042ea755fda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BA8A0A80888F545BB9D1A28C6C20EC8" ma:contentTypeVersion="10" ma:contentTypeDescription="Create a new document." ma:contentTypeScope="" ma:versionID="c03a48726aab4eb5b019f48e719bcf72">
  <xsd:schema xmlns:xsd="http://www.w3.org/2001/XMLSchema" xmlns:xs="http://www.w3.org/2001/XMLSchema" xmlns:p="http://schemas.microsoft.com/office/2006/metadata/properties" xmlns:ns2="ffe4ad93-ed6f-4535-b8d7-9f3717677e75" xmlns:ns3="aae29c38-5c64-4b4f-89da-042ea755fda5" targetNamespace="http://schemas.microsoft.com/office/2006/metadata/properties" ma:root="true" ma:fieldsID="47bbfeed2488e74d0d4d9f1c84c27a61" ns2:_="" ns3:_="">
    <xsd:import namespace="ffe4ad93-ed6f-4535-b8d7-9f3717677e75"/>
    <xsd:import namespace="aae29c38-5c64-4b4f-89da-042ea755fda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Versioncomments" minOccurs="0"/>
                <xsd:element ref="ns2:lcf76f155ced4ddcb4097134ff3c332f" minOccurs="0"/>
                <xsd:element ref="ns3:TaxCatchAll"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e4ad93-ed6f-4535-b8d7-9f3717677e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Versioncomments" ma:index="12" nillable="true" ma:displayName="Version comments" ma:format="Dropdown" ma:internalName="Versioncomments">
      <xsd:simpleType>
        <xsd:restriction base="dms:Note">
          <xsd:maxLength value="255"/>
        </xsd:restriction>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6a785552-9cbc-4ad1-85a9-7bdd3352d37e" ma:termSetId="09814cd3-568e-fe90-9814-8d621ff8fb84" ma:anchorId="fba54fb3-c3e1-fe81-a776-ca4b69148c4d" ma:open="true" ma:isKeyword="false">
      <xsd:complexType>
        <xsd:sequence>
          <xsd:element ref="pc:Terms" minOccurs="0" maxOccurs="1"/>
        </xsd:sequence>
      </xsd:complex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ae29c38-5c64-4b4f-89da-042ea755fda5"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e78da1e-b515-4546-8b6d-a94f81144609}" ma:internalName="TaxCatchAll" ma:showField="CatchAllData" ma:web="aae29c38-5c64-4b4f-89da-042ea755fda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44A8C9B-4E93-4EA3-A56D-601F9DD7C8E3}">
  <ds:schemaRefs>
    <ds:schemaRef ds:uri="http://purl.org/dc/terms/"/>
    <ds:schemaRef ds:uri="http://schemas.microsoft.com/office/2006/documentManagement/types"/>
    <ds:schemaRef ds:uri="http://schemas.microsoft.com/sharepoint/v3"/>
    <ds:schemaRef ds:uri="http://purl.org/dc/elements/1.1/"/>
    <ds:schemaRef ds:uri="http://www.w3.org/XML/1998/namespace"/>
    <ds:schemaRef ds:uri="09f9bc55-a7a1-410d-8372-6c53085102bf"/>
    <ds:schemaRef ds:uri="http://schemas.microsoft.com/office/infopath/2007/PartnerControls"/>
    <ds:schemaRef ds:uri="http://schemas.microsoft.com/office/2006/metadata/properties"/>
    <ds:schemaRef ds:uri="http://schemas.openxmlformats.org/package/2006/metadata/core-properties"/>
    <ds:schemaRef ds:uri="bb0eabce-1d9a-4bb1-b921-06bb96e89da8"/>
    <ds:schemaRef ds:uri="http://purl.org/dc/dcmitype/"/>
    <ds:schemaRef ds:uri="ffe4ad93-ed6f-4535-b8d7-9f3717677e75"/>
    <ds:schemaRef ds:uri="aae29c38-5c64-4b4f-89da-042ea755fda5"/>
  </ds:schemaRefs>
</ds:datastoreItem>
</file>

<file path=customXml/itemProps2.xml><?xml version="1.0" encoding="utf-8"?>
<ds:datastoreItem xmlns:ds="http://schemas.openxmlformats.org/officeDocument/2006/customXml" ds:itemID="{92E6D39A-F825-4B5A-BCF5-F2B54E24A591}">
  <ds:schemaRefs>
    <ds:schemaRef ds:uri="http://schemas.microsoft.com/sharepoint/v3/contenttype/forms"/>
  </ds:schemaRefs>
</ds:datastoreItem>
</file>

<file path=customXml/itemProps3.xml><?xml version="1.0" encoding="utf-8"?>
<ds:datastoreItem xmlns:ds="http://schemas.openxmlformats.org/officeDocument/2006/customXml" ds:itemID="{4D42D7F7-F05C-480C-B626-F0A82F4450C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fe4ad93-ed6f-4535-b8d7-9f3717677e75"/>
    <ds:schemaRef ds:uri="aae29c38-5c64-4b4f-89da-042ea755fda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35</vt:i4>
      </vt:variant>
    </vt:vector>
  </HeadingPairs>
  <TitlesOfParts>
    <vt:vector size="46" baseType="lpstr">
      <vt:lpstr>3 - 非统计</vt:lpstr>
      <vt:lpstr>Statistical Template</vt:lpstr>
      <vt:lpstr>Non-StatisticalTemplate</vt:lpstr>
      <vt:lpstr>Drop</vt:lpstr>
      <vt:lpstr>1 - 非统计</vt:lpstr>
      <vt:lpstr>1 - Statistical</vt:lpstr>
      <vt:lpstr>2 - 非统计</vt:lpstr>
      <vt:lpstr>2 - 统计</vt:lpstr>
      <vt:lpstr>3 - 统计</vt:lpstr>
      <vt:lpstr>START</vt:lpstr>
      <vt:lpstr>GT_Custom</vt:lpstr>
      <vt:lpstr>ADA</vt:lpstr>
      <vt:lpstr>Assertions</vt:lpstr>
      <vt:lpstr>Context</vt:lpstr>
      <vt:lpstr>ControlReliance</vt:lpstr>
      <vt:lpstr>dropError11</vt:lpstr>
      <vt:lpstr>dropError12</vt:lpstr>
      <vt:lpstr>dropError13</vt:lpstr>
      <vt:lpstr>Engagement</vt:lpstr>
      <vt:lpstr>Environnements</vt:lpstr>
      <vt:lpstr>Extent</vt:lpstr>
      <vt:lpstr>extentNonStat</vt:lpstr>
      <vt:lpstr>extentStat</vt:lpstr>
      <vt:lpstr>Increased_Engagement_Risk</vt:lpstr>
      <vt:lpstr>InherentRisk</vt:lpstr>
      <vt:lpstr>Listed_Entity</vt:lpstr>
      <vt:lpstr>NatureOfPop</vt:lpstr>
      <vt:lpstr>'1 - 非统计'!NonStat_Selection_Method</vt:lpstr>
      <vt:lpstr>'2 - 非统计'!NonStat_Selection_Method</vt:lpstr>
      <vt:lpstr>'3 - 非统计'!NonStat_Selection_Method</vt:lpstr>
      <vt:lpstr>'Non-StatisticalTemplate'!NonStat_Selection_Method</vt:lpstr>
      <vt:lpstr>OtherEvidence</vt:lpstr>
      <vt:lpstr>Performance_Materiality</vt:lpstr>
      <vt:lpstr>Scoping_Unit</vt:lpstr>
      <vt:lpstr>Scoping_Unit_Value</vt:lpstr>
      <vt:lpstr>SelectionMethods</vt:lpstr>
      <vt:lpstr>'1 - Statistical'!Stat_Verify_all_inputs</vt:lpstr>
      <vt:lpstr>'2 - 统计'!Stat_Verify_all_inputs</vt:lpstr>
      <vt:lpstr>'3 - 统计'!Stat_Verify_all_inputs</vt:lpstr>
      <vt:lpstr>'Statistical Template'!Stat_Verify_all_inputs</vt:lpstr>
      <vt:lpstr>tabNonStatistical</vt:lpstr>
      <vt:lpstr>tabNumbers</vt:lpstr>
      <vt:lpstr>tabStatistical</vt:lpstr>
      <vt:lpstr>tabSummary</vt:lpstr>
      <vt:lpstr>YesNo</vt:lpstr>
      <vt:lpstr>YesNoApp</vt:lpstr>
    </vt:vector>
  </TitlesOfParts>
  <Company>Grant Thornton International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Cii Technology Solutions</dc:creator>
  <cp:lastModifiedBy>Birdie Bai 白璐</cp:lastModifiedBy>
  <cp:lastPrinted>2017-08-22T21:23:40Z</cp:lastPrinted>
  <dcterms:created xsi:type="dcterms:W3CDTF">2015-09-04T00:59:44Z</dcterms:created>
  <dcterms:modified xsi:type="dcterms:W3CDTF">2025-08-26T04:15:17Z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0x0101005BA8A0A80888F545BB9D1A28C6C20EC8</vt:lpwstr>
  </property>
  <property fmtid="{D5CDD505-2E9C-101B-9397-08002B2CF9AE}" pid="3" name="_dlc_DocIdItemGuid">
    <vt:lpwstr>41abed5f-439c-4f27-9863-25c41fca4c51</vt:lpwstr>
  </property>
  <property fmtid="{D5CDD505-2E9C-101B-9397-08002B2CF9AE}" pid="4" name="Order">
    <vt:r8>1664900</vt:r8>
  </property>
  <property fmtid="{D5CDD505-2E9C-101B-9397-08002B2CF9AE}" pid="5" name="xd_Signature">
    <vt:bool>false</vt:bool>
  </property>
  <property fmtid="{D5CDD505-2E9C-101B-9397-08002B2CF9AE}" pid="6" name="xd_ProgID">
    <vt:lpwstr/>
  </property>
  <property fmtid="{D5CDD505-2E9C-101B-9397-08002B2CF9AE}" pid="7" name="_ExtendedDescription">
    <vt:lpwstr/>
  </property>
  <property fmtid="{D5CDD505-2E9C-101B-9397-08002B2CF9AE}" pid="8" name="_dlc_DocId">
    <vt:lpwstr>T4T5T3R555WE-636262436-16649</vt:lpwstr>
  </property>
  <property fmtid="{D5CDD505-2E9C-101B-9397-08002B2CF9AE}" pid="9" name="TriggerFlowInfo">
    <vt:lpwstr/>
  </property>
  <property fmtid="{D5CDD505-2E9C-101B-9397-08002B2CF9AE}" pid="10" name="_dlc_DocIdUrl">
    <vt:lpwstr>https://gtinetorg.sharepoint.com/sites/leapdocs/_layouts/15/DocIdRedir.aspx?ID=T4T5T3R555WE-636262436-16649, T4T5T3R555WE-636262436-16649</vt:lpwstr>
  </property>
  <property fmtid="{D5CDD505-2E9C-101B-9397-08002B2CF9AE}" pid="11" name="_SourceUrl">
    <vt:lpwstr/>
  </property>
  <property fmtid="{D5CDD505-2E9C-101B-9397-08002B2CF9AE}" pid="12" name="_SharedFileIndex">
    <vt:lpwstr/>
  </property>
  <property fmtid="{D5CDD505-2E9C-101B-9397-08002B2CF9AE}" pid="13" name="ComplianceAssetId">
    <vt:lpwstr/>
  </property>
  <property fmtid="{D5CDD505-2E9C-101B-9397-08002B2CF9AE}" pid="14" name="TemplateUrl">
    <vt:lpwstr/>
  </property>
</Properties>
</file>